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7839\Downloads\StoryMac\DataTracker\Projects\"/>
    </mc:Choice>
  </mc:AlternateContent>
  <xr:revisionPtr revIDLastSave="0" documentId="13_ncr:1_{2071B195-5284-47C0-940E-A651B40C3BBA}" xr6:coauthVersionLast="47" xr6:coauthVersionMax="47" xr10:uidLastSave="{00000000-0000-0000-0000-000000000000}"/>
  <bookViews>
    <workbookView xWindow="-30" yWindow="-16320" windowWidth="29040" windowHeight="16440" tabRatio="722" activeTab="1" xr2:uid="{EDAD35E9-EC97-4654-B180-E6FDDD7C6CE2}"/>
  </bookViews>
  <sheets>
    <sheet name="Sheet1" sheetId="58894" r:id="rId1"/>
    <sheet name="OWin" sheetId="58893" r:id="rId2"/>
  </sheets>
  <functionGroups builtInGroupCount="19"/>
  <definedNames>
    <definedName name="_xleta.FILTER" hidden="1" xlm="1">#NAME?</definedName>
    <definedName name="ExternalData_2" localSheetId="1" hidden="1">OWin!$L$2:$X$11</definedName>
    <definedName name="ExternalData_3" localSheetId="1" hidden="1">OWin!$I$2:$I$14</definedName>
    <definedName name="ExternalData_3" localSheetId="0" hidden="1">Sheet1!$A$1:$C$2</definedName>
    <definedName name="Pth">OWin!$G$2</definedName>
    <definedName name="Query___Gen0_00" localSheetId="1">OWin!$F$6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8893" l="1" a="1"/>
  <c r="G2" i="5889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F91179-AEFC-417E-832E-D64245F40570}" keepAlive="1" name="Query - Cnt0_XPE" description="Connection to the 'Cnt0_XPE' query in the workbook." type="5" refreshedVersion="0" background="1">
    <dbPr connection="Provider=Microsoft.Mashup.OleDb.1;Data Source=$Workbook$;Location=Cnt0_XPE;Extended Properties=&quot;&quot;" command="SELECT * FROM [Cnt0_XPE]"/>
  </connection>
  <connection id="2" xr16:uid="{29B44186-5217-4E2B-AFFE-74EF51D8BCEB}" keepAlive="1" name="Query - FiLOFb1" description="Connection to the 'FiLOFb1' query in the workbook." type="5" refreshedVersion="0" background="1">
    <dbPr connection="Provider=Microsoft.Mashup.OleDb.1;Data Source=$Workbook$;Location=FiLOFb1;Extended Properties=&quot;&quot;" command="SELECT * FROM [FiLOFb1]"/>
  </connection>
  <connection id="3" xr16:uid="{BB8C64A5-E95F-42CB-909C-82FB88691A7B}" keepAlive="1" name="Query - FiLOFb5" description="Connection to the 'FiLOFb5' query in the workbook." type="5" refreshedVersion="8" background="1" saveData="1">
    <dbPr connection="Provider=Microsoft.Mashup.OleDb.1;Data Source=$Workbook$;Location=FiLOFb5;Extended Properties=&quot;&quot;" command="SELECT * FROM [FiLOFb5]"/>
  </connection>
  <connection id="4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5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6" xr16:uid="{0E240DA4-4CE5-4F09-AE62-3BD790966826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7" xr16:uid="{B6739E0D-FD15-40BB-85EB-B3C2AD18B7BA}" keepAlive="1" name="Query - FrmBH0" description="Connection to the 'FrmBH0' query in the workbook." type="5" refreshedVersion="8" background="1" saveData="1">
    <dbPr connection="Provider=Microsoft.Mashup.OleDb.1;Data Source=$Workbook$;Location=FrmBH0;Extended Properties=&quot;&quot;" command="SELECT * FROM [FrmBH0]"/>
  </connection>
  <connection id="8" xr16:uid="{2D1C3625-7089-4D3A-83BC-93F7A198308F}" keepAlive="1" name="Query - FrmPth0" description="Connection to the 'FrmPth0' query in the workbook." type="5" refreshedVersion="0" background="1">
    <dbPr connection="Provider=Microsoft.Mashup.OleDb.1;Data Source=$Workbook$;Location=FrmPth0;Extended Properties=&quot;&quot;" command="SELECT * FROM [FrmPth0]"/>
  </connection>
  <connection id="9" xr16:uid="{7DDD2B9D-9082-4CC6-894B-286CC5EFA80C}" keepAlive="1" name="Query - FrmPth1" description="Connection to the 'FrmPth1' query in the workbook." type="5" refreshedVersion="0" background="1">
    <dbPr connection="Provider=Microsoft.Mashup.OleDb.1;Data Source=$Workbook$;Location=FrmPth1;Extended Properties=&quot;&quot;" command="SELECT * FROM [FrmPth1]"/>
  </connection>
  <connection id="10" xr16:uid="{A29C7D3F-8422-42AA-AD41-EACC4C96B1E4}" keepAlive="1" name="Query - FrmPth2(1)" description="Connection to the 'FrmPth2' query in the workbook." type="5" refreshedVersion="8" background="1" saveData="1">
    <dbPr connection="Provider=Microsoft.Mashup.OleDb.1;Data Source=$Workbook$;Location=FrmPth2;Extended Properties=&quot;&quot;" command="SELECT * FROM [FrmPth2]"/>
  </connection>
  <connection id="11" xr16:uid="{D4F11848-277E-4ED1-B740-5B4429E1FB5F}" keepAlive="1" name="Query - FrmPth4(1)" description="Connection to the 'FrmPth4' query in the workbook." type="5" refreshedVersion="8" background="1" saveData="1">
    <dbPr connection="Provider=Microsoft.Mashup.OleDb.1;Data Source=$Workbook$;Location=FrmPth4;Extended Properties=&quot;&quot;" command="SELECT * FROM [FrmPth4]"/>
  </connection>
  <connection id="12" xr16:uid="{27A8790E-C352-4DAD-BEE7-AC2A97F11857}" keepAlive="1" name="Query - FrmPth5" description="Connection to the 'FrmPth5' query in the workbook." type="5" refreshedVersion="8" background="1" saveData="1">
    <dbPr connection="Provider=Microsoft.Mashup.OleDb.1;Data Source=$Workbook$;Location=FrmPth5;Extended Properties=&quot;&quot;" command="SELECT * FROM [FrmPth5]"/>
  </connection>
  <connection id="13" xr16:uid="{29786AD0-C2A3-415C-B38E-0723E70FFDE4}" keepAlive="1" name="Query - Gen0_00" type="5" refreshedVersion="0" deleted="1" background="1" saveData="1">
    <dbPr connection="" command=""/>
  </connection>
  <connection id="14" xr16:uid="{09CA5A8E-B40C-481D-8193-417A1DED47CB}" keepAlive="1" name="Query - LstQry" description="Connection to the 'LstQry' query in the workbook." type="5" refreshedVersion="8" background="1" saveData="1">
    <dbPr connection="Provider=Microsoft.Mashup.OleDb.1;Data Source=$Workbook$;Location=LstQry;Extended Properties=&quot;&quot;" command="SELECT * FROM [LstQry]"/>
  </connection>
  <connection id="15" xr16:uid="{5AEF2107-AAAB-4200-A4D0-F9BAB74E4F2B}" keepAlive="1" name="Query - PM_DIR" description="Connection to the 'PM_DIR' query in the workbook." type="5" refreshedVersion="0" background="1">
    <dbPr connection="Provider=Microsoft.Mashup.OleDb.1;Data Source=$Workbook$;Location=PM_DIR;Extended Properties=&quot;&quot;" command="SELECT * FROM [PM_DIR]"/>
  </connection>
  <connection id="16" xr16:uid="{B442957F-D06F-4D41-81F8-C1AAE96856B6}" keepAlive="1" name="Query - SF_DIR" description="Connection to the 'SF_DIR' query in the workbook." type="5" refreshedVersion="0" background="1">
    <dbPr connection="Provider=Microsoft.Mashup.OleDb.1;Data Source=$Workbook$;Location=SF_DIR;Extended Properties=&quot;&quot;" command="SELECT * FROM [SF_DIR]"/>
  </connection>
  <connection id="17" xr16:uid="{446A493F-0C81-4D1A-B877-5F9558728A8B}" keepAlive="1" name="Query - TbGraph5 (2)" description="Connection to the 'TbGraph5 (2)' query in the workbook." type="5" refreshedVersion="8" background="1" saveData="1">
    <dbPr connection="Provider=Microsoft.Mashup.OleDb.1;Data Source=$Workbook$;Location=&quot;TbGraph5 (2)&quot;;Extended Properties=&quot;&quot;" command="SELECT * FROM [TbGraph5 (2)]"/>
  </connection>
  <connection id="18" xr16:uid="{53BABBDA-4B5C-4CE0-B005-536D124B6BB2}" keepAlive="1" name="Query - TF_DIR" description="Connection to the 'TF_DIR' query in the workbook." type="5" refreshedVersion="0" background="1">
    <dbPr connection="Provider=Microsoft.Mashup.OleDb.1;Data Source=$Workbook$;Location=TF_DIR;Extended Properties=&quot;&quot;" command="SELECT * FROM [TF_DIR]"/>
  </connection>
  <connection id="19" xr16:uid="{AD739868-371F-4261-B4CF-9BE67D34F85D}" keepAlive="1" name="Query - Transform SampleCD2" description="Connection to the 'Transform SampleCD2' query in the workbook." type="5" refreshedVersion="0" background="1" saveData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<sst xmlns="http://schemas.openxmlformats.org/spreadsheetml/2006/main" count="121" uniqueCount="76">
  <si>
    <t>PathName</t>
  </si>
  <si>
    <t>31200</t>
  </si>
  <si>
    <t>WinTitle</t>
  </si>
  <si>
    <t>WinID</t>
  </si>
  <si>
    <t>PrjId</t>
  </si>
  <si>
    <t>31173</t>
  </si>
  <si>
    <t>31179</t>
  </si>
  <si>
    <t>31180</t>
  </si>
  <si>
    <t>31193</t>
  </si>
  <si>
    <t>31193M</t>
  </si>
  <si>
    <t>31195</t>
  </si>
  <si>
    <t>31195M</t>
  </si>
  <si>
    <t>31199</t>
  </si>
  <si>
    <t>ASG</t>
  </si>
  <si>
    <t>CDC</t>
  </si>
  <si>
    <t>GEN</t>
  </si>
  <si>
    <t>INV</t>
  </si>
  <si>
    <t>ITM</t>
  </si>
  <si>
    <t>MOD</t>
  </si>
  <si>
    <t>OFB</t>
  </si>
  <si>
    <t>OFR</t>
  </si>
  <si>
    <t>STW</t>
  </si>
  <si>
    <t>PAY</t>
  </si>
  <si>
    <t>ST1</t>
  </si>
  <si>
    <t>ST2</t>
  </si>
  <si>
    <t>FrmPth5</t>
  </si>
  <si>
    <t>26/11/24
06/02/25</t>
  </si>
  <si>
    <t>07/05/24
13/01/25</t>
  </si>
  <si>
    <t>17/05/24
13/01/25</t>
  </si>
  <si>
    <t>28/11/24
13/01/25</t>
  </si>
  <si>
    <t>27/11/24
13/01/25</t>
  </si>
  <si>
    <t>13/01/25
13/01/25</t>
  </si>
  <si>
    <t>28/12/23
13/01/25</t>
  </si>
  <si>
    <t>26/02/24
13/01/25</t>
  </si>
  <si>
    <t>18/09/24
18/09/24</t>
  </si>
  <si>
    <t>18/09/24
26/09/24</t>
  </si>
  <si>
    <t>08/10/25
08/10/25</t>
  </si>
  <si>
    <t>11/07/24
26/09/24</t>
  </si>
  <si>
    <t>08/10/24
08/10/24</t>
  </si>
  <si>
    <t>25/05/24
18/09/24</t>
  </si>
  <si>
    <t>25/05/24
26/09/24</t>
  </si>
  <si>
    <t>22/12/23
13/01/25</t>
  </si>
  <si>
    <t>PickData_v04.xlsm - Excel</t>
  </si>
  <si>
    <t>Mail</t>
  </si>
  <si>
    <t>Inbox - Serrasold ?- Mail</t>
  </si>
  <si>
    <t>Windows Input Experience</t>
  </si>
  <si>
    <t>Program Manager</t>
  </si>
  <si>
    <t>OLD</t>
  </si>
  <si>
    <t>NEW</t>
  </si>
  <si>
    <t>PATH</t>
  </si>
  <si>
    <t>LstQry</t>
  </si>
  <si>
    <t>26/11/24
17/03/25</t>
  </si>
  <si>
    <t>07/05/24
03/02/25</t>
  </si>
  <si>
    <t>02/12/24
13/01/25</t>
  </si>
  <si>
    <t>06/02/24
03/02/25</t>
  </si>
  <si>
    <t>06/02/24
13/01/25</t>
  </si>
  <si>
    <t>06/02/24
17/03/25</t>
  </si>
  <si>
    <t>22/12/23
17/03/25</t>
  </si>
  <si>
    <t>17/05/24
17/03/25</t>
  </si>
  <si>
    <t>28/11/24
17/03/25</t>
  </si>
  <si>
    <t>27/11/24
17/03/25</t>
  </si>
  <si>
    <t>23/12/23
17/03/25</t>
  </si>
  <si>
    <t>13/01/25
17/03/25</t>
  </si>
  <si>
    <t>30/01/25
17/03/25</t>
  </si>
  <si>
    <t>13/03/25
17/03/25</t>
  </si>
  <si>
    <t>16/01/25
17/03/25</t>
  </si>
  <si>
    <t>23/01/25
17/03/25</t>
  </si>
  <si>
    <t>Copilot | Microsoft 365 Copilot and 1 more page - Work - Microsoft? Edge</t>
  </si>
  <si>
    <t>Projects - File Explorer</t>
  </si>
  <si>
    <t>Chat | FERNANDEZ GONZALEZ, JORGE (EXTERNAL) | Aernnova Aerospace | dperez@serrasold.com | Microsoft Teams</t>
  </si>
  <si>
    <t>Option Dialog</t>
  </si>
  <si>
    <t>Explorador menús [Usuario: u127839     ] [301]</t>
  </si>
  <si>
    <t>tipcs5431m000 : Listar órdenes planificadas de stock PRP (Proy. a Proy.) [301]</t>
  </si>
  <si>
    <t>ttstpsplopen : Seleccionar dispositivo [000]</t>
  </si>
  <si>
    <t>Microsoft Visual Basic for Applications - PickData_v04.xlsm [running] - [InforAlone (Code)]</t>
  </si>
  <si>
    <t>PopupHost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</si>
</sst>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]_-;\-* #,##0.00\ [$€]_-;_-* &quot;-&quot;??\ [$€]_-;_-@_-"/>
  </numFmts>
  <fonts count="29" x14ac:knownFonts="1">
    <font>
      <sz val="10"/>
      <name val="Arial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ova Cond Light"/>
      <family val="2"/>
    </font>
    <font>
      <b/>
      <sz val="10"/>
      <name val="Arial Nova Cond Light"/>
      <family val="2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09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4" applyNumberFormat="0" applyAlignment="0" applyProtection="0"/>
    <xf numFmtId="0" fontId="19" fillId="7" borderId="5" applyNumberFormat="0" applyAlignment="0" applyProtection="0"/>
    <xf numFmtId="0" fontId="20" fillId="7" borderId="4" applyNumberFormat="0" applyAlignment="0" applyProtection="0"/>
    <xf numFmtId="0" fontId="21" fillId="0" borderId="6" applyNumberFormat="0" applyFill="0" applyAlignment="0" applyProtection="0"/>
    <xf numFmtId="0" fontId="22" fillId="8" borderId="7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5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5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9" fillId="0" borderId="0"/>
  </cellStyleXfs>
  <cellXfs count="10">
    <xf numFmtId="0" fontId="0" fillId="0" borderId="0" xfId="0"/>
    <xf numFmtId="0" fontId="1" fillId="2" borderId="10" xfId="107" applyFont="1" applyFill="1" applyBorder="1" applyAlignment="1">
      <alignment horizontal="left" vertical="top" textRotation="90"/>
    </xf>
    <xf numFmtId="0" fontId="1" fillId="34" borderId="10" xfId="107" applyFont="1" applyFill="1" applyBorder="1" applyAlignment="1">
      <alignment horizontal="left" vertical="top" textRotation="90" wrapText="1"/>
    </xf>
    <xf numFmtId="0" fontId="26" fillId="0" borderId="0" xfId="0" applyFont="1"/>
    <xf numFmtId="0" fontId="27" fillId="35" borderId="0" xfId="0" applyFont="1" applyFill="1"/>
    <xf numFmtId="0" fontId="26" fillId="0" borderId="0" xfId="0" applyFont="1" applyAlignment="1">
      <alignment horizontal="left" vertical="top" textRotation="90"/>
    </xf>
    <xf numFmtId="0" fontId="26" fillId="0" borderId="0" xfId="0" applyFont="1" applyAlignment="1">
      <alignment wrapText="1"/>
    </xf>
    <xf numFmtId="0" fontId="26" fillId="0" borderId="0" xfId="0" applyFont="1" applyAlignment="1">
      <alignment horizontal="left" vertical="top" textRotation="90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vertical="top" wrapText="1"/>
    </xf>
  </cellXfs>
  <cellStyles count="10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  <alignment vertical="top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1" indent="0" justifyLastLine="0" shrinkToFit="0" readingOrder="0"/>
    </dxf>
  </dxfs>
  <tableStyles count="0" defaultTableStyle="TableStyleMedium9" defaultPivotStyle="PivotStyleLight16"/>
  <colors>
    <mruColors>
      <color rgb="FFA50021"/>
      <color rgb="FFFFFFCC"/>
      <color rgb="FF663300"/>
      <color rgb="FFFFEB84"/>
      <color rgb="FFFFCC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1</xdr:row>
      <xdr:rowOff>133351</xdr:rowOff>
    </xdr:from>
    <xdr:to>
      <xdr:col>4</xdr:col>
      <xdr:colOff>409050</xdr:colOff>
      <xdr:row>3</xdr:row>
      <xdr:rowOff>66675</xdr:rowOff>
    </xdr:to>
    <xdr:sp macro="[0]!XtrAlone" textlink="">
      <xdr:nvSpPr>
        <xdr:cNvPr id="2" name="Rectangle 1">
          <a:extLst>
            <a:ext uri="{FF2B5EF4-FFF2-40B4-BE49-F238E27FC236}">
              <a16:creationId xmlns:a16="http://schemas.microsoft.com/office/drawing/2014/main" id="{1F2D53CE-FF4E-FD8F-6C25-019B9B1DB71A}"/>
            </a:ext>
          </a:extLst>
        </xdr:cNvPr>
        <xdr:cNvSpPr/>
      </xdr:nvSpPr>
      <xdr:spPr bwMode="auto">
        <a:xfrm>
          <a:off x="5657850" y="295276"/>
          <a:ext cx="1132950" cy="1057274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0" tIns="0" rIns="0" bIns="0" rtlCol="0" anchor="ctr" anchorCtr="1" upright="1"/>
        <a:lstStyle/>
        <a:p>
          <a:pPr algn="ctr"/>
          <a:r>
            <a:rPr lang="en-US" sz="2400" b="1" cap="all" normalizeH="1">
              <a:solidFill>
                <a:srgbClr val="663300"/>
              </a:solidFill>
            </a:rPr>
            <a:t>DATA</a:t>
          </a:r>
          <a:r>
            <a:rPr lang="en-US" sz="2400" b="1" cap="all" normalizeH="1" baseline="0">
              <a:solidFill>
                <a:srgbClr val="663300"/>
              </a:solidFill>
            </a:rPr>
            <a:t> MINING</a:t>
          </a:r>
          <a:endParaRPr lang="en-US" sz="2400" b="1" cap="all" normalizeH="1">
            <a:solidFill>
              <a:srgbClr val="663300"/>
            </a:solidFill>
          </a:endParaRPr>
        </a:p>
      </xdr:txBody>
    </xdr:sp>
    <xdr:clientData/>
  </xdr:twoCellAnchor>
  <xdr:twoCellAnchor editAs="oneCell">
    <xdr:from>
      <xdr:col>25</xdr:col>
      <xdr:colOff>53390</xdr:colOff>
      <xdr:row>1</xdr:row>
      <xdr:rowOff>19050</xdr:rowOff>
    </xdr:from>
    <xdr:to>
      <xdr:col>28</xdr:col>
      <xdr:colOff>629551</xdr:colOff>
      <xdr:row>17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8A69A8-0EDE-D91F-1863-E42EA526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1815" y="180975"/>
          <a:ext cx="2319236" cy="55245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4ECBFBF8-8073-4EF1-83C7-997C7D88280E}" autoFormatId="16" applyNumberFormats="0" applyBorderFormats="0" applyFontFormats="0" applyPatternFormats="0" applyAlignmentFormats="0" applyWidthHeightFormats="0">
  <queryTableRefresh nextId="4">
    <queryTableFields count="3">
      <queryTableField id="1" name="OLD" tableColumnId="1"/>
      <queryTableField id="2" name="NEW" tableColumnId="2"/>
      <queryTableField id="3" name="PATH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123E5989-B816-43D5-8BE3-A742641EE18F}" autoFormatId="16" applyNumberFormats="0" applyBorderFormats="0" applyFontFormats="0" applyPatternFormats="0" applyAlignmentFormats="0" applyWidthHeightFormats="0">
  <queryTableRefresh nextId="96">
    <queryTableFields count="13">
      <queryTableField id="91" name="PrjId" tableColumnId="48"/>
      <queryTableField id="4" name="ASG" tableColumnId="4"/>
      <queryTableField id="5" name="CDC" tableColumnId="5"/>
      <queryTableField id="6" name="GEN" tableColumnId="6"/>
      <queryTableField id="7" name="INV" tableColumnId="7"/>
      <queryTableField id="8" name="ITM" tableColumnId="8"/>
      <queryTableField id="9" name="MOD" tableColumnId="9"/>
      <queryTableField id="10" name="OFB" tableColumnId="10"/>
      <queryTableField id="11" name="OFR" tableColumnId="11"/>
      <queryTableField id="15" name="STW" tableColumnId="15"/>
      <queryTableField id="12" name="PAY" tableColumnId="12"/>
      <queryTableField id="13" name="ST1" tableColumnId="13"/>
      <queryTableField id="14" name="ST2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4" xr16:uid="{D1847045-92F2-4E0D-AA90-8DCED4791EC0}" autoFormatId="16" applyNumberFormats="0" applyBorderFormats="0" applyFontFormats="0" applyPatternFormats="0" applyAlignmentFormats="0" applyWidthHeightFormats="0">
  <queryTableRefresh nextId="2">
    <queryTableFields count="1">
      <queryTableField id="1" name="LstQry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Gen0_00" firstBackgroundRefresh="1" connectionId="13" xr16:uid="{EC61F407-E81B-433B-8439-3ADA46AE019C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DB59AD-38B5-4FBF-89CB-A252B20B9D4E}" name="FrmPth4" displayName="FrmPth4" ref="A1:C2" tableType="queryTable" insertRow="1" totalsRowShown="0">
  <autoFilter ref="A1:C2" xr:uid="{D1DB59AD-38B5-4FBF-89CB-A252B20B9D4E}"/>
  <tableColumns count="3">
    <tableColumn id="1" xr3:uid="{D5C132B9-CE83-4A6E-9B69-D4EA20585783}" uniqueName="1" name="OLD" queryTableFieldId="1"/>
    <tableColumn id="2" xr3:uid="{9F491002-8B69-4E6A-AA60-B865BD39E61A}" uniqueName="2" name="NEW" queryTableFieldId="2"/>
    <tableColumn id="3" xr3:uid="{08CEA116-3AC3-40F2-9DE1-FA8E25F2C700}" uniqueName="3" name="PATH" queryTableField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16881-2391-4D92-B1B2-6C8B1223D20C}" name="FrmPth5" displayName="FrmPth5" ref="L2:X11" tableType="queryTable" totalsRowShown="0" headerRowDxfId="17" dataDxfId="16">
  <autoFilter ref="L2:X11" xr:uid="{49616881-2391-4D92-B1B2-6C8B1223D20C}"/>
  <tableColumns count="13">
    <tableColumn id="48" xr3:uid="{45C1B7D8-F22A-4D03-AF05-4CA0C2998F96}" uniqueName="48" name="PrjId" queryTableFieldId="91" dataDxfId="15"/>
    <tableColumn id="4" xr3:uid="{95F32001-0E26-474F-BD49-859A67A1426A}" uniqueName="4" name="ASG" queryTableFieldId="4" dataDxfId="14"/>
    <tableColumn id="5" xr3:uid="{74B3F4F4-92D3-4295-84EC-0E531042C469}" uniqueName="5" name="CDC" queryTableFieldId="5" dataDxfId="13"/>
    <tableColumn id="6" xr3:uid="{474D1BA1-C8F6-4DD8-B72D-65A870AC1EF1}" uniqueName="6" name="GEN" queryTableFieldId="6" dataDxfId="12"/>
    <tableColumn id="7" xr3:uid="{3F20CDCD-6AE3-408F-9526-F2E04B745EAF}" uniqueName="7" name="INV" queryTableFieldId="7" dataDxfId="11"/>
    <tableColumn id="8" xr3:uid="{3A72C76C-D821-47C3-9E0B-7ACDEE746EAA}" uniqueName="8" name="ITM" queryTableFieldId="8" dataDxfId="10"/>
    <tableColumn id="9" xr3:uid="{AE0F444E-FB7B-4DC9-9231-D7FD14950FC0}" uniqueName="9" name="MOD" queryTableFieldId="9" dataDxfId="9"/>
    <tableColumn id="10" xr3:uid="{080AEAA8-802E-4B16-A7FE-F32FE463E73B}" uniqueName="10" name="OFB" queryTableFieldId="10" dataDxfId="8"/>
    <tableColumn id="11" xr3:uid="{507BA7CE-0077-4519-8E18-894F93B43E91}" uniqueName="11" name="OFR" queryTableFieldId="11" dataDxfId="7"/>
    <tableColumn id="15" xr3:uid="{F9CB0F60-C857-43B8-B4D4-D2DC3A640357}" uniqueName="15" name="STW" queryTableFieldId="15" dataDxfId="6"/>
    <tableColumn id="12" xr3:uid="{73528F52-7BFC-4BC6-ACEB-DA55F9AE3C14}" uniqueName="12" name="PAY" queryTableFieldId="12" dataDxfId="5"/>
    <tableColumn id="13" xr3:uid="{AED7DD32-C669-4B22-9957-42879EA04198}" uniqueName="13" name="ST1" queryTableFieldId="13" dataDxfId="4"/>
    <tableColumn id="14" xr3:uid="{A981FD46-14F7-40A1-98C9-3AEB2C5D38FE}" uniqueName="14" name="ST2" queryTableFieldId="14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8748F6-D0A9-4E9C-9CB4-50E52A8BA988}" name="LstQry" displayName="LstQry" ref="I2:I14" tableType="queryTable" totalsRowShown="0" headerRowDxfId="2" dataDxfId="1">
  <autoFilter ref="I2:I14" xr:uid="{958748F6-D0A9-4E9C-9CB4-50E52A8BA988}"/>
  <tableColumns count="1">
    <tableColumn id="1" xr3:uid="{6CB75A37-4DCB-425A-97A4-3CBD0A6B2C76}" uniqueName="1" name="LstQry" queryTableFieldId="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B89F-858B-4BD2-9522-F169BF20264A}">
  <sheetPr codeName="Sheet2"/>
  <dimension ref="A1:C1"/>
  <sheetViews>
    <sheetView workbookViewId="0">
      <selection sqref="A1:C199"/>
    </sheetView>
  </sheetViews>
  <sheetFormatPr defaultColWidth="8.85546875" defaultRowHeight="12.75" x14ac:dyDescent="0.2"/>
  <cols>
    <col min="1" max="1" width="6.85546875" bestFit="1" customWidth="1"/>
    <col min="2" max="2" width="7.28515625" bestFit="1" customWidth="1"/>
    <col min="3" max="3" width="8" bestFit="1" customWidth="1"/>
  </cols>
  <sheetData>
    <row r="1" spans="1:3" x14ac:dyDescent="0.2">
      <c r="A1" t="s">
        <v>47</v>
      </c>
      <c r="B1" t="s">
        <v>48</v>
      </c>
      <c r="C1" t="s">
        <v>49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7E8D-1F99-49A2-9EBE-7F1B0B90F2EE}">
  <sheetPr codeName="Sheet1"/>
  <dimension ref="A1:BJ22"/>
  <sheetViews>
    <sheetView tabSelected="1" workbookViewId="0">
      <selection activeCell="I2" sqref="I2:I14"/>
    </sheetView>
  </sheetViews>
  <sheetFormatPr defaultColWidth="8.85546875" defaultRowHeight="12.75" x14ac:dyDescent="0.2"/>
  <cols>
    <col min="1" max="1" width="68.85546875" style="3" bestFit="1" customWidth="1"/>
    <col min="2" max="2" width="9.140625" style="3"/>
    <col min="9" max="9" width="5.28515625" style="8" bestFit="1" customWidth="1"/>
    <col min="10" max="10" width="8.7109375" customWidth="1"/>
    <col min="11" max="11" width="3" bestFit="1" customWidth="1"/>
    <col min="12" max="12" width="6.5703125" style="8" bestFit="1" customWidth="1"/>
    <col min="13" max="24" width="7.28515625" style="9" bestFit="1" customWidth="1"/>
    <col min="25" max="25" width="5.28515625" style="6" bestFit="1" customWidth="1"/>
    <col min="26" max="26" width="9" style="3" bestFit="1" customWidth="1"/>
    <col min="27" max="27" width="8.85546875" style="3" bestFit="1" customWidth="1"/>
    <col min="28" max="28" width="8.28515625" style="3" bestFit="1" customWidth="1"/>
    <col min="29" max="30" width="9.85546875" style="3" bestFit="1" customWidth="1"/>
    <col min="31" max="31" width="9.140625" style="3" bestFit="1" customWidth="1"/>
    <col min="32" max="33" width="9.85546875" style="3" bestFit="1" customWidth="1"/>
    <col min="34" max="34" width="9.140625" style="3" bestFit="1" customWidth="1"/>
    <col min="35" max="36" width="9.85546875" style="3" bestFit="1" customWidth="1"/>
    <col min="37" max="37" width="9.140625" style="3" bestFit="1" customWidth="1"/>
    <col min="38" max="39" width="9.85546875" style="3" bestFit="1" customWidth="1"/>
    <col min="40" max="40" width="9.140625" style="3" bestFit="1" customWidth="1"/>
    <col min="41" max="41" width="9.85546875" style="3" bestFit="1" customWidth="1"/>
    <col min="42" max="42" width="10" style="3" bestFit="1" customWidth="1"/>
    <col min="43" max="43" width="9.85546875" style="3" bestFit="1" customWidth="1"/>
    <col min="44" max="44" width="9.140625" style="3" bestFit="1" customWidth="1"/>
    <col min="45" max="45" width="9.28515625" style="3" bestFit="1" customWidth="1"/>
    <col min="46" max="46" width="10.28515625" style="3" bestFit="1" customWidth="1"/>
    <col min="47" max="47" width="9.85546875" style="3" bestFit="1" customWidth="1"/>
    <col min="48" max="48" width="10" style="3" bestFit="1" customWidth="1"/>
    <col min="49" max="49" width="5.42578125" style="3" bestFit="1" customWidth="1"/>
    <col min="50" max="50" width="9.85546875" style="3" bestFit="1" customWidth="1"/>
    <col min="51" max="51" width="9.140625" style="3" bestFit="1" customWidth="1"/>
    <col min="52" max="52" width="9.28515625" style="3" bestFit="1" customWidth="1"/>
    <col min="53" max="53" width="10.28515625" style="3" bestFit="1" customWidth="1"/>
    <col min="54" max="54" width="5.42578125" style="3" bestFit="1" customWidth="1"/>
    <col min="55" max="55" width="9.85546875" style="3" bestFit="1" customWidth="1"/>
    <col min="56" max="59" width="5.42578125" style="3" bestFit="1" customWidth="1"/>
    <col min="60" max="60" width="7.42578125" style="3" bestFit="1" customWidth="1"/>
    <col min="61" max="61" width="5.28515625" style="3" customWidth="1"/>
    <col min="62" max="62" width="5.28515625" style="3" bestFit="1" customWidth="1"/>
  </cols>
  <sheetData>
    <row r="1" spans="1:62" x14ac:dyDescent="0.2">
      <c r="A1" s="4" t="s">
        <v>2</v>
      </c>
      <c r="B1" s="4" t="s">
        <v>3</v>
      </c>
    </row>
    <row r="2" spans="1:62" ht="63" x14ac:dyDescent="0.2">
      <c r="A2" s="3" t="s">
        <v>75</v>
      </c>
      <c r="B2" s="3">
        <v>919892</v>
      </c>
      <c r="F2" s="1" t="s">
        <v>0</v>
      </c>
      <c r="G2" s="2" t="str" cm="1">
        <f t="array" aca="1" ref="G2" ca="1">_xlfn.TEXTBEFORE(CELL("filename",INDIRECT("A1")),"[")</f>
        <v>C:\Users\127839\Downloads\StoryMac\DataTracker\Projects\</v>
      </c>
      <c r="I2" s="5" t="s">
        <v>50</v>
      </c>
      <c r="K2" s="1" t="s">
        <v>25</v>
      </c>
      <c r="L2" s="5" t="s">
        <v>4</v>
      </c>
      <c r="M2" s="7" t="s">
        <v>13</v>
      </c>
      <c r="N2" s="7" t="s">
        <v>14</v>
      </c>
      <c r="O2" s="7" t="s">
        <v>15</v>
      </c>
      <c r="P2" s="7" t="s">
        <v>16</v>
      </c>
      <c r="Q2" s="7" t="s">
        <v>17</v>
      </c>
      <c r="R2" s="7" t="s">
        <v>18</v>
      </c>
      <c r="S2" s="7" t="s">
        <v>19</v>
      </c>
      <c r="T2" s="7" t="s">
        <v>20</v>
      </c>
      <c r="U2" s="7" t="s">
        <v>21</v>
      </c>
      <c r="V2" s="7" t="s">
        <v>22</v>
      </c>
      <c r="W2" s="7" t="s">
        <v>23</v>
      </c>
      <c r="X2" s="7" t="s">
        <v>24</v>
      </c>
      <c r="Y2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/>
      <c r="BJ2"/>
    </row>
    <row r="3" spans="1:62" ht="25.5" x14ac:dyDescent="0.2">
      <c r="A3" s="3" t="s">
        <v>73</v>
      </c>
      <c r="B3" s="3">
        <v>330246</v>
      </c>
      <c r="I3" s="8" t="s">
        <v>13</v>
      </c>
      <c r="L3" s="8" t="s">
        <v>5</v>
      </c>
      <c r="M3" s="9" t="s">
        <v>51</v>
      </c>
      <c r="N3" s="9" t="s">
        <v>52</v>
      </c>
      <c r="O3" s="9" t="s">
        <v>27</v>
      </c>
      <c r="P3" s="9" t="s">
        <v>28</v>
      </c>
      <c r="Q3" s="9" t="s">
        <v>29</v>
      </c>
      <c r="R3" s="9" t="s">
        <v>30</v>
      </c>
      <c r="S3" s="9" t="s">
        <v>27</v>
      </c>
      <c r="T3" s="9" t="s">
        <v>31</v>
      </c>
      <c r="U3" s="9" t="s">
        <v>53</v>
      </c>
      <c r="V3" s="9">
        <v>0</v>
      </c>
      <c r="W3" s="9">
        <v>0</v>
      </c>
      <c r="X3" s="9">
        <v>0</v>
      </c>
      <c r="Y3"/>
      <c r="BI3"/>
      <c r="BJ3"/>
    </row>
    <row r="4" spans="1:62" ht="25.5" x14ac:dyDescent="0.2">
      <c r="A4" s="3" t="s">
        <v>72</v>
      </c>
      <c r="B4" s="3">
        <v>723616</v>
      </c>
      <c r="I4" s="8" t="s">
        <v>14</v>
      </c>
      <c r="L4" s="8" t="s">
        <v>6</v>
      </c>
      <c r="M4" s="9" t="s">
        <v>26</v>
      </c>
      <c r="N4" s="9" t="s">
        <v>54</v>
      </c>
      <c r="O4" s="9" t="s">
        <v>32</v>
      </c>
      <c r="P4" s="9" t="s">
        <v>28</v>
      </c>
      <c r="Q4" s="9" t="s">
        <v>29</v>
      </c>
      <c r="R4" s="9" t="s">
        <v>30</v>
      </c>
      <c r="S4" s="9" t="s">
        <v>32</v>
      </c>
      <c r="T4" s="9" t="s">
        <v>31</v>
      </c>
      <c r="U4" s="9" t="s">
        <v>53</v>
      </c>
      <c r="V4" s="9">
        <v>0</v>
      </c>
      <c r="W4" s="9">
        <v>0</v>
      </c>
      <c r="X4" s="9">
        <v>0</v>
      </c>
      <c r="Y4"/>
      <c r="BI4"/>
      <c r="BJ4"/>
    </row>
    <row r="5" spans="1:62" ht="25.5" x14ac:dyDescent="0.2">
      <c r="A5" s="3" t="s">
        <v>71</v>
      </c>
      <c r="B5" s="3">
        <v>395716</v>
      </c>
      <c r="I5" s="8" t="s">
        <v>15</v>
      </c>
      <c r="L5" s="8" t="s">
        <v>7</v>
      </c>
      <c r="M5" s="9" t="s">
        <v>26</v>
      </c>
      <c r="N5" s="9" t="s">
        <v>33</v>
      </c>
      <c r="O5" s="9" t="s">
        <v>33</v>
      </c>
      <c r="P5" s="9">
        <v>0</v>
      </c>
      <c r="Q5" s="9" t="s">
        <v>29</v>
      </c>
      <c r="R5" s="9">
        <v>0</v>
      </c>
      <c r="S5" s="9" t="s">
        <v>33</v>
      </c>
      <c r="T5" s="9" t="s">
        <v>31</v>
      </c>
      <c r="U5" s="9" t="s">
        <v>53</v>
      </c>
      <c r="V5" s="9">
        <v>0</v>
      </c>
      <c r="W5" s="9">
        <v>0</v>
      </c>
      <c r="X5" s="9">
        <v>0</v>
      </c>
      <c r="Y5"/>
      <c r="BI5"/>
      <c r="BJ5"/>
    </row>
    <row r="6" spans="1:62" ht="25.5" x14ac:dyDescent="0.2">
      <c r="A6" s="3" t="s">
        <v>70</v>
      </c>
      <c r="B6" s="3">
        <v>395688</v>
      </c>
      <c r="I6" s="8" t="s">
        <v>16</v>
      </c>
      <c r="L6" s="8" t="s">
        <v>8</v>
      </c>
      <c r="M6" s="9">
        <v>0</v>
      </c>
      <c r="N6" s="9" t="s">
        <v>37</v>
      </c>
      <c r="O6" s="9" t="s">
        <v>34</v>
      </c>
      <c r="P6" s="9" t="s">
        <v>35</v>
      </c>
      <c r="Q6" s="9">
        <v>0</v>
      </c>
      <c r="R6" s="9">
        <v>0</v>
      </c>
      <c r="S6" s="9" t="s">
        <v>37</v>
      </c>
      <c r="T6" s="9" t="s">
        <v>36</v>
      </c>
      <c r="U6" s="9">
        <v>0</v>
      </c>
      <c r="V6" s="9">
        <v>0</v>
      </c>
      <c r="W6" s="9">
        <v>0</v>
      </c>
      <c r="X6" s="9">
        <v>0</v>
      </c>
      <c r="Y6"/>
      <c r="BI6"/>
      <c r="BJ6"/>
    </row>
    <row r="7" spans="1:62" ht="25.5" x14ac:dyDescent="0.2">
      <c r="A7" s="3" t="s">
        <v>42</v>
      </c>
      <c r="B7" s="3">
        <v>133166</v>
      </c>
      <c r="I7" s="8" t="s">
        <v>17</v>
      </c>
      <c r="L7" s="8" t="s">
        <v>9</v>
      </c>
      <c r="M7" s="9">
        <v>0</v>
      </c>
      <c r="N7" s="9" t="s">
        <v>37</v>
      </c>
      <c r="O7" s="9" t="s">
        <v>37</v>
      </c>
      <c r="P7" s="9" t="s">
        <v>35</v>
      </c>
      <c r="Q7" s="9">
        <v>0</v>
      </c>
      <c r="R7" s="9">
        <v>0</v>
      </c>
      <c r="S7" s="9" t="s">
        <v>37</v>
      </c>
      <c r="T7" s="9" t="s">
        <v>38</v>
      </c>
      <c r="U7" s="9">
        <v>0</v>
      </c>
      <c r="V7" s="9">
        <v>0</v>
      </c>
      <c r="W7" s="9">
        <v>0</v>
      </c>
      <c r="X7" s="9">
        <v>0</v>
      </c>
      <c r="Y7"/>
      <c r="BI7"/>
      <c r="BJ7"/>
    </row>
    <row r="8" spans="1:62" ht="25.5" x14ac:dyDescent="0.2">
      <c r="A8" s="3" t="s">
        <v>74</v>
      </c>
      <c r="B8" s="3">
        <v>329606</v>
      </c>
      <c r="I8" s="8" t="s">
        <v>18</v>
      </c>
      <c r="L8" s="8" t="s">
        <v>10</v>
      </c>
      <c r="M8" s="9">
        <v>0</v>
      </c>
      <c r="N8" s="9" t="s">
        <v>40</v>
      </c>
      <c r="O8" s="9" t="s">
        <v>39</v>
      </c>
      <c r="P8" s="9" t="s">
        <v>40</v>
      </c>
      <c r="Q8" s="9">
        <v>0</v>
      </c>
      <c r="R8" s="9">
        <v>0</v>
      </c>
      <c r="S8" s="9" t="s">
        <v>40</v>
      </c>
      <c r="T8" s="9" t="s">
        <v>36</v>
      </c>
      <c r="U8" s="9">
        <v>0</v>
      </c>
      <c r="V8" s="9">
        <v>0</v>
      </c>
      <c r="W8" s="9">
        <v>0</v>
      </c>
      <c r="X8" s="9">
        <v>0</v>
      </c>
      <c r="Y8"/>
      <c r="BI8"/>
      <c r="BJ8"/>
    </row>
    <row r="9" spans="1:62" ht="25.5" x14ac:dyDescent="0.2">
      <c r="A9" s="3" t="s">
        <v>67</v>
      </c>
      <c r="B9" s="3">
        <v>264638</v>
      </c>
      <c r="I9" s="8" t="s">
        <v>19</v>
      </c>
      <c r="L9" s="8" t="s">
        <v>11</v>
      </c>
      <c r="M9" s="9">
        <v>0</v>
      </c>
      <c r="N9" s="9" t="s">
        <v>40</v>
      </c>
      <c r="O9" s="9" t="s">
        <v>40</v>
      </c>
      <c r="P9" s="9" t="s">
        <v>40</v>
      </c>
      <c r="Q9" s="9">
        <v>0</v>
      </c>
      <c r="R9" s="9">
        <v>0</v>
      </c>
      <c r="S9" s="9" t="s">
        <v>40</v>
      </c>
      <c r="T9" s="9" t="s">
        <v>38</v>
      </c>
      <c r="U9" s="9">
        <v>0</v>
      </c>
      <c r="V9" s="9">
        <v>0</v>
      </c>
      <c r="W9" s="9">
        <v>0</v>
      </c>
      <c r="X9" s="9">
        <v>0</v>
      </c>
      <c r="Y9"/>
      <c r="BI9"/>
      <c r="BJ9"/>
    </row>
    <row r="10" spans="1:62" ht="25.5" x14ac:dyDescent="0.2">
      <c r="A10" s="3" t="s">
        <v>68</v>
      </c>
      <c r="B10" s="3">
        <v>197464</v>
      </c>
      <c r="I10" s="8" t="s">
        <v>20</v>
      </c>
      <c r="L10" s="8" t="s">
        <v>12</v>
      </c>
      <c r="M10" s="9" t="s">
        <v>26</v>
      </c>
      <c r="N10" s="9" t="s">
        <v>55</v>
      </c>
      <c r="O10" s="9" t="s">
        <v>41</v>
      </c>
      <c r="P10" s="9" t="s">
        <v>28</v>
      </c>
      <c r="Q10" s="9" t="s">
        <v>29</v>
      </c>
      <c r="R10" s="9" t="s">
        <v>30</v>
      </c>
      <c r="S10" s="9" t="s">
        <v>41</v>
      </c>
      <c r="T10" s="9" t="s">
        <v>31</v>
      </c>
      <c r="U10" s="9">
        <v>0</v>
      </c>
      <c r="V10" s="9">
        <v>0</v>
      </c>
      <c r="W10" s="9">
        <v>0</v>
      </c>
      <c r="X10" s="9">
        <v>0</v>
      </c>
      <c r="Y10"/>
      <c r="BI10"/>
      <c r="BJ10"/>
    </row>
    <row r="11" spans="1:62" ht="25.5" customHeight="1" x14ac:dyDescent="0.2">
      <c r="A11" s="3" t="s">
        <v>69</v>
      </c>
      <c r="B11" s="3">
        <v>263534</v>
      </c>
      <c r="I11" s="8" t="s">
        <v>21</v>
      </c>
      <c r="L11" s="8" t="s">
        <v>1</v>
      </c>
      <c r="M11" s="9" t="s">
        <v>51</v>
      </c>
      <c r="N11" s="9" t="s">
        <v>56</v>
      </c>
      <c r="O11" s="9" t="s">
        <v>57</v>
      </c>
      <c r="P11" s="9" t="s">
        <v>58</v>
      </c>
      <c r="Q11" s="9" t="s">
        <v>59</v>
      </c>
      <c r="R11" s="9" t="s">
        <v>60</v>
      </c>
      <c r="S11" s="9" t="s">
        <v>61</v>
      </c>
      <c r="T11" s="9" t="s">
        <v>62</v>
      </c>
      <c r="U11" s="9" t="s">
        <v>63</v>
      </c>
      <c r="V11" s="9" t="s">
        <v>64</v>
      </c>
      <c r="W11" s="9" t="s">
        <v>65</v>
      </c>
      <c r="X11" s="9" t="s">
        <v>66</v>
      </c>
      <c r="Y11"/>
      <c r="BI11"/>
      <c r="BJ11"/>
    </row>
    <row r="12" spans="1:62" ht="25.5" customHeight="1" x14ac:dyDescent="0.2">
      <c r="A12" s="3" t="s">
        <v>43</v>
      </c>
      <c r="B12" s="3">
        <v>132468</v>
      </c>
      <c r="I12" s="8" t="s">
        <v>22</v>
      </c>
    </row>
    <row r="13" spans="1:62" ht="25.5" customHeight="1" x14ac:dyDescent="0.2">
      <c r="A13" s="3" t="s">
        <v>44</v>
      </c>
      <c r="B13" s="3">
        <v>196850</v>
      </c>
      <c r="I13" s="8" t="s">
        <v>23</v>
      </c>
    </row>
    <row r="14" spans="1:62" ht="25.5" customHeight="1" x14ac:dyDescent="0.2">
      <c r="A14" s="3" t="s">
        <v>45</v>
      </c>
      <c r="B14" s="3">
        <v>197016</v>
      </c>
      <c r="I14" s="8" t="s">
        <v>24</v>
      </c>
    </row>
    <row r="15" spans="1:62" ht="25.5" customHeight="1" x14ac:dyDescent="0.2">
      <c r="A15" s="3" t="s">
        <v>46</v>
      </c>
      <c r="B15" s="3">
        <v>65804</v>
      </c>
    </row>
    <row r="16" spans="1:62" ht="25.5" customHeight="1" x14ac:dyDescent="0.2"/>
    <row r="19" spans="28:62" ht="33" customHeight="1" x14ac:dyDescent="0.2"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28:62" x14ac:dyDescent="0.2"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28:62" x14ac:dyDescent="0.2"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28:62" x14ac:dyDescent="0.2"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</sheetData>
  <dataConsolidate/>
  <phoneticPr fontId="2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E0510B3F-C190-45FA-8B00-97D1CE62F31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Z3:BH11</xm:sqref>
        </x14:conditionalFormatting>
        <x14:conditionalFormatting xmlns:xm="http://schemas.microsoft.com/office/excel/2006/main">
          <x14:cfRule type="iconSet" priority="1" id="{26FBDEBF-E089-4694-8A28-98B8B93307CE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M3:X11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OWin</vt:lpstr>
      <vt:lpstr>Pth</vt:lpstr>
      <vt:lpstr>OWin!Query___Gen0_00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PEREZ GIL, DIEGO</cp:lastModifiedBy>
  <cp:lastPrinted>2013-04-30T09:28:39Z</cp:lastPrinted>
  <dcterms:created xsi:type="dcterms:W3CDTF">2003-03-06T12:03:29Z</dcterms:created>
  <dcterms:modified xsi:type="dcterms:W3CDTF">2025-03-20T11:28:58Z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