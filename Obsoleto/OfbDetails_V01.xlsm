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27839\Downloads\Story\DataTracker\Projects\"/>
    </mc:Choice>
  </mc:AlternateContent>
  <xr:revisionPtr revIDLastSave="0" documentId="13_ncr:1_{5DE2900B-6715-4CF1-B8A0-D64AC1C96EBE}" xr6:coauthVersionLast="47" xr6:coauthVersionMax="47" xr10:uidLastSave="{00000000-0000-0000-0000-000000000000}"/>
  <bookViews>
    <workbookView xWindow="-120" yWindow="-120" windowWidth="29040" windowHeight="16440" firstSheet="1" activeTab="2" xr2:uid="{1DED43E1-C979-419C-90BB-6D754B3B8A13}"/>
  </bookViews>
  <sheets>
    <sheet name="StdData" sheetId="5" r:id="rId1"/>
    <sheet name="InData" sheetId="4" r:id="rId2"/>
    <sheet name="OutData" sheetId="8" r:id="rId3"/>
  </sheets>
  <functionGroups builtInGroupCount="19"/>
  <definedNames>
    <definedName name="_xlnm._FilterDatabase" localSheetId="1" hidden="1">InData!#REF!</definedName>
    <definedName name="_xlpm.x" hidden="1" xlm="1">#NAME?</definedName>
    <definedName name="ExternalData_1" localSheetId="1" hidden="1">InData!#REF!</definedName>
    <definedName name="ExternalData_1" localSheetId="2" hidden="1">OutData!$C$2:$G$3</definedName>
    <definedName name="ExternalData_3" localSheetId="1" hidden="1">InData!#REF!</definedName>
    <definedName name="LngS">InData!$K$2</definedName>
    <definedName name="LvE">InData!$C$4</definedName>
    <definedName name="OsyS">InData!$K$3</definedName>
    <definedName name="Prj0_Id">InData!$C$11</definedName>
    <definedName name="Prj0M_Id">InData!$E$11</definedName>
    <definedName name="Prj1_Id">InData!$C$12</definedName>
    <definedName name="Prj1M_Id">InData!$E$12</definedName>
    <definedName name="Prj2_Id">InData!$C$13</definedName>
    <definedName name="Prj2M_Id">InData!$E$13</definedName>
    <definedName name="PrjX_Id" localSheetId="0">InData!$C$6</definedName>
    <definedName name="PrjX_Id">InData!$C$6</definedName>
    <definedName name="Pth">InData!$C$2</definedName>
    <definedName name="Vrs">InData!$C$7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4" l="1"/>
  <c r="L40" i="5"/>
  <c r="L39" i="5"/>
  <c r="L37" i="5"/>
  <c r="L35" i="5"/>
  <c r="L33" i="5"/>
  <c r="L32" i="5"/>
  <c r="L31" i="5"/>
  <c r="L30" i="5"/>
  <c r="N29" i="5"/>
  <c r="L29" i="5"/>
  <c r="L28" i="5"/>
  <c r="L27" i="5"/>
  <c r="L26" i="5"/>
  <c r="L25" i="5"/>
  <c r="L23" i="5"/>
  <c r="L22" i="5"/>
  <c r="L21" i="5"/>
  <c r="L20" i="5"/>
  <c r="L19" i="5"/>
  <c r="L18" i="5"/>
  <c r="L17" i="5"/>
  <c r="L16" i="5"/>
  <c r="L15" i="5"/>
  <c r="L14" i="5"/>
  <c r="L13" i="5"/>
  <c r="L12" i="5"/>
  <c r="D12" i="5"/>
  <c r="L11" i="5"/>
  <c r="D11" i="5"/>
  <c r="L10" i="5"/>
  <c r="D10" i="5"/>
  <c r="L9" i="5"/>
  <c r="L8" i="5"/>
  <c r="L7" i="5"/>
  <c r="L6" i="5"/>
  <c r="L5" i="5"/>
  <c r="L4" i="5"/>
  <c r="L3" i="5"/>
  <c r="E13" i="4"/>
  <c r="E12" i="4"/>
  <c r="K2" i="4"/>
  <c r="K3" i="4" a="1"/>
  <c r="D5" i="4" a="1"/>
  <c r="K3" i="4" l="1"/>
  <c r="C3" i="4" s="1"/>
  <c r="C4" i="4"/>
  <c r="D5" i="4"/>
  <c r="C2" i="4" l="1"/>
  <c r="C5" i="4"/>
  <c r="E11" i="4" l="1"/>
  <c r="C6" i="4"/>
  <c r="G3" i="4" s="1" a="1"/>
  <c r="G3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1A4B13-3F4D-4FE9-9845-27F32902A12A}" keepAlive="1" name="Query - _IsoWeek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2" xr16:uid="{DC1F5C4D-0398-4C13-B422-E3E53F03760F}" keepAlive="1" name="Query - AsgCst1" description="Connection to the 'AsgCst1' query in the workbook." type="5" refreshedVersion="0" background="1">
    <dbPr connection="Provider=Microsoft.Mashup.OleDb.1;Data Source=$Workbook$;Location=AsgCst1;Extended Properties=&quot;&quot;" command="SELECT * FROM [AsgCst1]"/>
  </connection>
  <connection id="3" xr16:uid="{D302C145-AB62-476C-8E59-8BBC3DA36DC7}" keepAlive="1" name="Query - AsgCst2" description="Connection to the 'AsgCst2' query in the workbook." type="5" refreshedVersion="0" background="1">
    <dbPr connection="Provider=Microsoft.Mashup.OleDb.1;Data Source=$Workbook$;Location=AsgCst2;Extended Properties=&quot;&quot;" command="SELECT * FROM [AsgCst2]"/>
  </connection>
  <connection id="4" xr16:uid="{84C56AD1-533A-434C-9B2D-4D4E10CA77FB}" keepAlive="1" name="Query - AsgCst3" description="Connection to the 'AsgCst3' query in the workbook." type="5" refreshedVersion="0" background="1">
    <dbPr connection="Provider=Microsoft.Mashup.OleDb.1;Data Source=$Workbook$;Location=AsgCst3;Extended Properties=&quot;&quot;" command="SELECT * FROM [AsgCst3]"/>
  </connection>
  <connection id="5" xr16:uid="{C2DFF94D-3A52-4DF1-8093-61729A0437E0}" keepAlive="1" name="Query - AsgCst4" description="Connection to the 'AsgCst4' query in the workbook." type="5" refreshedVersion="0" background="1">
    <dbPr connection="Provider=Microsoft.Mashup.OleDb.1;Data Source=$Workbook$;Location=AsgCst4;Extended Properties=&quot;&quot;" command="SELECT * FROM [AsgCst4]"/>
  </connection>
  <connection id="6" xr16:uid="{EE0A914E-A7FE-4C61-8516-5BCCF7B0C63A}" keepAlive="1" name="Query - AsgPath0" description="Connection to the 'AsgPath0' query in the workbook." type="5" refreshedVersion="0" background="1">
    <dbPr connection="Provider=Microsoft.Mashup.OleDb.1;Data Source=$Workbook$;Location=AsgPath0;Extended Properties=&quot;&quot;" command="SELECT * FROM [AsgPath0]"/>
  </connection>
  <connection id="7" xr16:uid="{BA620BCB-A4C6-4905-9E5A-BB317D3B58C4}" keepAlive="1" name="Query - AsgPath1" description="Connection to the 'AsgPath1' query in the workbook." type="5" refreshedVersion="0" background="1">
    <dbPr connection="Provider=Microsoft.Mashup.OleDb.1;Data Source=$Workbook$;Location=AsgPath1;Extended Properties=&quot;&quot;" command="SELECT * FROM [AsgPath1]"/>
  </connection>
  <connection id="8" xr16:uid="{BEAD71EE-7C93-45D4-9311-58A8D39EA9E3}" keepAlive="1" name="Query - AsgPath3" description="Connection to the 'AsgPath3' query in the workbook." type="5" refreshedVersion="8" background="1" saveData="1">
    <dbPr connection="Provider=Microsoft.Mashup.OleDb.1;Data Source=$Workbook$;Location=AsgPath3;Extended Properties=&quot;&quot;" command="SELECT * FROM [AsgPath3]"/>
  </connection>
  <connection id="9" xr16:uid="{7A38988B-C5D1-473F-ACC2-A6A7D6428D71}" keepAlive="1" name="Query - BdD1" description="Connection to the 'BdD1' query in the workbook." type="5" refreshedVersion="0" background="1">
    <dbPr connection="Provider=Microsoft.Mashup.OleDb.1;Data Source=$Workbook$;Location=BdD1;Extended Properties=&quot;&quot;" command="SELECT * FROM [BdD1]"/>
  </connection>
  <connection id="10" xr16:uid="{86828F57-0AED-4721-AF30-A2FF895C5E4A}" keepAlive="1" name="Query - DetailsCst2" description="Connection to the 'DetailsCst2' query in the workbook." type="5" refreshedVersion="0" background="1">
    <dbPr connection="Provider=Microsoft.Mashup.OleDb.1;Data Source=$Workbook$;Location=DetailsCst2;Extended Properties=&quot;&quot;" command="SELECT * FROM [DetailsCst2]"/>
  </connection>
  <connection id="11" xr16:uid="{94090E7B-6821-43F6-98B2-CC686EB85B41}" keepAlive="1" name="Query - DetailsCst3" description="Connection to the 'DetailsCst3' query in the workbook." type="5" refreshedVersion="0" background="1">
    <dbPr connection="Provider=Microsoft.Mashup.OleDb.1;Data Source=$Workbook$;Location=DetailsCst3;Extended Properties=&quot;&quot;" command="SELECT * FROM [DetailsCst3]"/>
  </connection>
  <connection id="12" xr16:uid="{C6B3D2A1-EFED-493C-855C-4317D65CEC3B}" keepAlive="1" name="Query - DetailsCst5" description="Connection to the 'DetailsCst5' query in the workbook." type="5" refreshedVersion="8" background="1" saveData="1">
    <dbPr connection="Provider=Microsoft.Mashup.OleDb.1;Data Source=$Workbook$;Location=DetailsCst5;Extended Properties=&quot;&quot;" command="SELECT * FROM [DetailsCst5]"/>
  </connection>
  <connection id="13" xr16:uid="{C605B061-8C36-4165-B0A1-C5FF40C9E62C}" keepAlive="1" name="Query - DetailsCst6" description="Connection to the 'DetailsCst6' query in the workbook." type="5" refreshedVersion="0" background="1">
    <dbPr connection="Provider=Microsoft.Mashup.OleDb.1;Data Source=$Workbook$;Location=DetailsCst6;Extended Properties=&quot;&quot;" command="SELECT * FROM [DetailsCst6]"/>
  </connection>
  <connection id="14" xr16:uid="{32D70CDB-4A0A-4D1A-98C5-970E6B291B4A}" keepAlive="1" name="Query - DetailsExp0" description="Connection to the 'DetailsExp0' query in the workbook." type="5" refreshedVersion="0" background="1">
    <dbPr connection="Provider=Microsoft.Mashup.OleDb.1;Data Source=$Workbook$;Location=DetailsExp0;Extended Properties=&quot;&quot;" command="SELECT * FROM [DetailsExp0]"/>
  </connection>
  <connection id="15" xr16:uid="{57133165-6099-4538-9D11-CE6401729077}" keepAlive="1" name="Query - DetailsExp1" description="Connection to the 'DetailsExp1' query in the workbook." type="5" refreshedVersion="8" background="1" saveData="1">
    <dbPr connection="Provider=Microsoft.Mashup.OleDb.1;Data Source=$Workbook$;Location=DetailsExp1;Extended Properties=&quot;&quot;" command="SELECT * FROM [DetailsExp1]"/>
  </connection>
  <connection id="16" xr16:uid="{D08EF113-A0C7-4685-AB93-53A304883808}" keepAlive="1" name="Query - DetailsExp2" description="Connection to the 'DetailsExp2' query in the workbook." type="5" refreshedVersion="8" background="1" saveData="1">
    <dbPr connection="Provider=Microsoft.Mashup.OleDb.1;Data Source=$Workbook$;Location=DetailsExp2;Extended Properties=&quot;&quot;" command="SELECT * FROM [DetailsExp2]"/>
  </connection>
  <connection id="17" xr16:uid="{28BB02EF-6978-4663-BE30-7CDA0C97D1A1}" keepAlive="1" name="Query - DetailsExp4" description="Connection to the 'DetailsExp4' query in the workbook." type="5" refreshedVersion="8" background="1" saveData="1">
    <dbPr connection="Provider=Microsoft.Mashup.OleDb.1;Data Source=$Workbook$;Location=DetailsExp4;Extended Properties=&quot;&quot;" command="SELECT * FROM [DetailsExp4]"/>
  </connection>
  <connection id="18" xr16:uid="{9C0BE895-DE98-414E-AF51-0AF08BEFC384}" keepAlive="1" name="Query - DhB0" description="Connection to the 'DhB0' query in the workbook." type="5" refreshedVersion="0" background="1">
    <dbPr connection="Provider=Microsoft.Mashup.OleDb.1;Data Source=$Workbook$;Location=DhB0;Extended Properties=&quot;&quot;" command="SELECT * FROM [DhB0]"/>
  </connection>
  <connection id="19" xr16:uid="{210C37F9-4C74-4176-B927-EEE95F416030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20" xr16:uid="{F608EC58-2D5B-43AE-AE6B-7DBF7726FC6F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21" xr16:uid="{146D658D-E28E-4F54-A903-922F8881E326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22" xr16:uid="{BC6F164C-12D6-4CB6-B9A2-02BC8689DA9B}" keepAlive="1" name="Query - FilAsg" description="Connection to the 'FilAsg' query in the workbook." type="5" refreshedVersion="0" background="1">
    <dbPr connection="Provider=Microsoft.Mashup.OleDb.1;Data Source=$Workbook$;Location=FilAsg;Extended Properties=&quot;&quot;" command="SELECT * FROM [FilAsg]"/>
  </connection>
  <connection id="23" xr16:uid="{716B3A68-D688-4694-9C61-52CA9BA4B372}" keepAlive="1" name="Query - FilDet" description="Connection to the 'FilDet' query in the workbook." type="5" refreshedVersion="0" background="1">
    <dbPr connection="Provider=Microsoft.Mashup.OleDb.1;Data Source=$Workbook$;Location=FilDet;Extended Properties=&quot;&quot;" command="SELECT * FROM [FilDet]"/>
  </connection>
  <connection id="24" xr16:uid="{F0D39BCA-0179-4628-813B-EFF021D74788}" keepAlive="1" name="Query - FilGEn" description="Connection to the 'FilGEn' query in the workbook." type="5" refreshedVersion="0" background="1">
    <dbPr connection="Provider=Microsoft.Mashup.OleDb.1;Data Source=$Workbook$;Location=FilGEn;Extended Properties=&quot;&quot;" command="SELECT * FROM [FilGEn]"/>
  </connection>
  <connection id="25" xr16:uid="{37EB9028-283A-4AC2-B1A6-F54089D24D5F}" keepAlive="1" name="Query - FilItm" description="Connection to the 'FilItm' query in the workbook." type="5" refreshedVersion="0" background="1">
    <dbPr connection="Provider=Microsoft.Mashup.OleDb.1;Data Source=$Workbook$;Location=FilItm;Extended Properties=&quot;&quot;" command="SELECT * FROM [FilItm]"/>
  </connection>
  <connection id="26" xr16:uid="{4FCD8611-8F47-450B-878F-EE7034FFD9AD}" keepAlive="1" name="Query - FilMod" description="Connection to the 'FilMod' query in the workbook." type="5" refreshedVersion="0" background="1">
    <dbPr connection="Provider=Microsoft.Mashup.OleDb.1;Data Source=$Workbook$;Location=FilMod;Extended Properties=&quot;&quot;" command="SELECT * FROM [FilMod]"/>
  </connection>
  <connection id="27" xr16:uid="{A2E45655-7076-48C3-BF84-7AA425ED6BC0}" keepAlive="1" name="Query - GEn_00" description="Connection to the 'GEn_00' query in the workbook." type="5" refreshedVersion="0" background="1">
    <dbPr connection="Provider=Microsoft.Mashup.OleDb.1;Data Source=$Workbook$;Location=GEn_00;Extended Properties=&quot;&quot;" command="SELECT * FROM [GEn_00]"/>
  </connection>
  <connection id="28" xr16:uid="{E80904FF-7002-4CA5-BBE5-323773F54364}" keepAlive="1" name="Query - GEn_01" description="Connection to the 'GEn_01' query in the workbook." type="5" refreshedVersion="0" background="1">
    <dbPr connection="Provider=Microsoft.Mashup.OleDb.1;Data Source=$Workbook$;Location=GEn_01;Extended Properties=&quot;&quot;" command="SELECT * FROM [GEn_01]"/>
  </connection>
  <connection id="29" xr16:uid="{B677B82F-6A45-40E7-BD1F-9019B2A9DAA9}" keepAlive="1" name="Query - GEn_02" description="Connection to the 'GEn_02' query in the workbook." type="5" refreshedVersion="0" background="1">
    <dbPr connection="Provider=Microsoft.Mashup.OleDb.1;Data Source=$Workbook$;Location=GEn_02;Extended Properties=&quot;&quot;" command="SELECT * FROM [GEn_02]"/>
  </connection>
  <connection id="30" xr16:uid="{6C841626-45CC-4C7D-89AA-ECEB9057AAA6}" keepAlive="1" name="Query - GetPath" description="Connection to the 'GetPath' query in the workbook." type="5" refreshedVersion="0" background="1">
    <dbPr connection="Provider=Microsoft.Mashup.OleDb.1;Data Source=$Workbook$;Location=GetPath;Extended Properties=&quot;&quot;" command="SELECT * FROM [GetPath]"/>
  </connection>
  <connection id="31" xr16:uid="{109215D4-9E67-48DE-9AAD-D62A78AD15B5}" keepAlive="1" name="Query - ItmCst0" description="Connection to the 'ItmCst0' query in the workbook." type="5" refreshedVersion="0" background="1">
    <dbPr connection="Provider=Microsoft.Mashup.OleDb.1;Data Source=$Workbook$;Location=ItmCst0;Extended Properties=&quot;&quot;" command="SELECT * FROM [ItmCst0]"/>
  </connection>
  <connection id="32" xr16:uid="{2FBA1332-2F30-4DC6-9F60-22018F4DD546}" keepAlive="1" name="Query - ItmCst1" description="Connection to the 'ItmCst1' query in the workbook." type="5" refreshedVersion="8" background="1" saveData="1">
    <dbPr connection="Provider=Microsoft.Mashup.OleDb.1;Data Source=$Workbook$;Location=ItmCst1;Extended Properties=&quot;&quot;" command="SELECT * FROM [ItmCst1]"/>
  </connection>
  <connection id="33" xr16:uid="{E861FA25-99C2-464D-9855-5B687341C93F}" keepAlive="1" name="Query - ModCst0" description="Connection to the 'ModCst0' query in the workbook." type="5" refreshedVersion="8" background="1" saveData="1">
    <dbPr connection="Provider=Microsoft.Mashup.OleDb.1;Data Source=$Workbook$;Location=ModCst0;Extended Properties=&quot;&quot;" command="SELECT * FROM [ModCst0]"/>
  </connection>
  <connection id="34" xr16:uid="{EC4B9D73-5F74-4D71-98B8-D7E9247DD6E6}" keepAlive="1" name="Query - ParamAsg" description="Connection to the 'ParamAsg' query in the workbook." type="5" refreshedVersion="0" background="1">
    <dbPr connection="Provider=Microsoft.Mashup.OleDb.1;Data Source=$Workbook$;Location=ParamAsg;Extended Properties=&quot;&quot;" command="SELECT * FROM [ParamAsg]"/>
  </connection>
  <connection id="35" xr16:uid="{F5C35402-E4BB-4635-B96E-B1897F994EC5}" keepAlive="1" name="Query - ParamGEn" description="Connection to the 'ParamGEn' query in the workbook." type="5" refreshedVersion="0" background="1">
    <dbPr connection="Provider=Microsoft.Mashup.OleDb.1;Data Source=$Workbook$;Location=ParamGEn;Extended Properties=&quot;&quot;" command="SELECT * FROM [ParamGEn]"/>
  </connection>
  <connection id="36" xr16:uid="{CE15F72D-D929-4BB8-96FB-42C2C8ECDB07}" keepAlive="1" name="Query - ParamItm" description="Connection to the 'ParamItm' query in the workbook." type="5" refreshedVersion="0" background="1">
    <dbPr connection="Provider=Microsoft.Mashup.OleDb.1;Data Source=$Workbook$;Location=ParamItm;Extended Properties=&quot;&quot;" command="SELECT * FROM [ParamItm]"/>
  </connection>
  <connection id="37" xr16:uid="{CF5EB554-69C9-471A-B713-A057C881DF11}" keepAlive="1" name="Query - ParamMod" description="Connection to the 'ParamMod' query in the workbook." type="5" refreshedVersion="0" background="1">
    <dbPr connection="Provider=Microsoft.Mashup.OleDb.1;Data Source=$Workbook$;Location=ParamMod;Extended Properties=&quot;&quot;" command="SELECT * FROM [ParamMod]"/>
  </connection>
  <connection id="38" xr16:uid="{D6E861AF-A6E8-4221-BD55-0BF7D234E18C}" keepAlive="1" name="Query - SampleAsg" description="Connection to the 'SampleAsg' query in the workbook." type="5" refreshedVersion="0" background="1">
    <dbPr connection="Provider=Microsoft.Mashup.OleDb.1;Data Source=$Workbook$;Location=SampleAsg;Extended Properties=&quot;&quot;" command="SELECT * FROM [SampleAsg]"/>
  </connection>
  <connection id="39" xr16:uid="{D846246C-7F82-4AF7-9D19-795B39750E41}" keepAlive="1" name="Query - SampleGEn" description="Connection to the 'SampleGEn' query in the workbook." type="5" refreshedVersion="0" background="1">
    <dbPr connection="Provider=Microsoft.Mashup.OleDb.1;Data Source=$Workbook$;Location=SampleGEn;Extended Properties=&quot;&quot;" command="SELECT * FROM [SampleGEn]"/>
  </connection>
  <connection id="40" xr16:uid="{94D0301A-89B9-4026-8727-F9964B54056C}" keepAlive="1" name="Query - SampleItm" description="Connection to the 'SampleItm' query in the workbook." type="5" refreshedVersion="0" background="1">
    <dbPr connection="Provider=Microsoft.Mashup.OleDb.1;Data Source=$Workbook$;Location=SampleItm;Extended Properties=&quot;&quot;" command="SELECT * FROM [SampleItm]"/>
  </connection>
  <connection id="41" xr16:uid="{1112775F-3F64-4E36-AB25-C3A8AB5AB187}" keepAlive="1" name="Query - SampleMod" description="Connection to the 'SampleMod' query in the workbook." type="5" refreshedVersion="0" background="1">
    <dbPr connection="Provider=Microsoft.Mashup.OleDb.1;Data Source=$Workbook$;Location=SampleMod;Extended Properties=&quot;&quot;" command="SELECT * FROM [SampleMod]"/>
  </connection>
  <connection id="42" xr16:uid="{B7812FB5-F340-4EFA-8AD2-212CE7F75367}" keepAlive="1" name="Query - TrfGEn" description="Connection to the 'TrfGEn' query in the workbook." type="5" refreshedVersion="0" background="1">
    <dbPr connection="Provider=Microsoft.Mashup.OleDb.1;Data Source=$Workbook$;Location=TrfGEn;Extended Properties=&quot;&quot;" command="SELECT * FROM [TrfGEn]"/>
  </connection>
  <connection id="43" xr16:uid="{461EAC81-7161-44FE-B5E1-14B32944065A}" keepAlive="1" name="Query - TrfX" description="Connection to the 'TrfX' query in the workbook." type="5" refreshedVersion="0" background="1">
    <dbPr connection="Provider=Microsoft.Mashup.OleDb.1;Data Source=$Workbook$;Location=TrfX;Extended Properties=&quot;&quot;" command="SELECT * FROM [Trf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<sst xmlns="http://schemas.openxmlformats.org/spreadsheetml/2006/main" count="2514" uniqueCount="1196">
  <si>
    <t>EOL</t>
  </si>
  <si>
    <t>PathName</t>
  </si>
  <si>
    <t>SelPrj</t>
  </si>
  <si>
    <t>SOR</t>
  </si>
  <si>
    <t>Windows System</t>
  </si>
  <si>
    <t>English Version</t>
  </si>
  <si>
    <t>Sheet Name</t>
  </si>
  <si>
    <t>Multi</t>
  </si>
  <si>
    <t>Attribute</t>
  </si>
  <si>
    <t>Spain</t>
  </si>
  <si>
    <t>ValSp</t>
  </si>
  <si>
    <t>Mexico</t>
  </si>
  <si>
    <t>ValMx</t>
  </si>
  <si>
    <t>Main</t>
  </si>
  <si>
    <t>Auxiliary 0</t>
  </si>
  <si>
    <t>O</t>
  </si>
  <si>
    <t>X</t>
  </si>
  <si>
    <t>Auxiliary 1</t>
  </si>
  <si>
    <t>Auxiliary 2</t>
  </si>
  <si>
    <t>31199</t>
  </si>
  <si>
    <t>CstS</t>
  </si>
  <si>
    <t>CstId</t>
  </si>
  <si>
    <t>CstNam</t>
  </si>
  <si>
    <t>GrpInE</t>
  </si>
  <si>
    <t>CstTyp</t>
  </si>
  <si>
    <t>RowPI</t>
  </si>
  <si>
    <t>RowPpto</t>
  </si>
  <si>
    <t>CstGrpS</t>
  </si>
  <si>
    <t>CstGrpId</t>
  </si>
  <si>
    <t>GrpPpto</t>
  </si>
  <si>
    <t>GrpPrv</t>
  </si>
  <si>
    <t>GrpRates</t>
  </si>
  <si>
    <t>GprDest</t>
  </si>
  <si>
    <t>GrpCTs</t>
  </si>
  <si>
    <t>Assign</t>
  </si>
  <si>
    <t>Order</t>
  </si>
  <si>
    <t>Nature</t>
  </si>
  <si>
    <t>OTAOffer</t>
  </si>
  <si>
    <t>TskS</t>
  </si>
  <si>
    <t>TskId</t>
  </si>
  <si>
    <t>TskNam</t>
  </si>
  <si>
    <t>TskNmo</t>
  </si>
  <si>
    <t>TskTyp</t>
  </si>
  <si>
    <t>CtrS</t>
  </si>
  <si>
    <t>CtrId</t>
  </si>
  <si>
    <t>GtoCua</t>
  </si>
  <si>
    <t>GtoCuaId</t>
  </si>
  <si>
    <t>Origin</t>
  </si>
  <si>
    <t>GtoCuaNam</t>
  </si>
  <si>
    <t>GtoCuaPrt</t>
  </si>
  <si>
    <t>LngS</t>
  </si>
  <si>
    <t>ADR</t>
  </si>
  <si>
    <t>001</t>
  </si>
  <si>
    <t>Materiales</t>
  </si>
  <si>
    <t>Material Mecánico Ext.</t>
  </si>
  <si>
    <t>Material</t>
  </si>
  <si>
    <t>PEXX</t>
  </si>
  <si>
    <t>Gestión de Proyectos</t>
  </si>
  <si>
    <t>Procesos</t>
  </si>
  <si>
    <t>Gestión Proyectos</t>
  </si>
  <si>
    <t>GESTIÓN DE PROYECTOS</t>
  </si>
  <si>
    <t>GP</t>
  </si>
  <si>
    <t>GPR</t>
  </si>
  <si>
    <t>01</t>
  </si>
  <si>
    <t>Hrs</t>
  </si>
  <si>
    <t/>
  </si>
  <si>
    <t>Gestión Ing. Procesos (ESP)</t>
  </si>
  <si>
    <t>GESTIÓN ING. PRO</t>
  </si>
  <si>
    <t>Op.No Mec.</t>
  </si>
  <si>
    <t>2DA</t>
  </si>
  <si>
    <t xml:space="preserve"> 10</t>
  </si>
  <si>
    <t>GDT</t>
  </si>
  <si>
    <t>GEn</t>
  </si>
  <si>
    <t>TRANSPORTES Y EMBALAJES</t>
  </si>
  <si>
    <t>Fabricación Mecánica</t>
  </si>
  <si>
    <t>002</t>
  </si>
  <si>
    <t>Materiales alto valor</t>
  </si>
  <si>
    <t>A00X</t>
  </si>
  <si>
    <t>Gestión Ing. Procesos (PNS)</t>
  </si>
  <si>
    <t>ING.PROCESOS PNS</t>
  </si>
  <si>
    <t>FAB</t>
  </si>
  <si>
    <t xml:space="preserve"> 20</t>
  </si>
  <si>
    <t>GDD</t>
  </si>
  <si>
    <t>GASTOS DE DESPLAZAMIENTO</t>
  </si>
  <si>
    <t>003</t>
  </si>
  <si>
    <t>Subconjuntos</t>
  </si>
  <si>
    <t>Gestión Mecánica</t>
  </si>
  <si>
    <t>Definición</t>
  </si>
  <si>
    <t>INGENIERÍA DEFINICIÓN</t>
  </si>
  <si>
    <t>OTM (Gestión)</t>
  </si>
  <si>
    <t>OTM</t>
  </si>
  <si>
    <t>02</t>
  </si>
  <si>
    <t>Gestión Ing. Procesos (AERO)</t>
  </si>
  <si>
    <t>3DA</t>
  </si>
  <si>
    <t xml:space="preserve"> 11</t>
  </si>
  <si>
    <t>GDG</t>
  </si>
  <si>
    <t>GASTOS GENERALES</t>
  </si>
  <si>
    <t>Metrología</t>
  </si>
  <si>
    <t>004</t>
  </si>
  <si>
    <t>Subcontratación completa</t>
  </si>
  <si>
    <t>Subcontratación Completa Ext.</t>
  </si>
  <si>
    <t>Gestión Ing. Procesos (STD)</t>
  </si>
  <si>
    <t>ATA</t>
  </si>
  <si>
    <t xml:space="preserve"> 26</t>
  </si>
  <si>
    <t>GDA</t>
  </si>
  <si>
    <t>GASTOS ADUANALES</t>
  </si>
  <si>
    <t>005</t>
  </si>
  <si>
    <t>Controles Serra</t>
  </si>
  <si>
    <t>Material Eléctrico Ext.</t>
  </si>
  <si>
    <t>Diseño Mecánico</t>
  </si>
  <si>
    <t>Diseño  Mecánico</t>
  </si>
  <si>
    <t>DISEÑO MECÁNICO</t>
  </si>
  <si>
    <t>OTM (Diseño)</t>
  </si>
  <si>
    <t>03</t>
  </si>
  <si>
    <t>Planificación / Producción STD</t>
  </si>
  <si>
    <t>PLANIFICACIÓN /</t>
  </si>
  <si>
    <t>IEA</t>
  </si>
  <si>
    <t xml:space="preserve"> 13</t>
  </si>
  <si>
    <t>CDC</t>
  </si>
  <si>
    <t>CDc</t>
  </si>
  <si>
    <t>CUADRANTES CD2</t>
  </si>
  <si>
    <t>006</t>
  </si>
  <si>
    <t>Transformadores Serra</t>
  </si>
  <si>
    <t>Proyecto mecánico (ESP)</t>
  </si>
  <si>
    <t>PROYECTO MECÁNIC</t>
  </si>
  <si>
    <t>MEA</t>
  </si>
  <si>
    <t xml:space="preserve"> 24</t>
  </si>
  <si>
    <t>CPE</t>
  </si>
  <si>
    <t>OFb</t>
  </si>
  <si>
    <t>CUADRANTE ESTRUCTURADO</t>
  </si>
  <si>
    <t>007</t>
  </si>
  <si>
    <t>Materiales subcontratados</t>
  </si>
  <si>
    <t>Operación</t>
  </si>
  <si>
    <t>Robcad</t>
  </si>
  <si>
    <t>ROBCAD</t>
  </si>
  <si>
    <t>04</t>
  </si>
  <si>
    <t>Proyecto mecánico (PNS)</t>
  </si>
  <si>
    <t>PROYECTO MEC.PNS</t>
  </si>
  <si>
    <t>MMA</t>
  </si>
  <si>
    <t xml:space="preserve"> 22</t>
  </si>
  <si>
    <t>008</t>
  </si>
  <si>
    <t>Transp. &amp; Desplaz. Serra</t>
  </si>
  <si>
    <t>General</t>
  </si>
  <si>
    <t>G001</t>
  </si>
  <si>
    <t>Proyecto mecánico (STD)</t>
  </si>
  <si>
    <t>PROYECTO MEC.STD</t>
  </si>
  <si>
    <t>RBA</t>
  </si>
  <si>
    <t xml:space="preserve"> 50</t>
  </si>
  <si>
    <t>009</t>
  </si>
  <si>
    <t>Diseño Eléctrico</t>
  </si>
  <si>
    <t>Automatismos</t>
  </si>
  <si>
    <t>DISEÑO ELÉCTRICO</t>
  </si>
  <si>
    <t>OT Eléctrica</t>
  </si>
  <si>
    <t>OTA</t>
  </si>
  <si>
    <t>05</t>
  </si>
  <si>
    <t>Gestion Ing.Mecánica (ESP)</t>
  </si>
  <si>
    <t>GESTION ING.MECÁ</t>
  </si>
  <si>
    <t>XI1</t>
  </si>
  <si>
    <t>DISEÑO HARDWARE</t>
  </si>
  <si>
    <t>010</t>
  </si>
  <si>
    <t>Diseño Mecánico Serra</t>
  </si>
  <si>
    <t>Gestion Ing.Mecánica (AERO)</t>
  </si>
  <si>
    <t>XI2</t>
  </si>
  <si>
    <t>DISEÑO SOFTWARE</t>
  </si>
  <si>
    <t>011</t>
  </si>
  <si>
    <t>Horas Robcad Serra</t>
  </si>
  <si>
    <t>Robcad Serra</t>
  </si>
  <si>
    <t>G010</t>
  </si>
  <si>
    <t>Diseño NR</t>
  </si>
  <si>
    <t>Diseño Fluidos</t>
  </si>
  <si>
    <t>DISEÑO NR</t>
  </si>
  <si>
    <t>OT N.R.</t>
  </si>
  <si>
    <t>06</t>
  </si>
  <si>
    <t>DN</t>
  </si>
  <si>
    <t>Diseño 2D mecánico (ESP)</t>
  </si>
  <si>
    <t>DISEÑO 2D MECÁNI</t>
  </si>
  <si>
    <t>XI3</t>
  </si>
  <si>
    <t>012</t>
  </si>
  <si>
    <t>Horas OTM E.T.T.</t>
  </si>
  <si>
    <t>Diseño 2D mecánico (PNS)</t>
  </si>
  <si>
    <t>DISEÑO 2D PNS</t>
  </si>
  <si>
    <t>XI4</t>
  </si>
  <si>
    <t>013</t>
  </si>
  <si>
    <t>Horas OTA Serra</t>
  </si>
  <si>
    <t>Diseño Eléctrico Serra</t>
  </si>
  <si>
    <t>G011</t>
  </si>
  <si>
    <t>Robótica</t>
  </si>
  <si>
    <t>ROBÓTICA</t>
  </si>
  <si>
    <t>07</t>
  </si>
  <si>
    <t>Diseño 2D mecánico (STD)</t>
  </si>
  <si>
    <t>DISEÑO 2D STD</t>
  </si>
  <si>
    <t>XT1</t>
  </si>
  <si>
    <t>014</t>
  </si>
  <si>
    <t>Horas OTA E.T.T.</t>
  </si>
  <si>
    <t>Diseño 3D mecánico (ESP)</t>
  </si>
  <si>
    <t>DISEÑO 3D MECÁNI</t>
  </si>
  <si>
    <t>XT2</t>
  </si>
  <si>
    <t>015</t>
  </si>
  <si>
    <t>Horas Procesos+Produc.+Planif.</t>
  </si>
  <si>
    <t>Gestión de Proyectos Serra</t>
  </si>
  <si>
    <t>G003</t>
  </si>
  <si>
    <t>Fabricación Mecánica (INCLUYE MATERIAS PRIMAS)</t>
  </si>
  <si>
    <t>FABRICACIÓN MECÁNICA</t>
  </si>
  <si>
    <t>Mecanización</t>
  </si>
  <si>
    <t>WSM</t>
  </si>
  <si>
    <t>08</t>
  </si>
  <si>
    <t>Diseño 3D mecánico (PNS)</t>
  </si>
  <si>
    <t>DISEÑO 3D PNS</t>
  </si>
  <si>
    <t>XT3</t>
  </si>
  <si>
    <t>016</t>
  </si>
  <si>
    <t>Horas OTM EXTERIOR</t>
  </si>
  <si>
    <t>Diseño Mecánico Ext.</t>
  </si>
  <si>
    <t>XT4</t>
  </si>
  <si>
    <t>017</t>
  </si>
  <si>
    <t>Horas OTA EXTERIOR</t>
  </si>
  <si>
    <t>Diseño Eléctrico Ext.</t>
  </si>
  <si>
    <t>Montaje Mecánico</t>
  </si>
  <si>
    <t>MONTAJE MECÁNICO</t>
  </si>
  <si>
    <t>Montaje Mec.</t>
  </si>
  <si>
    <t>09</t>
  </si>
  <si>
    <t>Diseño 3D mecánico (AERO)</t>
  </si>
  <si>
    <t>A11</t>
  </si>
  <si>
    <t>111</t>
  </si>
  <si>
    <t>018</t>
  </si>
  <si>
    <t>Horas OTM AUXILIAR</t>
  </si>
  <si>
    <t>Diseño Hardware (ESP)</t>
  </si>
  <si>
    <t>A12</t>
  </si>
  <si>
    <t>131</t>
  </si>
  <si>
    <t>019</t>
  </si>
  <si>
    <t>Horas OTA AUXILIAR</t>
  </si>
  <si>
    <t>METROLOGÍA</t>
  </si>
  <si>
    <t>10</t>
  </si>
  <si>
    <t>Diseño NR (ESP)</t>
  </si>
  <si>
    <t>DISEÑO NR (ESP)</t>
  </si>
  <si>
    <t>A1T</t>
  </si>
  <si>
    <t>451</t>
  </si>
  <si>
    <t>020</t>
  </si>
  <si>
    <t>Horas Fabricación SERRA</t>
  </si>
  <si>
    <t>Fabricación Mecánica Serra</t>
  </si>
  <si>
    <t>Diseño Software (ESP)</t>
  </si>
  <si>
    <t>A21</t>
  </si>
  <si>
    <t>411</t>
  </si>
  <si>
    <t>021</t>
  </si>
  <si>
    <t>Horas Fabricación AUXILIAR</t>
  </si>
  <si>
    <t>Fabricación Mecánica Ext.</t>
  </si>
  <si>
    <t>Subcontratación Completa</t>
  </si>
  <si>
    <t>SUBCONTRATACIÓN COMPLETA</t>
  </si>
  <si>
    <t>SUBCONTRATACION COMPLETA</t>
  </si>
  <si>
    <t>Mat</t>
  </si>
  <si>
    <t>Gestión Ing.Automatismos(STD)</t>
  </si>
  <si>
    <t>GESTIÓN ING.AUTO</t>
  </si>
  <si>
    <t>A22</t>
  </si>
  <si>
    <t>491</t>
  </si>
  <si>
    <t>022</t>
  </si>
  <si>
    <t>Horas Montaje mec. SERRA</t>
  </si>
  <si>
    <t>Montaje Mecánico Serra</t>
  </si>
  <si>
    <t>Diseño Hardware (AERO)</t>
  </si>
  <si>
    <t>A2T</t>
  </si>
  <si>
    <t>551</t>
  </si>
  <si>
    <t>023</t>
  </si>
  <si>
    <t>Horas Montaje mec. AUXILIAR</t>
  </si>
  <si>
    <t>Montaje Mecánico Ext.</t>
  </si>
  <si>
    <t>Fabricación Eléctrica</t>
  </si>
  <si>
    <t>FABRICACIÓN ELÉCTRICA</t>
  </si>
  <si>
    <t>Taller ENR</t>
  </si>
  <si>
    <t>WSA</t>
  </si>
  <si>
    <t>11</t>
  </si>
  <si>
    <t>TF</t>
  </si>
  <si>
    <t>Diseño NR (AERO)</t>
  </si>
  <si>
    <t>DISEÑO NR (AERO)</t>
  </si>
  <si>
    <t>A31</t>
  </si>
  <si>
    <t>511</t>
  </si>
  <si>
    <t>024</t>
  </si>
  <si>
    <t>Horas Mont. eléctr./ENR SERRA</t>
  </si>
  <si>
    <t>Instalación E.N.R. Serra</t>
  </si>
  <si>
    <t>Diseño Software (AERO)</t>
  </si>
  <si>
    <t>A32</t>
  </si>
  <si>
    <t>591</t>
  </si>
  <si>
    <t>025</t>
  </si>
  <si>
    <t>Horas Mont. eléctr./ENR AUX.</t>
  </si>
  <si>
    <t>Instalación E.N.R. Ext.</t>
  </si>
  <si>
    <t>Instalación Eléctrica</t>
  </si>
  <si>
    <t>Instalación ENR</t>
  </si>
  <si>
    <t>INSTALACIÓN ELÉCTRICA</t>
  </si>
  <si>
    <t>Instalación E.N.R.</t>
  </si>
  <si>
    <t>12</t>
  </si>
  <si>
    <t>TI</t>
  </si>
  <si>
    <t>Gestión Ing.Automatismos(AERO)</t>
  </si>
  <si>
    <t>A3T</t>
  </si>
  <si>
    <t>5E1</t>
  </si>
  <si>
    <t>026</t>
  </si>
  <si>
    <t>Horas AT SERRA</t>
  </si>
  <si>
    <t>Asist. Técnica Serra</t>
  </si>
  <si>
    <t>G005</t>
  </si>
  <si>
    <t>Proyecto eléctrico (PNS)</t>
  </si>
  <si>
    <t>PROYECTO ELÉCTRI</t>
  </si>
  <si>
    <t>A41</t>
  </si>
  <si>
    <t>5A1</t>
  </si>
  <si>
    <t>027</t>
  </si>
  <si>
    <t>Horas AT AUXILIAR</t>
  </si>
  <si>
    <t>Asist. Técnica Ext.</t>
  </si>
  <si>
    <t>Instalación NR</t>
  </si>
  <si>
    <t>INSTALACIÓN NR</t>
  </si>
  <si>
    <t>13</t>
  </si>
  <si>
    <t>TIN</t>
  </si>
  <si>
    <t>Programación automatas  (PNS)</t>
  </si>
  <si>
    <t>PROGRAMACIÓN AUT</t>
  </si>
  <si>
    <t>A42</t>
  </si>
  <si>
    <t>711</t>
  </si>
  <si>
    <t>028</t>
  </si>
  <si>
    <t>Horas Fabricación EXTERIOR</t>
  </si>
  <si>
    <t>Proyecto N/R (PNS)</t>
  </si>
  <si>
    <t>PROYECTO N/R (PN</t>
  </si>
  <si>
    <t>B11</t>
  </si>
  <si>
    <t>311</t>
  </si>
  <si>
    <t>029</t>
  </si>
  <si>
    <t>Horas Montaje mec. EXTERIOR</t>
  </si>
  <si>
    <t>Asist. Técnica</t>
  </si>
  <si>
    <t>ASIST. TÉCNICA</t>
  </si>
  <si>
    <t>A.T.</t>
  </si>
  <si>
    <t>14</t>
  </si>
  <si>
    <t>Proyecto eléctrico (STD)</t>
  </si>
  <si>
    <t>C11</t>
  </si>
  <si>
    <t>141</t>
  </si>
  <si>
    <t>030</t>
  </si>
  <si>
    <t>Horas Mont. eléctr./ENR EXT.</t>
  </si>
  <si>
    <t>Fabricación Eléctrica Ext.</t>
  </si>
  <si>
    <t>Laboratorio I+D</t>
  </si>
  <si>
    <t>LABORATORIO I+D</t>
  </si>
  <si>
    <t>C21</t>
  </si>
  <si>
    <t>211</t>
  </si>
  <si>
    <t>031</t>
  </si>
  <si>
    <t>Horas AT EXTERIOR</t>
  </si>
  <si>
    <t>G009</t>
  </si>
  <si>
    <t>Material Mecánico +%</t>
  </si>
  <si>
    <t>Material  Mecánico +%</t>
  </si>
  <si>
    <t>Material  Mecánico (SOLO COMERCIO)</t>
  </si>
  <si>
    <t>MATERIAL MECÁNICO +%</t>
  </si>
  <si>
    <t>Material Mecánico (SOLO COMERCIO)</t>
  </si>
  <si>
    <t>MAT. MEC</t>
  </si>
  <si>
    <t>MTM</t>
  </si>
  <si>
    <t>15</t>
  </si>
  <si>
    <t>Calderería</t>
  </si>
  <si>
    <t>CALDERERÍA</t>
  </si>
  <si>
    <t>C31</t>
  </si>
  <si>
    <t>221</t>
  </si>
  <si>
    <t>032</t>
  </si>
  <si>
    <t>Horas Fabricacion E.T.T.</t>
  </si>
  <si>
    <t>Materia Prima</t>
  </si>
  <si>
    <t>Adicionales</t>
  </si>
  <si>
    <t>Mecanización general</t>
  </si>
  <si>
    <t>MECANIZACIÓN GEN</t>
  </si>
  <si>
    <t>C41</t>
  </si>
  <si>
    <t>231</t>
  </si>
  <si>
    <t>033</t>
  </si>
  <si>
    <t>Horas Montaje mec. E.T.T.</t>
  </si>
  <si>
    <t>Material Eléctrico +%</t>
  </si>
  <si>
    <t>Material  Eléctrico +%</t>
  </si>
  <si>
    <t>Material  Eléctrico</t>
  </si>
  <si>
    <t>Material Eléctrico</t>
  </si>
  <si>
    <t>MAT. ELEC</t>
  </si>
  <si>
    <t>MTA</t>
  </si>
  <si>
    <t>16</t>
  </si>
  <si>
    <t>Mecanizazión CNC</t>
  </si>
  <si>
    <t>MECANIZAZIÓN CNC</t>
  </si>
  <si>
    <t>C51</t>
  </si>
  <si>
    <t>421</t>
  </si>
  <si>
    <t>034</t>
  </si>
  <si>
    <t>Gastos Facturas AEUS</t>
  </si>
  <si>
    <t>Programación CAM</t>
  </si>
  <si>
    <t>PROGRAMACIÓN CAM</t>
  </si>
  <si>
    <t>C61</t>
  </si>
  <si>
    <t>521</t>
  </si>
  <si>
    <t>035</t>
  </si>
  <si>
    <t>Compensación Hrs Taller E.T.T.</t>
  </si>
  <si>
    <t>G002</t>
  </si>
  <si>
    <t>Material Fluidos +%</t>
  </si>
  <si>
    <t>Material Fluidos</t>
  </si>
  <si>
    <t>MAT. N.R.</t>
  </si>
  <si>
    <t>17</t>
  </si>
  <si>
    <t>Fabric. eléctrica STANDARD</t>
  </si>
  <si>
    <t>FABRIC. ELÉCTRIC</t>
  </si>
  <si>
    <t>C71</t>
  </si>
  <si>
    <t>5B1</t>
  </si>
  <si>
    <t>036</t>
  </si>
  <si>
    <t>Horas Mont. eléctr./ENR E.T.T.</t>
  </si>
  <si>
    <t>Ing. Fabricación eléctrica</t>
  </si>
  <si>
    <t>ING. FABR. ELEC.</t>
  </si>
  <si>
    <t>E13</t>
  </si>
  <si>
    <t>471</t>
  </si>
  <si>
    <t>037</t>
  </si>
  <si>
    <t>Horas AT E.T.T.</t>
  </si>
  <si>
    <t>Transp. &amp; Desplaz.</t>
  </si>
  <si>
    <t>Transp + Dieta</t>
  </si>
  <si>
    <t>18</t>
  </si>
  <si>
    <t>Gto</t>
  </si>
  <si>
    <t>Montaje Transformadores</t>
  </si>
  <si>
    <t>MONTAJE TRANSFOR</t>
  </si>
  <si>
    <t>E23</t>
  </si>
  <si>
    <t>481</t>
  </si>
  <si>
    <t>038</t>
  </si>
  <si>
    <t>Desplazam. Talleres Aux.</t>
  </si>
  <si>
    <t>Transp. &amp; Desplaz. Ext.</t>
  </si>
  <si>
    <t>Montaje mecánico STD</t>
  </si>
  <si>
    <t>MONTAJE MEC. STD</t>
  </si>
  <si>
    <t>E33</t>
  </si>
  <si>
    <t>571</t>
  </si>
  <si>
    <t>039</t>
  </si>
  <si>
    <t>Robcad EXTERIOR</t>
  </si>
  <si>
    <t>Robcad Ext.</t>
  </si>
  <si>
    <t>Montaje mecánico (ESP)</t>
  </si>
  <si>
    <t>E43</t>
  </si>
  <si>
    <t>581</t>
  </si>
  <si>
    <t>040</t>
  </si>
  <si>
    <t>Dietas y desplazamientos</t>
  </si>
  <si>
    <t>Montaje mecánico (PNS)</t>
  </si>
  <si>
    <t>E53</t>
  </si>
  <si>
    <t>751</t>
  </si>
  <si>
    <t>041</t>
  </si>
  <si>
    <t>Transportes de Compra</t>
  </si>
  <si>
    <t>Montaje eléctrico (PNS)</t>
  </si>
  <si>
    <t>MONTAJE ELÉCTRIC</t>
  </si>
  <si>
    <t>E63</t>
  </si>
  <si>
    <t>761</t>
  </si>
  <si>
    <t>042</t>
  </si>
  <si>
    <t>Otros Gastos de venta</t>
  </si>
  <si>
    <t>ASISTENCIA PHARMA</t>
  </si>
  <si>
    <t>ASISTENCIA PHARM</t>
  </si>
  <si>
    <t>E73</t>
  </si>
  <si>
    <t>771</t>
  </si>
  <si>
    <t>043</t>
  </si>
  <si>
    <t>Comisiones</t>
  </si>
  <si>
    <t>Metrología 3D</t>
  </si>
  <si>
    <t>METROLOGÍA 3D</t>
  </si>
  <si>
    <t>F11</t>
  </si>
  <si>
    <t>721</t>
  </si>
  <si>
    <t>044</t>
  </si>
  <si>
    <t>Gastos financieros</t>
  </si>
  <si>
    <t>Instalaciones E.N.R.</t>
  </si>
  <si>
    <t>INSTALACIONES E.</t>
  </si>
  <si>
    <t>M11</t>
  </si>
  <si>
    <t>441</t>
  </si>
  <si>
    <t>045</t>
  </si>
  <si>
    <t>Transportes de Venta</t>
  </si>
  <si>
    <t>A.T. y Postventa</t>
  </si>
  <si>
    <t>A.T. Y POSTVENTA</t>
  </si>
  <si>
    <t>M21</t>
  </si>
  <si>
    <t>461</t>
  </si>
  <si>
    <t>046</t>
  </si>
  <si>
    <t>Embalajes</t>
  </si>
  <si>
    <t>Diseño Robótica</t>
  </si>
  <si>
    <t>DISEÑO ROBÓTICA</t>
  </si>
  <si>
    <t>M31</t>
  </si>
  <si>
    <t>541</t>
  </si>
  <si>
    <t>050</t>
  </si>
  <si>
    <t>Horas Robótica SERRA</t>
  </si>
  <si>
    <t>Robótica Serra</t>
  </si>
  <si>
    <t>G012</t>
  </si>
  <si>
    <t>Coste Calidad Ing.Mec.(AUTO)</t>
  </si>
  <si>
    <t>COSTE CALIDAD IN</t>
  </si>
  <si>
    <t>M41</t>
  </si>
  <si>
    <t>561</t>
  </si>
  <si>
    <t>051</t>
  </si>
  <si>
    <t>Horas Robótica E.T.T.</t>
  </si>
  <si>
    <t>Coste Calidad Ing.Aut.(AUTO)</t>
  </si>
  <si>
    <t>M51</t>
  </si>
  <si>
    <t>731</t>
  </si>
  <si>
    <t>052</t>
  </si>
  <si>
    <t>Horas Robótica AUXILIAR</t>
  </si>
  <si>
    <t>Robótica Ext.</t>
  </si>
  <si>
    <t>Coste Calidad Ing.Pro.(AUTO)</t>
  </si>
  <si>
    <t>M61</t>
  </si>
  <si>
    <t>5D1</t>
  </si>
  <si>
    <t>053</t>
  </si>
  <si>
    <t>Horas Robótica EXTERIOR</t>
  </si>
  <si>
    <t>Coste Calidad ROBCAD AUTO</t>
  </si>
  <si>
    <t>COSTE CALIDAD RO</t>
  </si>
  <si>
    <t>M71</t>
  </si>
  <si>
    <t>741</t>
  </si>
  <si>
    <t>068</t>
  </si>
  <si>
    <t>Desplaz. Exteriores NO CALIDAD</t>
  </si>
  <si>
    <t>Coste Calidad Ing.Aut.(PNS)</t>
  </si>
  <si>
    <t>P1A</t>
  </si>
  <si>
    <t>121</t>
  </si>
  <si>
    <t>070</t>
  </si>
  <si>
    <t>Dietas y desplaz. NO CALIDAD</t>
  </si>
  <si>
    <t>Coste Calidad Ing.Pro.(PNS)</t>
  </si>
  <si>
    <t>R11</t>
  </si>
  <si>
    <t>241</t>
  </si>
  <si>
    <t>071</t>
  </si>
  <si>
    <t>Transportes Compra NO CALIDAD</t>
  </si>
  <si>
    <t>Coste Calidad Ing.Mec.(STD)</t>
  </si>
  <si>
    <t>R21</t>
  </si>
  <si>
    <t>431</t>
  </si>
  <si>
    <t>075</t>
  </si>
  <si>
    <t>Transportes Ventas NO CALIDAD</t>
  </si>
  <si>
    <t>Coste Calidad Ing.Elec.(STD)</t>
  </si>
  <si>
    <t>R31</t>
  </si>
  <si>
    <t>531</t>
  </si>
  <si>
    <t>076</t>
  </si>
  <si>
    <t>Embalajes NO CALIDAD</t>
  </si>
  <si>
    <t>Coste Calidad Ing.Elec.(FAB)</t>
  </si>
  <si>
    <t>R41</t>
  </si>
  <si>
    <t>5C1</t>
  </si>
  <si>
    <t>080</t>
  </si>
  <si>
    <t>Corrección por dif. de coste</t>
  </si>
  <si>
    <t>Coste Calidad Fab.Elec.(FAB)</t>
  </si>
  <si>
    <t>COSTE CALIDAD FA</t>
  </si>
  <si>
    <t>CNC</t>
  </si>
  <si>
    <t>081</t>
  </si>
  <si>
    <t>Gastos aduanales</t>
  </si>
  <si>
    <t>Coste Calidad Transformadores</t>
  </si>
  <si>
    <t>COSTE CALIDAD TR</t>
  </si>
  <si>
    <t>TRD</t>
  </si>
  <si>
    <t>082</t>
  </si>
  <si>
    <t>Impuestos aduanales</t>
  </si>
  <si>
    <t>Coste Calidad Mon.Mec.(AUTO)</t>
  </si>
  <si>
    <t>COSTE CALIDAD MO</t>
  </si>
  <si>
    <t>I+D</t>
  </si>
  <si>
    <t>099</t>
  </si>
  <si>
    <t>Costos generales</t>
  </si>
  <si>
    <t>Coste Calidad Mon.(STD)</t>
  </si>
  <si>
    <t>M12</t>
  </si>
  <si>
    <t>7C1</t>
  </si>
  <si>
    <t>ANT</t>
  </si>
  <si>
    <t>ANTICIPOS</t>
  </si>
  <si>
    <t>Coste Calidad Mon.(PNS)</t>
  </si>
  <si>
    <t>A15</t>
  </si>
  <si>
    <t>251</t>
  </si>
  <si>
    <t>A10</t>
  </si>
  <si>
    <t>Coste Calidad Metrologia AUTO</t>
  </si>
  <si>
    <t>COSTE CALIDAD ME</t>
  </si>
  <si>
    <t>999</t>
  </si>
  <si>
    <t xml:space="preserve"> 07</t>
  </si>
  <si>
    <t>A20</t>
  </si>
  <si>
    <t>Subconjuntos Completos</t>
  </si>
  <si>
    <t>Coste Calidad Inst.ENR (AUTO)</t>
  </si>
  <si>
    <t>M22</t>
  </si>
  <si>
    <t>7E1</t>
  </si>
  <si>
    <t>Subconjuntos Mecánicos</t>
  </si>
  <si>
    <t>Conjunto</t>
  </si>
  <si>
    <t>Coste Calidad Asist.Tec.AUTO</t>
  </si>
  <si>
    <t>COSTE CALIDAD AS</t>
  </si>
  <si>
    <t>P11</t>
  </si>
  <si>
    <t>Subconjuntos Eléctricos</t>
  </si>
  <si>
    <t>Coste Calidad Robotica AUTO</t>
  </si>
  <si>
    <t>C13</t>
  </si>
  <si>
    <t>261</t>
  </si>
  <si>
    <t>A23</t>
  </si>
  <si>
    <t>Subconjuntos NR</t>
  </si>
  <si>
    <t>Material Fluidos Ext.</t>
  </si>
  <si>
    <t>Coste Calidad Planif.AUTO</t>
  </si>
  <si>
    <t>COSTE CALIDAD PL</t>
  </si>
  <si>
    <t>P12</t>
  </si>
  <si>
    <t>A30</t>
  </si>
  <si>
    <t>Coste Calidad Caldereria</t>
  </si>
  <si>
    <t>COSTE CALIDAD CA</t>
  </si>
  <si>
    <t>E21</t>
  </si>
  <si>
    <t>7D1</t>
  </si>
  <si>
    <t>A40</t>
  </si>
  <si>
    <t>Controles STD</t>
  </si>
  <si>
    <t>Coste Calidad Mecanizacion</t>
  </si>
  <si>
    <t>Armarios STD</t>
  </si>
  <si>
    <t>E001</t>
  </si>
  <si>
    <t>Coste Calidad Verif. Dim.AUTO</t>
  </si>
  <si>
    <t>COSTE CALIDAD VE</t>
  </si>
  <si>
    <t>A45</t>
  </si>
  <si>
    <t>Máquinas STD</t>
  </si>
  <si>
    <t>Coste Calidad Gestión AERO</t>
  </si>
  <si>
    <t>COSTE CALIDAD GE</t>
  </si>
  <si>
    <t>A46</t>
  </si>
  <si>
    <t>Pinzas de soldadura STD</t>
  </si>
  <si>
    <t>Coste Calidad Ing.Aut.(AERO)</t>
  </si>
  <si>
    <t>A47</t>
  </si>
  <si>
    <t>Alimentadores STD</t>
  </si>
  <si>
    <t>Coste Calidad Ing.Mec.(AERO)</t>
  </si>
  <si>
    <t>A50</t>
  </si>
  <si>
    <t>Transformadores STD</t>
  </si>
  <si>
    <t>Coste Calidad Ing.Pro.(AERO)</t>
  </si>
  <si>
    <t>A60</t>
  </si>
  <si>
    <t>Materiales Exterior (M,E,NR)</t>
  </si>
  <si>
    <t>Coste Calidad Calidad(AERO)</t>
  </si>
  <si>
    <t>A98</t>
  </si>
  <si>
    <t>Taller Auxiliares 1998</t>
  </si>
  <si>
    <t>Coste Calidad Mon.Mec.(AERO)</t>
  </si>
  <si>
    <t>E10</t>
  </si>
  <si>
    <t>Armarios Eléctricos</t>
  </si>
  <si>
    <t>E011</t>
  </si>
  <si>
    <t>Coste Calidad Metrologia AERO</t>
  </si>
  <si>
    <t>E20</t>
  </si>
  <si>
    <t>Vallados y seguridades</t>
  </si>
  <si>
    <t>E002</t>
  </si>
  <si>
    <t>Coste Calidad Inst.ENR (AERO)</t>
  </si>
  <si>
    <t>E30</t>
  </si>
  <si>
    <t>Implantación general</t>
  </si>
  <si>
    <t>E003</t>
  </si>
  <si>
    <t>Coste Calidad Asist.Tec.AERO</t>
  </si>
  <si>
    <t>E40</t>
  </si>
  <si>
    <t>Robots</t>
  </si>
  <si>
    <t>E004</t>
  </si>
  <si>
    <t>Coste Calidad Robotica AERO</t>
  </si>
  <si>
    <t>E50</t>
  </si>
  <si>
    <t>Garras</t>
  </si>
  <si>
    <t>E005</t>
  </si>
  <si>
    <t>Coste Calidad Planif.AERO</t>
  </si>
  <si>
    <t>G98</t>
  </si>
  <si>
    <t>Gastos Obras 1998</t>
  </si>
  <si>
    <t>Coste Calidad Verif. Dim.AERO</t>
  </si>
  <si>
    <t>H98</t>
  </si>
  <si>
    <t>Horas Oficina Tecnica 1998</t>
  </si>
  <si>
    <t>Gestión Mecánica Serra</t>
  </si>
  <si>
    <t>Coste Calidad Materiales Subco</t>
  </si>
  <si>
    <t>COSTE CALIDAD MA</t>
  </si>
  <si>
    <t>M10</t>
  </si>
  <si>
    <t>Material mecánico</t>
  </si>
  <si>
    <t>Material subcontratado</t>
  </si>
  <si>
    <t>MATERIAL SUBCONT</t>
  </si>
  <si>
    <t>M20</t>
  </si>
  <si>
    <t>Material eléctrico</t>
  </si>
  <si>
    <t>Gestion de Proyectos AUTO</t>
  </si>
  <si>
    <t>GESTION DE PROYE</t>
  </si>
  <si>
    <t>M30</t>
  </si>
  <si>
    <t>Material fluidos</t>
  </si>
  <si>
    <t>Gestion de Proyectos (AERO)</t>
  </si>
  <si>
    <t>M98</t>
  </si>
  <si>
    <t>Material Obras 1998</t>
  </si>
  <si>
    <t>Gestion Planif./Produc.AUTO</t>
  </si>
  <si>
    <t>GESTION PLANIF./</t>
  </si>
  <si>
    <t>O98</t>
  </si>
  <si>
    <t>Horas Oficina Tec. exterior 98</t>
  </si>
  <si>
    <t>Gestión Mecánica Ext.</t>
  </si>
  <si>
    <t>Gestion Planif./Produc.AERO</t>
  </si>
  <si>
    <t>P00</t>
  </si>
  <si>
    <t>Puestos</t>
  </si>
  <si>
    <t>Gestion Compras AERO</t>
  </si>
  <si>
    <t>GESTION COMPRAS</t>
  </si>
  <si>
    <t>P03</t>
  </si>
  <si>
    <t>Materiales alto valor3 (Pres.)</t>
  </si>
  <si>
    <t>Gestion de Calidad AUTO</t>
  </si>
  <si>
    <t>GESTION DE CALID</t>
  </si>
  <si>
    <t>P40</t>
  </si>
  <si>
    <t>Dietas y Desplazam.(Presup.)</t>
  </si>
  <si>
    <t>Gestion de Calidad (AERO)</t>
  </si>
  <si>
    <t>P41</t>
  </si>
  <si>
    <t>Tptes. y Embalajes (Presup.)</t>
  </si>
  <si>
    <t>Definicion de Ing.Mec.AUTO</t>
  </si>
  <si>
    <t>DEFINICION DE IN</t>
  </si>
  <si>
    <t>T98</t>
  </si>
  <si>
    <t>Horas Taller 1998</t>
  </si>
  <si>
    <t>Layout y simulaciones</t>
  </si>
  <si>
    <t>LAYOUT Y SIMULAC</t>
  </si>
  <si>
    <t>100</t>
  </si>
  <si>
    <t>Coordinación y Gestión</t>
  </si>
  <si>
    <t>Definicion de Ing.Mec.(AERO)</t>
  </si>
  <si>
    <t>Gestión Procesos INT.</t>
  </si>
  <si>
    <t>Gestion de Ing.Autom.auto</t>
  </si>
  <si>
    <t>GESTION DE ING.A</t>
  </si>
  <si>
    <t>112</t>
  </si>
  <si>
    <t>Gestión Procesos ETT.</t>
  </si>
  <si>
    <t>Gestion de Ing.Autom.AERO</t>
  </si>
  <si>
    <t>113</t>
  </si>
  <si>
    <t>Gestion Procesos EXT.</t>
  </si>
  <si>
    <t>Gestión de Proyectos Ext.</t>
  </si>
  <si>
    <t>Gestion Montaje mecánico AUTO</t>
  </si>
  <si>
    <t>GESTION MONTAJE</t>
  </si>
  <si>
    <t>114</t>
  </si>
  <si>
    <t>Gestión Procesos AUX.</t>
  </si>
  <si>
    <t>Gestion Metrologia AUTO</t>
  </si>
  <si>
    <t>GESTION METROLOG</t>
  </si>
  <si>
    <t>Gestión Producción INT.</t>
  </si>
  <si>
    <t>Gestion Montaje mecánico AERO</t>
  </si>
  <si>
    <t>122</t>
  </si>
  <si>
    <t>Gestión Producción ETT.</t>
  </si>
  <si>
    <t>Gestion Metrologia AERO</t>
  </si>
  <si>
    <t>123</t>
  </si>
  <si>
    <t>Gestión Producción EXT.</t>
  </si>
  <si>
    <t>Gestion Instalacion ENR AUTO</t>
  </si>
  <si>
    <t>GESTION INSTALAC</t>
  </si>
  <si>
    <t>124</t>
  </si>
  <si>
    <t>Gestión Producción AUX.</t>
  </si>
  <si>
    <t>Gestion Instalacion ENR AERO</t>
  </si>
  <si>
    <t>Gestión Ing. Mec. INT.</t>
  </si>
  <si>
    <t>G004</t>
  </si>
  <si>
    <t>Gestion Robotica AUTO</t>
  </si>
  <si>
    <t>GESTION ROBOTICA</t>
  </si>
  <si>
    <t>132</t>
  </si>
  <si>
    <t>Gestión Ing. Mec. ETT.</t>
  </si>
  <si>
    <t>Gestion Robotica AERO</t>
  </si>
  <si>
    <t>133</t>
  </si>
  <si>
    <t>Gestión Ing. Mec. EXT.</t>
  </si>
  <si>
    <t>Jefes equipo Mecanizacion</t>
  </si>
  <si>
    <t>JEFES EQUIPO MEC</t>
  </si>
  <si>
    <t>134</t>
  </si>
  <si>
    <t>Gestión Ing. Mec. AUX.</t>
  </si>
  <si>
    <t>Gestion de Cálculo Mec.AUTO</t>
  </si>
  <si>
    <t>GESTION DE CÁLCU</t>
  </si>
  <si>
    <t>Gestión Ing. Aut. INT.</t>
  </si>
  <si>
    <t>Gestion de Cálculo Mec.AERO</t>
  </si>
  <si>
    <t>142</t>
  </si>
  <si>
    <t>Gestión Ing. Aut. ETT.</t>
  </si>
  <si>
    <t>Diseño Hardware AUTO</t>
  </si>
  <si>
    <t>143</t>
  </si>
  <si>
    <t>Gestión Ing. Aut. EXT.</t>
  </si>
  <si>
    <t>Diseño Hardware AERO</t>
  </si>
  <si>
    <t>144</t>
  </si>
  <si>
    <t>Gestión Ing. Aut. AUX.</t>
  </si>
  <si>
    <t>Diseño Software AUTO</t>
  </si>
  <si>
    <t>200</t>
  </si>
  <si>
    <t>Diseño Automatismos</t>
  </si>
  <si>
    <t>Diseño Software AERO</t>
  </si>
  <si>
    <t>Diseño Hardware INT.</t>
  </si>
  <si>
    <t>Diseño NR AUTO</t>
  </si>
  <si>
    <t>DISEÑO NR AUTO</t>
  </si>
  <si>
    <t>212</t>
  </si>
  <si>
    <t>Diseño Hardware ETT.</t>
  </si>
  <si>
    <t>Diseño NR AERO</t>
  </si>
  <si>
    <t>DISEÑO NR AERO</t>
  </si>
  <si>
    <t>213</t>
  </si>
  <si>
    <t>Diseño Hardware EXT.</t>
  </si>
  <si>
    <t>Diseño Robótica AUTO</t>
  </si>
  <si>
    <t>214</t>
  </si>
  <si>
    <t>Diseño Hardware AUX.</t>
  </si>
  <si>
    <t>Diseño Robótica AERO</t>
  </si>
  <si>
    <t>Diseño Software INT.</t>
  </si>
  <si>
    <t>Ingenieria mecánica (STD)</t>
  </si>
  <si>
    <t>INGENIERIA MECÁN</t>
  </si>
  <si>
    <t>222</t>
  </si>
  <si>
    <t>Diseño Software ETT.</t>
  </si>
  <si>
    <t>Ingenieria electrica (STD)</t>
  </si>
  <si>
    <t>INGENIERIA ELECT</t>
  </si>
  <si>
    <t>223</t>
  </si>
  <si>
    <t>Diseño Software EXT.</t>
  </si>
  <si>
    <t>Robcad Preestudios Basic.AUTO</t>
  </si>
  <si>
    <t>ROBCAD PREESTUDI</t>
  </si>
  <si>
    <t>224</t>
  </si>
  <si>
    <t>Diseño Software AUX.</t>
  </si>
  <si>
    <t>Robcad Preestudios Basic.AERO</t>
  </si>
  <si>
    <t>Diseño NR INT.</t>
  </si>
  <si>
    <t>Diseño NR Serra</t>
  </si>
  <si>
    <t>Robcad Verif.Tray.por zona AUT</t>
  </si>
  <si>
    <t>ROBCAD VERIF.TRA</t>
  </si>
  <si>
    <t>232</t>
  </si>
  <si>
    <t>Diseño NR ETT.</t>
  </si>
  <si>
    <t>Robcad Prog.Offline AUTO</t>
  </si>
  <si>
    <t>ROBCAD PROG.OFFL</t>
  </si>
  <si>
    <t>233</t>
  </si>
  <si>
    <t>Diseño NR EXT.</t>
  </si>
  <si>
    <t>Diseño NR Ext.</t>
  </si>
  <si>
    <t>Robcad Est.viab.Layout AUTO</t>
  </si>
  <si>
    <t>ROBCAD EST.VIAB.</t>
  </si>
  <si>
    <t>234</t>
  </si>
  <si>
    <t>Diseño NR AUX.</t>
  </si>
  <si>
    <t>PMS Gestion Proyectos AUTO</t>
  </si>
  <si>
    <t>PMS GESTION PROY</t>
  </si>
  <si>
    <t>Diseño Robótica INT.</t>
  </si>
  <si>
    <t>PMS Gestion Proyectos AERO</t>
  </si>
  <si>
    <t>242</t>
  </si>
  <si>
    <t>Diseño Robótica ETT.</t>
  </si>
  <si>
    <t>PMS Ing.Automatismos AUTO</t>
  </si>
  <si>
    <t>PMS ING.AUTOMATI</t>
  </si>
  <si>
    <t>243</t>
  </si>
  <si>
    <t>Diseño Robótica EXT.</t>
  </si>
  <si>
    <t>PMS Ing.Automatismos AERO</t>
  </si>
  <si>
    <t>244</t>
  </si>
  <si>
    <t>Diseño Robótica AUX.</t>
  </si>
  <si>
    <t>PMS Robotica AUTO</t>
  </si>
  <si>
    <t>PMS ROBOTICA AUT</t>
  </si>
  <si>
    <t>Ingeniería mecánica STD INT.</t>
  </si>
  <si>
    <t>PMS Robotica AERO</t>
  </si>
  <si>
    <t>PMS ROBOTICA AER</t>
  </si>
  <si>
    <t>252</t>
  </si>
  <si>
    <t>Ingeniería mecánica STD ETT.</t>
  </si>
  <si>
    <t>PMS Montaje Mecanico AUTO</t>
  </si>
  <si>
    <t>PMS MONTAJE MECA</t>
  </si>
  <si>
    <t>253</t>
  </si>
  <si>
    <t>Ingeniería mecánica STD EXT.</t>
  </si>
  <si>
    <t>PMS Montaje Mecanico AERO</t>
  </si>
  <si>
    <t>254</t>
  </si>
  <si>
    <t>Ingeniería mecánica STD AUX.</t>
  </si>
  <si>
    <t>METALOGRAFIA</t>
  </si>
  <si>
    <t>Ingeniería eléctrica STD INT.</t>
  </si>
  <si>
    <t>PMS Asistencia Tecnica AUTO</t>
  </si>
  <si>
    <t>PMS ASISTENCIA T</t>
  </si>
  <si>
    <t>262</t>
  </si>
  <si>
    <t>Ingeniería eléctrica STD ETT.</t>
  </si>
  <si>
    <t>PMS Asistencia Tecnica AERO</t>
  </si>
  <si>
    <t>263</t>
  </si>
  <si>
    <t>Ingeniería eléctrica STD EXT.</t>
  </si>
  <si>
    <t>Desmontaje mecanico AUTO</t>
  </si>
  <si>
    <t>DESMONTAJE MECAN</t>
  </si>
  <si>
    <t>264</t>
  </si>
  <si>
    <t>Ingeniería eléctrica STD AUX.</t>
  </si>
  <si>
    <t>Desmontaje mecanico AERO</t>
  </si>
  <si>
    <t>271</t>
  </si>
  <si>
    <t>Ingeniería electrónica STD INT</t>
  </si>
  <si>
    <t>Desmontaje electrico AUTO</t>
  </si>
  <si>
    <t>DESMONTAJE ELECT</t>
  </si>
  <si>
    <t>272</t>
  </si>
  <si>
    <t>Ingeniería electrónica STD ETT</t>
  </si>
  <si>
    <t>Desmontaje electrico AERO</t>
  </si>
  <si>
    <t>273</t>
  </si>
  <si>
    <t>Ingeniería electrónica STD EXT</t>
  </si>
  <si>
    <t>Desmontaje NR AUTO</t>
  </si>
  <si>
    <t>DESMONTAJE NR AU</t>
  </si>
  <si>
    <t>274</t>
  </si>
  <si>
    <t>Ingeniería electrónica STD AUX</t>
  </si>
  <si>
    <t>Desmontaje NR AERO</t>
  </si>
  <si>
    <t>DESMONTAJE NR AE</t>
  </si>
  <si>
    <t>300</t>
  </si>
  <si>
    <t>PMS Ing.Mecanica AUTO</t>
  </si>
  <si>
    <t>PMS ING.MECANICA</t>
  </si>
  <si>
    <t>Robcad INT.</t>
  </si>
  <si>
    <t>PMS Ing.Mecanica AERO</t>
  </si>
  <si>
    <t>312</t>
  </si>
  <si>
    <t>Robcad ETT.</t>
  </si>
  <si>
    <t>Robcad EXT.</t>
  </si>
  <si>
    <t>Tr.Planta Gestion Proy.AUTO</t>
  </si>
  <si>
    <t>TR.PLANTA GESTIO</t>
  </si>
  <si>
    <t>313</t>
  </si>
  <si>
    <t>Desplazamientos Ges.Proy.AUTO</t>
  </si>
  <si>
    <t>DESPLAZAMIENTOS</t>
  </si>
  <si>
    <t>314</t>
  </si>
  <si>
    <t>Robcad AUX.</t>
  </si>
  <si>
    <t>Tr.Planta Gestion Proy.AERO</t>
  </si>
  <si>
    <t>400</t>
  </si>
  <si>
    <t>PMS</t>
  </si>
  <si>
    <t>Trabajos Planta Ing.Autom.AUTO</t>
  </si>
  <si>
    <t>TRABAJOS PLANTA</t>
  </si>
  <si>
    <t>PMS Procesos INT.</t>
  </si>
  <si>
    <t>Desplaz.Ing.Automatism AUTO</t>
  </si>
  <si>
    <t>DESPLAZ.ING.AUTO</t>
  </si>
  <si>
    <t>412</t>
  </si>
  <si>
    <t>PMS Procesos ETT.</t>
  </si>
  <si>
    <t>Trabajos Planta Ing.Autom.AERO</t>
  </si>
  <si>
    <t>413</t>
  </si>
  <si>
    <t>PMS Procesos EXT.</t>
  </si>
  <si>
    <t>Trabajos Planta Robotica AUTO</t>
  </si>
  <si>
    <t>414</t>
  </si>
  <si>
    <t>PMS Procesos AUX.</t>
  </si>
  <si>
    <t>Desplazamientos Robotica AUTO</t>
  </si>
  <si>
    <t>PMS Automatismos INT.</t>
  </si>
  <si>
    <t>Trabajos Planta Robotica AERO</t>
  </si>
  <si>
    <t>422</t>
  </si>
  <si>
    <t>PMS Automatismos ETT.</t>
  </si>
  <si>
    <t>Trabajos Planta Mon.Mec.AUTO</t>
  </si>
  <si>
    <t>423</t>
  </si>
  <si>
    <t>PMS Automatismos EXT.</t>
  </si>
  <si>
    <t>Desplazamientos Mon.Mec.AUTO</t>
  </si>
  <si>
    <t>424</t>
  </si>
  <si>
    <t>PMS Automatismos AUX.</t>
  </si>
  <si>
    <t>Trabajos Planta Mon.Mec.AERO</t>
  </si>
  <si>
    <t>PMS Robótica INT.</t>
  </si>
  <si>
    <t>Trabajos Planta Asis.Tec.AUTO</t>
  </si>
  <si>
    <t>432</t>
  </si>
  <si>
    <t>PMS Robótica ETT.</t>
  </si>
  <si>
    <t>Desplazamientos Asis.Tec.AUTO</t>
  </si>
  <si>
    <t>433</t>
  </si>
  <si>
    <t>PMS Robótica EXT.</t>
  </si>
  <si>
    <t>Trabajos Planta Asis.Tec.AERO</t>
  </si>
  <si>
    <t>434</t>
  </si>
  <si>
    <t>PMS Robótica AUX.</t>
  </si>
  <si>
    <t>Remontaje mecanico AUTO</t>
  </si>
  <si>
    <t>REMONTAJE MECANI</t>
  </si>
  <si>
    <t>PMS Montaje Mec. INT.</t>
  </si>
  <si>
    <t>Remontaje mecanico AERO</t>
  </si>
  <si>
    <t>442</t>
  </si>
  <si>
    <t>PMS Montaje Mec. ETT.</t>
  </si>
  <si>
    <t>Remontaje electrico AUTO</t>
  </si>
  <si>
    <t>REMONTAJE ELECTR</t>
  </si>
  <si>
    <t>443</t>
  </si>
  <si>
    <t>PMS Montaje Mec. EXT.</t>
  </si>
  <si>
    <t>Desplazamientos ENR AUTO</t>
  </si>
  <si>
    <t>444</t>
  </si>
  <si>
    <t>PMS Montaje Mec. AUX.</t>
  </si>
  <si>
    <t>Remontaje electrico AERO</t>
  </si>
  <si>
    <t>PMS A.T. INT.</t>
  </si>
  <si>
    <t>Remontaje NR AUTO</t>
  </si>
  <si>
    <t>REMONTAJE NR AUT</t>
  </si>
  <si>
    <t>452</t>
  </si>
  <si>
    <t>PMS A.T. ETT.</t>
  </si>
  <si>
    <t>Remontaje NR AERO</t>
  </si>
  <si>
    <t>REMONTAJE NR AER</t>
  </si>
  <si>
    <t>453</t>
  </si>
  <si>
    <t>PMS A.T. EXT.</t>
  </si>
  <si>
    <t>Trabajos Planta Ing.Mec.AUTO</t>
  </si>
  <si>
    <t>454</t>
  </si>
  <si>
    <t>PMS A.T. AUX.</t>
  </si>
  <si>
    <t>Desplazamientos Ing.Mec.AUTO</t>
  </si>
  <si>
    <t>Desmontaje Mecánico INT.</t>
  </si>
  <si>
    <t>G006</t>
  </si>
  <si>
    <t>Trabajos Planta Ing.Mec.AERO</t>
  </si>
  <si>
    <t>462</t>
  </si>
  <si>
    <t>Desmontaje Mecánico ETT.</t>
  </si>
  <si>
    <t>Asist.Planta Ges.Proy.AUTO</t>
  </si>
  <si>
    <t>ASIST.PLANTA GES</t>
  </si>
  <si>
    <t>463</t>
  </si>
  <si>
    <t>Desmontaje Mecánico EXT.</t>
  </si>
  <si>
    <t>Asist.Planta Ges.Proy.AERO</t>
  </si>
  <si>
    <t>464</t>
  </si>
  <si>
    <t>Desmontaje Mecánico AUX.</t>
  </si>
  <si>
    <t>Asistencia Planta Ing.Aut.AUTO</t>
  </si>
  <si>
    <t>ASISTENCIA PLANT</t>
  </si>
  <si>
    <t>Desmontaje Eléctrico INT.</t>
  </si>
  <si>
    <t>Asistencia Planta Ing.Aut.AERO</t>
  </si>
  <si>
    <t>472</t>
  </si>
  <si>
    <t>Desmontaje Eléctrico ETT.</t>
  </si>
  <si>
    <t>Asistencia Planta Robotica AUT</t>
  </si>
  <si>
    <t>473</t>
  </si>
  <si>
    <t>Desmontaje Eléctrico EXT.</t>
  </si>
  <si>
    <t>Asistencia Planta Robotica AER</t>
  </si>
  <si>
    <t>474</t>
  </si>
  <si>
    <t>Desmontaje Eléctrico AUX.</t>
  </si>
  <si>
    <t>Asistencia Planta Mon.Mec.AUTO</t>
  </si>
  <si>
    <t>Desmontaje NR INT.</t>
  </si>
  <si>
    <t>Asistencia Planta Mon.Mec.AERO</t>
  </si>
  <si>
    <t>482</t>
  </si>
  <si>
    <t>Desmontaje NR ETT.</t>
  </si>
  <si>
    <t>Asistencia Planta Asis.Tec.AUT</t>
  </si>
  <si>
    <t>483</t>
  </si>
  <si>
    <t>Desmontaje NR EXT.</t>
  </si>
  <si>
    <t>Asistencia Planta Asis.Tec.AER</t>
  </si>
  <si>
    <t>484</t>
  </si>
  <si>
    <t>Desmontaje NR AUX.</t>
  </si>
  <si>
    <t>Asistencia Planta Inst.ENR AUT</t>
  </si>
  <si>
    <t>PMS Ing. Mec. INT.</t>
  </si>
  <si>
    <t>Asistencia Planta Inst.ENR AER</t>
  </si>
  <si>
    <t>492</t>
  </si>
  <si>
    <t>PMS Ing. Mec. ETT.</t>
  </si>
  <si>
    <t>Diseño Ing.Mecanica AUTO</t>
  </si>
  <si>
    <t>DISEÑO ING.MECAN</t>
  </si>
  <si>
    <t>493</t>
  </si>
  <si>
    <t>PMS Ing. Mec. EXT.</t>
  </si>
  <si>
    <t>Diseño Ing.Mecanica (AERO)</t>
  </si>
  <si>
    <t>494</t>
  </si>
  <si>
    <t>PMS Ing. Mec. AUX.</t>
  </si>
  <si>
    <t>Cálculo Mecánico AUTO</t>
  </si>
  <si>
    <t>CÁLCULO MECÁNICO</t>
  </si>
  <si>
    <t>Asist. planta Procesos INT.</t>
  </si>
  <si>
    <t>Cálculo Mecánico AERO</t>
  </si>
  <si>
    <t>5A2</t>
  </si>
  <si>
    <t>Asist. planta Procesos ETT.</t>
  </si>
  <si>
    <t>5A3</t>
  </si>
  <si>
    <t>Asist. planta Procesos EXT.</t>
  </si>
  <si>
    <t>5A4</t>
  </si>
  <si>
    <t>Asist. planta Procesos AUX.</t>
  </si>
  <si>
    <t>Ajuste</t>
  </si>
  <si>
    <t>AJUSTE</t>
  </si>
  <si>
    <t>Asist. planta OTE/Aut. INT.</t>
  </si>
  <si>
    <t>Mecanización CAM</t>
  </si>
  <si>
    <t>MECANIZACIÓN CAM</t>
  </si>
  <si>
    <t>5B2</t>
  </si>
  <si>
    <t>Asist. planta OTE/Aut. ETT.</t>
  </si>
  <si>
    <t>Pintura</t>
  </si>
  <si>
    <t>PINTURA</t>
  </si>
  <si>
    <t>5B3</t>
  </si>
  <si>
    <t>Asist. planta OTE/Aut. EXT.</t>
  </si>
  <si>
    <t>Montaje mecánico AUTO</t>
  </si>
  <si>
    <t>5B4</t>
  </si>
  <si>
    <t>Asist. planta OTE/Aut. AUX.</t>
  </si>
  <si>
    <t>Montaje mecánico AERO</t>
  </si>
  <si>
    <t>Asist. planta Robótica INT.</t>
  </si>
  <si>
    <t>Metrología 3D AUTO</t>
  </si>
  <si>
    <t>METROLOGÍA 3D AU</t>
  </si>
  <si>
    <t>5C2</t>
  </si>
  <si>
    <t>Asist. planta Robótica ETT.</t>
  </si>
  <si>
    <t>Metrología 3D AERO</t>
  </si>
  <si>
    <t>METROLOGÍA 3D AE</t>
  </si>
  <si>
    <t>5C3</t>
  </si>
  <si>
    <t>Asist. planta Robótica EXT.</t>
  </si>
  <si>
    <t>Fabric.Elec.Armarios AUTO</t>
  </si>
  <si>
    <t>FABRIC.ELEC.ARMA</t>
  </si>
  <si>
    <t>5C4</t>
  </si>
  <si>
    <t>Asist. planta Robótica AUX.</t>
  </si>
  <si>
    <t>Fabric.Elec.Armarios AERO</t>
  </si>
  <si>
    <t>Asist. planta Mont. Mec. INT.</t>
  </si>
  <si>
    <t>Instalacion Electrica AUTO</t>
  </si>
  <si>
    <t>INSTALACION ELEC</t>
  </si>
  <si>
    <t>5D2</t>
  </si>
  <si>
    <t>Asist. planta Mont. Mec. ETT.</t>
  </si>
  <si>
    <t>Instalacion Electrica AERO</t>
  </si>
  <si>
    <t>5D3</t>
  </si>
  <si>
    <t>Asist. planta Mont. Mec. EXT.</t>
  </si>
  <si>
    <t>Instalacion NR AUTO</t>
  </si>
  <si>
    <t>INSTALACION NR A</t>
  </si>
  <si>
    <t>5D4</t>
  </si>
  <si>
    <t>Asist. planta Mont. Mec. AUX.</t>
  </si>
  <si>
    <t>Instalacion NR AERO</t>
  </si>
  <si>
    <t>Asist. planta A.T. INT.</t>
  </si>
  <si>
    <t>Programacion CAM</t>
  </si>
  <si>
    <t>PROGRAMACION CAM</t>
  </si>
  <si>
    <t>5E2</t>
  </si>
  <si>
    <t>Asist. planta A.T. ETT.</t>
  </si>
  <si>
    <t>Verificación Dimensional AUTO</t>
  </si>
  <si>
    <t>VERIFICACIÓN DIM</t>
  </si>
  <si>
    <t>5E3</t>
  </si>
  <si>
    <t>Asist. planta A.T. EXT.</t>
  </si>
  <si>
    <t>Verificación Dimensional AERO</t>
  </si>
  <si>
    <t>5E4</t>
  </si>
  <si>
    <t>Asist. planta A.T. AUX.</t>
  </si>
  <si>
    <t>Montaje mecanico STD</t>
  </si>
  <si>
    <t>MONTAJE MECANICO</t>
  </si>
  <si>
    <t>5ZZ</t>
  </si>
  <si>
    <t>Asistencia en planta</t>
  </si>
  <si>
    <t>Verificacion Maquinas STD</t>
  </si>
  <si>
    <t>VERIFICACION MAQ</t>
  </si>
  <si>
    <t>500</t>
  </si>
  <si>
    <t>Trabajos en Planta</t>
  </si>
  <si>
    <t>G008</t>
  </si>
  <si>
    <t>Verificacion Electronica</t>
  </si>
  <si>
    <t>VERIFICACION ELE</t>
  </si>
  <si>
    <t>Trab. Planta Procesos INT.</t>
  </si>
  <si>
    <t>ASUNTOS SINDICALES</t>
  </si>
  <si>
    <t>ASUNTOS SINDICAL</t>
  </si>
  <si>
    <t>512</t>
  </si>
  <si>
    <t>Trab. Planta Procesos ETT.</t>
  </si>
  <si>
    <t>Horas directas improductivas</t>
  </si>
  <si>
    <t>HORAS DIRECTAS I</t>
  </si>
  <si>
    <t>513</t>
  </si>
  <si>
    <t>Trab. Planta Procesos EXT.</t>
  </si>
  <si>
    <t>VACACIONES</t>
  </si>
  <si>
    <t>Ausencia</t>
  </si>
  <si>
    <t>514</t>
  </si>
  <si>
    <t>Trab. Planta Procesos AUX.</t>
  </si>
  <si>
    <t>BAJA TEMPORAL</t>
  </si>
  <si>
    <t>Trab. Planta OTE/Auto. INT.</t>
  </si>
  <si>
    <t>ASUNTOS PARTICULARES</t>
  </si>
  <si>
    <t>ASUNTOS PARTICUL</t>
  </si>
  <si>
    <t>522</t>
  </si>
  <si>
    <t>Trab. Planta OTE/Auto. ETT.</t>
  </si>
  <si>
    <t>VISITA AL MEDICO</t>
  </si>
  <si>
    <t>523</t>
  </si>
  <si>
    <t>Trab. Planta OTE/Auto. EXT.</t>
  </si>
  <si>
    <t>CURSILLOS EXTERIORES</t>
  </si>
  <si>
    <t>CURSILLOS EXTERI</t>
  </si>
  <si>
    <t>524</t>
  </si>
  <si>
    <t>Trab. Planta OTE/Auto. AUX.</t>
  </si>
  <si>
    <t>Trab. Planta Robótica INT.</t>
  </si>
  <si>
    <t>REGULACIÓN DE EMPLEO</t>
  </si>
  <si>
    <t>REGULACIÓN EMPL</t>
  </si>
  <si>
    <t>532</t>
  </si>
  <si>
    <t>Trab. Planta Robótica ETT.</t>
  </si>
  <si>
    <t>533</t>
  </si>
  <si>
    <t>Trab. Planta Robótica EXT.</t>
  </si>
  <si>
    <t>534</t>
  </si>
  <si>
    <t>Trab. Planta Robótica AUX.</t>
  </si>
  <si>
    <t>Trab. Planta Mont. Mec. INT.</t>
  </si>
  <si>
    <t>542</t>
  </si>
  <si>
    <t>Trab. Planta Mont. Mec. ETT.</t>
  </si>
  <si>
    <t>543</t>
  </si>
  <si>
    <t>Trab. Planta Mont. Mec. EXT.</t>
  </si>
  <si>
    <t>544</t>
  </si>
  <si>
    <t>Trab. Planta Mont. Mec. AUX.</t>
  </si>
  <si>
    <t>Trab. Planta A.T. INT.</t>
  </si>
  <si>
    <t>552</t>
  </si>
  <si>
    <t>Trab. Planta A.T. ETT.</t>
  </si>
  <si>
    <t>553</t>
  </si>
  <si>
    <t>Trab. Planta A.T. EXT.</t>
  </si>
  <si>
    <t>554</t>
  </si>
  <si>
    <t>Trab. Planta A.T. AUX.</t>
  </si>
  <si>
    <t>Remontaje Mecánico INT.</t>
  </si>
  <si>
    <t>G007</t>
  </si>
  <si>
    <t>562</t>
  </si>
  <si>
    <t>Remontaje Mecánico ETT.</t>
  </si>
  <si>
    <t>563</t>
  </si>
  <si>
    <t>Remontaje Mecánico EXT.</t>
  </si>
  <si>
    <t>564</t>
  </si>
  <si>
    <t>Remontaje Mecánico AUX.</t>
  </si>
  <si>
    <t>Remontaje Eléctrico INT.</t>
  </si>
  <si>
    <t>572</t>
  </si>
  <si>
    <t>Remontaje Eléctrico ETT.</t>
  </si>
  <si>
    <t>573</t>
  </si>
  <si>
    <t>Remontaje Eléctrico EXT.</t>
  </si>
  <si>
    <t>574</t>
  </si>
  <si>
    <t>Remontaje Eléctrico AUX.</t>
  </si>
  <si>
    <t>Remontaje NR INT.</t>
  </si>
  <si>
    <t>582</t>
  </si>
  <si>
    <t>Remontaje NR ETT.</t>
  </si>
  <si>
    <t>583</t>
  </si>
  <si>
    <t>Remontaje NR EXT.</t>
  </si>
  <si>
    <t>584</t>
  </si>
  <si>
    <t>Remontaje NR AUX.</t>
  </si>
  <si>
    <t>Trab. planta Ing. Mec. INT</t>
  </si>
  <si>
    <t>592</t>
  </si>
  <si>
    <t>Trab. planta Ing. Mec. ETT</t>
  </si>
  <si>
    <t>593</t>
  </si>
  <si>
    <t>Trab. planta Ing. Mec. EXT</t>
  </si>
  <si>
    <t>594</t>
  </si>
  <si>
    <t>Trab. planta Ing. Mec. AUX</t>
  </si>
  <si>
    <t>7A1</t>
  </si>
  <si>
    <t>Fabricación eléctrica STD INT.</t>
  </si>
  <si>
    <t>7A2</t>
  </si>
  <si>
    <t>Fabricación eléctrica STD ETT.</t>
  </si>
  <si>
    <t>7A3</t>
  </si>
  <si>
    <t>Fabricación eléctrica STD EXT.</t>
  </si>
  <si>
    <t>7A4</t>
  </si>
  <si>
    <t>Fabricación eléctrica STD AUX.</t>
  </si>
  <si>
    <t>7B1</t>
  </si>
  <si>
    <t>Montaje trafos STD INT.</t>
  </si>
  <si>
    <t>7B2</t>
  </si>
  <si>
    <t>Montaje trafos STD ETT.</t>
  </si>
  <si>
    <t>7B3</t>
  </si>
  <si>
    <t>Montaje trafos STD EXT.</t>
  </si>
  <si>
    <t>7B4</t>
  </si>
  <si>
    <t>Montaje trafos STD AUX.</t>
  </si>
  <si>
    <t>Montaje mecánico STD INT.</t>
  </si>
  <si>
    <t>7C2</t>
  </si>
  <si>
    <t>Montaje mecánico STD ETT.</t>
  </si>
  <si>
    <t>7C3</t>
  </si>
  <si>
    <t>Montaje mecánico STD EXT.</t>
  </si>
  <si>
    <t>7C4</t>
  </si>
  <si>
    <t>Montaje mecánico STD AUX.</t>
  </si>
  <si>
    <t>7C5</t>
  </si>
  <si>
    <t>Montaje mecánico STD Comun</t>
  </si>
  <si>
    <t>Instalación eléctrica STD INT.</t>
  </si>
  <si>
    <t>7D2</t>
  </si>
  <si>
    <t>Instalación eléctrica STD ETT.</t>
  </si>
  <si>
    <t>7D3</t>
  </si>
  <si>
    <t>Instalación eléctrica STD EXT.</t>
  </si>
  <si>
    <t>7D4</t>
  </si>
  <si>
    <t>Instalación eléctrica STD AUX.</t>
  </si>
  <si>
    <t>Verificación máquinas STD INT.</t>
  </si>
  <si>
    <t>7E2</t>
  </si>
  <si>
    <t>Verificación máquinas STD ETT.</t>
  </si>
  <si>
    <t>7E3</t>
  </si>
  <si>
    <t>Verificación máquinas STD EXT.</t>
  </si>
  <si>
    <t>7E4</t>
  </si>
  <si>
    <t>Verificación máquinas STD AUX.</t>
  </si>
  <si>
    <t>Ing. Mecánica-Diseño INT.</t>
  </si>
  <si>
    <t>712</t>
  </si>
  <si>
    <t>Ing. Mecánica-Diseño ETT.</t>
  </si>
  <si>
    <t>713</t>
  </si>
  <si>
    <t>Ing. Mecánica-Diseño EXT.</t>
  </si>
  <si>
    <t>714</t>
  </si>
  <si>
    <t>Ing. Mecánica-Diseño AUX.</t>
  </si>
  <si>
    <t>Fabricación Mecánica INT.</t>
  </si>
  <si>
    <t>722</t>
  </si>
  <si>
    <t>Fabricación Mecánica ETT.</t>
  </si>
  <si>
    <t>723</t>
  </si>
  <si>
    <t>Fabricación Mecánica EXT.</t>
  </si>
  <si>
    <t>724</t>
  </si>
  <si>
    <t>Fabricación Mecánica AUX.</t>
  </si>
  <si>
    <t>Montaje Mecánico INT.</t>
  </si>
  <si>
    <t>732</t>
  </si>
  <si>
    <t>Montaje Mecánico ETT.</t>
  </si>
  <si>
    <t>733</t>
  </si>
  <si>
    <t>Montaje Mecánico EXT.</t>
  </si>
  <si>
    <t>734</t>
  </si>
  <si>
    <t>Montaje Mecánico AUX.</t>
  </si>
  <si>
    <t>740</t>
  </si>
  <si>
    <t>Metrología Serra</t>
  </si>
  <si>
    <t>Metrología INT.</t>
  </si>
  <si>
    <t>742</t>
  </si>
  <si>
    <t>Metrología ETT.</t>
  </si>
  <si>
    <t>743</t>
  </si>
  <si>
    <t>Metrología EXT.</t>
  </si>
  <si>
    <t>Metrología Ext.</t>
  </si>
  <si>
    <t>744</t>
  </si>
  <si>
    <t>Metrología AUX.</t>
  </si>
  <si>
    <t>Fabric. Elétr. Armarios INT.</t>
  </si>
  <si>
    <t>Fabricación Eléctrica Serra</t>
  </si>
  <si>
    <t>752</t>
  </si>
  <si>
    <t>Fabric. Elétr. Armarios ETT.</t>
  </si>
  <si>
    <t>753</t>
  </si>
  <si>
    <t>Fabric. Elétr. Armarios EXT.</t>
  </si>
  <si>
    <t>754</t>
  </si>
  <si>
    <t>Fabric. Elétr. Armarios AUX.</t>
  </si>
  <si>
    <t>Instalación Eléctrica INT.</t>
  </si>
  <si>
    <t>762</t>
  </si>
  <si>
    <t>Instalación Eléctrica ETT.</t>
  </si>
  <si>
    <t>763</t>
  </si>
  <si>
    <t>Instalación Eléctrica EXT.</t>
  </si>
  <si>
    <t>764</t>
  </si>
  <si>
    <t>Instalación Eléctrica AUX.</t>
  </si>
  <si>
    <t>Instalación NR INT.</t>
  </si>
  <si>
    <t>772</t>
  </si>
  <si>
    <t>Instalación NR ETT.</t>
  </si>
  <si>
    <t>773</t>
  </si>
  <si>
    <t>Instalación NR EXT.</t>
  </si>
  <si>
    <t>774</t>
  </si>
  <si>
    <t>Instalación NR AUX.</t>
  </si>
  <si>
    <t>781</t>
  </si>
  <si>
    <t>Fabricación CNC INT.</t>
  </si>
  <si>
    <t>782</t>
  </si>
  <si>
    <t>Fabricación CNC ETT.</t>
  </si>
  <si>
    <t>783</t>
  </si>
  <si>
    <t>Fabricación CNC EXT.</t>
  </si>
  <si>
    <t>784</t>
  </si>
  <si>
    <t>Fabricación CNC AUX.</t>
  </si>
  <si>
    <t>ItmCls</t>
  </si>
  <si>
    <t>N02</t>
  </si>
  <si>
    <t>010:000.001.001.000.000</t>
  </si>
  <si>
    <t>624323.0010</t>
  </si>
  <si>
    <t>N03</t>
  </si>
  <si>
    <t>N04</t>
  </si>
  <si>
    <t>Version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</si>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</sst>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€&quot;;[Red]\-#,##0\ &quot;€&quot;"/>
    <numFmt numFmtId="164" formatCode="#,##0\ &quot;€&quot;"/>
    <numFmt numFmtId="165" formatCode="#,##0\ &quot;h&quot;"/>
  </numFmts>
  <fonts count="19" x14ac:knownFonts="1"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rgb="FFFF0000"/>
      <name val="Arial Nova Cond Light"/>
      <family val="2"/>
    </font>
    <font>
      <sz val="8"/>
      <color theme="0"/>
      <name val="Arial Nova Cond Light"/>
      <family val="2"/>
    </font>
    <font>
      <sz val="11"/>
      <color theme="1"/>
      <name val="Aptos Narrow"/>
      <family val="2"/>
      <scheme val="minor"/>
    </font>
    <font>
      <sz val="4"/>
      <color theme="1"/>
      <name val="Arial Nova Cond Light"/>
      <family val="2"/>
    </font>
    <font>
      <sz val="10"/>
      <name val="Arial"/>
      <family val="2"/>
    </font>
    <font>
      <sz val="4"/>
      <name val="Arial Nova Cond Light"/>
      <family val="2"/>
    </font>
    <font>
      <sz val="10"/>
      <name val="Arial Nova Cond Light"/>
      <family val="2"/>
    </font>
    <font>
      <sz val="8"/>
      <name val="Arial Nova Cond Light"/>
      <family val="2"/>
    </font>
    <font>
      <sz val="8"/>
      <color theme="0" tint="-0.499984740745262"/>
      <name val="Arial Nova Cond Light"/>
      <family val="2"/>
    </font>
    <font>
      <sz val="12"/>
      <name val="Arial"/>
      <family val="2"/>
    </font>
    <font>
      <sz val="10"/>
      <name val="Arial"/>
      <family val="2"/>
    </font>
    <font>
      <sz val="8"/>
      <color indexed="8"/>
      <name val="Arial Nova Cond Light"/>
      <family val="2"/>
    </font>
    <font>
      <b/>
      <sz val="8"/>
      <color indexed="8"/>
      <name val="Arial Nova Cond Light"/>
      <family val="2"/>
    </font>
    <font>
      <sz val="8"/>
      <name val="Arial"/>
      <family val="2"/>
    </font>
    <font>
      <i/>
      <sz val="8"/>
      <color indexed="23"/>
      <name val="Arial Nova Cond Light"/>
      <family val="2"/>
    </font>
    <font>
      <sz val="12"/>
      <color indexed="24"/>
      <name val="Times New Roman"/>
      <family val="1"/>
    </font>
    <font>
      <sz val="8"/>
      <color indexed="24"/>
      <name val="Arial Nova Cond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8">
    <xf numFmtId="0" fontId="0" fillId="0" borderId="0"/>
    <xf numFmtId="0" fontId="4" fillId="0" borderId="0"/>
    <xf numFmtId="0" fontId="6" fillId="0" borderId="0"/>
    <xf numFmtId="0" fontId="11" fillId="0" borderId="0"/>
    <xf numFmtId="0" fontId="12" fillId="0" borderId="0"/>
    <xf numFmtId="0" fontId="15" fillId="0" borderId="0"/>
    <xf numFmtId="0" fontId="12" fillId="0" borderId="0"/>
    <xf numFmtId="0" fontId="17" fillId="0" borderId="0"/>
  </cellStyleXfs>
  <cellXfs count="68">
    <xf numFmtId="0" fontId="0" fillId="0" borderId="0" xfId="0"/>
    <xf numFmtId="0" fontId="5" fillId="2" borderId="0" xfId="1" applyFont="1" applyFill="1" applyAlignment="1">
      <alignment horizontal="center" vertical="top" textRotation="90"/>
    </xf>
    <xf numFmtId="0" fontId="7" fillId="2" borderId="0" xfId="2" applyFont="1" applyFill="1" applyAlignment="1">
      <alignment horizontal="center" vertical="top" textRotation="90"/>
    </xf>
    <xf numFmtId="0" fontId="7" fillId="2" borderId="0" xfId="1" applyFont="1" applyFill="1" applyAlignment="1">
      <alignment horizontal="center" vertical="top" textRotation="90"/>
    </xf>
    <xf numFmtId="0" fontId="1" fillId="3" borderId="1" xfId="1" applyFont="1" applyFill="1" applyBorder="1" applyAlignment="1">
      <alignment horizontal="left" vertical="top" textRotation="90"/>
    </xf>
    <xf numFmtId="0" fontId="1" fillId="4" borderId="2" xfId="1" applyFont="1" applyFill="1" applyBorder="1" applyAlignment="1">
      <alignment horizontal="left" vertical="top" textRotation="90" wrapText="1"/>
    </xf>
    <xf numFmtId="0" fontId="8" fillId="0" borderId="0" xfId="2" applyFont="1" applyAlignment="1">
      <alignment vertical="top"/>
    </xf>
    <xf numFmtId="0" fontId="1" fillId="0" borderId="0" xfId="1" applyFont="1" applyAlignment="1">
      <alignment vertical="top"/>
    </xf>
    <xf numFmtId="0" fontId="9" fillId="0" borderId="0" xfId="1" applyFont="1" applyAlignment="1">
      <alignment vertical="top"/>
    </xf>
    <xf numFmtId="0" fontId="1" fillId="3" borderId="3" xfId="1" applyFont="1" applyFill="1" applyBorder="1" applyAlignment="1">
      <alignment vertical="top"/>
    </xf>
    <xf numFmtId="0" fontId="1" fillId="4" borderId="4" xfId="1" applyFont="1" applyFill="1" applyBorder="1" applyAlignment="1">
      <alignment horizontal="left" vertical="top"/>
    </xf>
    <xf numFmtId="0" fontId="1" fillId="3" borderId="0" xfId="1" applyFont="1" applyFill="1" applyAlignment="1">
      <alignment horizontal="left" vertical="top"/>
    </xf>
    <xf numFmtId="0" fontId="1" fillId="3" borderId="5" xfId="1" applyFont="1" applyFill="1" applyBorder="1" applyAlignment="1">
      <alignment vertical="top"/>
    </xf>
    <xf numFmtId="0" fontId="1" fillId="4" borderId="6" xfId="1" applyFont="1" applyFill="1" applyBorder="1" applyAlignment="1">
      <alignment horizontal="left" vertical="top"/>
    </xf>
    <xf numFmtId="0" fontId="10" fillId="0" borderId="0" xfId="1" applyFont="1" applyAlignment="1">
      <alignment horizontal="left" vertical="top" shrinkToFit="1"/>
    </xf>
    <xf numFmtId="0" fontId="1" fillId="4" borderId="6" xfId="1" applyFont="1" applyFill="1" applyBorder="1" applyAlignment="1">
      <alignment horizontal="left" vertical="top" shrinkToFit="1"/>
    </xf>
    <xf numFmtId="0" fontId="1" fillId="0" borderId="0" xfId="1" applyFont="1" applyAlignment="1">
      <alignment horizontal="left" vertical="top"/>
    </xf>
    <xf numFmtId="0" fontId="1" fillId="3" borderId="0" xfId="1" applyFont="1" applyFill="1" applyAlignment="1">
      <alignment vertical="top"/>
    </xf>
    <xf numFmtId="0" fontId="1" fillId="3" borderId="0" xfId="1" applyFont="1" applyFill="1" applyAlignment="1">
      <alignment horizontal="center" vertical="top"/>
    </xf>
    <xf numFmtId="0" fontId="1" fillId="5" borderId="0" xfId="1" applyFont="1" applyFill="1" applyAlignment="1">
      <alignment horizontal="left" vertical="top"/>
    </xf>
    <xf numFmtId="0" fontId="9" fillId="0" borderId="0" xfId="1" applyFont="1" applyAlignment="1">
      <alignment horizontal="center" vertical="top"/>
    </xf>
    <xf numFmtId="0" fontId="1" fillId="3" borderId="0" xfId="1" quotePrefix="1" applyFont="1" applyFill="1" applyAlignment="1">
      <alignment horizontal="left" vertical="top"/>
    </xf>
    <xf numFmtId="0" fontId="6" fillId="0" borderId="0" xfId="2"/>
    <xf numFmtId="0" fontId="9" fillId="0" borderId="0" xfId="2" applyFont="1"/>
    <xf numFmtId="0" fontId="9" fillId="0" borderId="0" xfId="1" applyFont="1"/>
    <xf numFmtId="0" fontId="9" fillId="0" borderId="0" xfId="3" applyFont="1"/>
    <xf numFmtId="49" fontId="9" fillId="0" borderId="0" xfId="3" applyNumberFormat="1" applyFont="1"/>
    <xf numFmtId="0" fontId="9" fillId="0" borderId="0" xfId="1" applyFont="1" applyAlignment="1">
      <alignment horizontal="left" vertical="top"/>
    </xf>
    <xf numFmtId="0" fontId="1" fillId="0" borderId="0" xfId="1" applyFont="1"/>
    <xf numFmtId="49" fontId="1" fillId="0" borderId="0" xfId="1" applyNumberFormat="1" applyFont="1"/>
    <xf numFmtId="0" fontId="1" fillId="0" borderId="0" xfId="1" applyFont="1" applyAlignment="1">
      <alignment horizontal="left" vertical="top" textRotation="90"/>
    </xf>
    <xf numFmtId="0" fontId="9" fillId="0" borderId="0" xfId="4" applyFont="1"/>
    <xf numFmtId="0" fontId="9" fillId="0" borderId="0" xfId="2" applyFont="1" applyAlignment="1">
      <alignment horizontal="left" vertical="top" textRotation="90"/>
    </xf>
    <xf numFmtId="0" fontId="9" fillId="0" borderId="0" xfId="1" applyFont="1" applyAlignment="1">
      <alignment horizontal="right" vertical="top" textRotation="90"/>
    </xf>
    <xf numFmtId="0" fontId="13" fillId="0" borderId="0" xfId="3" applyFont="1" applyAlignment="1" applyProtection="1">
      <alignment horizontal="center" vertical="top" textRotation="90"/>
      <protection locked="0"/>
    </xf>
    <xf numFmtId="49" fontId="14" fillId="0" borderId="0" xfId="3" applyNumberFormat="1" applyFont="1" applyAlignment="1">
      <alignment horizontal="center" vertical="top" textRotation="90"/>
    </xf>
    <xf numFmtId="0" fontId="13" fillId="0" borderId="7" xfId="5" applyFont="1" applyBorder="1" applyAlignment="1" applyProtection="1">
      <alignment horizontal="center" vertical="top" textRotation="90"/>
      <protection locked="0"/>
    </xf>
    <xf numFmtId="0" fontId="13" fillId="0" borderId="0" xfId="3" applyFont="1" applyAlignment="1" applyProtection="1">
      <alignment horizontal="center" vertical="top" textRotation="90" wrapText="1"/>
      <protection locked="0"/>
    </xf>
    <xf numFmtId="0" fontId="9" fillId="0" borderId="0" xfId="1" applyFont="1" applyAlignment="1">
      <alignment horizontal="left" vertical="top" textRotation="90"/>
    </xf>
    <xf numFmtId="0" fontId="3" fillId="0" borderId="0" xfId="1" applyFont="1" applyAlignment="1">
      <alignment horizontal="center" vertical="top" textRotation="90"/>
    </xf>
    <xf numFmtId="49" fontId="3" fillId="0" borderId="0" xfId="1" applyNumberFormat="1" applyFont="1" applyAlignment="1">
      <alignment horizontal="center" vertical="top" textRotation="90"/>
    </xf>
    <xf numFmtId="0" fontId="9" fillId="0" borderId="0" xfId="4" applyFont="1" applyAlignment="1">
      <alignment horizontal="left" vertical="top" textRotation="90"/>
    </xf>
    <xf numFmtId="0" fontId="13" fillId="0" borderId="0" xfId="3" applyFont="1" applyAlignment="1" applyProtection="1">
      <alignment horizontal="left" vertical="top"/>
      <protection locked="0"/>
    </xf>
    <xf numFmtId="49" fontId="9" fillId="0" borderId="0" xfId="3" applyNumberFormat="1" applyFont="1" applyAlignment="1" applyProtection="1">
      <alignment horizontal="left" vertical="top"/>
      <protection locked="0"/>
    </xf>
    <xf numFmtId="0" fontId="13" fillId="0" borderId="0" xfId="5" applyFont="1" applyAlignment="1" applyProtection="1">
      <alignment horizontal="left" vertical="top"/>
      <protection locked="0"/>
    </xf>
    <xf numFmtId="0" fontId="13" fillId="0" borderId="0" xfId="3" applyFont="1" applyAlignment="1" applyProtection="1">
      <alignment horizontal="center" vertical="top"/>
      <protection locked="0"/>
    </xf>
    <xf numFmtId="164" fontId="9" fillId="0" borderId="0" xfId="6" applyNumberFormat="1" applyFont="1" applyAlignment="1">
      <alignment horizontal="left" vertical="top"/>
    </xf>
    <xf numFmtId="164" fontId="16" fillId="0" borderId="0" xfId="6" applyNumberFormat="1" applyFont="1" applyAlignment="1">
      <alignment horizontal="left" vertical="top"/>
    </xf>
    <xf numFmtId="1" fontId="13" fillId="0" borderId="0" xfId="1" applyNumberFormat="1" applyFont="1"/>
    <xf numFmtId="0" fontId="13" fillId="0" borderId="0" xfId="1" applyFont="1"/>
    <xf numFmtId="49" fontId="13" fillId="0" borderId="0" xfId="1" applyNumberFormat="1" applyFont="1"/>
    <xf numFmtId="0" fontId="3" fillId="6" borderId="0" xfId="4" applyFont="1" applyFill="1" applyAlignment="1">
      <alignment horizontal="center" vertical="center" textRotation="90"/>
    </xf>
    <xf numFmtId="0" fontId="9" fillId="0" borderId="0" xfId="4" applyFont="1" applyAlignment="1">
      <alignment vertical="center"/>
    </xf>
    <xf numFmtId="3" fontId="18" fillId="0" borderId="0" xfId="7" applyNumberFormat="1" applyFont="1"/>
    <xf numFmtId="49" fontId="9" fillId="3" borderId="0" xfId="3" applyNumberFormat="1" applyFont="1" applyFill="1" applyAlignment="1" applyProtection="1">
      <alignment horizontal="left" vertical="top"/>
      <protection locked="0"/>
    </xf>
    <xf numFmtId="164" fontId="16" fillId="0" borderId="0" xfId="6" quotePrefix="1" applyNumberFormat="1" applyFont="1" applyAlignment="1">
      <alignment horizontal="left" vertical="top"/>
    </xf>
    <xf numFmtId="165" fontId="9" fillId="0" borderId="0" xfId="6" applyNumberFormat="1" applyFont="1" applyAlignment="1">
      <alignment horizontal="left" vertical="top"/>
    </xf>
    <xf numFmtId="164" fontId="9" fillId="0" borderId="0" xfId="6" applyNumberFormat="1" applyFont="1" applyAlignment="1" applyProtection="1">
      <alignment horizontal="left" vertical="top"/>
      <protection locked="0"/>
    </xf>
    <xf numFmtId="6" fontId="9" fillId="0" borderId="0" xfId="6" applyNumberFormat="1" applyFont="1" applyAlignment="1" applyProtection="1">
      <alignment horizontal="left" vertical="top"/>
      <protection locked="0"/>
    </xf>
    <xf numFmtId="164" fontId="9" fillId="0" borderId="0" xfId="1" applyNumberFormat="1" applyFont="1" applyAlignment="1">
      <alignment horizontal="left" vertical="top"/>
    </xf>
    <xf numFmtId="164" fontId="9" fillId="0" borderId="0" xfId="6" applyNumberFormat="1" applyFont="1" applyAlignment="1">
      <alignment horizontal="left" vertical="center"/>
    </xf>
    <xf numFmtId="165" fontId="9" fillId="0" borderId="0" xfId="6" applyNumberFormat="1" applyFont="1" applyAlignment="1">
      <alignment horizontal="left" vertical="center"/>
    </xf>
    <xf numFmtId="49" fontId="3" fillId="6" borderId="0" xfId="3" applyNumberFormat="1" applyFont="1" applyFill="1" applyAlignment="1" applyProtection="1">
      <alignment horizontal="left" vertical="top"/>
      <protection locked="0"/>
    </xf>
    <xf numFmtId="0" fontId="12" fillId="0" borderId="0" xfId="2" applyFont="1"/>
    <xf numFmtId="164" fontId="9" fillId="0" borderId="0" xfId="6" applyNumberFormat="1" applyFont="1" applyAlignment="1" applyProtection="1">
      <alignment horizontal="left" vertical="center"/>
      <protection locked="0"/>
    </xf>
    <xf numFmtId="49" fontId="2" fillId="0" borderId="0" xfId="3" applyNumberFormat="1" applyFont="1" applyAlignment="1" applyProtection="1">
      <alignment horizontal="left" vertical="top"/>
      <protection locked="0"/>
    </xf>
    <xf numFmtId="49" fontId="13" fillId="0" borderId="0" xfId="3" applyNumberFormat="1" applyFont="1" applyAlignment="1" applyProtection="1">
      <alignment horizontal="left" vertical="top"/>
      <protection locked="0"/>
    </xf>
    <xf numFmtId="0" fontId="0" fillId="3" borderId="3" xfId="1" applyFont="1" applyFill="1" applyBorder="1" applyAlignment="1">
      <alignment vertical="top"/>
    </xf>
  </cellXfs>
  <cellStyles count="8">
    <cellStyle name="Normal" xfId="0" builtinId="0"/>
    <cellStyle name="Normal 2" xfId="2" xr:uid="{035232CD-C3BA-4991-9538-636AD6F0ED55}"/>
    <cellStyle name="Normal 2 2" xfId="3" xr:uid="{E13ED41A-C206-48F6-8DD6-A0FDC241B051}"/>
    <cellStyle name="Normal 2 3" xfId="5" xr:uid="{88A39880-62DA-40DD-9E88-E11303EC21D0}"/>
    <cellStyle name="Normal 3" xfId="4" xr:uid="{218F9211-56AE-44DF-8440-5B5EABC8AA68}"/>
    <cellStyle name="Normal 8" xfId="1" xr:uid="{3EFC7D9F-21E3-492C-8291-E0E2C8D649F6}"/>
    <cellStyle name="Normal_ED0D" xfId="7" xr:uid="{97B5C73F-F931-4819-9890-4B49FB06288F}"/>
    <cellStyle name="Normal_Libro1" xfId="6" xr:uid="{DC32AFC5-BF04-40D7-B61D-DF7172901080}"/>
  </cellStyles>
  <dxfs count="5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27" formatCode="dd/mm/yyyy\ h:mm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 tint="0.499984740745262"/>
        <name val="Arial Nova Cond Light"/>
        <family val="2"/>
        <scheme val="none"/>
      </font>
      <fill>
        <patternFill patternType="solid">
          <fgColor indexed="64"/>
          <bgColor theme="0" tint="-0.499984740745262"/>
        </patternFill>
      </fill>
      <alignment vertical="top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numFmt numFmtId="166" formatCode="dd/mm/yy\ hh:mm:ss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ova Cond Light"/>
        <family val="2"/>
        <scheme val="none"/>
      </font>
      <fill>
        <patternFill patternType="solid">
          <fgColor indexed="64"/>
          <bgColor rgb="FFFFFF00"/>
        </patternFill>
      </fill>
      <alignment vertical="top" indent="0" justifyLastLine="0" readingOrder="0"/>
    </dxf>
    <dxf>
      <font>
        <strike val="0"/>
        <outline val="0"/>
        <shadow val="0"/>
        <u val="none"/>
        <vertAlign val="baseline"/>
        <name val="Arial Nova Cond Light"/>
        <family val="2"/>
        <scheme val="none"/>
      </font>
      <alignment vertical="top" indent="0" justifyLastLine="0" readingOrder="0"/>
    </dxf>
    <dxf>
      <font>
        <strike val="0"/>
        <outline val="0"/>
        <shadow val="0"/>
        <u val="none"/>
        <vertAlign val="baseline"/>
        <name val="Arial Nova Cond Light"/>
        <family val="2"/>
        <scheme val="none"/>
      </font>
      <alignment vertical="top" indent="0" justifyLastLine="0" readingOrder="0"/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alignment horizontal="left" vertical="top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border outline="0">
        <left style="thin">
          <color indexed="8"/>
        </left>
        <right style="thin">
          <color indexed="8"/>
        </right>
        <top style="thin">
          <color indexed="8"/>
        </top>
      </border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9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 Nova Cond Light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9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 Nova Cond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9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numFmt numFmtId="164" formatCode="#,##0\ &quot;€&quot;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numFmt numFmtId="164" formatCode="#,##0\ &quot;€&quot;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indexed="23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ova Cond Light"/>
        <family val="2"/>
        <scheme val="none"/>
      </font>
      <numFmt numFmtId="164" formatCode="#,##0\ &quot;€&quot;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alignment horizontal="left" vertical="top" textRotation="9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8EE16220-5DF9-4391-9CD1-72F387DC394A}" autoFormatId="16" applyNumberFormats="0" applyBorderFormats="0" applyFontFormats="0" applyPatternFormats="0" applyAlignmentFormats="0" applyWidthHeightFormats="0">
  <queryTableRefresh nextId="6">
    <queryTableFields count="5">
      <queryTableField id="1" name="ItmCls" tableColumnId="1"/>
      <queryTableField id="2" name="N02" tableColumnId="2"/>
      <queryTableField id="3" name="N03" tableColumnId="3"/>
      <queryTableField id="4" name="N04" tableColumnId="4"/>
      <queryTableField id="5" name="Valu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3DA65C-76D7-4781-931C-69D1DE74A7E4}" name="CstGrpS" displayName="CstGrpS" ref="K2:U40" totalsRowShown="0" headerRowDxfId="52" dataDxfId="51">
  <autoFilter ref="K2:U40" xr:uid="{17D93A45-6AE1-4F12-A2A5-7C4FC99CE586}"/>
  <tableColumns count="11">
    <tableColumn id="1" xr3:uid="{C29E963E-7761-4FFB-8778-53A3E6D7202D}" name="CstGrpId" dataDxfId="50" dataCellStyle="Normal_Libro1"/>
    <tableColumn id="2" xr3:uid="{D8C48F7E-3155-49E8-B2E3-AFDB95720A0D}" name="GrpInE" dataDxfId="49" dataCellStyle="Normal_Libro1"/>
    <tableColumn id="6" xr3:uid="{B73B6423-99EE-4D07-BE1C-DD6157696ADC}" name="GrpPpto" dataDxfId="48" dataCellStyle="Normal_Libro1"/>
    <tableColumn id="7" xr3:uid="{84195BA0-271A-48B5-88C8-3F060A01A44D}" name="GrpPrv" dataDxfId="47" dataCellStyle="Normal_Libro1"/>
    <tableColumn id="9" xr3:uid="{6E658C0D-CD20-4F62-AD9C-A768BACF0544}" name="GrpRates" dataDxfId="46" dataCellStyle="Normal_Libro1"/>
    <tableColumn id="10" xr3:uid="{36CA5757-65C9-40EC-816D-ABDB553695B3}" name="GprDest" dataDxfId="45" dataCellStyle="Normal_Libro1"/>
    <tableColumn id="11" xr3:uid="{78FE34CE-BE21-480C-B317-41B4947FF66E}" name="GrpCTs" dataDxfId="44" dataCellStyle="Normal_Libro1"/>
    <tableColumn id="3" xr3:uid="{0FFD8954-8DA6-4EF0-89D3-1885DC767964}" name="Assign" dataDxfId="43"/>
    <tableColumn id="5" xr3:uid="{77B454B9-AC78-46D5-B96C-EE67BFB2AE8F}" name="Order" dataDxfId="42" dataCellStyle="Normal_Libro1"/>
    <tableColumn id="8" xr3:uid="{C26E986D-5219-41EC-848C-F1953220D697}" name="Nature" dataDxfId="41" dataCellStyle="Normal_Libro1"/>
    <tableColumn id="4" xr3:uid="{27D2C8BF-8139-4F7E-82F0-C9D30A6DE34B}" name="OTAOffer" dataDxfId="40"/>
  </tableColumns>
  <tableStyleInfo name="TableStyleMedium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CE3E97-5970-4EB5-95D9-8FBE13724382}" name="TskS" displayName="TskS" ref="X2:AA212" totalsRowShown="0" headerRowDxfId="39" dataDxfId="38">
  <autoFilter ref="X2:AA212" xr:uid="{64C201B2-EA4A-4FEB-BDCD-7E42B00052E3}"/>
  <tableColumns count="4">
    <tableColumn id="1" xr3:uid="{C2A1F495-AF1C-434C-9A9E-B5ACA40B47E7}" name="TskId" dataDxfId="37"/>
    <tableColumn id="2" xr3:uid="{204BDB73-8892-4192-9ABE-62D19C9FEA11}" name="TskNam" dataDxfId="36"/>
    <tableColumn id="3" xr3:uid="{81EBCAA3-2083-4770-B835-92283B9A0049}" name="TskNmo" dataDxfId="35"/>
    <tableColumn id="4" xr3:uid="{CA4E7C83-FE22-45A8-869D-B2BEC24685D7}" name="TskTyp" dataDxfId="34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8B95A3-9DB0-4DB4-A331-FAD40D0676ED}" name="CtrS" displayName="CtrS" ref="AD2:AE68" totalsRowShown="0" headerRowDxfId="33" dataDxfId="32">
  <autoFilter ref="AD2:AE68" xr:uid="{4BE0ADE7-CE60-41DC-B408-7891073006C0}"/>
  <tableColumns count="2">
    <tableColumn id="1" xr3:uid="{EF4A802E-171B-4D92-8086-1F0E64966536}" name="CtrId" dataDxfId="31"/>
    <tableColumn id="2" xr3:uid="{A0B11F9F-BCA5-4436-A927-E9CF62C6B947}" name="CstId" dataDxfId="30"/>
  </tableColumns>
  <tableStyleInfo name="TableStyleDark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1ABBE4-D94F-4894-B821-A219419F0384}" name="CstS" displayName="CstS" ref="C2:H293" totalsRowShown="0" headerRowDxfId="29" dataDxfId="27" headerRowBorderDxfId="28" tableBorderDxfId="26" headerRowCellStyle="Normal 2">
  <autoFilter ref="C2:H293" xr:uid="{9E0C4C47-F4C2-4CBF-A246-97995D071449}"/>
  <tableColumns count="6">
    <tableColumn id="1" xr3:uid="{5EB188F4-43E6-4574-B902-7B9F92222DC3}" name="CstId" dataDxfId="25" dataCellStyle="Normal 2"/>
    <tableColumn id="2" xr3:uid="{20AF9224-2AE3-4137-850E-0DBFE209CF91}" name="CstNam" dataDxfId="24" dataCellStyle="Normal 2"/>
    <tableColumn id="4" xr3:uid="{F9200FE7-651B-4175-BE86-E76545D9C7D8}" name="GrpInE" dataDxfId="23" dataCellStyle="Normal 2"/>
    <tableColumn id="3" xr3:uid="{1902928B-89AE-41BF-96B1-5101228279CE}" name="CstTyp" dataDxfId="22" dataCellStyle="Normal 2"/>
    <tableColumn id="11" xr3:uid="{6AAE38BC-76FD-4C23-AC90-543EF4ECE9C4}" name="RowPI" dataDxfId="21" dataCellStyle="Normal 2"/>
    <tableColumn id="5" xr3:uid="{C2BF4A18-8BAC-4BE5-AA41-D72CAA0AFD10}" name="RowPpto" dataDxfId="20" dataCellStyle="Normal 2"/>
  </tableColumns>
  <tableStyleInfo name="TableStyleMedium2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584C1EE-4308-4D33-B514-4B54D68856E8}" name="TbGtoCua" displayName="TbGtoCua" ref="AH2:AK8" totalsRowShown="0" headerRowDxfId="19" dataDxfId="18" headerRowCellStyle="Normal 3" dataCellStyle="Normal 3">
  <autoFilter ref="AH2:AK8" xr:uid="{F85FC5AD-02DC-45D4-8BC2-17D886A3042E}"/>
  <tableColumns count="4">
    <tableColumn id="1" xr3:uid="{9AB4C936-998D-47FF-879D-0B73EB10E229}" name="GtoCuaId" dataDxfId="17" dataCellStyle="Normal 3"/>
    <tableColumn id="3" xr3:uid="{6477FD74-54FF-4E28-8489-33B54F199603}" name="Origin" dataDxfId="16" dataCellStyle="Normal 3"/>
    <tableColumn id="2" xr3:uid="{9E5034DD-6C15-482B-AC3E-0B08E629F4D6}" name="GtoCuaNam" dataDxfId="15" dataCellStyle="Normal 3"/>
    <tableColumn id="4" xr3:uid="{E379986E-7840-4D78-8C87-30F9FF47C7A2}" name="GtoCuaPrt" dataDxfId="14" dataCellStyle="Normal 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F03166-69CC-4588-800A-0EC03A0D9F64}" name="FilData" displayName="FilData" ref="B10:G13" totalsRowShown="0" headerRowDxfId="11" dataDxfId="10">
  <autoFilter ref="B10:G13" xr:uid="{7208533D-FF39-41E3-AB10-6E02C80A58F9}"/>
  <tableColumns count="6">
    <tableColumn id="1" xr3:uid="{E2D857EA-9513-49B2-9E37-3C998866836D}" name="Attribute" dataDxfId="9" dataCellStyle="Normal 8"/>
    <tableColumn id="2" xr3:uid="{60D9C90C-8593-4F8D-8ACD-0FC6F6431190}" name="Spain" dataDxfId="8" dataCellStyle="Normal 8"/>
    <tableColumn id="3" xr3:uid="{8B6FA7B0-22A4-49F8-987F-5B66F0CC7FB5}" name="ValSp" dataDxfId="7"/>
    <tableColumn id="4" xr3:uid="{25C7C505-ED5B-4ECB-A960-064C1C48678A}" name="Mexico" dataDxfId="6" dataCellStyle="Normal 8"/>
    <tableColumn id="5" xr3:uid="{A1146798-37E0-4F92-A897-2ED52E114868}" name="ValMx" dataDxfId="5" dataCellStyle="Normal 8"/>
    <tableColumn id="6" xr3:uid="{207C4970-2D53-493B-95C9-03B5E88396F6}" name="Main" dataDxfId="4" dataCellStyle="Normal 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44CE37-FE9F-47FB-985E-146E63267379}" name="DetailsCst5" displayName="DetailsCst5" ref="C2:G3" tableType="queryTable" totalsRowShown="0">
  <autoFilter ref="C2:G3" xr:uid="{4A44CE37-FE9F-47FB-985E-146E63267379}"/>
  <tableColumns count="5">
    <tableColumn id="1" xr3:uid="{D134D6F7-1575-4B2F-9F79-70D68877BFEC}" uniqueName="1" name="ItmCls" queryTableFieldId="1" dataDxfId="3"/>
    <tableColumn id="2" xr3:uid="{8CBF16EA-3F60-47F2-A660-C3EB9EF32F81}" uniqueName="2" name="N02" queryTableFieldId="2" dataDxfId="2"/>
    <tableColumn id="3" xr3:uid="{E73387AE-5EB1-420A-9550-BBAC4D2EC8DA}" uniqueName="3" name="N03" queryTableFieldId="3" dataDxfId="1"/>
    <tableColumn id="4" xr3:uid="{D95E5832-62C6-4D45-9013-87A7EC727331}" uniqueName="4" name="N04" queryTableFieldId="4" dataDxfId="0"/>
    <tableColumn id="5" xr3:uid="{8BE58024-6014-453D-B836-6D11D142E3B1}" uniqueName="5" name="Value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97E5-5776-4319-BCF6-01FB90CB0A1F}">
  <sheetPr codeName="Sheet2"/>
  <dimension ref="A2:AO293"/>
  <sheetViews>
    <sheetView workbookViewId="0">
      <selection activeCell="AP1" sqref="AP1:BC1048576"/>
    </sheetView>
  </sheetViews>
  <sheetFormatPr defaultColWidth="12.796875" defaultRowHeight="11.25" x14ac:dyDescent="0.2"/>
  <cols>
    <col min="1" max="1" width="12.796875" style="23"/>
    <col min="2" max="2" width="5" style="24" bestFit="1" customWidth="1"/>
    <col min="3" max="3" width="6" style="25" customWidth="1"/>
    <col min="4" max="4" width="27.59765625" style="25" customWidth="1"/>
    <col min="5" max="5" width="26" style="26" customWidth="1"/>
    <col min="6" max="6" width="13.19921875" style="25" bestFit="1" customWidth="1"/>
    <col min="7" max="8" width="7" style="25" customWidth="1"/>
    <col min="9" max="9" width="6.19921875" style="25" customWidth="1"/>
    <col min="10" max="10" width="5" style="24" bestFit="1" customWidth="1"/>
    <col min="11" max="11" width="21.796875" style="27" customWidth="1"/>
    <col min="12" max="17" width="26.796875" style="27" customWidth="1"/>
    <col min="18" max="18" width="6.19921875" style="27" customWidth="1"/>
    <col min="19" max="21" width="5" style="27" customWidth="1"/>
    <col min="22" max="22" width="8.19921875" style="27" customWidth="1"/>
    <col min="23" max="23" width="5" style="24" bestFit="1" customWidth="1"/>
    <col min="24" max="24" width="6" style="28" customWidth="1"/>
    <col min="25" max="25" width="30" style="28" bestFit="1" customWidth="1"/>
    <col min="26" max="26" width="19.3984375" style="28" bestFit="1" customWidth="1"/>
    <col min="27" max="27" width="12.19921875" style="28" bestFit="1" customWidth="1"/>
    <col min="28" max="28" width="12.19921875" style="28" customWidth="1"/>
    <col min="29" max="29" width="5" style="24" bestFit="1" customWidth="1"/>
    <col min="30" max="31" width="8.3984375" style="29" customWidth="1"/>
    <col min="32" max="32" width="12.796875" style="23"/>
    <col min="33" max="33" width="4.19921875" style="30" bestFit="1" customWidth="1"/>
    <col min="34" max="35" width="7.796875" style="31" bestFit="1" customWidth="1"/>
    <col min="36" max="36" width="32" style="31" bestFit="1" customWidth="1"/>
    <col min="37" max="37" width="7.796875" style="31" bestFit="1" customWidth="1"/>
    <col min="38" max="38" width="7.796875" style="31" customWidth="1"/>
    <col min="42" max="16384" width="12.796875" style="23"/>
  </cols>
  <sheetData>
    <row r="2" spans="1:38" s="32" customFormat="1" ht="39" x14ac:dyDescent="0.2">
      <c r="A2" s="32" t="s">
        <v>3</v>
      </c>
      <c r="B2" s="33" t="s">
        <v>20</v>
      </c>
      <c r="C2" s="34" t="s">
        <v>21</v>
      </c>
      <c r="D2" s="34" t="s">
        <v>22</v>
      </c>
      <c r="E2" s="35" t="s">
        <v>23</v>
      </c>
      <c r="F2" s="34" t="s">
        <v>24</v>
      </c>
      <c r="G2" s="34" t="s">
        <v>25</v>
      </c>
      <c r="H2" s="36" t="s">
        <v>26</v>
      </c>
      <c r="I2" s="37"/>
      <c r="J2" s="33" t="s">
        <v>27</v>
      </c>
      <c r="K2" s="38" t="s">
        <v>28</v>
      </c>
      <c r="L2" s="38" t="s">
        <v>23</v>
      </c>
      <c r="M2" s="38" t="s">
        <v>29</v>
      </c>
      <c r="N2" s="38" t="s">
        <v>30</v>
      </c>
      <c r="O2" s="38" t="s">
        <v>31</v>
      </c>
      <c r="P2" s="38" t="s">
        <v>32</v>
      </c>
      <c r="Q2" s="38" t="s">
        <v>33</v>
      </c>
      <c r="R2" s="38" t="s">
        <v>34</v>
      </c>
      <c r="S2" s="38" t="s">
        <v>35</v>
      </c>
      <c r="T2" s="38" t="s">
        <v>36</v>
      </c>
      <c r="U2" s="38" t="s">
        <v>37</v>
      </c>
      <c r="V2" s="38"/>
      <c r="W2" s="33" t="s">
        <v>38</v>
      </c>
      <c r="X2" s="39" t="s">
        <v>39</v>
      </c>
      <c r="Y2" s="39" t="s">
        <v>40</v>
      </c>
      <c r="Z2" s="39" t="s">
        <v>41</v>
      </c>
      <c r="AA2" s="39" t="s">
        <v>42</v>
      </c>
      <c r="AB2" s="39"/>
      <c r="AC2" s="33" t="s">
        <v>43</v>
      </c>
      <c r="AD2" s="40" t="s">
        <v>44</v>
      </c>
      <c r="AE2" s="40" t="s">
        <v>21</v>
      </c>
      <c r="AG2" s="30" t="s">
        <v>45</v>
      </c>
      <c r="AH2" s="41" t="s">
        <v>46</v>
      </c>
      <c r="AI2" s="41" t="s">
        <v>47</v>
      </c>
      <c r="AJ2" s="41" t="s">
        <v>48</v>
      </c>
      <c r="AK2" s="41" t="s">
        <v>49</v>
      </c>
      <c r="AL2" s="41"/>
    </row>
    <row r="3" spans="1:38" x14ac:dyDescent="0.2">
      <c r="A3" s="23" t="s">
        <v>51</v>
      </c>
      <c r="C3" s="42" t="s">
        <v>52</v>
      </c>
      <c r="D3" s="42" t="s">
        <v>53</v>
      </c>
      <c r="E3" s="43" t="s">
        <v>54</v>
      </c>
      <c r="F3" s="42" t="s">
        <v>55</v>
      </c>
      <c r="G3" s="42" t="s">
        <v>56</v>
      </c>
      <c r="H3" s="44"/>
      <c r="I3" s="45"/>
      <c r="K3" s="46" t="s">
        <v>57</v>
      </c>
      <c r="L3" s="47" t="str">
        <f>K3&amp;" SERRA"</f>
        <v>Gestión de Proyectos SERRA</v>
      </c>
      <c r="M3" s="47" t="s">
        <v>58</v>
      </c>
      <c r="N3" s="47" t="s">
        <v>59</v>
      </c>
      <c r="O3" s="47" t="s">
        <v>60</v>
      </c>
      <c r="P3" s="47" t="s">
        <v>57</v>
      </c>
      <c r="Q3" s="47" t="s">
        <v>61</v>
      </c>
      <c r="R3" s="47" t="s">
        <v>62</v>
      </c>
      <c r="S3" s="47" t="s">
        <v>63</v>
      </c>
      <c r="T3" s="47" t="s">
        <v>64</v>
      </c>
      <c r="U3" s="47" t="s">
        <v>65</v>
      </c>
      <c r="V3" s="47"/>
      <c r="X3" s="48">
        <v>100</v>
      </c>
      <c r="Y3" s="49" t="s">
        <v>66</v>
      </c>
      <c r="Z3" s="49" t="s">
        <v>67</v>
      </c>
      <c r="AA3" s="49" t="s">
        <v>68</v>
      </c>
      <c r="AB3" s="49"/>
      <c r="AD3" s="50" t="s">
        <v>69</v>
      </c>
      <c r="AE3" s="50" t="s">
        <v>70</v>
      </c>
      <c r="AH3" s="31" t="s">
        <v>71</v>
      </c>
      <c r="AI3" s="31" t="s">
        <v>72</v>
      </c>
      <c r="AJ3" s="31" t="s">
        <v>73</v>
      </c>
      <c r="AK3" s="31">
        <v>1</v>
      </c>
    </row>
    <row r="4" spans="1:38" x14ac:dyDescent="0.2">
      <c r="C4" s="42" t="s">
        <v>75</v>
      </c>
      <c r="D4" s="42" t="s">
        <v>76</v>
      </c>
      <c r="E4" s="43" t="s">
        <v>54</v>
      </c>
      <c r="F4" s="42" t="s">
        <v>55</v>
      </c>
      <c r="G4" s="42" t="s">
        <v>77</v>
      </c>
      <c r="H4" s="44"/>
      <c r="I4" s="42"/>
      <c r="K4" s="46"/>
      <c r="L4" s="47" t="str">
        <f>CONCATENATE(K3," Ext.")</f>
        <v>Gestión de Proyectos Ext.</v>
      </c>
      <c r="M4" s="47"/>
      <c r="N4" s="47"/>
      <c r="O4" s="47"/>
      <c r="P4" s="47"/>
      <c r="R4" s="47"/>
      <c r="S4" s="47"/>
      <c r="T4" s="47"/>
      <c r="U4" s="47"/>
      <c r="V4" s="47"/>
      <c r="X4" s="48">
        <v>101</v>
      </c>
      <c r="Y4" s="49" t="s">
        <v>78</v>
      </c>
      <c r="Z4" s="49" t="s">
        <v>79</v>
      </c>
      <c r="AA4" s="49" t="s">
        <v>68</v>
      </c>
      <c r="AB4" s="49"/>
      <c r="AD4" s="50" t="s">
        <v>80</v>
      </c>
      <c r="AE4" s="50" t="s">
        <v>81</v>
      </c>
      <c r="AH4" s="31" t="s">
        <v>82</v>
      </c>
      <c r="AI4" s="31" t="s">
        <v>72</v>
      </c>
      <c r="AJ4" s="31" t="s">
        <v>83</v>
      </c>
      <c r="AK4" s="31">
        <v>2</v>
      </c>
    </row>
    <row r="5" spans="1:38" x14ac:dyDescent="0.2">
      <c r="C5" s="42" t="s">
        <v>84</v>
      </c>
      <c r="D5" s="42" t="s">
        <v>85</v>
      </c>
      <c r="E5" s="43" t="s">
        <v>54</v>
      </c>
      <c r="F5" s="42" t="s">
        <v>55</v>
      </c>
      <c r="G5" s="42" t="s">
        <v>56</v>
      </c>
      <c r="H5" s="44"/>
      <c r="I5" s="42"/>
      <c r="K5" s="46" t="s">
        <v>86</v>
      </c>
      <c r="L5" s="47" t="str">
        <f>K5&amp;" SERRA"</f>
        <v>Gestión Mecánica SERRA</v>
      </c>
      <c r="M5" s="47" t="s">
        <v>86</v>
      </c>
      <c r="N5" s="47" t="s">
        <v>87</v>
      </c>
      <c r="O5" s="47" t="s">
        <v>88</v>
      </c>
      <c r="P5" s="47" t="s">
        <v>86</v>
      </c>
      <c r="Q5" s="47" t="s">
        <v>89</v>
      </c>
      <c r="R5" s="47" t="s">
        <v>90</v>
      </c>
      <c r="S5" s="47" t="s">
        <v>91</v>
      </c>
      <c r="T5" s="47" t="s">
        <v>64</v>
      </c>
      <c r="U5" s="47" t="s">
        <v>65</v>
      </c>
      <c r="V5" s="47"/>
      <c r="X5" s="48">
        <v>102</v>
      </c>
      <c r="Y5" s="49" t="s">
        <v>92</v>
      </c>
      <c r="Z5" s="49" t="s">
        <v>67</v>
      </c>
      <c r="AA5" s="49" t="s">
        <v>68</v>
      </c>
      <c r="AB5" s="49"/>
      <c r="AD5" s="50" t="s">
        <v>93</v>
      </c>
      <c r="AE5" s="50" t="s">
        <v>94</v>
      </c>
      <c r="AH5" s="31" t="s">
        <v>95</v>
      </c>
      <c r="AI5" s="31" t="s">
        <v>72</v>
      </c>
      <c r="AJ5" s="31" t="s">
        <v>96</v>
      </c>
      <c r="AK5" s="31">
        <v>3</v>
      </c>
    </row>
    <row r="6" spans="1:38" x14ac:dyDescent="0.2">
      <c r="C6" s="42" t="s">
        <v>98</v>
      </c>
      <c r="D6" s="42" t="s">
        <v>99</v>
      </c>
      <c r="E6" s="43" t="s">
        <v>100</v>
      </c>
      <c r="F6" s="42" t="s">
        <v>55</v>
      </c>
      <c r="G6" s="42" t="s">
        <v>56</v>
      </c>
      <c r="H6" s="44"/>
      <c r="I6" s="42"/>
      <c r="K6" s="46"/>
      <c r="L6" s="47" t="str">
        <f>CONCATENATE(K5," Ext.")</f>
        <v>Gestión Mecánica Ext.</v>
      </c>
      <c r="M6" s="47"/>
      <c r="N6" s="47"/>
      <c r="O6" s="47"/>
      <c r="P6" s="47"/>
      <c r="R6" s="47"/>
      <c r="S6" s="47"/>
      <c r="T6" s="47"/>
      <c r="U6" s="47"/>
      <c r="V6" s="47"/>
      <c r="X6" s="48">
        <v>103</v>
      </c>
      <c r="Y6" s="49" t="s">
        <v>101</v>
      </c>
      <c r="Z6" s="49" t="s">
        <v>67</v>
      </c>
      <c r="AA6" s="49" t="s">
        <v>68</v>
      </c>
      <c r="AB6" s="49"/>
      <c r="AD6" s="50" t="s">
        <v>102</v>
      </c>
      <c r="AE6" s="50" t="s">
        <v>103</v>
      </c>
      <c r="AH6" s="31" t="s">
        <v>104</v>
      </c>
      <c r="AI6" s="31" t="s">
        <v>72</v>
      </c>
      <c r="AJ6" s="31" t="s">
        <v>105</v>
      </c>
      <c r="AK6" s="31">
        <v>4</v>
      </c>
    </row>
    <row r="7" spans="1:38" x14ac:dyDescent="0.2">
      <c r="C7" s="42" t="s">
        <v>106</v>
      </c>
      <c r="D7" s="42" t="s">
        <v>107</v>
      </c>
      <c r="E7" s="43" t="s">
        <v>108</v>
      </c>
      <c r="F7" s="42" t="s">
        <v>55</v>
      </c>
      <c r="G7" s="42" t="s">
        <v>77</v>
      </c>
      <c r="H7" s="44"/>
      <c r="I7" s="42"/>
      <c r="K7" s="46" t="s">
        <v>109</v>
      </c>
      <c r="L7" s="47" t="str">
        <f>K7&amp;" SERRA"</f>
        <v>Diseño Mecánico SERRA</v>
      </c>
      <c r="M7" s="47" t="s">
        <v>110</v>
      </c>
      <c r="N7" s="47" t="s">
        <v>110</v>
      </c>
      <c r="O7" s="47" t="s">
        <v>111</v>
      </c>
      <c r="P7" s="47" t="s">
        <v>109</v>
      </c>
      <c r="Q7" s="47" t="s">
        <v>112</v>
      </c>
      <c r="R7" s="47" t="s">
        <v>90</v>
      </c>
      <c r="S7" s="47" t="s">
        <v>113</v>
      </c>
      <c r="T7" s="47" t="s">
        <v>64</v>
      </c>
      <c r="U7" s="47" t="s">
        <v>65</v>
      </c>
      <c r="V7" s="47"/>
      <c r="X7" s="48">
        <v>105</v>
      </c>
      <c r="Y7" s="49" t="s">
        <v>114</v>
      </c>
      <c r="Z7" s="49" t="s">
        <v>115</v>
      </c>
      <c r="AA7" s="49" t="s">
        <v>68</v>
      </c>
      <c r="AB7" s="49"/>
      <c r="AD7" s="50" t="s">
        <v>116</v>
      </c>
      <c r="AE7" s="50" t="s">
        <v>117</v>
      </c>
      <c r="AH7" s="31" t="s">
        <v>118</v>
      </c>
      <c r="AI7" s="31" t="s">
        <v>119</v>
      </c>
      <c r="AJ7" s="31" t="s">
        <v>120</v>
      </c>
      <c r="AK7" s="31">
        <v>1</v>
      </c>
    </row>
    <row r="8" spans="1:38" x14ac:dyDescent="0.2">
      <c r="C8" s="42" t="s">
        <v>121</v>
      </c>
      <c r="D8" s="42" t="s">
        <v>122</v>
      </c>
      <c r="E8" s="43" t="s">
        <v>108</v>
      </c>
      <c r="F8" s="42" t="s">
        <v>55</v>
      </c>
      <c r="G8" s="42" t="s">
        <v>77</v>
      </c>
      <c r="H8" s="44"/>
      <c r="I8" s="42"/>
      <c r="K8" s="46"/>
      <c r="L8" s="47" t="str">
        <f>CONCATENATE(K7," Ext.")</f>
        <v>Diseño Mecánico Ext.</v>
      </c>
      <c r="M8" s="47"/>
      <c r="N8" s="47"/>
      <c r="O8" s="47"/>
      <c r="P8" s="47"/>
      <c r="R8" s="47"/>
      <c r="S8" s="47"/>
      <c r="T8" s="47"/>
      <c r="U8" s="47"/>
      <c r="V8" s="47"/>
      <c r="X8" s="48">
        <v>110</v>
      </c>
      <c r="Y8" s="49" t="s">
        <v>123</v>
      </c>
      <c r="Z8" s="49" t="s">
        <v>124</v>
      </c>
      <c r="AA8" s="49" t="s">
        <v>68</v>
      </c>
      <c r="AB8" s="49"/>
      <c r="AD8" s="50" t="s">
        <v>125</v>
      </c>
      <c r="AE8" s="50" t="s">
        <v>126</v>
      </c>
      <c r="AH8" s="31" t="s">
        <v>127</v>
      </c>
      <c r="AI8" s="31" t="s">
        <v>128</v>
      </c>
      <c r="AJ8" s="31" t="s">
        <v>129</v>
      </c>
      <c r="AK8" s="31">
        <v>0</v>
      </c>
    </row>
    <row r="9" spans="1:38" x14ac:dyDescent="0.2">
      <c r="C9" s="42" t="s">
        <v>130</v>
      </c>
      <c r="D9" s="42" t="s">
        <v>131</v>
      </c>
      <c r="E9" s="43" t="s">
        <v>54</v>
      </c>
      <c r="F9" s="42" t="s">
        <v>132</v>
      </c>
      <c r="G9" s="42" t="s">
        <v>56</v>
      </c>
      <c r="H9" s="44"/>
      <c r="I9" s="42"/>
      <c r="K9" s="46" t="s">
        <v>133</v>
      </c>
      <c r="L9" s="47" t="str">
        <f>K9&amp;" SERRA"</f>
        <v>Robcad SERRA</v>
      </c>
      <c r="M9" s="47" t="s">
        <v>133</v>
      </c>
      <c r="N9" s="47" t="s">
        <v>133</v>
      </c>
      <c r="O9" s="47" t="s">
        <v>134</v>
      </c>
      <c r="P9" s="47" t="s">
        <v>133</v>
      </c>
      <c r="Q9" s="47" t="s">
        <v>133</v>
      </c>
      <c r="R9" s="47" t="s">
        <v>90</v>
      </c>
      <c r="S9" s="47" t="s">
        <v>135</v>
      </c>
      <c r="T9" s="47" t="s">
        <v>64</v>
      </c>
      <c r="U9" s="47" t="s">
        <v>65</v>
      </c>
      <c r="V9" s="47"/>
      <c r="X9" s="48">
        <v>111</v>
      </c>
      <c r="Y9" s="49" t="s">
        <v>136</v>
      </c>
      <c r="Z9" s="49" t="s">
        <v>137</v>
      </c>
      <c r="AA9" s="49" t="s">
        <v>68</v>
      </c>
      <c r="AB9" s="49"/>
      <c r="AD9" s="50" t="s">
        <v>138</v>
      </c>
      <c r="AE9" s="50" t="s">
        <v>139</v>
      </c>
    </row>
    <row r="10" spans="1:38" x14ac:dyDescent="0.2">
      <c r="C10" s="42" t="s">
        <v>140</v>
      </c>
      <c r="D10" s="42" t="str">
        <f>E9&amp;" OFb"</f>
        <v>Material Mecánico Ext. OFb</v>
      </c>
      <c r="E10" s="54" t="s">
        <v>141</v>
      </c>
      <c r="F10" s="42" t="s">
        <v>142</v>
      </c>
      <c r="G10" s="42" t="s">
        <v>143</v>
      </c>
      <c r="H10" s="44" t="s">
        <v>95</v>
      </c>
      <c r="I10" s="42"/>
      <c r="K10" s="46"/>
      <c r="L10" s="47" t="str">
        <f>CONCATENATE(K9," Ext.")</f>
        <v>Robcad Ext.</v>
      </c>
      <c r="M10" s="47"/>
      <c r="N10" s="47"/>
      <c r="O10" s="47"/>
      <c r="P10" s="47"/>
      <c r="R10" s="47"/>
      <c r="S10" s="47"/>
      <c r="T10" s="47"/>
      <c r="U10" s="47"/>
      <c r="V10" s="47"/>
      <c r="X10" s="48">
        <v>112</v>
      </c>
      <c r="Y10" s="49" t="s">
        <v>144</v>
      </c>
      <c r="Z10" s="49" t="s">
        <v>145</v>
      </c>
      <c r="AA10" s="49" t="s">
        <v>68</v>
      </c>
      <c r="AB10" s="49"/>
      <c r="AD10" s="50" t="s">
        <v>146</v>
      </c>
      <c r="AE10" s="50" t="s">
        <v>147</v>
      </c>
    </row>
    <row r="11" spans="1:38" x14ac:dyDescent="0.2">
      <c r="C11" s="42" t="s">
        <v>148</v>
      </c>
      <c r="D11" s="42" t="str">
        <f>E9&amp;" GEn"</f>
        <v>Material Mecánico Ext. GEn</v>
      </c>
      <c r="E11" s="43" t="s">
        <v>54</v>
      </c>
      <c r="F11" s="42" t="s">
        <v>55</v>
      </c>
      <c r="G11" s="42" t="s">
        <v>56</v>
      </c>
      <c r="H11" s="44"/>
      <c r="I11" s="42"/>
      <c r="K11" s="46" t="s">
        <v>149</v>
      </c>
      <c r="L11" s="47" t="str">
        <f>K11&amp;" SERRA"</f>
        <v>Diseño Eléctrico SERRA</v>
      </c>
      <c r="M11" s="47" t="s">
        <v>149</v>
      </c>
      <c r="N11" s="47" t="s">
        <v>150</v>
      </c>
      <c r="O11" s="47" t="s">
        <v>151</v>
      </c>
      <c r="P11" s="47" t="s">
        <v>149</v>
      </c>
      <c r="Q11" s="47" t="s">
        <v>152</v>
      </c>
      <c r="R11" s="47" t="s">
        <v>153</v>
      </c>
      <c r="S11" s="47" t="s">
        <v>154</v>
      </c>
      <c r="T11" s="47" t="s">
        <v>64</v>
      </c>
      <c r="U11" s="47" t="s">
        <v>65</v>
      </c>
      <c r="V11" s="47"/>
      <c r="X11" s="48">
        <v>113</v>
      </c>
      <c r="Y11" s="49" t="s">
        <v>155</v>
      </c>
      <c r="Z11" s="49" t="s">
        <v>156</v>
      </c>
      <c r="AA11" s="49" t="s">
        <v>68</v>
      </c>
      <c r="AB11" s="49"/>
      <c r="AD11" s="50" t="s">
        <v>157</v>
      </c>
      <c r="AE11" s="50" t="s">
        <v>94</v>
      </c>
    </row>
    <row r="12" spans="1:38" x14ac:dyDescent="0.2">
      <c r="C12" s="42" t="s">
        <v>159</v>
      </c>
      <c r="D12" s="42" t="str">
        <f>E9&amp;" CDc"</f>
        <v>Material Mecánico Ext. CDc</v>
      </c>
      <c r="E12" s="43" t="s">
        <v>160</v>
      </c>
      <c r="F12" s="42" t="s">
        <v>132</v>
      </c>
      <c r="G12" s="42" t="s">
        <v>56</v>
      </c>
      <c r="H12" s="44"/>
      <c r="I12" s="42"/>
      <c r="K12" s="46"/>
      <c r="L12" s="47" t="str">
        <f>CONCATENATE(K11," Ext.")</f>
        <v>Diseño Eléctrico Ext.</v>
      </c>
      <c r="M12" s="47"/>
      <c r="N12" s="47"/>
      <c r="O12" s="47"/>
      <c r="P12" s="47"/>
      <c r="R12" s="47"/>
      <c r="S12" s="47"/>
      <c r="T12" s="47"/>
      <c r="U12" s="47"/>
      <c r="V12" s="47"/>
      <c r="X12" s="48">
        <v>114</v>
      </c>
      <c r="Y12" s="49" t="s">
        <v>161</v>
      </c>
      <c r="Z12" s="49" t="s">
        <v>156</v>
      </c>
      <c r="AA12" s="49" t="s">
        <v>68</v>
      </c>
      <c r="AB12" s="49"/>
      <c r="AD12" s="50" t="s">
        <v>162</v>
      </c>
      <c r="AE12" s="50" t="s">
        <v>70</v>
      </c>
    </row>
    <row r="13" spans="1:38" x14ac:dyDescent="0.2">
      <c r="C13" s="42" t="s">
        <v>164</v>
      </c>
      <c r="D13" s="42" t="s">
        <v>165</v>
      </c>
      <c r="E13" s="43" t="s">
        <v>166</v>
      </c>
      <c r="F13" s="42" t="s">
        <v>132</v>
      </c>
      <c r="G13" s="42" t="s">
        <v>167</v>
      </c>
      <c r="H13" s="44"/>
      <c r="I13" s="42"/>
      <c r="K13" s="46" t="s">
        <v>168</v>
      </c>
      <c r="L13" s="47" t="str">
        <f>K13&amp;" SERRA"</f>
        <v>Diseño NR SERRA</v>
      </c>
      <c r="M13" s="47" t="s">
        <v>168</v>
      </c>
      <c r="N13" s="47" t="s">
        <v>169</v>
      </c>
      <c r="O13" s="47" t="s">
        <v>170</v>
      </c>
      <c r="P13" s="47" t="s">
        <v>168</v>
      </c>
      <c r="Q13" s="47" t="s">
        <v>171</v>
      </c>
      <c r="R13" s="47" t="s">
        <v>153</v>
      </c>
      <c r="S13" s="47" t="s">
        <v>172</v>
      </c>
      <c r="T13" s="47" t="s">
        <v>64</v>
      </c>
      <c r="U13" s="47" t="s">
        <v>173</v>
      </c>
      <c r="V13" s="47"/>
      <c r="X13" s="48">
        <v>120</v>
      </c>
      <c r="Y13" s="49" t="s">
        <v>174</v>
      </c>
      <c r="Z13" s="49" t="s">
        <v>175</v>
      </c>
      <c r="AA13" s="49" t="s">
        <v>68</v>
      </c>
      <c r="AB13" s="49"/>
      <c r="AD13" s="50" t="s">
        <v>176</v>
      </c>
      <c r="AE13" s="50" t="s">
        <v>117</v>
      </c>
    </row>
    <row r="14" spans="1:38" x14ac:dyDescent="0.2">
      <c r="C14" s="42" t="s">
        <v>177</v>
      </c>
      <c r="D14" s="42" t="s">
        <v>178</v>
      </c>
      <c r="E14" s="43" t="s">
        <v>160</v>
      </c>
      <c r="F14" s="42" t="s">
        <v>132</v>
      </c>
      <c r="G14" s="42" t="s">
        <v>56</v>
      </c>
      <c r="H14" s="44"/>
      <c r="I14" s="42"/>
      <c r="K14" s="46"/>
      <c r="L14" s="47" t="str">
        <f>CONCATENATE(K13," Ext.")</f>
        <v>Diseño NR Ext.</v>
      </c>
      <c r="M14" s="47"/>
      <c r="N14" s="47"/>
      <c r="O14" s="47"/>
      <c r="P14" s="47"/>
      <c r="R14" s="47"/>
      <c r="S14" s="47"/>
      <c r="T14" s="47"/>
      <c r="U14" s="47"/>
      <c r="V14" s="47"/>
      <c r="X14" s="48">
        <v>121</v>
      </c>
      <c r="Y14" s="49" t="s">
        <v>179</v>
      </c>
      <c r="Z14" s="49" t="s">
        <v>180</v>
      </c>
      <c r="AA14" s="49" t="s">
        <v>68</v>
      </c>
      <c r="AB14" s="49"/>
      <c r="AD14" s="50" t="s">
        <v>181</v>
      </c>
      <c r="AE14" s="50" t="s">
        <v>147</v>
      </c>
    </row>
    <row r="15" spans="1:38" x14ac:dyDescent="0.2">
      <c r="C15" s="42" t="s">
        <v>182</v>
      </c>
      <c r="D15" s="42" t="s">
        <v>183</v>
      </c>
      <c r="E15" s="43" t="s">
        <v>184</v>
      </c>
      <c r="F15" s="42" t="s">
        <v>132</v>
      </c>
      <c r="G15" s="42" t="s">
        <v>185</v>
      </c>
      <c r="H15" s="44"/>
      <c r="I15" s="42"/>
      <c r="K15" s="46" t="s">
        <v>186</v>
      </c>
      <c r="L15" s="47" t="str">
        <f>K15&amp;" SERRA"</f>
        <v>Robótica SERRA</v>
      </c>
      <c r="M15" s="47" t="s">
        <v>186</v>
      </c>
      <c r="N15" s="47" t="s">
        <v>186</v>
      </c>
      <c r="O15" s="47" t="s">
        <v>187</v>
      </c>
      <c r="P15" s="47" t="s">
        <v>186</v>
      </c>
      <c r="Q15" s="47" t="s">
        <v>186</v>
      </c>
      <c r="R15" s="47" t="s">
        <v>153</v>
      </c>
      <c r="S15" s="55" t="s">
        <v>188</v>
      </c>
      <c r="T15" s="55" t="s">
        <v>64</v>
      </c>
      <c r="U15" s="47"/>
      <c r="V15" s="47"/>
      <c r="X15" s="48">
        <v>122</v>
      </c>
      <c r="Y15" s="49" t="s">
        <v>189</v>
      </c>
      <c r="Z15" s="49" t="s">
        <v>190</v>
      </c>
      <c r="AA15" s="49" t="s">
        <v>68</v>
      </c>
      <c r="AB15" s="49"/>
      <c r="AD15" s="50" t="s">
        <v>191</v>
      </c>
      <c r="AE15" s="50" t="s">
        <v>81</v>
      </c>
    </row>
    <row r="16" spans="1:38" x14ac:dyDescent="0.2">
      <c r="C16" s="42" t="s">
        <v>192</v>
      </c>
      <c r="D16" s="42" t="s">
        <v>193</v>
      </c>
      <c r="E16" s="43" t="s">
        <v>184</v>
      </c>
      <c r="F16" s="42" t="s">
        <v>132</v>
      </c>
      <c r="G16" s="42" t="s">
        <v>185</v>
      </c>
      <c r="H16" s="44"/>
      <c r="I16" s="42"/>
      <c r="K16" s="46"/>
      <c r="L16" s="47" t="str">
        <f>CONCATENATE(K15," Ext.")</f>
        <v>Robótica Ext.</v>
      </c>
      <c r="M16" s="47"/>
      <c r="N16" s="47"/>
      <c r="O16" s="47"/>
      <c r="P16" s="47"/>
      <c r="R16" s="47"/>
      <c r="S16" s="47"/>
      <c r="T16" s="47"/>
      <c r="U16" s="47"/>
      <c r="V16" s="47"/>
      <c r="X16" s="48">
        <v>125</v>
      </c>
      <c r="Y16" s="49" t="s">
        <v>194</v>
      </c>
      <c r="Z16" s="49" t="s">
        <v>195</v>
      </c>
      <c r="AA16" s="49" t="s">
        <v>68</v>
      </c>
      <c r="AB16" s="49"/>
      <c r="AD16" s="50" t="s">
        <v>196</v>
      </c>
      <c r="AE16" s="50" t="s">
        <v>139</v>
      </c>
    </row>
    <row r="17" spans="3:31" x14ac:dyDescent="0.2">
      <c r="C17" s="42" t="s">
        <v>197</v>
      </c>
      <c r="D17" s="42" t="s">
        <v>198</v>
      </c>
      <c r="E17" s="43" t="s">
        <v>199</v>
      </c>
      <c r="F17" s="42" t="s">
        <v>132</v>
      </c>
      <c r="G17" s="42" t="s">
        <v>200</v>
      </c>
      <c r="H17" s="44"/>
      <c r="I17" s="42"/>
      <c r="K17" s="56" t="s">
        <v>74</v>
      </c>
      <c r="L17" s="47" t="str">
        <f>K17&amp;" SERRA"</f>
        <v>Fabricación Mecánica SERRA</v>
      </c>
      <c r="M17" s="47" t="s">
        <v>74</v>
      </c>
      <c r="N17" s="47" t="s">
        <v>201</v>
      </c>
      <c r="O17" s="47" t="s">
        <v>202</v>
      </c>
      <c r="P17" s="47" t="s">
        <v>201</v>
      </c>
      <c r="Q17" s="47" t="s">
        <v>203</v>
      </c>
      <c r="R17" s="47" t="s">
        <v>204</v>
      </c>
      <c r="S17" s="47" t="s">
        <v>205</v>
      </c>
      <c r="T17" s="47" t="s">
        <v>64</v>
      </c>
      <c r="U17" s="47" t="s">
        <v>65</v>
      </c>
      <c r="V17" s="47"/>
      <c r="X17" s="48">
        <v>126</v>
      </c>
      <c r="Y17" s="49" t="s">
        <v>206</v>
      </c>
      <c r="Z17" s="49" t="s">
        <v>207</v>
      </c>
      <c r="AA17" s="49" t="s">
        <v>68</v>
      </c>
      <c r="AB17" s="49"/>
      <c r="AD17" s="50" t="s">
        <v>208</v>
      </c>
      <c r="AE17" s="50" t="s">
        <v>126</v>
      </c>
    </row>
    <row r="18" spans="3:31" x14ac:dyDescent="0.2">
      <c r="C18" s="42" t="s">
        <v>209</v>
      </c>
      <c r="D18" s="42" t="s">
        <v>210</v>
      </c>
      <c r="E18" s="43" t="s">
        <v>211</v>
      </c>
      <c r="F18" s="42" t="s">
        <v>55</v>
      </c>
      <c r="G18" s="42" t="s">
        <v>56</v>
      </c>
      <c r="H18" s="44"/>
      <c r="I18" s="42"/>
      <c r="K18" s="56"/>
      <c r="L18" s="47" t="str">
        <f>CONCATENATE(K17," Ext.")</f>
        <v>Fabricación Mecánica Ext.</v>
      </c>
      <c r="M18" s="47"/>
      <c r="N18" s="47"/>
      <c r="O18" s="47"/>
      <c r="P18" s="47"/>
      <c r="R18" s="47"/>
      <c r="S18" s="47"/>
      <c r="T18" s="47"/>
      <c r="U18" s="47"/>
      <c r="V18" s="47"/>
      <c r="X18" s="48">
        <v>127</v>
      </c>
      <c r="Y18" s="49" t="s">
        <v>133</v>
      </c>
      <c r="Z18" s="49" t="s">
        <v>134</v>
      </c>
      <c r="AA18" s="49" t="s">
        <v>68</v>
      </c>
      <c r="AB18" s="49"/>
      <c r="AD18" s="50" t="s">
        <v>212</v>
      </c>
      <c r="AE18" s="50" t="s">
        <v>103</v>
      </c>
    </row>
    <row r="19" spans="3:31" x14ac:dyDescent="0.2">
      <c r="C19" s="42" t="s">
        <v>213</v>
      </c>
      <c r="D19" s="42" t="s">
        <v>214</v>
      </c>
      <c r="E19" s="43" t="s">
        <v>215</v>
      </c>
      <c r="F19" s="42" t="s">
        <v>55</v>
      </c>
      <c r="G19" s="42" t="s">
        <v>185</v>
      </c>
      <c r="H19" s="44"/>
      <c r="I19" s="42"/>
      <c r="K19" s="56" t="s">
        <v>216</v>
      </c>
      <c r="L19" s="47" t="str">
        <f>K19&amp;" SERRA"</f>
        <v>Montaje Mecánico SERRA</v>
      </c>
      <c r="M19" s="47" t="s">
        <v>216</v>
      </c>
      <c r="N19" s="47" t="s">
        <v>216</v>
      </c>
      <c r="O19" s="47" t="s">
        <v>217</v>
      </c>
      <c r="P19" s="47" t="s">
        <v>216</v>
      </c>
      <c r="Q19" s="47" t="s">
        <v>218</v>
      </c>
      <c r="R19" s="47" t="s">
        <v>204</v>
      </c>
      <c r="S19" s="47" t="s">
        <v>219</v>
      </c>
      <c r="T19" s="47" t="s">
        <v>64</v>
      </c>
      <c r="U19" s="47" t="s">
        <v>65</v>
      </c>
      <c r="V19" s="47"/>
      <c r="X19" s="48">
        <v>128</v>
      </c>
      <c r="Y19" s="49" t="s">
        <v>220</v>
      </c>
      <c r="Z19" s="49" t="s">
        <v>195</v>
      </c>
      <c r="AA19" s="49" t="s">
        <v>68</v>
      </c>
      <c r="AB19" s="49"/>
      <c r="AD19" s="50" t="s">
        <v>221</v>
      </c>
      <c r="AE19" s="50" t="s">
        <v>222</v>
      </c>
    </row>
    <row r="20" spans="3:31" x14ac:dyDescent="0.2">
      <c r="C20" s="42" t="s">
        <v>223</v>
      </c>
      <c r="D20" s="42" t="s">
        <v>224</v>
      </c>
      <c r="E20" s="43" t="s">
        <v>211</v>
      </c>
      <c r="F20" s="42" t="s">
        <v>132</v>
      </c>
      <c r="G20" s="42" t="s">
        <v>56</v>
      </c>
      <c r="H20" s="44"/>
      <c r="I20" s="42"/>
      <c r="K20" s="56"/>
      <c r="L20" s="47" t="str">
        <f>CONCATENATE(K19," Ext.")</f>
        <v>Montaje Mecánico Ext.</v>
      </c>
      <c r="M20" s="47"/>
      <c r="N20" s="47"/>
      <c r="O20" s="47"/>
      <c r="P20" s="47"/>
      <c r="R20" s="47"/>
      <c r="S20" s="47"/>
      <c r="T20" s="47"/>
      <c r="U20" s="47"/>
      <c r="V20" s="47"/>
      <c r="X20" s="48">
        <v>130</v>
      </c>
      <c r="Y20" s="49" t="s">
        <v>225</v>
      </c>
      <c r="Z20" s="49" t="s">
        <v>158</v>
      </c>
      <c r="AA20" s="49" t="s">
        <v>68</v>
      </c>
      <c r="AB20" s="49"/>
      <c r="AD20" s="50" t="s">
        <v>226</v>
      </c>
      <c r="AE20" s="50" t="s">
        <v>227</v>
      </c>
    </row>
    <row r="21" spans="3:31" x14ac:dyDescent="0.2">
      <c r="C21" s="42" t="s">
        <v>228</v>
      </c>
      <c r="D21" s="42" t="s">
        <v>229</v>
      </c>
      <c r="E21" s="43" t="s">
        <v>215</v>
      </c>
      <c r="F21" s="42" t="s">
        <v>132</v>
      </c>
      <c r="G21" s="42" t="s">
        <v>185</v>
      </c>
      <c r="H21" s="44"/>
      <c r="I21" s="42"/>
      <c r="K21" s="56" t="s">
        <v>97</v>
      </c>
      <c r="L21" s="47" t="str">
        <f>K21&amp;" SERRA"</f>
        <v>Metrología SERRA</v>
      </c>
      <c r="M21" s="47" t="s">
        <v>97</v>
      </c>
      <c r="N21" s="47" t="s">
        <v>97</v>
      </c>
      <c r="O21" s="47" t="s">
        <v>230</v>
      </c>
      <c r="P21" s="47" t="s">
        <v>97</v>
      </c>
      <c r="Q21" s="47" t="s">
        <v>97</v>
      </c>
      <c r="R21" s="47" t="s">
        <v>204</v>
      </c>
      <c r="S21" s="47" t="s">
        <v>231</v>
      </c>
      <c r="T21" s="47" t="s">
        <v>64</v>
      </c>
      <c r="U21" s="47" t="s">
        <v>65</v>
      </c>
      <c r="V21" s="47"/>
      <c r="X21" s="48">
        <v>131</v>
      </c>
      <c r="Y21" s="49" t="s">
        <v>232</v>
      </c>
      <c r="Z21" s="49" t="s">
        <v>233</v>
      </c>
      <c r="AA21" s="49" t="s">
        <v>68</v>
      </c>
      <c r="AB21" s="49"/>
      <c r="AD21" s="50" t="s">
        <v>234</v>
      </c>
      <c r="AE21" s="50" t="s">
        <v>235</v>
      </c>
    </row>
    <row r="22" spans="3:31" x14ac:dyDescent="0.2">
      <c r="C22" s="42" t="s">
        <v>236</v>
      </c>
      <c r="D22" s="42" t="s">
        <v>237</v>
      </c>
      <c r="E22" s="43" t="s">
        <v>238</v>
      </c>
      <c r="F22" s="42" t="s">
        <v>132</v>
      </c>
      <c r="G22" s="42" t="s">
        <v>56</v>
      </c>
      <c r="H22" s="44"/>
      <c r="I22" s="42"/>
      <c r="K22" s="56"/>
      <c r="L22" s="47" t="str">
        <f>CONCATENATE(K21," Ext.")</f>
        <v>Metrología Ext.</v>
      </c>
      <c r="M22" s="47"/>
      <c r="N22" s="47"/>
      <c r="O22" s="47"/>
      <c r="P22" s="47"/>
      <c r="R22" s="47"/>
      <c r="S22" s="47"/>
      <c r="T22" s="47"/>
      <c r="U22" s="47"/>
      <c r="V22" s="47"/>
      <c r="X22" s="48">
        <v>132</v>
      </c>
      <c r="Y22" s="49" t="s">
        <v>239</v>
      </c>
      <c r="Z22" s="49" t="s">
        <v>163</v>
      </c>
      <c r="AA22" s="49" t="s">
        <v>68</v>
      </c>
      <c r="AB22" s="49"/>
      <c r="AD22" s="50" t="s">
        <v>240</v>
      </c>
      <c r="AE22" s="50" t="s">
        <v>241</v>
      </c>
    </row>
    <row r="23" spans="3:31" x14ac:dyDescent="0.2">
      <c r="C23" s="42" t="s">
        <v>242</v>
      </c>
      <c r="D23" s="42" t="s">
        <v>243</v>
      </c>
      <c r="E23" s="43" t="s">
        <v>244</v>
      </c>
      <c r="F23" s="42" t="s">
        <v>132</v>
      </c>
      <c r="G23" s="42" t="s">
        <v>56</v>
      </c>
      <c r="H23" s="44"/>
      <c r="I23" s="42"/>
      <c r="K23" s="56" t="s">
        <v>245</v>
      </c>
      <c r="L23" s="47" t="str">
        <f>K23&amp;" Ext."</f>
        <v>Subcontratación Completa Ext.</v>
      </c>
      <c r="M23" s="47"/>
      <c r="N23" s="47" t="s">
        <v>245</v>
      </c>
      <c r="O23" s="47" t="s">
        <v>16</v>
      </c>
      <c r="P23" s="47" t="s">
        <v>246</v>
      </c>
      <c r="Q23" s="47" t="s">
        <v>247</v>
      </c>
      <c r="R23" s="47" t="s">
        <v>16</v>
      </c>
      <c r="S23" s="47"/>
      <c r="T23" s="47" t="s">
        <v>248</v>
      </c>
      <c r="U23" s="47"/>
      <c r="V23" s="47"/>
      <c r="X23" s="48">
        <v>133</v>
      </c>
      <c r="Y23" s="49" t="s">
        <v>249</v>
      </c>
      <c r="Z23" s="49" t="s">
        <v>250</v>
      </c>
      <c r="AA23" s="49" t="s">
        <v>68</v>
      </c>
      <c r="AB23" s="49"/>
      <c r="AD23" s="50" t="s">
        <v>251</v>
      </c>
      <c r="AE23" s="50" t="s">
        <v>252</v>
      </c>
    </row>
    <row r="24" spans="3:31" x14ac:dyDescent="0.2">
      <c r="C24" s="42" t="s">
        <v>253</v>
      </c>
      <c r="D24" s="42" t="s">
        <v>254</v>
      </c>
      <c r="E24" s="43" t="s">
        <v>255</v>
      </c>
      <c r="F24" s="42" t="s">
        <v>132</v>
      </c>
      <c r="G24" s="42" t="s">
        <v>56</v>
      </c>
      <c r="H24" s="44"/>
      <c r="I24" s="42"/>
      <c r="K24" s="46"/>
      <c r="L24" s="47"/>
      <c r="M24" s="47"/>
      <c r="N24" s="47"/>
      <c r="O24" s="47"/>
      <c r="P24" s="47"/>
      <c r="R24" s="47"/>
      <c r="S24" s="47"/>
      <c r="T24" s="47"/>
      <c r="U24" s="47"/>
      <c r="V24" s="47"/>
      <c r="X24" s="48">
        <v>134</v>
      </c>
      <c r="Y24" s="49" t="s">
        <v>256</v>
      </c>
      <c r="Z24" s="49" t="s">
        <v>158</v>
      </c>
      <c r="AA24" s="49" t="s">
        <v>68</v>
      </c>
      <c r="AB24" s="49"/>
      <c r="AD24" s="50" t="s">
        <v>257</v>
      </c>
      <c r="AE24" s="50" t="s">
        <v>258</v>
      </c>
    </row>
    <row r="25" spans="3:31" x14ac:dyDescent="0.2">
      <c r="C25" s="42" t="s">
        <v>259</v>
      </c>
      <c r="D25" s="42" t="s">
        <v>260</v>
      </c>
      <c r="E25" s="43" t="s">
        <v>261</v>
      </c>
      <c r="F25" s="42" t="s">
        <v>132</v>
      </c>
      <c r="G25" s="42" t="s">
        <v>56</v>
      </c>
      <c r="H25" s="44"/>
      <c r="I25" s="42"/>
      <c r="K25" s="56" t="s">
        <v>262</v>
      </c>
      <c r="L25" s="47" t="str">
        <f>K25&amp;" SERRA"</f>
        <v>Fabricación Eléctrica SERRA</v>
      </c>
      <c r="M25" s="47" t="s">
        <v>262</v>
      </c>
      <c r="N25" s="47" t="s">
        <v>262</v>
      </c>
      <c r="O25" s="47" t="s">
        <v>263</v>
      </c>
      <c r="P25" s="47" t="s">
        <v>262</v>
      </c>
      <c r="Q25" s="47" t="s">
        <v>264</v>
      </c>
      <c r="R25" s="47" t="s">
        <v>265</v>
      </c>
      <c r="S25" s="47" t="s">
        <v>266</v>
      </c>
      <c r="T25" s="47" t="s">
        <v>64</v>
      </c>
      <c r="U25" s="47" t="s">
        <v>267</v>
      </c>
      <c r="V25" s="47"/>
      <c r="X25" s="48">
        <v>135</v>
      </c>
      <c r="Y25" s="49" t="s">
        <v>268</v>
      </c>
      <c r="Z25" s="49" t="s">
        <v>269</v>
      </c>
      <c r="AA25" s="49" t="s">
        <v>68</v>
      </c>
      <c r="AB25" s="49"/>
      <c r="AD25" s="50" t="s">
        <v>270</v>
      </c>
      <c r="AE25" s="50" t="s">
        <v>271</v>
      </c>
    </row>
    <row r="26" spans="3:31" x14ac:dyDescent="0.2">
      <c r="C26" s="42" t="s">
        <v>272</v>
      </c>
      <c r="D26" s="42" t="s">
        <v>273</v>
      </c>
      <c r="E26" s="43" t="s">
        <v>274</v>
      </c>
      <c r="F26" s="42" t="s">
        <v>132</v>
      </c>
      <c r="G26" s="42" t="s">
        <v>56</v>
      </c>
      <c r="H26" s="44"/>
      <c r="I26" s="42"/>
      <c r="K26" s="56"/>
      <c r="L26" s="47" t="str">
        <f>CONCATENATE(K25," Ext.")</f>
        <v>Fabricación Eléctrica Ext.</v>
      </c>
      <c r="M26" s="47"/>
      <c r="N26" s="47"/>
      <c r="O26" s="47"/>
      <c r="P26" s="47"/>
      <c r="Q26" s="47"/>
      <c r="R26" s="47"/>
      <c r="S26" s="47"/>
      <c r="T26" s="47"/>
      <c r="U26" s="47"/>
      <c r="V26" s="47"/>
      <c r="X26" s="48">
        <v>136</v>
      </c>
      <c r="Y26" s="49" t="s">
        <v>275</v>
      </c>
      <c r="Z26" s="49" t="s">
        <v>163</v>
      </c>
      <c r="AA26" s="49" t="s">
        <v>68</v>
      </c>
      <c r="AB26" s="49"/>
      <c r="AD26" s="50" t="s">
        <v>276</v>
      </c>
      <c r="AE26" s="50" t="s">
        <v>277</v>
      </c>
    </row>
    <row r="27" spans="3:31" x14ac:dyDescent="0.2">
      <c r="C27" s="42" t="s">
        <v>278</v>
      </c>
      <c r="D27" s="42" t="s">
        <v>279</v>
      </c>
      <c r="E27" s="43" t="s">
        <v>280</v>
      </c>
      <c r="F27" s="42" t="s">
        <v>132</v>
      </c>
      <c r="G27" s="42" t="s">
        <v>56</v>
      </c>
      <c r="H27" s="44"/>
      <c r="I27" s="42"/>
      <c r="K27" s="56" t="s">
        <v>281</v>
      </c>
      <c r="L27" s="47" t="str">
        <f>K27&amp;" SERRA"</f>
        <v>Instalación Eléctrica SERRA</v>
      </c>
      <c r="M27" s="47" t="s">
        <v>281</v>
      </c>
      <c r="N27" s="47" t="s">
        <v>282</v>
      </c>
      <c r="O27" s="47" t="s">
        <v>283</v>
      </c>
      <c r="P27" s="47" t="s">
        <v>284</v>
      </c>
      <c r="Q27" s="47" t="s">
        <v>264</v>
      </c>
      <c r="R27" s="47" t="s">
        <v>265</v>
      </c>
      <c r="S27" s="47" t="s">
        <v>285</v>
      </c>
      <c r="T27" s="47" t="s">
        <v>64</v>
      </c>
      <c r="U27" s="47" t="s">
        <v>286</v>
      </c>
      <c r="V27" s="47"/>
      <c r="X27" s="48">
        <v>137</v>
      </c>
      <c r="Y27" s="49" t="s">
        <v>287</v>
      </c>
      <c r="Z27" s="49" t="s">
        <v>250</v>
      </c>
      <c r="AA27" s="49" t="s">
        <v>68</v>
      </c>
      <c r="AB27" s="49"/>
      <c r="AD27" s="50" t="s">
        <v>288</v>
      </c>
      <c r="AE27" s="50" t="s">
        <v>289</v>
      </c>
    </row>
    <row r="28" spans="3:31" x14ac:dyDescent="0.2">
      <c r="C28" s="42" t="s">
        <v>290</v>
      </c>
      <c r="D28" s="42" t="s">
        <v>291</v>
      </c>
      <c r="E28" s="43" t="s">
        <v>292</v>
      </c>
      <c r="F28" s="42" t="s">
        <v>132</v>
      </c>
      <c r="G28" s="42" t="s">
        <v>293</v>
      </c>
      <c r="H28" s="44"/>
      <c r="I28" s="42"/>
      <c r="K28" s="56"/>
      <c r="L28" s="47" t="str">
        <f>CONCATENATE(K27," Ext.")</f>
        <v>Instalación Eléctrica Ext.</v>
      </c>
      <c r="M28" s="47"/>
      <c r="N28" s="47"/>
      <c r="O28" s="47"/>
      <c r="P28" s="47"/>
      <c r="Q28" s="47"/>
      <c r="R28" s="47"/>
      <c r="S28" s="47"/>
      <c r="T28" s="47"/>
      <c r="U28" s="47"/>
      <c r="V28" s="47"/>
      <c r="X28" s="48">
        <v>140</v>
      </c>
      <c r="Y28" s="49" t="s">
        <v>294</v>
      </c>
      <c r="Z28" s="49" t="s">
        <v>295</v>
      </c>
      <c r="AA28" s="49" t="s">
        <v>68</v>
      </c>
      <c r="AB28" s="49"/>
      <c r="AD28" s="50" t="s">
        <v>296</v>
      </c>
      <c r="AE28" s="50" t="s">
        <v>297</v>
      </c>
    </row>
    <row r="29" spans="3:31" x14ac:dyDescent="0.2">
      <c r="C29" s="42" t="s">
        <v>298</v>
      </c>
      <c r="D29" s="42" t="s">
        <v>299</v>
      </c>
      <c r="E29" s="43" t="s">
        <v>300</v>
      </c>
      <c r="F29" s="42" t="s">
        <v>132</v>
      </c>
      <c r="G29" s="42" t="s">
        <v>293</v>
      </c>
      <c r="H29" s="44"/>
      <c r="I29" s="42"/>
      <c r="K29" s="56" t="s">
        <v>301</v>
      </c>
      <c r="L29" s="47" t="str">
        <f>K29&amp;" SERRA"</f>
        <v>Instalación NR SERRA</v>
      </c>
      <c r="M29" s="47" t="s">
        <v>301</v>
      </c>
      <c r="N29" s="47" t="str">
        <f>N27</f>
        <v>Instalación ENR</v>
      </c>
      <c r="O29" s="47" t="s">
        <v>302</v>
      </c>
      <c r="P29" s="47" t="s">
        <v>284</v>
      </c>
      <c r="Q29" s="47" t="s">
        <v>264</v>
      </c>
      <c r="R29" s="47" t="s">
        <v>265</v>
      </c>
      <c r="S29" s="47" t="s">
        <v>303</v>
      </c>
      <c r="T29" s="47" t="s">
        <v>64</v>
      </c>
      <c r="U29" s="47" t="s">
        <v>304</v>
      </c>
      <c r="V29" s="47"/>
      <c r="X29" s="48">
        <v>141</v>
      </c>
      <c r="Y29" s="49" t="s">
        <v>305</v>
      </c>
      <c r="Z29" s="49" t="s">
        <v>306</v>
      </c>
      <c r="AA29" s="49" t="s">
        <v>68</v>
      </c>
      <c r="AB29" s="49"/>
      <c r="AD29" s="50" t="s">
        <v>307</v>
      </c>
      <c r="AE29" s="50" t="s">
        <v>308</v>
      </c>
    </row>
    <row r="30" spans="3:31" x14ac:dyDescent="0.2">
      <c r="C30" s="42" t="s">
        <v>309</v>
      </c>
      <c r="D30" s="42" t="s">
        <v>310</v>
      </c>
      <c r="E30" s="43" t="s">
        <v>244</v>
      </c>
      <c r="F30" s="42" t="s">
        <v>55</v>
      </c>
      <c r="G30" s="42" t="s">
        <v>56</v>
      </c>
      <c r="H30" s="44"/>
      <c r="I30" s="42"/>
      <c r="K30" s="56"/>
      <c r="L30" s="47" t="str">
        <f>CONCATENATE(K29," Ext.")</f>
        <v>Instalación NR Ext.</v>
      </c>
      <c r="M30" s="47"/>
      <c r="N30" s="47"/>
      <c r="O30" s="47"/>
      <c r="P30" s="47"/>
      <c r="Q30" s="47"/>
      <c r="R30" s="47"/>
      <c r="S30" s="47"/>
      <c r="T30" s="47"/>
      <c r="U30" s="47"/>
      <c r="V30" s="47"/>
      <c r="X30" s="48">
        <v>142</v>
      </c>
      <c r="Y30" s="49" t="s">
        <v>311</v>
      </c>
      <c r="Z30" s="49" t="s">
        <v>312</v>
      </c>
      <c r="AA30" s="49" t="s">
        <v>68</v>
      </c>
      <c r="AB30" s="49"/>
      <c r="AD30" s="50" t="s">
        <v>313</v>
      </c>
      <c r="AE30" s="50" t="s">
        <v>314</v>
      </c>
    </row>
    <row r="31" spans="3:31" x14ac:dyDescent="0.2">
      <c r="C31" s="42" t="s">
        <v>315</v>
      </c>
      <c r="D31" s="42" t="s">
        <v>316</v>
      </c>
      <c r="E31" s="43" t="s">
        <v>261</v>
      </c>
      <c r="F31" s="42" t="s">
        <v>55</v>
      </c>
      <c r="G31" s="42" t="s">
        <v>56</v>
      </c>
      <c r="H31" s="44"/>
      <c r="I31" s="42"/>
      <c r="K31" s="46" t="s">
        <v>317</v>
      </c>
      <c r="L31" s="47" t="str">
        <f>K31&amp;" SERRA"</f>
        <v>Asist. Técnica SERRA</v>
      </c>
      <c r="M31" s="47" t="s">
        <v>317</v>
      </c>
      <c r="N31" s="47" t="s">
        <v>317</v>
      </c>
      <c r="O31" s="47" t="s">
        <v>318</v>
      </c>
      <c r="P31" s="47" t="s">
        <v>317</v>
      </c>
      <c r="Q31" s="47" t="s">
        <v>319</v>
      </c>
      <c r="R31" s="47" t="s">
        <v>153</v>
      </c>
      <c r="S31" s="47" t="s">
        <v>320</v>
      </c>
      <c r="T31" s="47" t="s">
        <v>64</v>
      </c>
      <c r="U31" s="47" t="s">
        <v>65</v>
      </c>
      <c r="V31" s="47"/>
      <c r="X31" s="48">
        <v>145</v>
      </c>
      <c r="Y31" s="49" t="s">
        <v>321</v>
      </c>
      <c r="Z31" s="49" t="s">
        <v>295</v>
      </c>
      <c r="AA31" s="49" t="s">
        <v>68</v>
      </c>
      <c r="AB31" s="49"/>
      <c r="AD31" s="50" t="s">
        <v>322</v>
      </c>
      <c r="AE31" s="50" t="s">
        <v>323</v>
      </c>
    </row>
    <row r="32" spans="3:31" x14ac:dyDescent="0.2">
      <c r="C32" s="42" t="s">
        <v>324</v>
      </c>
      <c r="D32" s="42" t="s">
        <v>325</v>
      </c>
      <c r="E32" s="43" t="s">
        <v>326</v>
      </c>
      <c r="F32" s="42" t="s">
        <v>55</v>
      </c>
      <c r="G32" s="42" t="s">
        <v>56</v>
      </c>
      <c r="H32" s="44"/>
      <c r="I32" s="42"/>
      <c r="K32" s="46"/>
      <c r="L32" s="47" t="str">
        <f>CONCATENATE(K31," Ext.")</f>
        <v>Asist. Técnica Ext.</v>
      </c>
      <c r="M32" s="47"/>
      <c r="N32" s="47"/>
      <c r="O32" s="47"/>
      <c r="P32" s="47"/>
      <c r="Q32" s="47"/>
      <c r="R32" s="47"/>
      <c r="S32" s="47"/>
      <c r="T32" s="47"/>
      <c r="U32" s="47"/>
      <c r="V32" s="47"/>
      <c r="X32" s="48">
        <v>150</v>
      </c>
      <c r="Y32" s="49" t="s">
        <v>327</v>
      </c>
      <c r="Z32" s="49" t="s">
        <v>328</v>
      </c>
      <c r="AA32" s="49" t="s">
        <v>68</v>
      </c>
      <c r="AB32" s="49"/>
      <c r="AD32" s="50" t="s">
        <v>329</v>
      </c>
      <c r="AE32" s="50" t="s">
        <v>330</v>
      </c>
    </row>
    <row r="33" spans="3:31" x14ac:dyDescent="0.2">
      <c r="C33" s="42" t="s">
        <v>331</v>
      </c>
      <c r="D33" s="42" t="s">
        <v>332</v>
      </c>
      <c r="E33" s="43" t="s">
        <v>300</v>
      </c>
      <c r="F33" s="42" t="s">
        <v>55</v>
      </c>
      <c r="G33" s="42" t="s">
        <v>333</v>
      </c>
      <c r="H33" s="44"/>
      <c r="I33" s="42"/>
      <c r="K33" s="46" t="s">
        <v>334</v>
      </c>
      <c r="L33" s="47" t="str">
        <f>CstGrpS[[#This Row],[CstGrpId]]</f>
        <v>Material Mecánico +%</v>
      </c>
      <c r="M33" s="47" t="s">
        <v>335</v>
      </c>
      <c r="N33" s="47" t="s">
        <v>336</v>
      </c>
      <c r="O33" s="47" t="s">
        <v>337</v>
      </c>
      <c r="P33" s="47" t="s">
        <v>338</v>
      </c>
      <c r="Q33" s="47" t="s">
        <v>339</v>
      </c>
      <c r="R33" s="47" t="s">
        <v>340</v>
      </c>
      <c r="S33" s="47" t="s">
        <v>341</v>
      </c>
      <c r="T33" s="47" t="s">
        <v>248</v>
      </c>
      <c r="U33" s="47" t="s">
        <v>65</v>
      </c>
      <c r="V33" s="47"/>
      <c r="X33" s="48">
        <v>200</v>
      </c>
      <c r="Y33" s="49" t="s">
        <v>342</v>
      </c>
      <c r="Z33" s="49" t="s">
        <v>343</v>
      </c>
      <c r="AA33" s="49" t="s">
        <v>68</v>
      </c>
      <c r="AB33" s="49"/>
      <c r="AD33" s="50" t="s">
        <v>344</v>
      </c>
      <c r="AE33" s="50" t="s">
        <v>345</v>
      </c>
    </row>
    <row r="34" spans="3:31" x14ac:dyDescent="0.2">
      <c r="C34" s="42" t="s">
        <v>346</v>
      </c>
      <c r="D34" s="42" t="s">
        <v>347</v>
      </c>
      <c r="E34" s="43" t="s">
        <v>238</v>
      </c>
      <c r="F34" s="42" t="s">
        <v>132</v>
      </c>
      <c r="G34" s="42" t="s">
        <v>56</v>
      </c>
      <c r="H34" s="44"/>
      <c r="I34" s="42"/>
      <c r="K34" s="46"/>
      <c r="L34" s="47" t="s">
        <v>348</v>
      </c>
      <c r="M34" s="47"/>
      <c r="N34" s="47"/>
      <c r="O34" s="47"/>
      <c r="P34" s="47"/>
      <c r="Q34" s="47" t="s">
        <v>349</v>
      </c>
      <c r="R34" s="47"/>
      <c r="S34" s="47"/>
      <c r="T34" s="47"/>
      <c r="U34" s="47"/>
      <c r="V34" s="47"/>
      <c r="X34" s="48">
        <v>210</v>
      </c>
      <c r="Y34" s="49" t="s">
        <v>350</v>
      </c>
      <c r="Z34" s="49" t="s">
        <v>351</v>
      </c>
      <c r="AA34" s="49" t="s">
        <v>68</v>
      </c>
      <c r="AB34" s="49"/>
      <c r="AD34" s="50" t="s">
        <v>352</v>
      </c>
      <c r="AE34" s="50" t="s">
        <v>353</v>
      </c>
    </row>
    <row r="35" spans="3:31" x14ac:dyDescent="0.2">
      <c r="C35" s="42" t="s">
        <v>354</v>
      </c>
      <c r="D35" s="42" t="s">
        <v>355</v>
      </c>
      <c r="E35" s="43" t="s">
        <v>255</v>
      </c>
      <c r="F35" s="42" t="s">
        <v>132</v>
      </c>
      <c r="G35" s="42" t="s">
        <v>56</v>
      </c>
      <c r="H35" s="44"/>
      <c r="I35" s="42"/>
      <c r="K35" s="57" t="s">
        <v>356</v>
      </c>
      <c r="L35" s="47" t="str">
        <f>CstGrpS[[#This Row],[CstGrpId]]</f>
        <v>Material Eléctrico +%</v>
      </c>
      <c r="M35" s="47" t="s">
        <v>357</v>
      </c>
      <c r="N35" s="47" t="s">
        <v>358</v>
      </c>
      <c r="O35" s="47" t="s">
        <v>337</v>
      </c>
      <c r="P35" s="47" t="s">
        <v>359</v>
      </c>
      <c r="Q35" s="47" t="s">
        <v>360</v>
      </c>
      <c r="R35" s="47" t="s">
        <v>361</v>
      </c>
      <c r="S35" s="47" t="s">
        <v>362</v>
      </c>
      <c r="T35" s="47" t="s">
        <v>248</v>
      </c>
      <c r="U35" s="47" t="s">
        <v>65</v>
      </c>
      <c r="V35" s="47"/>
      <c r="X35" s="48">
        <v>220</v>
      </c>
      <c r="Y35" s="49" t="s">
        <v>363</v>
      </c>
      <c r="Z35" s="49" t="s">
        <v>364</v>
      </c>
      <c r="AA35" s="49" t="s">
        <v>68</v>
      </c>
      <c r="AB35" s="49"/>
      <c r="AD35" s="50" t="s">
        <v>365</v>
      </c>
      <c r="AE35" s="50" t="s">
        <v>366</v>
      </c>
    </row>
    <row r="36" spans="3:31" x14ac:dyDescent="0.2">
      <c r="C36" s="42" t="s">
        <v>367</v>
      </c>
      <c r="D36" s="42" t="s">
        <v>368</v>
      </c>
      <c r="E36" s="43" t="s">
        <v>141</v>
      </c>
      <c r="F36" s="42" t="s">
        <v>142</v>
      </c>
      <c r="G36" s="42" t="s">
        <v>143</v>
      </c>
      <c r="H36" s="44" t="s">
        <v>95</v>
      </c>
      <c r="I36" s="42"/>
      <c r="K36" s="46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58"/>
      <c r="X36" s="48">
        <v>225</v>
      </c>
      <c r="Y36" s="49" t="s">
        <v>369</v>
      </c>
      <c r="Z36" s="49" t="s">
        <v>370</v>
      </c>
      <c r="AA36" s="49" t="s">
        <v>68</v>
      </c>
      <c r="AB36" s="49"/>
      <c r="AD36" s="50" t="s">
        <v>371</v>
      </c>
      <c r="AE36" s="50" t="s">
        <v>372</v>
      </c>
    </row>
    <row r="37" spans="3:31" x14ac:dyDescent="0.2">
      <c r="C37" s="42" t="s">
        <v>373</v>
      </c>
      <c r="D37" s="42" t="s">
        <v>374</v>
      </c>
      <c r="E37" s="43" t="s">
        <v>141</v>
      </c>
      <c r="F37" s="42" t="s">
        <v>142</v>
      </c>
      <c r="G37" s="42" t="s">
        <v>375</v>
      </c>
      <c r="H37" s="44" t="s">
        <v>82</v>
      </c>
      <c r="I37" s="42"/>
      <c r="K37" s="57" t="s">
        <v>376</v>
      </c>
      <c r="L37" s="47" t="str">
        <f>CstGrpS[[#This Row],[CstGrpId]]</f>
        <v>Material Fluidos +%</v>
      </c>
      <c r="M37" s="47" t="s">
        <v>376</v>
      </c>
      <c r="N37" s="47" t="s">
        <v>377</v>
      </c>
      <c r="O37" s="47" t="s">
        <v>337</v>
      </c>
      <c r="P37" s="47" t="s">
        <v>377</v>
      </c>
      <c r="Q37" s="47" t="s">
        <v>378</v>
      </c>
      <c r="R37" s="47" t="s">
        <v>361</v>
      </c>
      <c r="S37" s="47" t="s">
        <v>379</v>
      </c>
      <c r="T37" s="47" t="s">
        <v>248</v>
      </c>
      <c r="U37" s="47" t="s">
        <v>65</v>
      </c>
      <c r="V37" s="59"/>
      <c r="X37" s="48">
        <v>300</v>
      </c>
      <c r="Y37" s="49" t="s">
        <v>380</v>
      </c>
      <c r="Z37" s="49" t="s">
        <v>381</v>
      </c>
      <c r="AA37" s="49" t="s">
        <v>68</v>
      </c>
      <c r="AB37" s="49"/>
      <c r="AD37" s="50" t="s">
        <v>382</v>
      </c>
      <c r="AE37" s="50" t="s">
        <v>383</v>
      </c>
    </row>
    <row r="38" spans="3:31" x14ac:dyDescent="0.2">
      <c r="C38" s="42" t="s">
        <v>384</v>
      </c>
      <c r="D38" s="42" t="s">
        <v>385</v>
      </c>
      <c r="E38" s="43" t="s">
        <v>274</v>
      </c>
      <c r="F38" s="42" t="s">
        <v>132</v>
      </c>
      <c r="G38" s="42" t="s">
        <v>56</v>
      </c>
      <c r="H38" s="44"/>
      <c r="I38" s="42"/>
      <c r="K38" s="46"/>
      <c r="L38" s="47"/>
      <c r="M38" s="47"/>
      <c r="N38" s="47"/>
      <c r="O38" s="47"/>
      <c r="P38" s="47"/>
      <c r="R38" s="47"/>
      <c r="S38" s="47"/>
      <c r="T38" s="47"/>
      <c r="U38" s="47"/>
      <c r="X38" s="48">
        <v>301</v>
      </c>
      <c r="Y38" s="49" t="s">
        <v>386</v>
      </c>
      <c r="Z38" s="49" t="s">
        <v>387</v>
      </c>
      <c r="AA38" s="49" t="s">
        <v>68</v>
      </c>
      <c r="AB38" s="49"/>
      <c r="AD38" s="50" t="s">
        <v>388</v>
      </c>
      <c r="AE38" s="50" t="s">
        <v>389</v>
      </c>
    </row>
    <row r="39" spans="3:31" x14ac:dyDescent="0.2">
      <c r="C39" s="42" t="s">
        <v>390</v>
      </c>
      <c r="D39" s="42" t="s">
        <v>391</v>
      </c>
      <c r="E39" s="43" t="s">
        <v>292</v>
      </c>
      <c r="F39" s="42" t="s">
        <v>132</v>
      </c>
      <c r="G39" s="42" t="s">
        <v>293</v>
      </c>
      <c r="H39" s="44"/>
      <c r="I39" s="42"/>
      <c r="K39" s="46" t="s">
        <v>392</v>
      </c>
      <c r="L39" s="47" t="str">
        <f>K39&amp;" SERRA"</f>
        <v>Transp. &amp; Desplaz. SERRA</v>
      </c>
      <c r="M39" s="47" t="s">
        <v>392</v>
      </c>
      <c r="N39" s="47" t="s">
        <v>392</v>
      </c>
      <c r="O39" s="47" t="s">
        <v>16</v>
      </c>
      <c r="P39" s="47" t="s">
        <v>392</v>
      </c>
      <c r="Q39" s="47" t="s">
        <v>393</v>
      </c>
      <c r="R39" s="47" t="s">
        <v>62</v>
      </c>
      <c r="S39" s="47" t="s">
        <v>394</v>
      </c>
      <c r="T39" s="47" t="s">
        <v>395</v>
      </c>
      <c r="U39" s="58" t="s">
        <v>65</v>
      </c>
      <c r="X39" s="48">
        <v>302</v>
      </c>
      <c r="Y39" s="49" t="s">
        <v>396</v>
      </c>
      <c r="Z39" s="49" t="s">
        <v>397</v>
      </c>
      <c r="AA39" s="49" t="s">
        <v>68</v>
      </c>
      <c r="AB39" s="49"/>
      <c r="AD39" s="50" t="s">
        <v>398</v>
      </c>
      <c r="AE39" s="50" t="s">
        <v>399</v>
      </c>
    </row>
    <row r="40" spans="3:31" x14ac:dyDescent="0.2">
      <c r="C40" s="42" t="s">
        <v>400</v>
      </c>
      <c r="D40" s="42" t="s">
        <v>401</v>
      </c>
      <c r="E40" s="43" t="s">
        <v>402</v>
      </c>
      <c r="F40" s="42" t="s">
        <v>142</v>
      </c>
      <c r="G40" s="42" t="s">
        <v>375</v>
      </c>
      <c r="H40" s="44" t="s">
        <v>82</v>
      </c>
      <c r="I40" s="42"/>
      <c r="K40" s="46"/>
      <c r="L40" s="47" t="str">
        <f>CONCATENATE(K39," Ext.")</f>
        <v>Transp. &amp; Desplaz. Ext.</v>
      </c>
      <c r="M40" s="47"/>
      <c r="N40" s="47"/>
      <c r="O40" s="47"/>
      <c r="P40" s="47"/>
      <c r="Q40" s="47"/>
      <c r="R40" s="59"/>
      <c r="S40" s="47"/>
      <c r="T40" s="47"/>
      <c r="U40" s="59"/>
      <c r="X40" s="48">
        <v>350</v>
      </c>
      <c r="Y40" s="49" t="s">
        <v>403</v>
      </c>
      <c r="Z40" s="49" t="s">
        <v>404</v>
      </c>
      <c r="AA40" s="49" t="s">
        <v>68</v>
      </c>
      <c r="AB40" s="49"/>
      <c r="AD40" s="50" t="s">
        <v>405</v>
      </c>
      <c r="AE40" s="50" t="s">
        <v>406</v>
      </c>
    </row>
    <row r="41" spans="3:31" x14ac:dyDescent="0.2">
      <c r="C41" s="42" t="s">
        <v>407</v>
      </c>
      <c r="D41" s="42" t="s">
        <v>408</v>
      </c>
      <c r="E41" s="43" t="s">
        <v>409</v>
      </c>
      <c r="F41" s="42" t="s">
        <v>55</v>
      </c>
      <c r="G41" s="42" t="s">
        <v>167</v>
      </c>
      <c r="H41" s="44"/>
      <c r="I41" s="42"/>
      <c r="X41" s="48">
        <v>400</v>
      </c>
      <c r="Y41" s="49" t="s">
        <v>410</v>
      </c>
      <c r="Z41" s="49" t="s">
        <v>217</v>
      </c>
      <c r="AA41" s="49" t="s">
        <v>68</v>
      </c>
      <c r="AB41" s="49"/>
      <c r="AD41" s="50" t="s">
        <v>411</v>
      </c>
      <c r="AE41" s="50" t="s">
        <v>412</v>
      </c>
    </row>
    <row r="42" spans="3:31" x14ac:dyDescent="0.2">
      <c r="C42" s="42" t="s">
        <v>413</v>
      </c>
      <c r="D42" s="42" t="s">
        <v>414</v>
      </c>
      <c r="E42" s="43" t="s">
        <v>141</v>
      </c>
      <c r="F42" s="42" t="s">
        <v>142</v>
      </c>
      <c r="G42" s="42" t="s">
        <v>375</v>
      </c>
      <c r="H42" s="44" t="s">
        <v>82</v>
      </c>
      <c r="I42" s="42"/>
      <c r="M42" s="60"/>
      <c r="N42" s="60"/>
      <c r="O42" s="60"/>
      <c r="P42" s="60"/>
      <c r="Q42" s="60"/>
      <c r="X42" s="48">
        <v>410</v>
      </c>
      <c r="Y42" s="49" t="s">
        <v>415</v>
      </c>
      <c r="Z42" s="49" t="s">
        <v>217</v>
      </c>
      <c r="AA42" s="49" t="s">
        <v>68</v>
      </c>
      <c r="AB42" s="49"/>
      <c r="AD42" s="50" t="s">
        <v>416</v>
      </c>
      <c r="AE42" s="50" t="s">
        <v>417</v>
      </c>
    </row>
    <row r="43" spans="3:31" x14ac:dyDescent="0.2">
      <c r="C43" s="42" t="s">
        <v>418</v>
      </c>
      <c r="D43" s="42" t="s">
        <v>419</v>
      </c>
      <c r="E43" s="43" t="s">
        <v>402</v>
      </c>
      <c r="F43" s="42" t="s">
        <v>142</v>
      </c>
      <c r="G43" s="42" t="s">
        <v>143</v>
      </c>
      <c r="H43" s="44" t="s">
        <v>71</v>
      </c>
      <c r="I43" s="42"/>
      <c r="M43" s="60"/>
      <c r="N43" s="60"/>
      <c r="O43" s="60"/>
      <c r="P43" s="60"/>
      <c r="Q43" s="60"/>
      <c r="X43" s="48">
        <v>411</v>
      </c>
      <c r="Y43" s="49" t="s">
        <v>420</v>
      </c>
      <c r="Z43" s="49" t="s">
        <v>421</v>
      </c>
      <c r="AA43" s="49" t="s">
        <v>68</v>
      </c>
      <c r="AB43" s="49"/>
      <c r="AD43" s="50" t="s">
        <v>422</v>
      </c>
      <c r="AE43" s="50" t="s">
        <v>423</v>
      </c>
    </row>
    <row r="44" spans="3:31" x14ac:dyDescent="0.2">
      <c r="C44" s="42" t="s">
        <v>424</v>
      </c>
      <c r="D44" s="42" t="s">
        <v>425</v>
      </c>
      <c r="E44" s="43" t="s">
        <v>141</v>
      </c>
      <c r="F44" s="42" t="s">
        <v>142</v>
      </c>
      <c r="G44" s="42" t="s">
        <v>143</v>
      </c>
      <c r="H44" s="44" t="s">
        <v>95</v>
      </c>
      <c r="I44" s="42"/>
      <c r="M44" s="61"/>
      <c r="N44" s="61"/>
      <c r="O44" s="61"/>
      <c r="P44" s="61"/>
      <c r="Q44" s="61"/>
      <c r="X44" s="48">
        <v>412</v>
      </c>
      <c r="Y44" s="49" t="s">
        <v>426</v>
      </c>
      <c r="Z44" s="49" t="s">
        <v>427</v>
      </c>
      <c r="AA44" s="49" t="s">
        <v>68</v>
      </c>
      <c r="AB44" s="49"/>
      <c r="AD44" s="50" t="s">
        <v>428</v>
      </c>
      <c r="AE44" s="50" t="s">
        <v>429</v>
      </c>
    </row>
    <row r="45" spans="3:31" x14ac:dyDescent="0.2">
      <c r="C45" s="42" t="s">
        <v>430</v>
      </c>
      <c r="D45" s="42" t="s">
        <v>431</v>
      </c>
      <c r="E45" s="43" t="s">
        <v>141</v>
      </c>
      <c r="F45" s="42" t="s">
        <v>142</v>
      </c>
      <c r="G45" s="42" t="s">
        <v>143</v>
      </c>
      <c r="H45" s="44" t="s">
        <v>95</v>
      </c>
      <c r="I45" s="42"/>
      <c r="M45" s="61"/>
      <c r="N45" s="61"/>
      <c r="O45" s="61"/>
      <c r="P45" s="61"/>
      <c r="Q45" s="61"/>
      <c r="X45" s="48">
        <v>420</v>
      </c>
      <c r="Y45" s="49" t="s">
        <v>432</v>
      </c>
      <c r="Z45" s="49" t="s">
        <v>433</v>
      </c>
      <c r="AA45" s="49" t="s">
        <v>68</v>
      </c>
      <c r="AB45" s="49"/>
      <c r="AD45" s="50" t="s">
        <v>434</v>
      </c>
      <c r="AE45" s="50" t="s">
        <v>435</v>
      </c>
    </row>
    <row r="46" spans="3:31" x14ac:dyDescent="0.2">
      <c r="C46" s="42" t="s">
        <v>436</v>
      </c>
      <c r="D46" s="42" t="s">
        <v>437</v>
      </c>
      <c r="E46" s="43" t="s">
        <v>141</v>
      </c>
      <c r="F46" s="42" t="s">
        <v>142</v>
      </c>
      <c r="G46" s="42" t="s">
        <v>143</v>
      </c>
      <c r="H46" s="44" t="s">
        <v>95</v>
      </c>
      <c r="I46" s="42"/>
      <c r="M46" s="61"/>
      <c r="N46" s="61"/>
      <c r="O46" s="61"/>
      <c r="P46" s="61"/>
      <c r="Q46" s="61"/>
      <c r="X46" s="48">
        <v>500</v>
      </c>
      <c r="Y46" s="49" t="s">
        <v>438</v>
      </c>
      <c r="Z46" s="49" t="s">
        <v>439</v>
      </c>
      <c r="AA46" s="49" t="s">
        <v>68</v>
      </c>
      <c r="AB46" s="49"/>
      <c r="AD46" s="50" t="s">
        <v>440</v>
      </c>
      <c r="AE46" s="50" t="s">
        <v>441</v>
      </c>
    </row>
    <row r="47" spans="3:31" x14ac:dyDescent="0.2">
      <c r="C47" s="42" t="s">
        <v>442</v>
      </c>
      <c r="D47" s="42" t="s">
        <v>443</v>
      </c>
      <c r="E47" s="43" t="s">
        <v>402</v>
      </c>
      <c r="F47" s="42" t="s">
        <v>142</v>
      </c>
      <c r="G47" s="42" t="s">
        <v>143</v>
      </c>
      <c r="H47" s="44" t="s">
        <v>71</v>
      </c>
      <c r="I47" s="42"/>
      <c r="M47" s="61"/>
      <c r="N47" s="61"/>
      <c r="O47" s="61"/>
      <c r="P47" s="61"/>
      <c r="Q47" s="61"/>
      <c r="X47" s="48">
        <v>550</v>
      </c>
      <c r="Y47" s="49" t="s">
        <v>444</v>
      </c>
      <c r="Z47" s="49" t="s">
        <v>445</v>
      </c>
      <c r="AA47" s="49" t="s">
        <v>68</v>
      </c>
      <c r="AB47" s="49"/>
      <c r="AD47" s="50" t="s">
        <v>446</v>
      </c>
      <c r="AE47" s="50" t="s">
        <v>447</v>
      </c>
    </row>
    <row r="48" spans="3:31" x14ac:dyDescent="0.2">
      <c r="C48" s="42" t="s">
        <v>448</v>
      </c>
      <c r="D48" s="42" t="s">
        <v>449</v>
      </c>
      <c r="E48" s="43" t="s">
        <v>402</v>
      </c>
      <c r="F48" s="42" t="s">
        <v>142</v>
      </c>
      <c r="G48" s="42" t="s">
        <v>143</v>
      </c>
      <c r="H48" s="44" t="s">
        <v>71</v>
      </c>
      <c r="I48" s="42"/>
      <c r="M48" s="60"/>
      <c r="N48" s="60"/>
      <c r="O48" s="60"/>
      <c r="P48" s="60"/>
      <c r="Q48" s="60"/>
      <c r="X48" s="48">
        <v>560</v>
      </c>
      <c r="Y48" s="49" t="s">
        <v>450</v>
      </c>
      <c r="Z48" s="49" t="s">
        <v>451</v>
      </c>
      <c r="AA48" s="49" t="s">
        <v>68</v>
      </c>
      <c r="AB48" s="49"/>
      <c r="AD48" s="50" t="s">
        <v>452</v>
      </c>
      <c r="AE48" s="50" t="s">
        <v>453</v>
      </c>
    </row>
    <row r="49" spans="3:31" x14ac:dyDescent="0.2">
      <c r="C49" s="42" t="s">
        <v>454</v>
      </c>
      <c r="D49" s="42" t="s">
        <v>455</v>
      </c>
      <c r="E49" s="43" t="s">
        <v>456</v>
      </c>
      <c r="F49" s="42" t="s">
        <v>132</v>
      </c>
      <c r="G49" s="42" t="s">
        <v>457</v>
      </c>
      <c r="H49" s="44"/>
      <c r="I49" s="42"/>
      <c r="M49" s="60"/>
      <c r="N49" s="60"/>
      <c r="O49" s="60"/>
      <c r="P49" s="60"/>
      <c r="Q49" s="60"/>
      <c r="X49" s="48">
        <v>600</v>
      </c>
      <c r="Y49" s="49" t="s">
        <v>458</v>
      </c>
      <c r="Z49" s="49" t="s">
        <v>459</v>
      </c>
      <c r="AA49" s="49" t="s">
        <v>68</v>
      </c>
      <c r="AB49" s="49"/>
      <c r="AD49" s="50" t="s">
        <v>460</v>
      </c>
      <c r="AE49" s="50" t="s">
        <v>461</v>
      </c>
    </row>
    <row r="50" spans="3:31" x14ac:dyDescent="0.2">
      <c r="C50" s="42" t="s">
        <v>462</v>
      </c>
      <c r="D50" s="42" t="s">
        <v>463</v>
      </c>
      <c r="E50" s="43" t="s">
        <v>456</v>
      </c>
      <c r="F50" s="42" t="s">
        <v>132</v>
      </c>
      <c r="G50" s="42" t="s">
        <v>457</v>
      </c>
      <c r="H50" s="44"/>
      <c r="I50" s="42"/>
      <c r="M50" s="61"/>
      <c r="N50" s="61"/>
      <c r="O50" s="61"/>
      <c r="P50" s="61"/>
      <c r="Q50" s="61"/>
      <c r="X50" s="48">
        <v>601</v>
      </c>
      <c r="Y50" s="49" t="s">
        <v>464</v>
      </c>
      <c r="Z50" s="49" t="s">
        <v>459</v>
      </c>
      <c r="AA50" s="49" t="s">
        <v>68</v>
      </c>
      <c r="AB50" s="49"/>
      <c r="AD50" s="50" t="s">
        <v>465</v>
      </c>
      <c r="AE50" s="50" t="s">
        <v>466</v>
      </c>
    </row>
    <row r="51" spans="3:31" x14ac:dyDescent="0.2">
      <c r="C51" s="42" t="s">
        <v>467</v>
      </c>
      <c r="D51" s="42" t="s">
        <v>468</v>
      </c>
      <c r="E51" s="43" t="s">
        <v>469</v>
      </c>
      <c r="F51" s="42" t="s">
        <v>132</v>
      </c>
      <c r="G51" s="42" t="s">
        <v>457</v>
      </c>
      <c r="H51" s="44"/>
      <c r="I51" s="42"/>
      <c r="M51" s="61"/>
      <c r="N51" s="61"/>
      <c r="O51" s="61"/>
      <c r="P51" s="61"/>
      <c r="Q51" s="61"/>
      <c r="X51" s="48">
        <v>602</v>
      </c>
      <c r="Y51" s="49" t="s">
        <v>470</v>
      </c>
      <c r="Z51" s="49" t="s">
        <v>459</v>
      </c>
      <c r="AA51" s="49" t="s">
        <v>68</v>
      </c>
      <c r="AB51" s="49"/>
      <c r="AD51" s="50" t="s">
        <v>471</v>
      </c>
      <c r="AE51" s="50" t="s">
        <v>472</v>
      </c>
    </row>
    <row r="52" spans="3:31" x14ac:dyDescent="0.2">
      <c r="C52" s="42" t="s">
        <v>473</v>
      </c>
      <c r="D52" s="42" t="s">
        <v>474</v>
      </c>
      <c r="E52" s="43" t="s">
        <v>469</v>
      </c>
      <c r="F52" s="42" t="s">
        <v>55</v>
      </c>
      <c r="G52" s="42" t="s">
        <v>457</v>
      </c>
      <c r="H52" s="44"/>
      <c r="I52" s="42"/>
      <c r="M52" s="61"/>
      <c r="N52" s="61"/>
      <c r="O52" s="61"/>
      <c r="P52" s="61"/>
      <c r="Q52" s="61"/>
      <c r="X52" s="48">
        <v>603</v>
      </c>
      <c r="Y52" s="49" t="s">
        <v>475</v>
      </c>
      <c r="Z52" s="49" t="s">
        <v>476</v>
      </c>
      <c r="AA52" s="49" t="s">
        <v>68</v>
      </c>
      <c r="AB52" s="49"/>
      <c r="AD52" s="50" t="s">
        <v>477</v>
      </c>
      <c r="AE52" s="50" t="s">
        <v>478</v>
      </c>
    </row>
    <row r="53" spans="3:31" ht="12.75" customHeight="1" x14ac:dyDescent="0.2">
      <c r="C53" s="42" t="s">
        <v>479</v>
      </c>
      <c r="D53" s="42" t="s">
        <v>480</v>
      </c>
      <c r="E53" s="43" t="s">
        <v>402</v>
      </c>
      <c r="F53" s="42" t="s">
        <v>142</v>
      </c>
      <c r="G53" s="42" t="s">
        <v>375</v>
      </c>
      <c r="H53" s="44" t="s">
        <v>82</v>
      </c>
      <c r="I53" s="42"/>
      <c r="M53" s="61"/>
      <c r="N53" s="61"/>
      <c r="O53" s="61"/>
      <c r="P53" s="61"/>
      <c r="Q53" s="61"/>
      <c r="X53" s="48">
        <v>604</v>
      </c>
      <c r="Y53" s="49" t="s">
        <v>481</v>
      </c>
      <c r="Z53" s="49" t="s">
        <v>459</v>
      </c>
      <c r="AA53" s="49" t="s">
        <v>68</v>
      </c>
      <c r="AB53" s="49"/>
      <c r="AD53" s="50" t="s">
        <v>482</v>
      </c>
      <c r="AE53" s="50" t="s">
        <v>483</v>
      </c>
    </row>
    <row r="54" spans="3:31" x14ac:dyDescent="0.2">
      <c r="C54" s="42" t="s">
        <v>484</v>
      </c>
      <c r="D54" s="42" t="s">
        <v>485</v>
      </c>
      <c r="E54" s="43" t="s">
        <v>141</v>
      </c>
      <c r="F54" s="42" t="s">
        <v>142</v>
      </c>
      <c r="G54" s="42" t="s">
        <v>375</v>
      </c>
      <c r="H54" s="44" t="s">
        <v>82</v>
      </c>
      <c r="I54" s="42"/>
      <c r="M54" s="60"/>
      <c r="N54" s="60"/>
      <c r="O54" s="60"/>
      <c r="P54" s="60"/>
      <c r="Q54" s="60"/>
      <c r="X54" s="48">
        <v>605</v>
      </c>
      <c r="Y54" s="49" t="s">
        <v>486</v>
      </c>
      <c r="Z54" s="49" t="s">
        <v>459</v>
      </c>
      <c r="AA54" s="49" t="s">
        <v>68</v>
      </c>
      <c r="AB54" s="49"/>
      <c r="AD54" s="50" t="s">
        <v>487</v>
      </c>
      <c r="AE54" s="50" t="s">
        <v>488</v>
      </c>
    </row>
    <row r="55" spans="3:31" x14ac:dyDescent="0.2">
      <c r="C55" s="42" t="s">
        <v>489</v>
      </c>
      <c r="D55" s="42" t="s">
        <v>490</v>
      </c>
      <c r="E55" s="43" t="s">
        <v>402</v>
      </c>
      <c r="F55" s="42" t="s">
        <v>142</v>
      </c>
      <c r="G55" s="42" t="s">
        <v>143</v>
      </c>
      <c r="H55" s="44" t="s">
        <v>71</v>
      </c>
      <c r="I55" s="42"/>
      <c r="M55" s="60"/>
      <c r="N55" s="60"/>
      <c r="O55" s="60"/>
      <c r="P55" s="60"/>
      <c r="Q55" s="60"/>
      <c r="X55" s="48">
        <v>606</v>
      </c>
      <c r="Y55" s="49" t="s">
        <v>491</v>
      </c>
      <c r="Z55" s="49" t="s">
        <v>459</v>
      </c>
      <c r="AA55" s="49" t="s">
        <v>68</v>
      </c>
      <c r="AB55" s="49"/>
      <c r="AD55" s="50" t="s">
        <v>492</v>
      </c>
      <c r="AE55" s="50" t="s">
        <v>493</v>
      </c>
    </row>
    <row r="56" spans="3:31" x14ac:dyDescent="0.2">
      <c r="C56" s="42" t="s">
        <v>494</v>
      </c>
      <c r="D56" s="42" t="s">
        <v>495</v>
      </c>
      <c r="E56" s="43" t="s">
        <v>402</v>
      </c>
      <c r="F56" s="42" t="s">
        <v>142</v>
      </c>
      <c r="G56" s="42" t="s">
        <v>143</v>
      </c>
      <c r="H56" s="44" t="s">
        <v>71</v>
      </c>
      <c r="I56" s="42"/>
      <c r="M56" s="61"/>
      <c r="N56" s="61"/>
      <c r="O56" s="61"/>
      <c r="P56" s="61"/>
      <c r="Q56" s="61"/>
      <c r="X56" s="48">
        <v>607</v>
      </c>
      <c r="Y56" s="49" t="s">
        <v>496</v>
      </c>
      <c r="Z56" s="49" t="s">
        <v>459</v>
      </c>
      <c r="AA56" s="49" t="s">
        <v>68</v>
      </c>
      <c r="AB56" s="49"/>
      <c r="AD56" s="50" t="s">
        <v>497</v>
      </c>
      <c r="AE56" s="50" t="s">
        <v>498</v>
      </c>
    </row>
    <row r="57" spans="3:31" x14ac:dyDescent="0.2">
      <c r="C57" s="42" t="s">
        <v>499</v>
      </c>
      <c r="D57" s="42" t="s">
        <v>500</v>
      </c>
      <c r="E57" s="43" t="s">
        <v>141</v>
      </c>
      <c r="F57" s="42" t="s">
        <v>142</v>
      </c>
      <c r="G57" s="42" t="s">
        <v>143</v>
      </c>
      <c r="H57" s="44" t="s">
        <v>71</v>
      </c>
      <c r="I57" s="42"/>
      <c r="M57" s="61"/>
      <c r="N57" s="61"/>
      <c r="O57" s="61"/>
      <c r="P57" s="61"/>
      <c r="Q57" s="61"/>
      <c r="X57" s="48">
        <v>608</v>
      </c>
      <c r="Y57" s="49" t="s">
        <v>501</v>
      </c>
      <c r="Z57" s="49" t="s">
        <v>459</v>
      </c>
      <c r="AA57" s="49" t="s">
        <v>68</v>
      </c>
      <c r="AB57" s="49"/>
      <c r="AD57" s="50" t="s">
        <v>502</v>
      </c>
      <c r="AE57" s="50" t="s">
        <v>503</v>
      </c>
    </row>
    <row r="58" spans="3:31" x14ac:dyDescent="0.2">
      <c r="C58" s="42" t="s">
        <v>504</v>
      </c>
      <c r="D58" s="42" t="s">
        <v>505</v>
      </c>
      <c r="E58" s="43" t="s">
        <v>141</v>
      </c>
      <c r="F58" s="42" t="s">
        <v>142</v>
      </c>
      <c r="G58" s="42" t="s">
        <v>143</v>
      </c>
      <c r="H58" s="44" t="s">
        <v>95</v>
      </c>
      <c r="I58" s="42"/>
      <c r="M58" s="61"/>
      <c r="N58" s="61"/>
      <c r="O58" s="61"/>
      <c r="P58" s="61"/>
      <c r="Q58" s="61"/>
      <c r="X58" s="48">
        <v>609</v>
      </c>
      <c r="Y58" s="49" t="s">
        <v>506</v>
      </c>
      <c r="Z58" s="49" t="s">
        <v>507</v>
      </c>
      <c r="AA58" s="49" t="s">
        <v>68</v>
      </c>
      <c r="AB58" s="49"/>
      <c r="AD58" s="50" t="s">
        <v>508</v>
      </c>
      <c r="AE58" s="50" t="s">
        <v>81</v>
      </c>
    </row>
    <row r="59" spans="3:31" ht="12.75" customHeight="1" x14ac:dyDescent="0.2">
      <c r="C59" s="42" t="s">
        <v>509</v>
      </c>
      <c r="D59" s="42" t="s">
        <v>510</v>
      </c>
      <c r="E59" s="43" t="s">
        <v>141</v>
      </c>
      <c r="F59" s="42" t="s">
        <v>142</v>
      </c>
      <c r="G59" s="42" t="s">
        <v>143</v>
      </c>
      <c r="H59" s="44" t="s">
        <v>104</v>
      </c>
      <c r="I59" s="42"/>
      <c r="M59" s="61"/>
      <c r="N59" s="61"/>
      <c r="O59" s="61"/>
      <c r="P59" s="61"/>
      <c r="Q59" s="61"/>
      <c r="X59" s="48">
        <v>610</v>
      </c>
      <c r="Y59" s="49" t="s">
        <v>511</v>
      </c>
      <c r="Z59" s="49" t="s">
        <v>512</v>
      </c>
      <c r="AA59" s="49" t="s">
        <v>68</v>
      </c>
      <c r="AB59" s="49"/>
      <c r="AD59" s="50" t="s">
        <v>513</v>
      </c>
      <c r="AE59" s="50" t="s">
        <v>139</v>
      </c>
    </row>
    <row r="60" spans="3:31" x14ac:dyDescent="0.2">
      <c r="C60" s="42" t="s">
        <v>514</v>
      </c>
      <c r="D60" s="42" t="s">
        <v>515</v>
      </c>
      <c r="E60" s="43" t="s">
        <v>141</v>
      </c>
      <c r="F60" s="42" t="s">
        <v>142</v>
      </c>
      <c r="G60" s="42" t="s">
        <v>143</v>
      </c>
      <c r="H60" s="44" t="s">
        <v>104</v>
      </c>
      <c r="I60" s="42"/>
      <c r="M60" s="61"/>
      <c r="N60" s="61"/>
      <c r="O60" s="61"/>
      <c r="P60" s="61"/>
      <c r="Q60" s="61"/>
      <c r="X60" s="48">
        <v>611</v>
      </c>
      <c r="Y60" s="49" t="s">
        <v>516</v>
      </c>
      <c r="Z60" s="49" t="s">
        <v>517</v>
      </c>
      <c r="AA60" s="49" t="s">
        <v>68</v>
      </c>
      <c r="AB60" s="49"/>
      <c r="AD60" s="50" t="s">
        <v>518</v>
      </c>
      <c r="AE60" s="50" t="s">
        <v>117</v>
      </c>
    </row>
    <row r="61" spans="3:31" ht="12.75" x14ac:dyDescent="0.2">
      <c r="C61" s="42" t="s">
        <v>519</v>
      </c>
      <c r="D61" s="42" t="s">
        <v>520</v>
      </c>
      <c r="E61" s="43" t="s">
        <v>141</v>
      </c>
      <c r="F61" s="42" t="s">
        <v>142</v>
      </c>
      <c r="G61" s="42" t="s">
        <v>143</v>
      </c>
      <c r="H61" s="44" t="s">
        <v>95</v>
      </c>
      <c r="I61" s="42"/>
      <c r="M61" s="61"/>
      <c r="N61" s="22"/>
      <c r="O61" s="22"/>
      <c r="P61" s="22"/>
      <c r="Q61" s="22"/>
      <c r="X61" s="48">
        <v>612</v>
      </c>
      <c r="Y61" s="49" t="s">
        <v>521</v>
      </c>
      <c r="Z61" s="49" t="s">
        <v>517</v>
      </c>
      <c r="AA61" s="49" t="s">
        <v>68</v>
      </c>
      <c r="AB61" s="49"/>
      <c r="AD61" s="50" t="s">
        <v>522</v>
      </c>
      <c r="AE61" s="50" t="s">
        <v>523</v>
      </c>
    </row>
    <row r="62" spans="3:31" ht="12.75" x14ac:dyDescent="0.2">
      <c r="C62" s="42" t="s">
        <v>524</v>
      </c>
      <c r="D62" s="42" t="s">
        <v>525</v>
      </c>
      <c r="E62" s="43" t="s">
        <v>141</v>
      </c>
      <c r="F62" s="42" t="s">
        <v>142</v>
      </c>
      <c r="G62" s="42" t="s">
        <v>375</v>
      </c>
      <c r="H62" s="44" t="s">
        <v>82</v>
      </c>
      <c r="I62" s="42"/>
      <c r="M62" s="61"/>
      <c r="N62" s="22"/>
      <c r="O62" s="22"/>
      <c r="P62" s="22"/>
      <c r="Q62" s="22"/>
      <c r="X62" s="48">
        <v>613</v>
      </c>
      <c r="Y62" s="49" t="s">
        <v>526</v>
      </c>
      <c r="Z62" s="49" t="s">
        <v>517</v>
      </c>
      <c r="AA62" s="49" t="s">
        <v>68</v>
      </c>
      <c r="AB62" s="49"/>
      <c r="AD62" s="50" t="s">
        <v>527</v>
      </c>
      <c r="AE62" s="50" t="s">
        <v>528</v>
      </c>
    </row>
    <row r="63" spans="3:31" ht="12.75" x14ac:dyDescent="0.2">
      <c r="C63" s="42" t="s">
        <v>529</v>
      </c>
      <c r="D63" s="42" t="s">
        <v>76</v>
      </c>
      <c r="E63" s="43" t="s">
        <v>54</v>
      </c>
      <c r="F63" s="42" t="s">
        <v>55</v>
      </c>
      <c r="G63" s="42" t="s">
        <v>77</v>
      </c>
      <c r="H63" s="44"/>
      <c r="I63" s="42"/>
      <c r="M63" s="61"/>
      <c r="N63" s="22"/>
      <c r="O63" s="22"/>
      <c r="P63" s="22"/>
      <c r="Q63" s="22"/>
      <c r="X63" s="48">
        <v>614</v>
      </c>
      <c r="Y63" s="49" t="s">
        <v>530</v>
      </c>
      <c r="Z63" s="49" t="s">
        <v>531</v>
      </c>
      <c r="AA63" s="49" t="s">
        <v>68</v>
      </c>
      <c r="AB63" s="49"/>
      <c r="AD63" s="50" t="s">
        <v>532</v>
      </c>
      <c r="AE63" s="50" t="s">
        <v>533</v>
      </c>
    </row>
    <row r="64" spans="3:31" ht="12.75" x14ac:dyDescent="0.2">
      <c r="C64" s="42" t="s">
        <v>534</v>
      </c>
      <c r="D64" s="42" t="s">
        <v>535</v>
      </c>
      <c r="E64" s="62" t="s">
        <v>244</v>
      </c>
      <c r="F64" s="42" t="s">
        <v>55</v>
      </c>
      <c r="G64" s="42" t="s">
        <v>77</v>
      </c>
      <c r="H64" s="44"/>
      <c r="I64" s="42"/>
      <c r="M64" s="61"/>
      <c r="N64" s="22"/>
      <c r="O64" s="22"/>
      <c r="P64" s="22"/>
      <c r="Q64" s="22"/>
      <c r="X64" s="48">
        <v>615</v>
      </c>
      <c r="Y64" s="49" t="s">
        <v>536</v>
      </c>
      <c r="Z64" s="49" t="s">
        <v>459</v>
      </c>
      <c r="AA64" s="49" t="s">
        <v>68</v>
      </c>
      <c r="AB64" s="49"/>
      <c r="AD64" s="50" t="s">
        <v>537</v>
      </c>
      <c r="AE64" s="50" t="s">
        <v>538</v>
      </c>
    </row>
    <row r="65" spans="3:31" ht="12.75" x14ac:dyDescent="0.2">
      <c r="C65" s="42" t="s">
        <v>240</v>
      </c>
      <c r="D65" s="42" t="s">
        <v>539</v>
      </c>
      <c r="E65" s="43" t="s">
        <v>261</v>
      </c>
      <c r="F65" s="42" t="s">
        <v>540</v>
      </c>
      <c r="G65" s="42" t="s">
        <v>77</v>
      </c>
      <c r="H65" s="44"/>
      <c r="I65" s="42"/>
      <c r="M65" s="61"/>
      <c r="N65" s="22"/>
      <c r="O65" s="22"/>
      <c r="P65" s="22"/>
      <c r="Q65" s="22"/>
      <c r="X65" s="48">
        <v>616</v>
      </c>
      <c r="Y65" s="49" t="s">
        <v>541</v>
      </c>
      <c r="Z65" s="49" t="s">
        <v>542</v>
      </c>
      <c r="AA65" s="49" t="s">
        <v>68</v>
      </c>
      <c r="AB65" s="49"/>
      <c r="AD65" s="50" t="s">
        <v>543</v>
      </c>
      <c r="AE65" s="50" t="s">
        <v>222</v>
      </c>
    </row>
    <row r="66" spans="3:31" ht="12.75" x14ac:dyDescent="0.2">
      <c r="C66" s="42" t="s">
        <v>251</v>
      </c>
      <c r="D66" s="42" t="s">
        <v>544</v>
      </c>
      <c r="E66" s="43" t="s">
        <v>108</v>
      </c>
      <c r="F66" s="42" t="s">
        <v>55</v>
      </c>
      <c r="G66" s="42" t="s">
        <v>77</v>
      </c>
      <c r="H66" s="44"/>
      <c r="I66" s="42"/>
      <c r="M66" s="61"/>
      <c r="N66" s="22"/>
      <c r="O66" s="22"/>
      <c r="P66" s="22"/>
      <c r="Q66" s="22"/>
      <c r="X66" s="48">
        <v>617</v>
      </c>
      <c r="Y66" s="49" t="s">
        <v>545</v>
      </c>
      <c r="Z66" s="49" t="s">
        <v>476</v>
      </c>
      <c r="AA66" s="49" t="s">
        <v>68</v>
      </c>
      <c r="AB66" s="49"/>
      <c r="AD66" s="50" t="s">
        <v>546</v>
      </c>
      <c r="AE66" s="50" t="s">
        <v>547</v>
      </c>
    </row>
    <row r="67" spans="3:31" ht="12.75" customHeight="1" x14ac:dyDescent="0.2">
      <c r="C67" s="42" t="s">
        <v>548</v>
      </c>
      <c r="D67" s="42" t="s">
        <v>549</v>
      </c>
      <c r="E67" s="43" t="s">
        <v>550</v>
      </c>
      <c r="F67" s="42" t="s">
        <v>55</v>
      </c>
      <c r="G67" s="42" t="s">
        <v>77</v>
      </c>
      <c r="H67" s="44"/>
      <c r="I67" s="42"/>
      <c r="M67" s="61"/>
      <c r="N67" s="22"/>
      <c r="O67" s="22"/>
      <c r="P67" s="22"/>
      <c r="Q67" s="22"/>
      <c r="X67" s="48">
        <v>618</v>
      </c>
      <c r="Y67" s="49" t="s">
        <v>551</v>
      </c>
      <c r="Z67" s="49" t="s">
        <v>552</v>
      </c>
      <c r="AA67" s="49" t="s">
        <v>68</v>
      </c>
      <c r="AB67" s="49"/>
      <c r="AD67" s="50" t="s">
        <v>553</v>
      </c>
      <c r="AE67" s="50" t="s">
        <v>466</v>
      </c>
    </row>
    <row r="68" spans="3:31" ht="12.75" x14ac:dyDescent="0.2">
      <c r="C68" s="42" t="s">
        <v>554</v>
      </c>
      <c r="D68" s="42" t="s">
        <v>245</v>
      </c>
      <c r="E68" s="43" t="s">
        <v>244</v>
      </c>
      <c r="F68" s="42" t="s">
        <v>540</v>
      </c>
      <c r="G68" s="42" t="s">
        <v>77</v>
      </c>
      <c r="H68" s="44"/>
      <c r="I68" s="42"/>
      <c r="M68" s="60"/>
      <c r="N68" s="22"/>
      <c r="O68" s="22"/>
      <c r="P68" s="22"/>
      <c r="Q68" s="22"/>
      <c r="X68" s="48">
        <v>619</v>
      </c>
      <c r="Y68" s="49" t="s">
        <v>555</v>
      </c>
      <c r="Z68" s="49" t="s">
        <v>556</v>
      </c>
      <c r="AA68" s="49" t="s">
        <v>68</v>
      </c>
      <c r="AB68" s="49"/>
      <c r="AD68" s="50" t="s">
        <v>557</v>
      </c>
      <c r="AE68" s="50" t="s">
        <v>558</v>
      </c>
    </row>
    <row r="69" spans="3:31" ht="12.75" x14ac:dyDescent="0.2">
      <c r="C69" s="42" t="s">
        <v>559</v>
      </c>
      <c r="D69" s="42" t="s">
        <v>560</v>
      </c>
      <c r="E69" s="43" t="s">
        <v>108</v>
      </c>
      <c r="F69" s="42" t="s">
        <v>55</v>
      </c>
      <c r="G69" s="42" t="s">
        <v>77</v>
      </c>
      <c r="H69" s="44"/>
      <c r="I69" s="42"/>
      <c r="M69" s="60"/>
      <c r="N69" s="22"/>
      <c r="O69" s="22"/>
      <c r="P69" s="22"/>
      <c r="Q69" s="22"/>
      <c r="X69" s="48">
        <v>620</v>
      </c>
      <c r="Y69" s="49" t="s">
        <v>561</v>
      </c>
      <c r="Z69" s="49" t="s">
        <v>531</v>
      </c>
      <c r="AA69" s="49" t="s">
        <v>68</v>
      </c>
      <c r="AB69" s="49"/>
    </row>
    <row r="70" spans="3:31" ht="12.75" x14ac:dyDescent="0.2">
      <c r="C70" s="42" t="s">
        <v>307</v>
      </c>
      <c r="D70" s="42" t="s">
        <v>562</v>
      </c>
      <c r="E70" s="43" t="s">
        <v>108</v>
      </c>
      <c r="F70" s="42" t="s">
        <v>55</v>
      </c>
      <c r="G70" s="42" t="s">
        <v>563</v>
      </c>
      <c r="H70" s="44"/>
      <c r="I70" s="42"/>
      <c r="M70" s="60"/>
      <c r="N70" s="22"/>
      <c r="O70" s="22"/>
      <c r="P70" s="22"/>
      <c r="Q70" s="22"/>
      <c r="X70" s="48">
        <v>621</v>
      </c>
      <c r="Y70" s="49" t="s">
        <v>564</v>
      </c>
      <c r="Z70" s="49" t="s">
        <v>565</v>
      </c>
      <c r="AA70" s="49" t="s">
        <v>68</v>
      </c>
      <c r="AB70" s="49"/>
    </row>
    <row r="71" spans="3:31" ht="12.75" x14ac:dyDescent="0.2">
      <c r="C71" s="42" t="s">
        <v>566</v>
      </c>
      <c r="D71" s="42" t="s">
        <v>567</v>
      </c>
      <c r="E71" s="62" t="s">
        <v>54</v>
      </c>
      <c r="F71" s="42" t="s">
        <v>55</v>
      </c>
      <c r="G71" s="42" t="s">
        <v>77</v>
      </c>
      <c r="H71" s="44"/>
      <c r="I71" s="42"/>
      <c r="M71" s="60"/>
      <c r="N71" s="22"/>
      <c r="O71" s="22"/>
      <c r="P71" s="22"/>
      <c r="Q71" s="22"/>
      <c r="X71" s="48">
        <v>622</v>
      </c>
      <c r="Y71" s="49" t="s">
        <v>568</v>
      </c>
      <c r="Z71" s="49" t="s">
        <v>569</v>
      </c>
      <c r="AA71" s="49" t="s">
        <v>68</v>
      </c>
      <c r="AB71" s="49"/>
    </row>
    <row r="72" spans="3:31" ht="12.75" x14ac:dyDescent="0.2">
      <c r="C72" s="42" t="s">
        <v>570</v>
      </c>
      <c r="D72" s="42" t="s">
        <v>571</v>
      </c>
      <c r="E72" s="62" t="s">
        <v>54</v>
      </c>
      <c r="F72" s="42" t="s">
        <v>55</v>
      </c>
      <c r="G72" s="42" t="s">
        <v>77</v>
      </c>
      <c r="H72" s="44"/>
      <c r="I72" s="42"/>
      <c r="M72" s="60"/>
      <c r="N72" s="22"/>
      <c r="O72" s="22"/>
      <c r="P72" s="63"/>
      <c r="Q72" s="63"/>
      <c r="X72" s="48">
        <v>623</v>
      </c>
      <c r="Y72" s="49" t="s">
        <v>572</v>
      </c>
      <c r="Z72" s="49" t="s">
        <v>459</v>
      </c>
      <c r="AA72" s="49" t="s">
        <v>68</v>
      </c>
      <c r="AB72" s="49"/>
    </row>
    <row r="73" spans="3:31" ht="12.75" x14ac:dyDescent="0.2">
      <c r="C73" s="42" t="s">
        <v>573</v>
      </c>
      <c r="D73" s="42" t="s">
        <v>574</v>
      </c>
      <c r="E73" s="62" t="s">
        <v>54</v>
      </c>
      <c r="F73" s="42" t="s">
        <v>55</v>
      </c>
      <c r="G73" s="42" t="s">
        <v>77</v>
      </c>
      <c r="H73" s="44"/>
      <c r="I73" s="42"/>
      <c r="M73" s="60"/>
      <c r="N73" s="22"/>
      <c r="O73" s="22"/>
      <c r="P73" s="22"/>
      <c r="Q73" s="22"/>
      <c r="X73" s="48">
        <v>624</v>
      </c>
      <c r="Y73" s="49" t="s">
        <v>575</v>
      </c>
      <c r="Z73" s="49" t="s">
        <v>459</v>
      </c>
      <c r="AA73" s="49" t="s">
        <v>68</v>
      </c>
      <c r="AB73" s="49"/>
    </row>
    <row r="74" spans="3:31" ht="12.75" x14ac:dyDescent="0.2">
      <c r="C74" s="42" t="s">
        <v>576</v>
      </c>
      <c r="D74" s="42" t="s">
        <v>577</v>
      </c>
      <c r="E74" s="43" t="s">
        <v>108</v>
      </c>
      <c r="F74" s="42" t="s">
        <v>55</v>
      </c>
      <c r="G74" s="42" t="s">
        <v>77</v>
      </c>
      <c r="H74" s="44"/>
      <c r="I74" s="42"/>
      <c r="M74" s="60"/>
      <c r="N74" s="22"/>
      <c r="O74" s="22"/>
      <c r="P74" s="22"/>
      <c r="Q74" s="22"/>
      <c r="X74" s="48">
        <v>625</v>
      </c>
      <c r="Y74" s="49" t="s">
        <v>578</v>
      </c>
      <c r="Z74" s="49" t="s">
        <v>459</v>
      </c>
      <c r="AA74" s="49" t="s">
        <v>68</v>
      </c>
      <c r="AB74" s="49"/>
    </row>
    <row r="75" spans="3:31" ht="12.75" x14ac:dyDescent="0.2">
      <c r="C75" s="42" t="s">
        <v>579</v>
      </c>
      <c r="D75" s="42" t="s">
        <v>580</v>
      </c>
      <c r="E75" s="43" t="s">
        <v>54</v>
      </c>
      <c r="F75" s="42" t="s">
        <v>55</v>
      </c>
      <c r="G75" s="42" t="s">
        <v>77</v>
      </c>
      <c r="H75" s="44"/>
      <c r="I75" s="42"/>
      <c r="M75" s="60"/>
      <c r="N75" s="22"/>
      <c r="O75" s="22"/>
      <c r="P75" s="22"/>
      <c r="Q75" s="22"/>
      <c r="X75" s="48">
        <v>626</v>
      </c>
      <c r="Y75" s="49" t="s">
        <v>581</v>
      </c>
      <c r="Z75" s="49" t="s">
        <v>556</v>
      </c>
      <c r="AA75" s="49" t="s">
        <v>68</v>
      </c>
      <c r="AB75" s="49"/>
    </row>
    <row r="76" spans="3:31" ht="12.75" x14ac:dyDescent="0.2">
      <c r="C76" s="42" t="s">
        <v>582</v>
      </c>
      <c r="D76" s="42" t="s">
        <v>583</v>
      </c>
      <c r="E76" s="43" t="s">
        <v>244</v>
      </c>
      <c r="F76" s="42" t="s">
        <v>142</v>
      </c>
      <c r="G76" s="42" t="s">
        <v>143</v>
      </c>
      <c r="H76" s="44" t="s">
        <v>95</v>
      </c>
      <c r="I76" s="42"/>
      <c r="M76" s="64"/>
      <c r="N76" s="22"/>
      <c r="O76" s="22"/>
      <c r="P76" s="22"/>
      <c r="Q76" s="22"/>
      <c r="X76" s="48">
        <v>627</v>
      </c>
      <c r="Y76" s="49" t="s">
        <v>584</v>
      </c>
      <c r="Z76" s="49" t="s">
        <v>517</v>
      </c>
      <c r="AA76" s="49" t="s">
        <v>68</v>
      </c>
      <c r="AB76" s="49"/>
    </row>
    <row r="77" spans="3:31" ht="12.75" x14ac:dyDescent="0.2">
      <c r="C77" s="42" t="s">
        <v>585</v>
      </c>
      <c r="D77" s="42" t="s">
        <v>586</v>
      </c>
      <c r="E77" s="43" t="s">
        <v>108</v>
      </c>
      <c r="F77" s="42" t="s">
        <v>55</v>
      </c>
      <c r="G77" s="42" t="s">
        <v>587</v>
      </c>
      <c r="H77" s="44"/>
      <c r="I77" s="42"/>
      <c r="M77" s="64"/>
      <c r="N77" s="22"/>
      <c r="O77" s="22"/>
      <c r="P77" s="22"/>
      <c r="Q77" s="22"/>
      <c r="X77" s="48">
        <v>628</v>
      </c>
      <c r="Y77" s="49" t="s">
        <v>588</v>
      </c>
      <c r="Z77" s="49" t="s">
        <v>531</v>
      </c>
      <c r="AA77" s="49" t="s">
        <v>68</v>
      </c>
      <c r="AB77" s="49"/>
    </row>
    <row r="78" spans="3:31" ht="12.75" x14ac:dyDescent="0.2">
      <c r="C78" s="42" t="s">
        <v>589</v>
      </c>
      <c r="D78" s="42" t="s">
        <v>590</v>
      </c>
      <c r="E78" s="62" t="s">
        <v>54</v>
      </c>
      <c r="F78" s="42" t="s">
        <v>55</v>
      </c>
      <c r="G78" s="42" t="s">
        <v>591</v>
      </c>
      <c r="H78" s="44"/>
      <c r="I78" s="42"/>
      <c r="N78" s="22"/>
      <c r="O78" s="22"/>
      <c r="P78" s="22"/>
      <c r="Q78" s="22"/>
      <c r="X78" s="48">
        <v>629</v>
      </c>
      <c r="Y78" s="49" t="s">
        <v>592</v>
      </c>
      <c r="Z78" s="49" t="s">
        <v>459</v>
      </c>
      <c r="AA78" s="49" t="s">
        <v>68</v>
      </c>
      <c r="AB78" s="49"/>
    </row>
    <row r="79" spans="3:31" ht="12.75" x14ac:dyDescent="0.2">
      <c r="C79" s="42" t="s">
        <v>593</v>
      </c>
      <c r="D79" s="42" t="s">
        <v>594</v>
      </c>
      <c r="E79" s="43" t="s">
        <v>100</v>
      </c>
      <c r="F79" s="42" t="s">
        <v>55</v>
      </c>
      <c r="G79" s="42" t="s">
        <v>595</v>
      </c>
      <c r="H79" s="44"/>
      <c r="I79" s="42"/>
      <c r="N79" s="22"/>
      <c r="O79" s="22"/>
      <c r="P79" s="22"/>
      <c r="Q79" s="22"/>
      <c r="X79" s="48">
        <v>630</v>
      </c>
      <c r="Y79" s="49" t="s">
        <v>596</v>
      </c>
      <c r="Z79" s="49" t="s">
        <v>542</v>
      </c>
      <c r="AA79" s="49" t="s">
        <v>68</v>
      </c>
      <c r="AB79" s="49"/>
    </row>
    <row r="80" spans="3:31" ht="12.75" x14ac:dyDescent="0.2">
      <c r="C80" s="42" t="s">
        <v>597</v>
      </c>
      <c r="D80" s="42" t="s">
        <v>598</v>
      </c>
      <c r="E80" s="43" t="s">
        <v>100</v>
      </c>
      <c r="F80" s="42" t="s">
        <v>55</v>
      </c>
      <c r="G80" s="42" t="s">
        <v>599</v>
      </c>
      <c r="H80" s="44"/>
      <c r="I80" s="42"/>
      <c r="N80" s="22"/>
      <c r="O80" s="22"/>
      <c r="P80" s="22"/>
      <c r="Q80" s="22"/>
      <c r="X80" s="48">
        <v>631</v>
      </c>
      <c r="Y80" s="49" t="s">
        <v>600</v>
      </c>
      <c r="Z80" s="49" t="s">
        <v>476</v>
      </c>
      <c r="AA80" s="49" t="s">
        <v>68</v>
      </c>
      <c r="AB80" s="49"/>
    </row>
    <row r="81" spans="3:28" ht="12.75" x14ac:dyDescent="0.2">
      <c r="C81" s="42" t="s">
        <v>601</v>
      </c>
      <c r="D81" s="42" t="s">
        <v>602</v>
      </c>
      <c r="E81" s="62" t="s">
        <v>54</v>
      </c>
      <c r="F81" s="42" t="s">
        <v>55</v>
      </c>
      <c r="G81" s="42" t="s">
        <v>603</v>
      </c>
      <c r="H81" s="44"/>
      <c r="I81" s="42"/>
      <c r="N81" s="22"/>
      <c r="O81" s="22"/>
      <c r="P81" s="22"/>
      <c r="Q81" s="22"/>
      <c r="X81" s="48">
        <v>632</v>
      </c>
      <c r="Y81" s="49" t="s">
        <v>604</v>
      </c>
      <c r="Z81" s="49" t="s">
        <v>552</v>
      </c>
      <c r="AA81" s="49" t="s">
        <v>68</v>
      </c>
      <c r="AB81" s="49"/>
    </row>
    <row r="82" spans="3:28" ht="12.75" x14ac:dyDescent="0.2">
      <c r="C82" s="42" t="s">
        <v>605</v>
      </c>
      <c r="D82" s="42" t="s">
        <v>606</v>
      </c>
      <c r="E82" s="43" t="s">
        <v>141</v>
      </c>
      <c r="F82" s="42" t="s">
        <v>142</v>
      </c>
      <c r="G82" s="42" t="s">
        <v>143</v>
      </c>
      <c r="H82" s="44" t="s">
        <v>95</v>
      </c>
      <c r="I82" s="42"/>
      <c r="N82" s="22"/>
      <c r="O82" s="22"/>
      <c r="P82" s="22"/>
      <c r="Q82" s="22"/>
      <c r="X82" s="48">
        <v>633</v>
      </c>
      <c r="Y82" s="49" t="s">
        <v>607</v>
      </c>
      <c r="Z82" s="49" t="s">
        <v>565</v>
      </c>
      <c r="AA82" s="49" t="s">
        <v>68</v>
      </c>
    </row>
    <row r="83" spans="3:28" ht="12.75" x14ac:dyDescent="0.2">
      <c r="C83" s="42" t="s">
        <v>608</v>
      </c>
      <c r="D83" s="42" t="s">
        <v>609</v>
      </c>
      <c r="E83" s="43" t="s">
        <v>610</v>
      </c>
      <c r="F83" s="42" t="s">
        <v>142</v>
      </c>
      <c r="G83" s="42" t="s">
        <v>143</v>
      </c>
      <c r="H83" s="44" t="s">
        <v>95</v>
      </c>
      <c r="I83" s="42"/>
      <c r="N83" s="22"/>
      <c r="O83" s="22"/>
      <c r="P83" s="22"/>
      <c r="Q83" s="22"/>
      <c r="X83" s="48">
        <v>699</v>
      </c>
      <c r="Y83" s="49" t="s">
        <v>611</v>
      </c>
      <c r="Z83" s="49" t="s">
        <v>612</v>
      </c>
      <c r="AA83" s="49" t="s">
        <v>68</v>
      </c>
    </row>
    <row r="84" spans="3:28" ht="12.75" x14ac:dyDescent="0.2">
      <c r="C84" s="42" t="s">
        <v>613</v>
      </c>
      <c r="D84" s="42" t="s">
        <v>614</v>
      </c>
      <c r="E84" s="43" t="s">
        <v>54</v>
      </c>
      <c r="F84" s="42" t="s">
        <v>55</v>
      </c>
      <c r="G84" s="42" t="s">
        <v>56</v>
      </c>
      <c r="H84" s="44"/>
      <c r="I84" s="42"/>
      <c r="N84" s="22"/>
      <c r="O84" s="22"/>
      <c r="P84" s="22"/>
      <c r="Q84" s="22"/>
      <c r="X84" s="48">
        <v>999</v>
      </c>
      <c r="Y84" s="49" t="s">
        <v>615</v>
      </c>
      <c r="Z84" s="49" t="s">
        <v>616</v>
      </c>
      <c r="AA84" s="49" t="s">
        <v>68</v>
      </c>
    </row>
    <row r="85" spans="3:28" ht="12.75" x14ac:dyDescent="0.2">
      <c r="C85" s="42" t="s">
        <v>617</v>
      </c>
      <c r="D85" s="42" t="s">
        <v>618</v>
      </c>
      <c r="E85" s="43" t="s">
        <v>108</v>
      </c>
      <c r="F85" s="42" t="s">
        <v>55</v>
      </c>
      <c r="G85" s="42" t="s">
        <v>56</v>
      </c>
      <c r="H85" s="44"/>
      <c r="I85" s="42"/>
      <c r="N85" s="22"/>
      <c r="O85" s="22"/>
      <c r="P85" s="22"/>
      <c r="Q85" s="22"/>
      <c r="X85" s="48">
        <v>1010</v>
      </c>
      <c r="Y85" s="49" t="s">
        <v>619</v>
      </c>
      <c r="Z85" s="49" t="s">
        <v>620</v>
      </c>
      <c r="AA85" s="49" t="s">
        <v>68</v>
      </c>
    </row>
    <row r="86" spans="3:28" ht="12.75" x14ac:dyDescent="0.2">
      <c r="C86" s="42" t="s">
        <v>621</v>
      </c>
      <c r="D86" s="42" t="s">
        <v>622</v>
      </c>
      <c r="E86" s="43" t="s">
        <v>550</v>
      </c>
      <c r="F86" s="42" t="s">
        <v>55</v>
      </c>
      <c r="G86" s="42" t="s">
        <v>56</v>
      </c>
      <c r="H86" s="44"/>
      <c r="I86" s="42"/>
      <c r="N86" s="22"/>
      <c r="O86" s="22"/>
      <c r="P86" s="22"/>
      <c r="Q86" s="22"/>
      <c r="X86" s="48">
        <v>1011</v>
      </c>
      <c r="Y86" s="49" t="s">
        <v>623</v>
      </c>
      <c r="Z86" s="49" t="s">
        <v>620</v>
      </c>
      <c r="AA86" s="49" t="s">
        <v>68</v>
      </c>
    </row>
    <row r="87" spans="3:28" ht="12.75" x14ac:dyDescent="0.2">
      <c r="C87" s="42" t="s">
        <v>624</v>
      </c>
      <c r="D87" s="42" t="s">
        <v>625</v>
      </c>
      <c r="E87" s="43" t="s">
        <v>54</v>
      </c>
      <c r="F87" s="42" t="s">
        <v>142</v>
      </c>
      <c r="G87" s="42" t="s">
        <v>143</v>
      </c>
      <c r="H87" s="44" t="s">
        <v>95</v>
      </c>
      <c r="I87" s="42"/>
      <c r="N87" s="22"/>
      <c r="O87" s="22"/>
      <c r="P87" s="22"/>
      <c r="Q87" s="22"/>
      <c r="X87" s="48">
        <v>1020</v>
      </c>
      <c r="Y87" s="49" t="s">
        <v>626</v>
      </c>
      <c r="Z87" s="49" t="s">
        <v>627</v>
      </c>
      <c r="AA87" s="49" t="s">
        <v>68</v>
      </c>
    </row>
    <row r="88" spans="3:28" ht="12.75" x14ac:dyDescent="0.2">
      <c r="C88" s="42" t="s">
        <v>628</v>
      </c>
      <c r="D88" s="42" t="s">
        <v>629</v>
      </c>
      <c r="E88" s="43" t="s">
        <v>630</v>
      </c>
      <c r="F88" s="42" t="s">
        <v>142</v>
      </c>
      <c r="G88" s="42" t="s">
        <v>143</v>
      </c>
      <c r="H88" s="44" t="s">
        <v>95</v>
      </c>
      <c r="I88" s="42"/>
      <c r="N88" s="22"/>
      <c r="O88" s="22"/>
      <c r="P88" s="22"/>
      <c r="Q88" s="22"/>
      <c r="X88" s="48">
        <v>1021</v>
      </c>
      <c r="Y88" s="49" t="s">
        <v>631</v>
      </c>
      <c r="Z88" s="49" t="s">
        <v>627</v>
      </c>
      <c r="AA88" s="49" t="s">
        <v>68</v>
      </c>
    </row>
    <row r="89" spans="3:28" ht="12.75" x14ac:dyDescent="0.2">
      <c r="C89" s="42" t="s">
        <v>632</v>
      </c>
      <c r="D89" s="42" t="s">
        <v>633</v>
      </c>
      <c r="E89" s="43" t="s">
        <v>100</v>
      </c>
      <c r="F89" s="42" t="s">
        <v>55</v>
      </c>
      <c r="G89" s="42" t="s">
        <v>56</v>
      </c>
      <c r="H89" s="44"/>
      <c r="I89" s="42"/>
      <c r="N89" s="22"/>
      <c r="O89" s="22"/>
      <c r="P89" s="22"/>
      <c r="Q89" s="22"/>
      <c r="X89" s="48">
        <v>1022</v>
      </c>
      <c r="Y89" s="49" t="s">
        <v>634</v>
      </c>
      <c r="Z89" s="49" t="s">
        <v>635</v>
      </c>
      <c r="AA89" s="49" t="s">
        <v>68</v>
      </c>
    </row>
    <row r="90" spans="3:28" ht="12.75" x14ac:dyDescent="0.2">
      <c r="C90" s="42" t="s">
        <v>636</v>
      </c>
      <c r="D90" s="42" t="s">
        <v>637</v>
      </c>
      <c r="E90" s="43" t="s">
        <v>54</v>
      </c>
      <c r="F90" s="42" t="s">
        <v>55</v>
      </c>
      <c r="G90" s="42" t="s">
        <v>77</v>
      </c>
      <c r="H90" s="44"/>
      <c r="I90" s="42"/>
      <c r="N90" s="22"/>
      <c r="O90" s="22"/>
      <c r="P90" s="22"/>
      <c r="Q90" s="22"/>
      <c r="X90" s="48">
        <v>1025</v>
      </c>
      <c r="Y90" s="49" t="s">
        <v>638</v>
      </c>
      <c r="Z90" s="49" t="s">
        <v>639</v>
      </c>
      <c r="AA90" s="49" t="s">
        <v>68</v>
      </c>
    </row>
    <row r="91" spans="3:28" ht="12.75" x14ac:dyDescent="0.2">
      <c r="C91" s="42" t="s">
        <v>640</v>
      </c>
      <c r="D91" s="42" t="s">
        <v>641</v>
      </c>
      <c r="E91" s="43" t="s">
        <v>141</v>
      </c>
      <c r="F91" s="42" t="s">
        <v>55</v>
      </c>
      <c r="G91" s="42" t="s">
        <v>375</v>
      </c>
      <c r="H91" s="44"/>
      <c r="I91" s="42"/>
      <c r="N91" s="22"/>
      <c r="O91" s="22"/>
      <c r="P91" s="22"/>
      <c r="Q91" s="22"/>
      <c r="X91" s="48">
        <v>1026</v>
      </c>
      <c r="Y91" s="49" t="s">
        <v>642</v>
      </c>
      <c r="Z91" s="49" t="s">
        <v>639</v>
      </c>
      <c r="AA91" s="49" t="s">
        <v>68</v>
      </c>
    </row>
    <row r="92" spans="3:28" ht="12.75" x14ac:dyDescent="0.2">
      <c r="C92" s="42" t="s">
        <v>643</v>
      </c>
      <c r="D92" s="42" t="s">
        <v>644</v>
      </c>
      <c r="E92" s="43" t="s">
        <v>402</v>
      </c>
      <c r="F92" s="42" t="s">
        <v>55</v>
      </c>
      <c r="G92" s="42" t="s">
        <v>143</v>
      </c>
      <c r="H92" s="44"/>
      <c r="I92" s="42"/>
      <c r="N92" s="22"/>
      <c r="O92" s="22"/>
      <c r="P92" s="22"/>
      <c r="Q92" s="22"/>
      <c r="X92" s="48">
        <v>1030</v>
      </c>
      <c r="Y92" s="49" t="s">
        <v>645</v>
      </c>
      <c r="Z92" s="49" t="s">
        <v>646</v>
      </c>
      <c r="AA92" s="49" t="s">
        <v>68</v>
      </c>
    </row>
    <row r="93" spans="3:28" ht="12.75" x14ac:dyDescent="0.2">
      <c r="C93" s="42" t="s">
        <v>647</v>
      </c>
      <c r="D93" s="42" t="s">
        <v>648</v>
      </c>
      <c r="E93" s="43" t="s">
        <v>238</v>
      </c>
      <c r="F93" s="42" t="s">
        <v>142</v>
      </c>
      <c r="G93" s="42" t="s">
        <v>143</v>
      </c>
      <c r="H93" s="44" t="s">
        <v>95</v>
      </c>
      <c r="I93" s="42"/>
      <c r="N93" s="22"/>
      <c r="O93" s="22"/>
      <c r="P93" s="22"/>
      <c r="Q93" s="22"/>
      <c r="X93" s="48">
        <v>1031</v>
      </c>
      <c r="Y93" s="49" t="s">
        <v>649</v>
      </c>
      <c r="Z93" s="49" t="s">
        <v>650</v>
      </c>
      <c r="AA93" s="49" t="s">
        <v>68</v>
      </c>
    </row>
    <row r="94" spans="3:28" ht="12.75" x14ac:dyDescent="0.2">
      <c r="C94" s="42" t="s">
        <v>651</v>
      </c>
      <c r="D94" s="42" t="s">
        <v>652</v>
      </c>
      <c r="E94" s="43" t="s">
        <v>199</v>
      </c>
      <c r="F94" s="42" t="s">
        <v>55</v>
      </c>
      <c r="G94" s="42" t="s">
        <v>200</v>
      </c>
      <c r="H94" s="44"/>
      <c r="I94" s="42"/>
      <c r="N94" s="22"/>
      <c r="O94" s="22"/>
      <c r="P94" s="22"/>
      <c r="Q94" s="22"/>
      <c r="X94" s="48">
        <v>1032</v>
      </c>
      <c r="Y94" s="49" t="s">
        <v>653</v>
      </c>
      <c r="Z94" s="49" t="s">
        <v>646</v>
      </c>
      <c r="AA94" s="49" t="s">
        <v>68</v>
      </c>
    </row>
    <row r="95" spans="3:28" ht="12.75" x14ac:dyDescent="0.2">
      <c r="C95" s="42" t="s">
        <v>222</v>
      </c>
      <c r="D95" s="42" t="s">
        <v>654</v>
      </c>
      <c r="E95" s="43" t="s">
        <v>199</v>
      </c>
      <c r="F95" s="42" t="s">
        <v>132</v>
      </c>
      <c r="G95" s="42" t="s">
        <v>200</v>
      </c>
      <c r="H95" s="44"/>
      <c r="I95" s="42"/>
      <c r="N95" s="22"/>
      <c r="O95" s="22"/>
      <c r="P95" s="22"/>
      <c r="Q95" s="22"/>
      <c r="X95" s="48">
        <v>1040</v>
      </c>
      <c r="Y95" s="49" t="s">
        <v>655</v>
      </c>
      <c r="Z95" s="49" t="s">
        <v>656</v>
      </c>
      <c r="AA95" s="49" t="s">
        <v>68</v>
      </c>
    </row>
    <row r="96" spans="3:28" ht="12.75" x14ac:dyDescent="0.2">
      <c r="C96" s="42" t="s">
        <v>657</v>
      </c>
      <c r="D96" s="42" t="s">
        <v>658</v>
      </c>
      <c r="E96" s="43" t="s">
        <v>199</v>
      </c>
      <c r="F96" s="42" t="s">
        <v>132</v>
      </c>
      <c r="G96" s="42" t="s">
        <v>200</v>
      </c>
      <c r="H96" s="44"/>
      <c r="I96" s="42"/>
      <c r="N96" s="22"/>
      <c r="O96" s="22"/>
      <c r="P96" s="22"/>
      <c r="Q96" s="22"/>
      <c r="X96" s="48">
        <v>1041</v>
      </c>
      <c r="Y96" s="49" t="s">
        <v>659</v>
      </c>
      <c r="Z96" s="49" t="s">
        <v>656</v>
      </c>
      <c r="AA96" s="49" t="s">
        <v>68</v>
      </c>
    </row>
    <row r="97" spans="3:27" ht="12.75" x14ac:dyDescent="0.2">
      <c r="C97" s="42" t="s">
        <v>660</v>
      </c>
      <c r="D97" s="42" t="s">
        <v>661</v>
      </c>
      <c r="E97" s="43" t="s">
        <v>662</v>
      </c>
      <c r="F97" s="42" t="s">
        <v>55</v>
      </c>
      <c r="G97" s="42" t="s">
        <v>200</v>
      </c>
      <c r="H97" s="44"/>
      <c r="I97" s="42"/>
      <c r="N97" s="22"/>
      <c r="O97" s="22"/>
      <c r="P97" s="22"/>
      <c r="Q97" s="22"/>
      <c r="X97" s="48">
        <v>1050</v>
      </c>
      <c r="Y97" s="49" t="s">
        <v>663</v>
      </c>
      <c r="Z97" s="49" t="s">
        <v>664</v>
      </c>
      <c r="AA97" s="49" t="s">
        <v>68</v>
      </c>
    </row>
    <row r="98" spans="3:27" ht="12.75" x14ac:dyDescent="0.2">
      <c r="C98" s="42" t="s">
        <v>665</v>
      </c>
      <c r="D98" s="42" t="s">
        <v>666</v>
      </c>
      <c r="E98" s="43" t="s">
        <v>662</v>
      </c>
      <c r="F98" s="42" t="s">
        <v>132</v>
      </c>
      <c r="G98" s="42" t="s">
        <v>200</v>
      </c>
      <c r="H98" s="44"/>
      <c r="I98" s="42"/>
      <c r="N98" s="22"/>
      <c r="O98" s="22"/>
      <c r="P98" s="22"/>
      <c r="Q98" s="22"/>
      <c r="X98" s="48">
        <v>1051</v>
      </c>
      <c r="Y98" s="49" t="s">
        <v>667</v>
      </c>
      <c r="Z98" s="49" t="s">
        <v>668</v>
      </c>
      <c r="AA98" s="49" t="s">
        <v>68</v>
      </c>
    </row>
    <row r="99" spans="3:27" ht="12.75" x14ac:dyDescent="0.2">
      <c r="C99" s="42" t="s">
        <v>483</v>
      </c>
      <c r="D99" s="42" t="s">
        <v>669</v>
      </c>
      <c r="E99" s="43" t="s">
        <v>199</v>
      </c>
      <c r="F99" s="42" t="s">
        <v>132</v>
      </c>
      <c r="G99" s="42" t="s">
        <v>200</v>
      </c>
      <c r="H99" s="44"/>
      <c r="I99" s="42"/>
      <c r="N99" s="22"/>
      <c r="O99" s="22"/>
      <c r="P99" s="22"/>
      <c r="Q99" s="22"/>
      <c r="X99" s="48">
        <v>1052</v>
      </c>
      <c r="Y99" s="49" t="s">
        <v>670</v>
      </c>
      <c r="Z99" s="49" t="s">
        <v>664</v>
      </c>
      <c r="AA99" s="49" t="s">
        <v>68</v>
      </c>
    </row>
    <row r="100" spans="3:27" ht="12.75" x14ac:dyDescent="0.2">
      <c r="C100" s="42" t="s">
        <v>671</v>
      </c>
      <c r="D100" s="42" t="s">
        <v>672</v>
      </c>
      <c r="E100" s="43" t="s">
        <v>199</v>
      </c>
      <c r="F100" s="42" t="s">
        <v>132</v>
      </c>
      <c r="G100" s="42" t="s">
        <v>200</v>
      </c>
      <c r="H100" s="44"/>
      <c r="I100" s="42"/>
      <c r="N100" s="22"/>
      <c r="O100" s="22"/>
      <c r="P100" s="22"/>
      <c r="Q100" s="22"/>
      <c r="X100" s="48">
        <v>1053</v>
      </c>
      <c r="Y100" s="49" t="s">
        <v>673</v>
      </c>
      <c r="Z100" s="49" t="s">
        <v>668</v>
      </c>
      <c r="AA100" s="49" t="s">
        <v>68</v>
      </c>
    </row>
    <row r="101" spans="3:27" ht="12.75" x14ac:dyDescent="0.2">
      <c r="C101" s="42" t="s">
        <v>674</v>
      </c>
      <c r="D101" s="42" t="s">
        <v>675</v>
      </c>
      <c r="E101" s="43" t="s">
        <v>662</v>
      </c>
      <c r="F101" s="42" t="s">
        <v>55</v>
      </c>
      <c r="G101" s="42" t="s">
        <v>200</v>
      </c>
      <c r="H101" s="44"/>
      <c r="I101" s="42"/>
      <c r="N101" s="22"/>
      <c r="O101" s="22"/>
      <c r="P101" s="22"/>
      <c r="Q101" s="22"/>
      <c r="X101" s="48">
        <v>1060</v>
      </c>
      <c r="Y101" s="49" t="s">
        <v>676</v>
      </c>
      <c r="Z101" s="49" t="s">
        <v>677</v>
      </c>
      <c r="AA101" s="49" t="s">
        <v>68</v>
      </c>
    </row>
    <row r="102" spans="3:27" ht="12.75" x14ac:dyDescent="0.2">
      <c r="C102" s="42" t="s">
        <v>678</v>
      </c>
      <c r="D102" s="42" t="s">
        <v>679</v>
      </c>
      <c r="E102" s="43" t="s">
        <v>199</v>
      </c>
      <c r="F102" s="42" t="s">
        <v>132</v>
      </c>
      <c r="G102" s="42" t="s">
        <v>200</v>
      </c>
      <c r="H102" s="44"/>
      <c r="I102" s="42"/>
      <c r="N102" s="22"/>
      <c r="O102" s="22"/>
      <c r="P102" s="22"/>
      <c r="Q102" s="22"/>
      <c r="X102" s="48">
        <v>1061</v>
      </c>
      <c r="Y102" s="49" t="s">
        <v>680</v>
      </c>
      <c r="Z102" s="49" t="s">
        <v>677</v>
      </c>
      <c r="AA102" s="49" t="s">
        <v>68</v>
      </c>
    </row>
    <row r="103" spans="3:27" ht="12.75" x14ac:dyDescent="0.2">
      <c r="C103" s="42" t="s">
        <v>227</v>
      </c>
      <c r="D103" s="42" t="s">
        <v>681</v>
      </c>
      <c r="E103" s="43" t="s">
        <v>610</v>
      </c>
      <c r="F103" s="42" t="s">
        <v>132</v>
      </c>
      <c r="G103" s="42" t="s">
        <v>682</v>
      </c>
      <c r="H103" s="44"/>
      <c r="I103" s="42"/>
      <c r="N103" s="22"/>
      <c r="O103" s="22"/>
      <c r="P103" s="22"/>
      <c r="Q103" s="22"/>
      <c r="X103" s="48">
        <v>1070</v>
      </c>
      <c r="Y103" s="49" t="s">
        <v>683</v>
      </c>
      <c r="Z103" s="49" t="s">
        <v>684</v>
      </c>
      <c r="AA103" s="49" t="s">
        <v>68</v>
      </c>
    </row>
    <row r="104" spans="3:27" ht="12.75" x14ac:dyDescent="0.2">
      <c r="C104" s="42" t="s">
        <v>685</v>
      </c>
      <c r="D104" s="42" t="s">
        <v>686</v>
      </c>
      <c r="E104" s="43" t="s">
        <v>610</v>
      </c>
      <c r="F104" s="42" t="s">
        <v>132</v>
      </c>
      <c r="G104" s="42" t="s">
        <v>682</v>
      </c>
      <c r="H104" s="44"/>
      <c r="I104" s="42"/>
      <c r="N104" s="22"/>
      <c r="O104" s="22"/>
      <c r="P104" s="22"/>
      <c r="Q104" s="22"/>
      <c r="X104" s="48">
        <v>1071</v>
      </c>
      <c r="Y104" s="49" t="s">
        <v>687</v>
      </c>
      <c r="Z104" s="49" t="s">
        <v>684</v>
      </c>
      <c r="AA104" s="49" t="s">
        <v>68</v>
      </c>
    </row>
    <row r="105" spans="3:27" ht="12.75" x14ac:dyDescent="0.2">
      <c r="C105" s="42" t="s">
        <v>688</v>
      </c>
      <c r="D105" s="42" t="s">
        <v>689</v>
      </c>
      <c r="E105" s="43" t="s">
        <v>630</v>
      </c>
      <c r="F105" s="42" t="s">
        <v>132</v>
      </c>
      <c r="G105" s="42" t="s">
        <v>682</v>
      </c>
      <c r="H105" s="44"/>
      <c r="I105" s="42"/>
      <c r="N105" s="22"/>
      <c r="O105" s="22"/>
      <c r="P105" s="22"/>
      <c r="Q105" s="22"/>
      <c r="X105" s="48">
        <v>1080</v>
      </c>
      <c r="Y105" s="49" t="s">
        <v>690</v>
      </c>
      <c r="Z105" s="49" t="s">
        <v>691</v>
      </c>
      <c r="AA105" s="49" t="s">
        <v>68</v>
      </c>
    </row>
    <row r="106" spans="3:27" ht="12.75" x14ac:dyDescent="0.2">
      <c r="C106" s="42" t="s">
        <v>692</v>
      </c>
      <c r="D106" s="42" t="s">
        <v>693</v>
      </c>
      <c r="E106" s="43" t="s">
        <v>610</v>
      </c>
      <c r="F106" s="42" t="s">
        <v>132</v>
      </c>
      <c r="G106" s="42" t="s">
        <v>682</v>
      </c>
      <c r="H106" s="44"/>
      <c r="I106" s="42"/>
      <c r="N106" s="22"/>
      <c r="O106" s="22"/>
      <c r="P106" s="22"/>
      <c r="Q106" s="22"/>
      <c r="X106" s="48">
        <v>1090</v>
      </c>
      <c r="Y106" s="49" t="s">
        <v>694</v>
      </c>
      <c r="Z106" s="49" t="s">
        <v>695</v>
      </c>
      <c r="AA106" s="49" t="s">
        <v>68</v>
      </c>
    </row>
    <row r="107" spans="3:27" ht="12.75" x14ac:dyDescent="0.2">
      <c r="C107" s="42" t="s">
        <v>323</v>
      </c>
      <c r="D107" s="42" t="s">
        <v>696</v>
      </c>
      <c r="E107" s="43" t="s">
        <v>184</v>
      </c>
      <c r="F107" s="42" t="s">
        <v>132</v>
      </c>
      <c r="G107" s="42" t="s">
        <v>682</v>
      </c>
      <c r="H107" s="44"/>
      <c r="I107" s="42"/>
      <c r="N107" s="22"/>
      <c r="O107" s="22"/>
      <c r="P107" s="22"/>
      <c r="Q107" s="22"/>
      <c r="X107" s="48">
        <v>1091</v>
      </c>
      <c r="Y107" s="49" t="s">
        <v>697</v>
      </c>
      <c r="Z107" s="49" t="s">
        <v>695</v>
      </c>
      <c r="AA107" s="49" t="s">
        <v>68</v>
      </c>
    </row>
    <row r="108" spans="3:27" ht="12.75" x14ac:dyDescent="0.2">
      <c r="C108" s="42" t="s">
        <v>698</v>
      </c>
      <c r="D108" s="42" t="s">
        <v>699</v>
      </c>
      <c r="E108" s="43" t="s">
        <v>184</v>
      </c>
      <c r="F108" s="42" t="s">
        <v>132</v>
      </c>
      <c r="G108" s="42" t="s">
        <v>682</v>
      </c>
      <c r="H108" s="44"/>
      <c r="I108" s="42"/>
      <c r="N108" s="22"/>
      <c r="O108" s="22"/>
      <c r="P108" s="22"/>
      <c r="Q108" s="22"/>
      <c r="X108" s="48">
        <v>2010</v>
      </c>
      <c r="Y108" s="49" t="s">
        <v>700</v>
      </c>
      <c r="Z108" s="49" t="s">
        <v>158</v>
      </c>
      <c r="AA108" s="49" t="s">
        <v>68</v>
      </c>
    </row>
    <row r="109" spans="3:27" x14ac:dyDescent="0.2">
      <c r="C109" s="42" t="s">
        <v>701</v>
      </c>
      <c r="D109" s="42" t="s">
        <v>702</v>
      </c>
      <c r="E109" s="43" t="s">
        <v>215</v>
      </c>
      <c r="F109" s="42" t="s">
        <v>55</v>
      </c>
      <c r="G109" s="42" t="s">
        <v>682</v>
      </c>
      <c r="H109" s="44"/>
      <c r="I109" s="42"/>
      <c r="X109" s="48">
        <v>2011</v>
      </c>
      <c r="Y109" s="49" t="s">
        <v>703</v>
      </c>
      <c r="Z109" s="49" t="s">
        <v>158</v>
      </c>
      <c r="AA109" s="49" t="s">
        <v>68</v>
      </c>
    </row>
    <row r="110" spans="3:27" x14ac:dyDescent="0.2">
      <c r="C110" s="42" t="s">
        <v>704</v>
      </c>
      <c r="D110" s="42" t="s">
        <v>705</v>
      </c>
      <c r="E110" s="43" t="s">
        <v>215</v>
      </c>
      <c r="F110" s="42" t="s">
        <v>132</v>
      </c>
      <c r="G110" s="42" t="s">
        <v>682</v>
      </c>
      <c r="H110" s="44"/>
      <c r="I110" s="42"/>
      <c r="X110" s="48">
        <v>2020</v>
      </c>
      <c r="Y110" s="49" t="s">
        <v>706</v>
      </c>
      <c r="Z110" s="49" t="s">
        <v>163</v>
      </c>
      <c r="AA110" s="49" t="s">
        <v>68</v>
      </c>
    </row>
    <row r="111" spans="3:27" x14ac:dyDescent="0.2">
      <c r="C111" s="42" t="s">
        <v>707</v>
      </c>
      <c r="D111" s="42" t="s">
        <v>708</v>
      </c>
      <c r="E111" s="43" t="s">
        <v>184</v>
      </c>
      <c r="F111" s="42" t="s">
        <v>55</v>
      </c>
      <c r="G111" s="42" t="s">
        <v>457</v>
      </c>
      <c r="H111" s="44"/>
      <c r="I111" s="42"/>
      <c r="X111" s="48">
        <v>2021</v>
      </c>
      <c r="Y111" s="49" t="s">
        <v>709</v>
      </c>
      <c r="Z111" s="49" t="s">
        <v>163</v>
      </c>
      <c r="AA111" s="49" t="s">
        <v>68</v>
      </c>
    </row>
    <row r="112" spans="3:27" x14ac:dyDescent="0.2">
      <c r="C112" s="42" t="s">
        <v>330</v>
      </c>
      <c r="D112" s="42" t="s">
        <v>710</v>
      </c>
      <c r="E112" s="43" t="s">
        <v>184</v>
      </c>
      <c r="F112" s="42" t="s">
        <v>132</v>
      </c>
      <c r="G112" s="42" t="s">
        <v>185</v>
      </c>
      <c r="H112" s="44"/>
      <c r="I112" s="42"/>
      <c r="X112" s="48">
        <v>2030</v>
      </c>
      <c r="Y112" s="49" t="s">
        <v>711</v>
      </c>
      <c r="Z112" s="49" t="s">
        <v>712</v>
      </c>
      <c r="AA112" s="49" t="s">
        <v>68</v>
      </c>
    </row>
    <row r="113" spans="3:27" x14ac:dyDescent="0.2">
      <c r="C113" s="42" t="s">
        <v>713</v>
      </c>
      <c r="D113" s="42" t="s">
        <v>714</v>
      </c>
      <c r="E113" s="43" t="s">
        <v>184</v>
      </c>
      <c r="F113" s="42" t="s">
        <v>132</v>
      </c>
      <c r="G113" s="42" t="s">
        <v>185</v>
      </c>
      <c r="H113" s="44"/>
      <c r="I113" s="42"/>
      <c r="X113" s="48">
        <v>2031</v>
      </c>
      <c r="Y113" s="49" t="s">
        <v>715</v>
      </c>
      <c r="Z113" s="49" t="s">
        <v>716</v>
      </c>
      <c r="AA113" s="49" t="s">
        <v>68</v>
      </c>
    </row>
    <row r="114" spans="3:27" x14ac:dyDescent="0.2">
      <c r="C114" s="42" t="s">
        <v>717</v>
      </c>
      <c r="D114" s="42" t="s">
        <v>718</v>
      </c>
      <c r="E114" s="43" t="s">
        <v>215</v>
      </c>
      <c r="F114" s="42" t="s">
        <v>55</v>
      </c>
      <c r="G114" s="42" t="s">
        <v>185</v>
      </c>
      <c r="H114" s="44"/>
      <c r="I114" s="42"/>
      <c r="X114" s="48">
        <v>2040</v>
      </c>
      <c r="Y114" s="49" t="s">
        <v>719</v>
      </c>
      <c r="Z114" s="49" t="s">
        <v>451</v>
      </c>
      <c r="AA114" s="49" t="s">
        <v>68</v>
      </c>
    </row>
    <row r="115" spans="3:27" x14ac:dyDescent="0.2">
      <c r="C115" s="42" t="s">
        <v>720</v>
      </c>
      <c r="D115" s="42" t="s">
        <v>721</v>
      </c>
      <c r="E115" s="43" t="s">
        <v>215</v>
      </c>
      <c r="F115" s="42" t="s">
        <v>132</v>
      </c>
      <c r="G115" s="42" t="s">
        <v>185</v>
      </c>
      <c r="H115" s="44"/>
      <c r="I115" s="42"/>
      <c r="X115" s="48">
        <v>2041</v>
      </c>
      <c r="Y115" s="49" t="s">
        <v>722</v>
      </c>
      <c r="Z115" s="49" t="s">
        <v>451</v>
      </c>
      <c r="AA115" s="49" t="s">
        <v>68</v>
      </c>
    </row>
    <row r="116" spans="3:27" x14ac:dyDescent="0.2">
      <c r="C116" s="42" t="s">
        <v>345</v>
      </c>
      <c r="D116" s="42" t="s">
        <v>723</v>
      </c>
      <c r="E116" s="43" t="s">
        <v>184</v>
      </c>
      <c r="F116" s="42" t="s">
        <v>132</v>
      </c>
      <c r="G116" s="42" t="s">
        <v>457</v>
      </c>
      <c r="H116" s="44"/>
      <c r="I116" s="42"/>
      <c r="X116" s="48">
        <v>2050</v>
      </c>
      <c r="Y116" s="49" t="s">
        <v>724</v>
      </c>
      <c r="Z116" s="49" t="s">
        <v>725</v>
      </c>
      <c r="AA116" s="49" t="s">
        <v>68</v>
      </c>
    </row>
    <row r="117" spans="3:27" x14ac:dyDescent="0.2">
      <c r="C117" s="42" t="s">
        <v>726</v>
      </c>
      <c r="D117" s="42" t="s">
        <v>727</v>
      </c>
      <c r="E117" s="43" t="s">
        <v>184</v>
      </c>
      <c r="F117" s="42" t="s">
        <v>132</v>
      </c>
      <c r="G117" s="42" t="s">
        <v>457</v>
      </c>
      <c r="H117" s="44"/>
      <c r="I117" s="42"/>
      <c r="X117" s="48">
        <v>2060</v>
      </c>
      <c r="Y117" s="49" t="s">
        <v>728</v>
      </c>
      <c r="Z117" s="49" t="s">
        <v>729</v>
      </c>
      <c r="AA117" s="49" t="s">
        <v>68</v>
      </c>
    </row>
    <row r="118" spans="3:27" x14ac:dyDescent="0.2">
      <c r="C118" s="42" t="s">
        <v>730</v>
      </c>
      <c r="D118" s="42" t="s">
        <v>731</v>
      </c>
      <c r="E118" s="43" t="s">
        <v>215</v>
      </c>
      <c r="F118" s="42" t="s">
        <v>55</v>
      </c>
      <c r="G118" s="42" t="s">
        <v>457</v>
      </c>
      <c r="H118" s="44"/>
      <c r="I118" s="42"/>
      <c r="X118" s="48">
        <v>3010</v>
      </c>
      <c r="Y118" s="49" t="s">
        <v>732</v>
      </c>
      <c r="Z118" s="49" t="s">
        <v>733</v>
      </c>
      <c r="AA118" s="49" t="s">
        <v>68</v>
      </c>
    </row>
    <row r="119" spans="3:27" x14ac:dyDescent="0.2">
      <c r="C119" s="42" t="s">
        <v>734</v>
      </c>
      <c r="D119" s="42" t="s">
        <v>735</v>
      </c>
      <c r="E119" s="43" t="s">
        <v>215</v>
      </c>
      <c r="F119" s="42" t="s">
        <v>132</v>
      </c>
      <c r="G119" s="42" t="s">
        <v>457</v>
      </c>
      <c r="H119" s="44"/>
      <c r="I119" s="42"/>
      <c r="X119" s="48">
        <v>3011</v>
      </c>
      <c r="Y119" s="49" t="s">
        <v>736</v>
      </c>
      <c r="Z119" s="49" t="s">
        <v>733</v>
      </c>
      <c r="AA119" s="49" t="s">
        <v>68</v>
      </c>
    </row>
    <row r="120" spans="3:27" x14ac:dyDescent="0.2">
      <c r="C120" s="42" t="s">
        <v>353</v>
      </c>
      <c r="D120" s="42" t="s">
        <v>737</v>
      </c>
      <c r="E120" s="43" t="s">
        <v>738</v>
      </c>
      <c r="F120" s="42" t="s">
        <v>132</v>
      </c>
      <c r="G120" s="42" t="s">
        <v>56</v>
      </c>
      <c r="H120" s="44"/>
      <c r="I120" s="42"/>
      <c r="X120" s="48">
        <v>3020</v>
      </c>
      <c r="Y120" s="49" t="s">
        <v>739</v>
      </c>
      <c r="Z120" s="49" t="s">
        <v>740</v>
      </c>
      <c r="AA120" s="49" t="s">
        <v>68</v>
      </c>
    </row>
    <row r="121" spans="3:27" x14ac:dyDescent="0.2">
      <c r="C121" s="42" t="s">
        <v>741</v>
      </c>
      <c r="D121" s="42" t="s">
        <v>742</v>
      </c>
      <c r="E121" s="43" t="s">
        <v>738</v>
      </c>
      <c r="F121" s="42" t="s">
        <v>132</v>
      </c>
      <c r="G121" s="42" t="s">
        <v>56</v>
      </c>
      <c r="H121" s="44"/>
      <c r="I121" s="42"/>
      <c r="X121" s="48">
        <v>3030</v>
      </c>
      <c r="Y121" s="49" t="s">
        <v>743</v>
      </c>
      <c r="Z121" s="49" t="s">
        <v>744</v>
      </c>
      <c r="AA121" s="49" t="s">
        <v>68</v>
      </c>
    </row>
    <row r="122" spans="3:27" x14ac:dyDescent="0.2">
      <c r="C122" s="42" t="s">
        <v>745</v>
      </c>
      <c r="D122" s="42" t="s">
        <v>746</v>
      </c>
      <c r="E122" s="43" t="s">
        <v>747</v>
      </c>
      <c r="F122" s="42" t="s">
        <v>55</v>
      </c>
      <c r="G122" s="42" t="s">
        <v>56</v>
      </c>
      <c r="H122" s="44"/>
      <c r="I122" s="42"/>
      <c r="X122" s="48">
        <v>3040</v>
      </c>
      <c r="Y122" s="49" t="s">
        <v>748</v>
      </c>
      <c r="Z122" s="49" t="s">
        <v>749</v>
      </c>
      <c r="AA122" s="49" t="s">
        <v>68</v>
      </c>
    </row>
    <row r="123" spans="3:27" x14ac:dyDescent="0.2">
      <c r="C123" s="42" t="s">
        <v>750</v>
      </c>
      <c r="D123" s="42" t="s">
        <v>751</v>
      </c>
      <c r="E123" s="43" t="s">
        <v>747</v>
      </c>
      <c r="F123" s="42" t="s">
        <v>132</v>
      </c>
      <c r="G123" s="42" t="s">
        <v>56</v>
      </c>
      <c r="H123" s="44"/>
      <c r="I123" s="42"/>
      <c r="X123" s="48">
        <v>4010</v>
      </c>
      <c r="Y123" s="49" t="s">
        <v>752</v>
      </c>
      <c r="Z123" s="49" t="s">
        <v>753</v>
      </c>
      <c r="AA123" s="49" t="s">
        <v>68</v>
      </c>
    </row>
    <row r="124" spans="3:27" x14ac:dyDescent="0.2">
      <c r="C124" s="42" t="s">
        <v>488</v>
      </c>
      <c r="D124" s="42" t="s">
        <v>754</v>
      </c>
      <c r="E124" s="43" t="s">
        <v>456</v>
      </c>
      <c r="F124" s="42" t="s">
        <v>132</v>
      </c>
      <c r="G124" s="42" t="s">
        <v>457</v>
      </c>
      <c r="H124" s="44"/>
      <c r="I124" s="42"/>
      <c r="X124" s="48">
        <v>4011</v>
      </c>
      <c r="Y124" s="49" t="s">
        <v>755</v>
      </c>
      <c r="Z124" s="49" t="s">
        <v>753</v>
      </c>
      <c r="AA124" s="49" t="s">
        <v>68</v>
      </c>
    </row>
    <row r="125" spans="3:27" x14ac:dyDescent="0.2">
      <c r="C125" s="42" t="s">
        <v>756</v>
      </c>
      <c r="D125" s="42" t="s">
        <v>757</v>
      </c>
      <c r="E125" s="43" t="s">
        <v>456</v>
      </c>
      <c r="F125" s="42" t="s">
        <v>132</v>
      </c>
      <c r="G125" s="42" t="s">
        <v>457</v>
      </c>
      <c r="H125" s="44"/>
      <c r="I125" s="42"/>
      <c r="X125" s="48">
        <v>4020</v>
      </c>
      <c r="Y125" s="49" t="s">
        <v>758</v>
      </c>
      <c r="Z125" s="49" t="s">
        <v>759</v>
      </c>
      <c r="AA125" s="49" t="s">
        <v>68</v>
      </c>
    </row>
    <row r="126" spans="3:27" x14ac:dyDescent="0.2">
      <c r="C126" s="42" t="s">
        <v>760</v>
      </c>
      <c r="D126" s="42" t="s">
        <v>761</v>
      </c>
      <c r="E126" s="43" t="s">
        <v>469</v>
      </c>
      <c r="F126" s="42" t="s">
        <v>55</v>
      </c>
      <c r="G126" s="42" t="s">
        <v>457</v>
      </c>
      <c r="H126" s="44"/>
      <c r="I126" s="42"/>
      <c r="X126" s="48">
        <v>4021</v>
      </c>
      <c r="Y126" s="49" t="s">
        <v>762</v>
      </c>
      <c r="Z126" s="49" t="s">
        <v>759</v>
      </c>
      <c r="AA126" s="49" t="s">
        <v>68</v>
      </c>
    </row>
    <row r="127" spans="3:27" x14ac:dyDescent="0.2">
      <c r="C127" s="42" t="s">
        <v>763</v>
      </c>
      <c r="D127" s="42" t="s">
        <v>764</v>
      </c>
      <c r="E127" s="43" t="s">
        <v>456</v>
      </c>
      <c r="F127" s="42" t="s">
        <v>132</v>
      </c>
      <c r="G127" s="42" t="s">
        <v>457</v>
      </c>
      <c r="H127" s="44"/>
      <c r="I127" s="42"/>
      <c r="X127" s="48">
        <v>4030</v>
      </c>
      <c r="Y127" s="49" t="s">
        <v>765</v>
      </c>
      <c r="Z127" s="49" t="s">
        <v>766</v>
      </c>
      <c r="AA127" s="49" t="s">
        <v>68</v>
      </c>
    </row>
    <row r="128" spans="3:27" x14ac:dyDescent="0.2">
      <c r="C128" s="42" t="s">
        <v>528</v>
      </c>
      <c r="D128" s="42" t="s">
        <v>767</v>
      </c>
      <c r="E128" s="43" t="s">
        <v>292</v>
      </c>
      <c r="F128" s="42" t="s">
        <v>132</v>
      </c>
      <c r="G128" s="42" t="s">
        <v>56</v>
      </c>
      <c r="H128" s="44"/>
      <c r="I128" s="42"/>
      <c r="X128" s="48">
        <v>4031</v>
      </c>
      <c r="Y128" s="49" t="s">
        <v>768</v>
      </c>
      <c r="Z128" s="49" t="s">
        <v>769</v>
      </c>
      <c r="AA128" s="49" t="s">
        <v>68</v>
      </c>
    </row>
    <row r="129" spans="3:27" x14ac:dyDescent="0.2">
      <c r="C129" s="42" t="s">
        <v>770</v>
      </c>
      <c r="D129" s="42" t="s">
        <v>771</v>
      </c>
      <c r="E129" s="43" t="s">
        <v>292</v>
      </c>
      <c r="F129" s="42" t="s">
        <v>132</v>
      </c>
      <c r="G129" s="42" t="s">
        <v>56</v>
      </c>
      <c r="H129" s="44"/>
      <c r="I129" s="42"/>
      <c r="X129" s="48">
        <v>4040</v>
      </c>
      <c r="Y129" s="49" t="s">
        <v>772</v>
      </c>
      <c r="Z129" s="49" t="s">
        <v>773</v>
      </c>
      <c r="AA129" s="49" t="s">
        <v>68</v>
      </c>
    </row>
    <row r="130" spans="3:27" x14ac:dyDescent="0.2">
      <c r="C130" s="42" t="s">
        <v>774</v>
      </c>
      <c r="D130" s="42" t="s">
        <v>775</v>
      </c>
      <c r="E130" s="43" t="s">
        <v>300</v>
      </c>
      <c r="F130" s="42" t="s">
        <v>55</v>
      </c>
      <c r="G130" s="42" t="s">
        <v>333</v>
      </c>
      <c r="H130" s="44"/>
      <c r="I130" s="42"/>
      <c r="X130" s="48">
        <v>4041</v>
      </c>
      <c r="Y130" s="49" t="s">
        <v>776</v>
      </c>
      <c r="Z130" s="49" t="s">
        <v>773</v>
      </c>
      <c r="AA130" s="49" t="s">
        <v>68</v>
      </c>
    </row>
    <row r="131" spans="3:27" x14ac:dyDescent="0.2">
      <c r="C131" s="42" t="s">
        <v>777</v>
      </c>
      <c r="D131" s="42" t="s">
        <v>778</v>
      </c>
      <c r="E131" s="43" t="s">
        <v>300</v>
      </c>
      <c r="F131" s="42" t="s">
        <v>132</v>
      </c>
      <c r="G131" s="42" t="s">
        <v>56</v>
      </c>
      <c r="H131" s="44"/>
      <c r="I131" s="42"/>
      <c r="X131" s="48">
        <v>4042</v>
      </c>
      <c r="Y131" s="49" t="s">
        <v>779</v>
      </c>
      <c r="Z131" s="49" t="s">
        <v>779</v>
      </c>
      <c r="AA131" s="49" t="s">
        <v>68</v>
      </c>
    </row>
    <row r="132" spans="3:27" x14ac:dyDescent="0.2">
      <c r="C132" s="42" t="s">
        <v>547</v>
      </c>
      <c r="D132" s="42" t="s">
        <v>780</v>
      </c>
      <c r="E132" s="43" t="s">
        <v>292</v>
      </c>
      <c r="F132" s="42" t="s">
        <v>132</v>
      </c>
      <c r="G132" s="42" t="s">
        <v>457</v>
      </c>
      <c r="H132" s="44"/>
      <c r="I132" s="42"/>
      <c r="X132" s="48">
        <v>4050</v>
      </c>
      <c r="Y132" s="49" t="s">
        <v>781</v>
      </c>
      <c r="Z132" s="49" t="s">
        <v>782</v>
      </c>
      <c r="AA132" s="49" t="s">
        <v>68</v>
      </c>
    </row>
    <row r="133" spans="3:27" x14ac:dyDescent="0.2">
      <c r="C133" s="42" t="s">
        <v>783</v>
      </c>
      <c r="D133" s="42" t="s">
        <v>784</v>
      </c>
      <c r="E133" s="43" t="s">
        <v>292</v>
      </c>
      <c r="F133" s="42" t="s">
        <v>132</v>
      </c>
      <c r="G133" s="42" t="s">
        <v>457</v>
      </c>
      <c r="H133" s="44"/>
      <c r="I133" s="42"/>
      <c r="X133" s="48">
        <v>4051</v>
      </c>
      <c r="Y133" s="49" t="s">
        <v>785</v>
      </c>
      <c r="Z133" s="49" t="s">
        <v>782</v>
      </c>
      <c r="AA133" s="49" t="s">
        <v>68</v>
      </c>
    </row>
    <row r="134" spans="3:27" x14ac:dyDescent="0.2">
      <c r="C134" s="42" t="s">
        <v>786</v>
      </c>
      <c r="D134" s="42" t="s">
        <v>787</v>
      </c>
      <c r="E134" s="43" t="s">
        <v>300</v>
      </c>
      <c r="F134" s="42" t="s">
        <v>55</v>
      </c>
      <c r="G134" s="42" t="s">
        <v>333</v>
      </c>
      <c r="H134" s="44"/>
      <c r="I134" s="42"/>
      <c r="X134" s="48">
        <v>4060</v>
      </c>
      <c r="Y134" s="49" t="s">
        <v>788</v>
      </c>
      <c r="Z134" s="49" t="s">
        <v>789</v>
      </c>
      <c r="AA134" s="49" t="s">
        <v>68</v>
      </c>
    </row>
    <row r="135" spans="3:27" x14ac:dyDescent="0.2">
      <c r="C135" s="42" t="s">
        <v>790</v>
      </c>
      <c r="D135" s="42" t="s">
        <v>791</v>
      </c>
      <c r="E135" s="43" t="s">
        <v>300</v>
      </c>
      <c r="F135" s="42" t="s">
        <v>132</v>
      </c>
      <c r="G135" s="42" t="s">
        <v>457</v>
      </c>
      <c r="H135" s="44"/>
      <c r="I135" s="42"/>
      <c r="X135" s="48">
        <v>4061</v>
      </c>
      <c r="Y135" s="49" t="s">
        <v>792</v>
      </c>
      <c r="Z135" s="49" t="s">
        <v>789</v>
      </c>
      <c r="AA135" s="49" t="s">
        <v>68</v>
      </c>
    </row>
    <row r="136" spans="3:27" x14ac:dyDescent="0.2">
      <c r="C136" s="42" t="s">
        <v>793</v>
      </c>
      <c r="D136" s="42" t="s">
        <v>794</v>
      </c>
      <c r="E136" s="43" t="s">
        <v>292</v>
      </c>
      <c r="F136" s="42" t="s">
        <v>132</v>
      </c>
      <c r="G136" s="42" t="s">
        <v>185</v>
      </c>
      <c r="H136" s="44"/>
      <c r="I136" s="42"/>
      <c r="X136" s="48">
        <v>4070</v>
      </c>
      <c r="Y136" s="49" t="s">
        <v>795</v>
      </c>
      <c r="Z136" s="49" t="s">
        <v>796</v>
      </c>
      <c r="AA136" s="49" t="s">
        <v>68</v>
      </c>
    </row>
    <row r="137" spans="3:27" x14ac:dyDescent="0.2">
      <c r="C137" s="42" t="s">
        <v>797</v>
      </c>
      <c r="D137" s="42" t="s">
        <v>798</v>
      </c>
      <c r="E137" s="43" t="s">
        <v>292</v>
      </c>
      <c r="F137" s="42" t="s">
        <v>132</v>
      </c>
      <c r="G137" s="42" t="s">
        <v>185</v>
      </c>
      <c r="H137" s="44"/>
      <c r="I137" s="42"/>
      <c r="X137" s="48">
        <v>4071</v>
      </c>
      <c r="Y137" s="49" t="s">
        <v>799</v>
      </c>
      <c r="Z137" s="49" t="s">
        <v>796</v>
      </c>
      <c r="AA137" s="49" t="s">
        <v>68</v>
      </c>
    </row>
    <row r="138" spans="3:27" x14ac:dyDescent="0.2">
      <c r="C138" s="42" t="s">
        <v>800</v>
      </c>
      <c r="D138" s="42" t="s">
        <v>801</v>
      </c>
      <c r="E138" s="43" t="s">
        <v>300</v>
      </c>
      <c r="F138" s="42" t="s">
        <v>55</v>
      </c>
      <c r="G138" s="42" t="s">
        <v>333</v>
      </c>
      <c r="H138" s="44"/>
      <c r="I138" s="42"/>
      <c r="X138" s="48">
        <v>4080</v>
      </c>
      <c r="Y138" s="49" t="s">
        <v>802</v>
      </c>
      <c r="Z138" s="49" t="s">
        <v>803</v>
      </c>
      <c r="AA138" s="49" t="s">
        <v>68</v>
      </c>
    </row>
    <row r="139" spans="3:27" x14ac:dyDescent="0.2">
      <c r="C139" s="42" t="s">
        <v>804</v>
      </c>
      <c r="D139" s="42" t="s">
        <v>805</v>
      </c>
      <c r="E139" s="43" t="s">
        <v>300</v>
      </c>
      <c r="F139" s="42" t="s">
        <v>132</v>
      </c>
      <c r="G139" s="42" t="s">
        <v>185</v>
      </c>
      <c r="H139" s="44"/>
      <c r="I139" s="42"/>
      <c r="X139" s="48">
        <v>4081</v>
      </c>
      <c r="Y139" s="49" t="s">
        <v>806</v>
      </c>
      <c r="Z139" s="49" t="s">
        <v>807</v>
      </c>
      <c r="AA139" s="49" t="s">
        <v>68</v>
      </c>
    </row>
    <row r="140" spans="3:27" x14ac:dyDescent="0.2">
      <c r="C140" s="42" t="s">
        <v>808</v>
      </c>
      <c r="D140" s="42" t="s">
        <v>133</v>
      </c>
      <c r="E140" s="43" t="s">
        <v>166</v>
      </c>
      <c r="F140" s="42" t="s">
        <v>55</v>
      </c>
      <c r="G140" s="42" t="s">
        <v>167</v>
      </c>
      <c r="H140" s="44"/>
      <c r="I140" s="42"/>
      <c r="X140" s="48">
        <v>4090</v>
      </c>
      <c r="Y140" s="49" t="s">
        <v>809</v>
      </c>
      <c r="Z140" s="49" t="s">
        <v>810</v>
      </c>
      <c r="AA140" s="49" t="s">
        <v>68</v>
      </c>
    </row>
    <row r="141" spans="3:27" x14ac:dyDescent="0.2">
      <c r="C141" s="42" t="s">
        <v>314</v>
      </c>
      <c r="D141" s="42" t="s">
        <v>811</v>
      </c>
      <c r="E141" s="43" t="s">
        <v>166</v>
      </c>
      <c r="F141" s="42" t="s">
        <v>132</v>
      </c>
      <c r="G141" s="42" t="s">
        <v>167</v>
      </c>
      <c r="H141" s="44"/>
      <c r="I141" s="42"/>
      <c r="X141" s="48">
        <v>4091</v>
      </c>
      <c r="Y141" s="49" t="s">
        <v>812</v>
      </c>
      <c r="Z141" s="49" t="s">
        <v>810</v>
      </c>
      <c r="AA141" s="49" t="s">
        <v>68</v>
      </c>
    </row>
    <row r="142" spans="3:27" x14ac:dyDescent="0.2">
      <c r="C142" s="42" t="s">
        <v>813</v>
      </c>
      <c r="D142" s="42" t="s">
        <v>814</v>
      </c>
      <c r="E142" s="43" t="s">
        <v>815</v>
      </c>
      <c r="F142" s="42" t="s">
        <v>132</v>
      </c>
      <c r="G142" s="42" t="s">
        <v>167</v>
      </c>
      <c r="H142" s="44"/>
      <c r="I142" s="42"/>
      <c r="X142" s="48">
        <v>5010</v>
      </c>
      <c r="Y142" s="49" t="s">
        <v>816</v>
      </c>
      <c r="Z142" s="49" t="s">
        <v>817</v>
      </c>
      <c r="AA142" s="49" t="s">
        <v>68</v>
      </c>
    </row>
    <row r="143" spans="3:27" x14ac:dyDescent="0.2">
      <c r="C143" s="42" t="s">
        <v>818</v>
      </c>
      <c r="D143" s="42" t="s">
        <v>815</v>
      </c>
      <c r="E143" s="43" t="s">
        <v>409</v>
      </c>
      <c r="F143" s="42" t="s">
        <v>55</v>
      </c>
      <c r="G143" s="42" t="s">
        <v>167</v>
      </c>
      <c r="H143" s="44"/>
      <c r="I143" s="42"/>
      <c r="X143" s="48">
        <v>5011</v>
      </c>
      <c r="Y143" s="49" t="s">
        <v>819</v>
      </c>
      <c r="Z143" s="49" t="s">
        <v>820</v>
      </c>
      <c r="AA143" s="49" t="s">
        <v>68</v>
      </c>
    </row>
    <row r="144" spans="3:27" x14ac:dyDescent="0.2">
      <c r="C144" s="42" t="s">
        <v>821</v>
      </c>
      <c r="D144" s="42" t="s">
        <v>822</v>
      </c>
      <c r="E144" s="43" t="s">
        <v>409</v>
      </c>
      <c r="F144" s="42" t="s">
        <v>132</v>
      </c>
      <c r="G144" s="42" t="s">
        <v>167</v>
      </c>
      <c r="H144" s="44"/>
      <c r="I144" s="42"/>
      <c r="X144" s="48">
        <v>5012</v>
      </c>
      <c r="Y144" s="49" t="s">
        <v>823</v>
      </c>
      <c r="Z144" s="49" t="s">
        <v>817</v>
      </c>
      <c r="AA144" s="49" t="s">
        <v>68</v>
      </c>
    </row>
    <row r="145" spans="3:27" x14ac:dyDescent="0.2">
      <c r="C145" s="42" t="s">
        <v>824</v>
      </c>
      <c r="D145" s="42" t="s">
        <v>825</v>
      </c>
      <c r="E145" s="43" t="s">
        <v>261</v>
      </c>
      <c r="F145" s="42" t="s">
        <v>540</v>
      </c>
      <c r="G145" s="42" t="s">
        <v>293</v>
      </c>
      <c r="H145" s="44"/>
      <c r="I145" s="42"/>
      <c r="X145" s="48">
        <v>5020</v>
      </c>
      <c r="Y145" s="49" t="s">
        <v>826</v>
      </c>
      <c r="Z145" s="49" t="s">
        <v>827</v>
      </c>
      <c r="AA145" s="49" t="s">
        <v>68</v>
      </c>
    </row>
    <row r="146" spans="3:27" x14ac:dyDescent="0.2">
      <c r="C146" s="42" t="s">
        <v>241</v>
      </c>
      <c r="D146" s="42" t="s">
        <v>828</v>
      </c>
      <c r="E146" s="43" t="s">
        <v>199</v>
      </c>
      <c r="F146" s="42" t="s">
        <v>132</v>
      </c>
      <c r="G146" s="42" t="s">
        <v>293</v>
      </c>
      <c r="H146" s="44"/>
      <c r="I146" s="42"/>
      <c r="X146" s="48">
        <v>5021</v>
      </c>
      <c r="Y146" s="49" t="s">
        <v>829</v>
      </c>
      <c r="Z146" s="49" t="s">
        <v>830</v>
      </c>
      <c r="AA146" s="49" t="s">
        <v>68</v>
      </c>
    </row>
    <row r="147" spans="3:27" x14ac:dyDescent="0.2">
      <c r="C147" s="42" t="s">
        <v>831</v>
      </c>
      <c r="D147" s="42" t="s">
        <v>832</v>
      </c>
      <c r="E147" s="43" t="s">
        <v>199</v>
      </c>
      <c r="F147" s="42" t="s">
        <v>132</v>
      </c>
      <c r="G147" s="42" t="s">
        <v>293</v>
      </c>
      <c r="H147" s="44"/>
      <c r="I147" s="42"/>
      <c r="X147" s="48">
        <v>5022</v>
      </c>
      <c r="Y147" s="49" t="s">
        <v>833</v>
      </c>
      <c r="Z147" s="49" t="s">
        <v>827</v>
      </c>
      <c r="AA147" s="49" t="s">
        <v>68</v>
      </c>
    </row>
    <row r="148" spans="3:27" x14ac:dyDescent="0.2">
      <c r="C148" s="42" t="s">
        <v>834</v>
      </c>
      <c r="D148" s="42" t="s">
        <v>835</v>
      </c>
      <c r="E148" s="43" t="s">
        <v>662</v>
      </c>
      <c r="F148" s="42" t="s">
        <v>55</v>
      </c>
      <c r="G148" s="42" t="s">
        <v>293</v>
      </c>
      <c r="H148" s="44"/>
      <c r="I148" s="42"/>
      <c r="X148" s="48">
        <v>5030</v>
      </c>
      <c r="Y148" s="49" t="s">
        <v>836</v>
      </c>
      <c r="Z148" s="49" t="s">
        <v>827</v>
      </c>
      <c r="AA148" s="49" t="s">
        <v>68</v>
      </c>
    </row>
    <row r="149" spans="3:27" x14ac:dyDescent="0.2">
      <c r="C149" s="42" t="s">
        <v>837</v>
      </c>
      <c r="D149" s="42" t="s">
        <v>838</v>
      </c>
      <c r="E149" s="43" t="s">
        <v>199</v>
      </c>
      <c r="F149" s="42" t="s">
        <v>132</v>
      </c>
      <c r="G149" s="42" t="s">
        <v>293</v>
      </c>
      <c r="H149" s="44"/>
      <c r="I149" s="42"/>
      <c r="X149" s="48">
        <v>5031</v>
      </c>
      <c r="Y149" s="49" t="s">
        <v>839</v>
      </c>
      <c r="Z149" s="49" t="s">
        <v>820</v>
      </c>
      <c r="AA149" s="49" t="s">
        <v>68</v>
      </c>
    </row>
    <row r="150" spans="3:27" x14ac:dyDescent="0.2">
      <c r="C150" s="42" t="s">
        <v>366</v>
      </c>
      <c r="D150" s="42" t="s">
        <v>840</v>
      </c>
      <c r="E150" s="43" t="s">
        <v>184</v>
      </c>
      <c r="F150" s="42" t="s">
        <v>132</v>
      </c>
      <c r="G150" s="42" t="s">
        <v>293</v>
      </c>
      <c r="H150" s="44"/>
      <c r="I150" s="42"/>
      <c r="X150" s="48">
        <v>5032</v>
      </c>
      <c r="Y150" s="49" t="s">
        <v>841</v>
      </c>
      <c r="Z150" s="49" t="s">
        <v>827</v>
      </c>
      <c r="AA150" s="49" t="s">
        <v>68</v>
      </c>
    </row>
    <row r="151" spans="3:27" x14ac:dyDescent="0.2">
      <c r="C151" s="42" t="s">
        <v>842</v>
      </c>
      <c r="D151" s="42" t="s">
        <v>843</v>
      </c>
      <c r="E151" s="43" t="s">
        <v>184</v>
      </c>
      <c r="F151" s="42" t="s">
        <v>132</v>
      </c>
      <c r="G151" s="42" t="s">
        <v>293</v>
      </c>
      <c r="H151" s="44"/>
      <c r="I151" s="42"/>
      <c r="X151" s="48">
        <v>5040</v>
      </c>
      <c r="Y151" s="49" t="s">
        <v>844</v>
      </c>
      <c r="Z151" s="49" t="s">
        <v>827</v>
      </c>
      <c r="AA151" s="49" t="s">
        <v>68</v>
      </c>
    </row>
    <row r="152" spans="3:27" x14ac:dyDescent="0.2">
      <c r="C152" s="42" t="s">
        <v>845</v>
      </c>
      <c r="D152" s="42" t="s">
        <v>846</v>
      </c>
      <c r="E152" s="43" t="s">
        <v>215</v>
      </c>
      <c r="F152" s="42" t="s">
        <v>55</v>
      </c>
      <c r="G152" s="42" t="s">
        <v>293</v>
      </c>
      <c r="H152" s="44"/>
      <c r="I152" s="42"/>
      <c r="X152" s="48">
        <v>5041</v>
      </c>
      <c r="Y152" s="49" t="s">
        <v>847</v>
      </c>
      <c r="Z152" s="49" t="s">
        <v>820</v>
      </c>
      <c r="AA152" s="49" t="s">
        <v>68</v>
      </c>
    </row>
    <row r="153" spans="3:27" x14ac:dyDescent="0.2">
      <c r="C153" s="42" t="s">
        <v>848</v>
      </c>
      <c r="D153" s="42" t="s">
        <v>849</v>
      </c>
      <c r="E153" s="43" t="s">
        <v>215</v>
      </c>
      <c r="F153" s="42" t="s">
        <v>132</v>
      </c>
      <c r="G153" s="42" t="s">
        <v>293</v>
      </c>
      <c r="H153" s="44"/>
      <c r="I153" s="42"/>
      <c r="X153" s="48">
        <v>5042</v>
      </c>
      <c r="Y153" s="49" t="s">
        <v>850</v>
      </c>
      <c r="Z153" s="49" t="s">
        <v>827</v>
      </c>
      <c r="AA153" s="49" t="s">
        <v>68</v>
      </c>
    </row>
    <row r="154" spans="3:27" x14ac:dyDescent="0.2">
      <c r="C154" s="42" t="s">
        <v>493</v>
      </c>
      <c r="D154" s="42" t="s">
        <v>851</v>
      </c>
      <c r="E154" s="43" t="s">
        <v>456</v>
      </c>
      <c r="F154" s="42" t="s">
        <v>132</v>
      </c>
      <c r="G154" s="42" t="s">
        <v>293</v>
      </c>
      <c r="H154" s="44"/>
      <c r="I154" s="42"/>
      <c r="X154" s="48">
        <v>5050</v>
      </c>
      <c r="Y154" s="49" t="s">
        <v>852</v>
      </c>
      <c r="Z154" s="49" t="s">
        <v>827</v>
      </c>
      <c r="AA154" s="49" t="s">
        <v>68</v>
      </c>
    </row>
    <row r="155" spans="3:27" x14ac:dyDescent="0.2">
      <c r="C155" s="42" t="s">
        <v>853</v>
      </c>
      <c r="D155" s="42" t="s">
        <v>854</v>
      </c>
      <c r="E155" s="43" t="s">
        <v>456</v>
      </c>
      <c r="F155" s="42" t="s">
        <v>132</v>
      </c>
      <c r="G155" s="42" t="s">
        <v>293</v>
      </c>
      <c r="H155" s="44"/>
      <c r="I155" s="42"/>
      <c r="X155" s="48">
        <v>5051</v>
      </c>
      <c r="Y155" s="49" t="s">
        <v>855</v>
      </c>
      <c r="Z155" s="49" t="s">
        <v>820</v>
      </c>
      <c r="AA155" s="49" t="s">
        <v>68</v>
      </c>
    </row>
    <row r="156" spans="3:27" x14ac:dyDescent="0.2">
      <c r="C156" s="42" t="s">
        <v>856</v>
      </c>
      <c r="D156" s="42" t="s">
        <v>857</v>
      </c>
      <c r="E156" s="43" t="s">
        <v>469</v>
      </c>
      <c r="F156" s="42" t="s">
        <v>55</v>
      </c>
      <c r="G156" s="42" t="s">
        <v>293</v>
      </c>
      <c r="H156" s="44"/>
      <c r="I156" s="42"/>
      <c r="X156" s="48">
        <v>5052</v>
      </c>
      <c r="Y156" s="49" t="s">
        <v>858</v>
      </c>
      <c r="Z156" s="49" t="s">
        <v>827</v>
      </c>
      <c r="AA156" s="49" t="s">
        <v>68</v>
      </c>
    </row>
    <row r="157" spans="3:27" x14ac:dyDescent="0.2">
      <c r="C157" s="42" t="s">
        <v>859</v>
      </c>
      <c r="D157" s="42" t="s">
        <v>860</v>
      </c>
      <c r="E157" s="43" t="s">
        <v>469</v>
      </c>
      <c r="F157" s="42" t="s">
        <v>132</v>
      </c>
      <c r="G157" s="42" t="s">
        <v>293</v>
      </c>
      <c r="H157" s="44"/>
      <c r="I157" s="42"/>
      <c r="X157" s="48">
        <v>5060</v>
      </c>
      <c r="Y157" s="49" t="s">
        <v>861</v>
      </c>
      <c r="Z157" s="49" t="s">
        <v>862</v>
      </c>
      <c r="AA157" s="49" t="s">
        <v>68</v>
      </c>
    </row>
    <row r="158" spans="3:27" x14ac:dyDescent="0.2">
      <c r="C158" s="42" t="s">
        <v>441</v>
      </c>
      <c r="D158" s="42" t="s">
        <v>863</v>
      </c>
      <c r="E158" s="43" t="s">
        <v>255</v>
      </c>
      <c r="F158" s="42" t="s">
        <v>132</v>
      </c>
      <c r="G158" s="42" t="s">
        <v>293</v>
      </c>
      <c r="H158" s="44"/>
      <c r="I158" s="42"/>
      <c r="X158" s="48">
        <v>5061</v>
      </c>
      <c r="Y158" s="49" t="s">
        <v>864</v>
      </c>
      <c r="Z158" s="49" t="s">
        <v>862</v>
      </c>
      <c r="AA158" s="49" t="s">
        <v>68</v>
      </c>
    </row>
    <row r="159" spans="3:27" x14ac:dyDescent="0.2">
      <c r="C159" s="42" t="s">
        <v>865</v>
      </c>
      <c r="D159" s="42" t="s">
        <v>866</v>
      </c>
      <c r="E159" s="43" t="s">
        <v>261</v>
      </c>
      <c r="F159" s="42" t="s">
        <v>132</v>
      </c>
      <c r="G159" s="42" t="s">
        <v>293</v>
      </c>
      <c r="H159" s="44"/>
      <c r="I159" s="42"/>
      <c r="X159" s="48">
        <v>5070</v>
      </c>
      <c r="Y159" s="49" t="s">
        <v>867</v>
      </c>
      <c r="Z159" s="49" t="s">
        <v>868</v>
      </c>
      <c r="AA159" s="49" t="s">
        <v>68</v>
      </c>
    </row>
    <row r="160" spans="3:27" x14ac:dyDescent="0.2">
      <c r="C160" s="42" t="s">
        <v>869</v>
      </c>
      <c r="D160" s="42" t="s">
        <v>870</v>
      </c>
      <c r="E160" s="43" t="s">
        <v>54</v>
      </c>
      <c r="F160" s="42" t="s">
        <v>55</v>
      </c>
      <c r="G160" s="42" t="s">
        <v>293</v>
      </c>
      <c r="H160" s="44"/>
      <c r="I160" s="42"/>
      <c r="X160" s="48">
        <v>5071</v>
      </c>
      <c r="Y160" s="49" t="s">
        <v>871</v>
      </c>
      <c r="Z160" s="49" t="s">
        <v>820</v>
      </c>
      <c r="AA160" s="49" t="s">
        <v>68</v>
      </c>
    </row>
    <row r="161" spans="3:27" x14ac:dyDescent="0.2">
      <c r="C161" s="42" t="s">
        <v>872</v>
      </c>
      <c r="D161" s="42" t="s">
        <v>873</v>
      </c>
      <c r="E161" s="43" t="s">
        <v>261</v>
      </c>
      <c r="F161" s="42" t="s">
        <v>132</v>
      </c>
      <c r="G161" s="42" t="s">
        <v>293</v>
      </c>
      <c r="H161" s="44"/>
      <c r="I161" s="42"/>
      <c r="X161" s="48">
        <v>5072</v>
      </c>
      <c r="Y161" s="49" t="s">
        <v>874</v>
      </c>
      <c r="Z161" s="49" t="s">
        <v>868</v>
      </c>
      <c r="AA161" s="49" t="s">
        <v>68</v>
      </c>
    </row>
    <row r="162" spans="3:27" x14ac:dyDescent="0.2">
      <c r="C162" s="42" t="s">
        <v>235</v>
      </c>
      <c r="D162" s="42" t="s">
        <v>875</v>
      </c>
      <c r="E162" s="43" t="s">
        <v>292</v>
      </c>
      <c r="F162" s="42" t="s">
        <v>132</v>
      </c>
      <c r="G162" s="42" t="s">
        <v>293</v>
      </c>
      <c r="H162" s="44"/>
      <c r="I162" s="42"/>
      <c r="X162" s="48">
        <v>5080</v>
      </c>
      <c r="Y162" s="49" t="s">
        <v>876</v>
      </c>
      <c r="Z162" s="49" t="s">
        <v>877</v>
      </c>
      <c r="AA162" s="49" t="s">
        <v>68</v>
      </c>
    </row>
    <row r="163" spans="3:27" x14ac:dyDescent="0.2">
      <c r="C163" s="42" t="s">
        <v>878</v>
      </c>
      <c r="D163" s="42" t="s">
        <v>879</v>
      </c>
      <c r="E163" s="43" t="s">
        <v>292</v>
      </c>
      <c r="F163" s="42" t="s">
        <v>132</v>
      </c>
      <c r="G163" s="42" t="s">
        <v>293</v>
      </c>
      <c r="H163" s="44"/>
      <c r="I163" s="42"/>
      <c r="X163" s="48">
        <v>5081</v>
      </c>
      <c r="Y163" s="49" t="s">
        <v>880</v>
      </c>
      <c r="Z163" s="49" t="s">
        <v>881</v>
      </c>
      <c r="AA163" s="49" t="s">
        <v>68</v>
      </c>
    </row>
    <row r="164" spans="3:27" x14ac:dyDescent="0.2">
      <c r="C164" s="42" t="s">
        <v>882</v>
      </c>
      <c r="D164" s="42" t="s">
        <v>883</v>
      </c>
      <c r="E164" s="43" t="s">
        <v>300</v>
      </c>
      <c r="F164" s="42" t="s">
        <v>55</v>
      </c>
      <c r="G164" s="42" t="s">
        <v>293</v>
      </c>
      <c r="H164" s="44"/>
      <c r="I164" s="42"/>
      <c r="X164" s="48">
        <v>5090</v>
      </c>
      <c r="Y164" s="49" t="s">
        <v>884</v>
      </c>
      <c r="Z164" s="49" t="s">
        <v>827</v>
      </c>
      <c r="AA164" s="49" t="s">
        <v>68</v>
      </c>
    </row>
    <row r="165" spans="3:27" x14ac:dyDescent="0.2">
      <c r="C165" s="42" t="s">
        <v>885</v>
      </c>
      <c r="D165" s="42" t="s">
        <v>886</v>
      </c>
      <c r="E165" s="43" t="s">
        <v>300</v>
      </c>
      <c r="F165" s="42" t="s">
        <v>132</v>
      </c>
      <c r="G165" s="42" t="s">
        <v>293</v>
      </c>
      <c r="H165" s="44"/>
      <c r="I165" s="42"/>
      <c r="X165" s="48">
        <v>5091</v>
      </c>
      <c r="Y165" s="49" t="s">
        <v>887</v>
      </c>
      <c r="Z165" s="49" t="s">
        <v>820</v>
      </c>
      <c r="AA165" s="49" t="s">
        <v>68</v>
      </c>
    </row>
    <row r="166" spans="3:27" x14ac:dyDescent="0.2">
      <c r="C166" s="42" t="s">
        <v>447</v>
      </c>
      <c r="D166" s="42" t="s">
        <v>888</v>
      </c>
      <c r="E166" s="43" t="s">
        <v>255</v>
      </c>
      <c r="F166" s="42" t="s">
        <v>132</v>
      </c>
      <c r="G166" s="42" t="s">
        <v>889</v>
      </c>
      <c r="H166" s="44"/>
      <c r="I166" s="42"/>
      <c r="X166" s="48">
        <v>5092</v>
      </c>
      <c r="Y166" s="49" t="s">
        <v>890</v>
      </c>
      <c r="Z166" s="49" t="s">
        <v>827</v>
      </c>
      <c r="AA166" s="49" t="s">
        <v>68</v>
      </c>
    </row>
    <row r="167" spans="3:27" x14ac:dyDescent="0.2">
      <c r="C167" s="42" t="s">
        <v>891</v>
      </c>
      <c r="D167" s="42" t="s">
        <v>892</v>
      </c>
      <c r="E167" s="43" t="s">
        <v>255</v>
      </c>
      <c r="F167" s="42" t="s">
        <v>132</v>
      </c>
      <c r="G167" s="42" t="s">
        <v>889</v>
      </c>
      <c r="H167" s="44"/>
      <c r="I167" s="42"/>
      <c r="X167" s="48">
        <v>5100</v>
      </c>
      <c r="Y167" s="49" t="s">
        <v>893</v>
      </c>
      <c r="Z167" s="49" t="s">
        <v>894</v>
      </c>
      <c r="AA167" s="49" t="s">
        <v>68</v>
      </c>
    </row>
    <row r="168" spans="3:27" x14ac:dyDescent="0.2">
      <c r="C168" s="42" t="s">
        <v>895</v>
      </c>
      <c r="D168" s="42" t="s">
        <v>896</v>
      </c>
      <c r="E168" s="43" t="s">
        <v>261</v>
      </c>
      <c r="F168" s="42" t="s">
        <v>55</v>
      </c>
      <c r="G168" s="42" t="s">
        <v>889</v>
      </c>
      <c r="H168" s="44"/>
      <c r="I168" s="42"/>
      <c r="X168" s="48">
        <v>5101</v>
      </c>
      <c r="Y168" s="49" t="s">
        <v>897</v>
      </c>
      <c r="Z168" s="49" t="s">
        <v>894</v>
      </c>
      <c r="AA168" s="49" t="s">
        <v>68</v>
      </c>
    </row>
    <row r="169" spans="3:27" x14ac:dyDescent="0.2">
      <c r="C169" s="42" t="s">
        <v>898</v>
      </c>
      <c r="D169" s="42" t="s">
        <v>899</v>
      </c>
      <c r="E169" s="43" t="s">
        <v>261</v>
      </c>
      <c r="F169" s="42" t="s">
        <v>132</v>
      </c>
      <c r="G169" s="42" t="s">
        <v>889</v>
      </c>
      <c r="H169" s="44"/>
      <c r="I169" s="42"/>
      <c r="X169" s="48">
        <v>5110</v>
      </c>
      <c r="Y169" s="49" t="s">
        <v>900</v>
      </c>
      <c r="Z169" s="49" t="s">
        <v>901</v>
      </c>
      <c r="AA169" s="49" t="s">
        <v>68</v>
      </c>
    </row>
    <row r="170" spans="3:27" x14ac:dyDescent="0.2">
      <c r="C170" s="42" t="s">
        <v>389</v>
      </c>
      <c r="D170" s="42" t="s">
        <v>902</v>
      </c>
      <c r="E170" s="43" t="s">
        <v>274</v>
      </c>
      <c r="F170" s="42" t="s">
        <v>132</v>
      </c>
      <c r="G170" s="42" t="s">
        <v>889</v>
      </c>
      <c r="H170" s="44"/>
      <c r="I170" s="42"/>
      <c r="X170" s="48">
        <v>5111</v>
      </c>
      <c r="Y170" s="49" t="s">
        <v>903</v>
      </c>
      <c r="Z170" s="49" t="s">
        <v>901</v>
      </c>
      <c r="AA170" s="49" t="s">
        <v>68</v>
      </c>
    </row>
    <row r="171" spans="3:27" x14ac:dyDescent="0.2">
      <c r="C171" s="42" t="s">
        <v>904</v>
      </c>
      <c r="D171" s="42" t="s">
        <v>905</v>
      </c>
      <c r="E171" s="43" t="s">
        <v>274</v>
      </c>
      <c r="F171" s="42" t="s">
        <v>132</v>
      </c>
      <c r="G171" s="42" t="s">
        <v>889</v>
      </c>
      <c r="H171" s="44"/>
      <c r="I171" s="42"/>
      <c r="X171" s="48">
        <v>5120</v>
      </c>
      <c r="Y171" s="49" t="s">
        <v>906</v>
      </c>
      <c r="Z171" s="49" t="s">
        <v>901</v>
      </c>
      <c r="AA171" s="49" t="s">
        <v>68</v>
      </c>
    </row>
    <row r="172" spans="3:27" x14ac:dyDescent="0.2">
      <c r="C172" s="42" t="s">
        <v>907</v>
      </c>
      <c r="D172" s="42" t="s">
        <v>908</v>
      </c>
      <c r="E172" s="43" t="s">
        <v>280</v>
      </c>
      <c r="F172" s="42" t="s">
        <v>55</v>
      </c>
      <c r="G172" s="42" t="s">
        <v>889</v>
      </c>
      <c r="H172" s="44"/>
      <c r="I172" s="42"/>
      <c r="X172" s="48">
        <v>5121</v>
      </c>
      <c r="Y172" s="49" t="s">
        <v>909</v>
      </c>
      <c r="Z172" s="49" t="s">
        <v>901</v>
      </c>
      <c r="AA172" s="49" t="s">
        <v>68</v>
      </c>
    </row>
    <row r="173" spans="3:27" x14ac:dyDescent="0.2">
      <c r="C173" s="42" t="s">
        <v>910</v>
      </c>
      <c r="D173" s="42" t="s">
        <v>911</v>
      </c>
      <c r="E173" s="43" t="s">
        <v>280</v>
      </c>
      <c r="F173" s="42" t="s">
        <v>132</v>
      </c>
      <c r="G173" s="42" t="s">
        <v>889</v>
      </c>
      <c r="H173" s="44"/>
      <c r="I173" s="42"/>
      <c r="X173" s="48">
        <v>5130</v>
      </c>
      <c r="Y173" s="49" t="s">
        <v>912</v>
      </c>
      <c r="Z173" s="49" t="s">
        <v>901</v>
      </c>
      <c r="AA173" s="49" t="s">
        <v>68</v>
      </c>
    </row>
    <row r="174" spans="3:27" x14ac:dyDescent="0.2">
      <c r="C174" s="42" t="s">
        <v>399</v>
      </c>
      <c r="D174" s="42" t="s">
        <v>913</v>
      </c>
      <c r="E174" s="43" t="s">
        <v>274</v>
      </c>
      <c r="F174" s="42" t="s">
        <v>132</v>
      </c>
      <c r="G174" s="42" t="s">
        <v>889</v>
      </c>
      <c r="H174" s="44"/>
      <c r="I174" s="42"/>
      <c r="X174" s="48">
        <v>5131</v>
      </c>
      <c r="Y174" s="49" t="s">
        <v>914</v>
      </c>
      <c r="Z174" s="49" t="s">
        <v>901</v>
      </c>
      <c r="AA174" s="49" t="s">
        <v>68</v>
      </c>
    </row>
    <row r="175" spans="3:27" x14ac:dyDescent="0.2">
      <c r="C175" s="42" t="s">
        <v>915</v>
      </c>
      <c r="D175" s="42" t="s">
        <v>916</v>
      </c>
      <c r="E175" s="43" t="s">
        <v>274</v>
      </c>
      <c r="F175" s="42" t="s">
        <v>132</v>
      </c>
      <c r="G175" s="42" t="s">
        <v>889</v>
      </c>
      <c r="H175" s="44"/>
      <c r="I175" s="42"/>
      <c r="X175" s="48">
        <v>5140</v>
      </c>
      <c r="Y175" s="49" t="s">
        <v>917</v>
      </c>
      <c r="Z175" s="49" t="s">
        <v>901</v>
      </c>
      <c r="AA175" s="49" t="s">
        <v>68</v>
      </c>
    </row>
    <row r="176" spans="3:27" x14ac:dyDescent="0.2">
      <c r="C176" s="42" t="s">
        <v>918</v>
      </c>
      <c r="D176" s="42" t="s">
        <v>919</v>
      </c>
      <c r="E176" s="43" t="s">
        <v>280</v>
      </c>
      <c r="F176" s="42" t="s">
        <v>55</v>
      </c>
      <c r="G176" s="42" t="s">
        <v>889</v>
      </c>
      <c r="H176" s="44"/>
      <c r="I176" s="42"/>
      <c r="X176" s="48">
        <v>5141</v>
      </c>
      <c r="Y176" s="49" t="s">
        <v>920</v>
      </c>
      <c r="Z176" s="49" t="s">
        <v>901</v>
      </c>
      <c r="AA176" s="49" t="s">
        <v>68</v>
      </c>
    </row>
    <row r="177" spans="3:27" x14ac:dyDescent="0.2">
      <c r="C177" s="42" t="s">
        <v>921</v>
      </c>
      <c r="D177" s="42" t="s">
        <v>922</v>
      </c>
      <c r="E177" s="43" t="s">
        <v>280</v>
      </c>
      <c r="F177" s="42" t="s">
        <v>132</v>
      </c>
      <c r="G177" s="42" t="s">
        <v>889</v>
      </c>
      <c r="H177" s="44"/>
      <c r="I177" s="42"/>
      <c r="X177" s="48">
        <v>5150</v>
      </c>
      <c r="Y177" s="49" t="s">
        <v>923</v>
      </c>
      <c r="Z177" s="49" t="s">
        <v>901</v>
      </c>
      <c r="AA177" s="49" t="s">
        <v>68</v>
      </c>
    </row>
    <row r="178" spans="3:27" x14ac:dyDescent="0.2">
      <c r="C178" s="42" t="s">
        <v>252</v>
      </c>
      <c r="D178" s="42" t="s">
        <v>924</v>
      </c>
      <c r="E178" s="43" t="s">
        <v>160</v>
      </c>
      <c r="F178" s="42" t="s">
        <v>132</v>
      </c>
      <c r="G178" s="42" t="s">
        <v>293</v>
      </c>
      <c r="H178" s="44"/>
      <c r="I178" s="42"/>
      <c r="X178" s="48">
        <v>5151</v>
      </c>
      <c r="Y178" s="49" t="s">
        <v>925</v>
      </c>
      <c r="Z178" s="49" t="s">
        <v>901</v>
      </c>
      <c r="AA178" s="49" t="s">
        <v>68</v>
      </c>
    </row>
    <row r="179" spans="3:27" x14ac:dyDescent="0.2">
      <c r="C179" s="42" t="s">
        <v>926</v>
      </c>
      <c r="D179" s="42" t="s">
        <v>927</v>
      </c>
      <c r="E179" s="43" t="s">
        <v>160</v>
      </c>
      <c r="F179" s="42" t="s">
        <v>132</v>
      </c>
      <c r="G179" s="42" t="s">
        <v>293</v>
      </c>
      <c r="H179" s="44"/>
      <c r="I179" s="42"/>
      <c r="X179" s="48">
        <v>7010</v>
      </c>
      <c r="Y179" s="49" t="s">
        <v>928</v>
      </c>
      <c r="Z179" s="49" t="s">
        <v>929</v>
      </c>
      <c r="AA179" s="49" t="s">
        <v>68</v>
      </c>
    </row>
    <row r="180" spans="3:27" x14ac:dyDescent="0.2">
      <c r="C180" s="42" t="s">
        <v>930</v>
      </c>
      <c r="D180" s="42" t="s">
        <v>931</v>
      </c>
      <c r="E180" s="43" t="s">
        <v>211</v>
      </c>
      <c r="F180" s="42" t="s">
        <v>55</v>
      </c>
      <c r="G180" s="42" t="s">
        <v>293</v>
      </c>
      <c r="H180" s="44"/>
      <c r="I180" s="42"/>
      <c r="X180" s="48">
        <v>7011</v>
      </c>
      <c r="Y180" s="49" t="s">
        <v>932</v>
      </c>
      <c r="Z180" s="49" t="s">
        <v>929</v>
      </c>
      <c r="AA180" s="49" t="s">
        <v>68</v>
      </c>
    </row>
    <row r="181" spans="3:27" x14ac:dyDescent="0.2">
      <c r="C181" s="42" t="s">
        <v>933</v>
      </c>
      <c r="D181" s="42" t="s">
        <v>934</v>
      </c>
      <c r="E181" s="43" t="s">
        <v>211</v>
      </c>
      <c r="F181" s="42" t="s">
        <v>132</v>
      </c>
      <c r="G181" s="42" t="s">
        <v>293</v>
      </c>
      <c r="H181" s="44"/>
      <c r="I181" s="42"/>
      <c r="X181" s="48">
        <v>7012</v>
      </c>
      <c r="Y181" s="49" t="s">
        <v>935</v>
      </c>
      <c r="Z181" s="49" t="s">
        <v>936</v>
      </c>
      <c r="AA181" s="49" t="s">
        <v>68</v>
      </c>
    </row>
    <row r="182" spans="3:27" x14ac:dyDescent="0.2">
      <c r="C182" s="42" t="s">
        <v>297</v>
      </c>
      <c r="D182" s="42" t="s">
        <v>937</v>
      </c>
      <c r="E182" s="43" t="s">
        <v>199</v>
      </c>
      <c r="F182" s="42" t="s">
        <v>132</v>
      </c>
      <c r="G182" s="42" t="s">
        <v>333</v>
      </c>
      <c r="H182" s="44"/>
      <c r="I182" s="42"/>
      <c r="X182" s="48">
        <v>7013</v>
      </c>
      <c r="Y182" s="49" t="s">
        <v>938</v>
      </c>
      <c r="Z182" s="49" t="s">
        <v>936</v>
      </c>
      <c r="AA182" s="49" t="s">
        <v>68</v>
      </c>
    </row>
    <row r="183" spans="3:27" x14ac:dyDescent="0.2">
      <c r="C183" s="42" t="s">
        <v>939</v>
      </c>
      <c r="D183" s="42" t="s">
        <v>940</v>
      </c>
      <c r="E183" s="43" t="s">
        <v>199</v>
      </c>
      <c r="F183" s="42" t="s">
        <v>132</v>
      </c>
      <c r="G183" s="42" t="s">
        <v>333</v>
      </c>
      <c r="H183" s="44"/>
      <c r="I183" s="42"/>
      <c r="X183" s="48">
        <v>7015</v>
      </c>
      <c r="Y183" s="49" t="s">
        <v>342</v>
      </c>
      <c r="Z183" s="49" t="s">
        <v>343</v>
      </c>
      <c r="AA183" s="49" t="s">
        <v>68</v>
      </c>
    </row>
    <row r="184" spans="3:27" x14ac:dyDescent="0.2">
      <c r="C184" s="42" t="s">
        <v>941</v>
      </c>
      <c r="D184" s="42" t="s">
        <v>942</v>
      </c>
      <c r="E184" s="43" t="s">
        <v>662</v>
      </c>
      <c r="F184" s="42" t="s">
        <v>55</v>
      </c>
      <c r="G184" s="42" t="s">
        <v>333</v>
      </c>
      <c r="H184" s="44"/>
      <c r="I184" s="42"/>
      <c r="X184" s="48">
        <v>7020</v>
      </c>
      <c r="Y184" s="49" t="s">
        <v>350</v>
      </c>
      <c r="Z184" s="49" t="s">
        <v>351</v>
      </c>
      <c r="AA184" s="49" t="s">
        <v>68</v>
      </c>
    </row>
    <row r="185" spans="3:27" x14ac:dyDescent="0.2">
      <c r="C185" s="42" t="s">
        <v>943</v>
      </c>
      <c r="D185" s="42" t="s">
        <v>944</v>
      </c>
      <c r="E185" s="43" t="s">
        <v>662</v>
      </c>
      <c r="F185" s="42" t="s">
        <v>132</v>
      </c>
      <c r="G185" s="42" t="s">
        <v>333</v>
      </c>
      <c r="H185" s="44"/>
      <c r="I185" s="42"/>
      <c r="X185" s="48">
        <v>7021</v>
      </c>
      <c r="Y185" s="49" t="s">
        <v>945</v>
      </c>
      <c r="Z185" s="49" t="s">
        <v>946</v>
      </c>
      <c r="AA185" s="49" t="s">
        <v>68</v>
      </c>
    </row>
    <row r="186" spans="3:27" x14ac:dyDescent="0.2">
      <c r="C186" s="42" t="s">
        <v>383</v>
      </c>
      <c r="D186" s="42" t="s">
        <v>947</v>
      </c>
      <c r="E186" s="43" t="s">
        <v>184</v>
      </c>
      <c r="F186" s="42" t="s">
        <v>132</v>
      </c>
      <c r="G186" s="42" t="s">
        <v>333</v>
      </c>
      <c r="H186" s="44"/>
      <c r="I186" s="42"/>
      <c r="X186" s="48">
        <v>7022</v>
      </c>
      <c r="Y186" s="49" t="s">
        <v>948</v>
      </c>
      <c r="Z186" s="49" t="s">
        <v>949</v>
      </c>
      <c r="AA186" s="49" t="s">
        <v>68</v>
      </c>
    </row>
    <row r="187" spans="3:27" x14ac:dyDescent="0.2">
      <c r="C187" s="42" t="s">
        <v>950</v>
      </c>
      <c r="D187" s="42" t="s">
        <v>951</v>
      </c>
      <c r="E187" s="43" t="s">
        <v>184</v>
      </c>
      <c r="F187" s="42" t="s">
        <v>132</v>
      </c>
      <c r="G187" s="42" t="s">
        <v>333</v>
      </c>
      <c r="H187" s="44"/>
      <c r="I187" s="42"/>
      <c r="X187" s="48">
        <v>7025</v>
      </c>
      <c r="Y187" s="49" t="s">
        <v>952</v>
      </c>
      <c r="Z187" s="49" t="s">
        <v>953</v>
      </c>
      <c r="AA187" s="49" t="s">
        <v>68</v>
      </c>
    </row>
    <row r="188" spans="3:27" x14ac:dyDescent="0.2">
      <c r="C188" s="42" t="s">
        <v>954</v>
      </c>
      <c r="D188" s="42" t="s">
        <v>955</v>
      </c>
      <c r="E188" s="43" t="s">
        <v>215</v>
      </c>
      <c r="F188" s="42" t="s">
        <v>55</v>
      </c>
      <c r="G188" s="42" t="s">
        <v>333</v>
      </c>
      <c r="H188" s="44"/>
      <c r="I188" s="42"/>
      <c r="X188" s="48">
        <v>7030</v>
      </c>
      <c r="Y188" s="49" t="s">
        <v>956</v>
      </c>
      <c r="Z188" s="49" t="s">
        <v>217</v>
      </c>
      <c r="AA188" s="49" t="s">
        <v>68</v>
      </c>
    </row>
    <row r="189" spans="3:27" x14ac:dyDescent="0.2">
      <c r="C189" s="42" t="s">
        <v>957</v>
      </c>
      <c r="D189" s="42" t="s">
        <v>958</v>
      </c>
      <c r="E189" s="43" t="s">
        <v>215</v>
      </c>
      <c r="F189" s="42" t="s">
        <v>132</v>
      </c>
      <c r="G189" s="42" t="s">
        <v>333</v>
      </c>
      <c r="H189" s="44"/>
      <c r="I189" s="42"/>
      <c r="X189" s="48">
        <v>7031</v>
      </c>
      <c r="Y189" s="49" t="s">
        <v>959</v>
      </c>
      <c r="Z189" s="49" t="s">
        <v>217</v>
      </c>
      <c r="AA189" s="49" t="s">
        <v>68</v>
      </c>
    </row>
    <row r="190" spans="3:27" x14ac:dyDescent="0.2">
      <c r="C190" s="42" t="s">
        <v>503</v>
      </c>
      <c r="D190" s="42" t="s">
        <v>960</v>
      </c>
      <c r="E190" s="43" t="s">
        <v>456</v>
      </c>
      <c r="F190" s="42" t="s">
        <v>132</v>
      </c>
      <c r="G190" s="42" t="s">
        <v>333</v>
      </c>
      <c r="H190" s="44"/>
      <c r="I190" s="42"/>
      <c r="X190" s="48">
        <v>7040</v>
      </c>
      <c r="Y190" s="49" t="s">
        <v>961</v>
      </c>
      <c r="Z190" s="49" t="s">
        <v>962</v>
      </c>
      <c r="AA190" s="49" t="s">
        <v>68</v>
      </c>
    </row>
    <row r="191" spans="3:27" x14ac:dyDescent="0.2">
      <c r="C191" s="42" t="s">
        <v>963</v>
      </c>
      <c r="D191" s="42" t="s">
        <v>964</v>
      </c>
      <c r="E191" s="43" t="s">
        <v>456</v>
      </c>
      <c r="F191" s="42" t="s">
        <v>132</v>
      </c>
      <c r="G191" s="42" t="s">
        <v>333</v>
      </c>
      <c r="H191" s="44"/>
      <c r="I191" s="42"/>
      <c r="X191" s="48">
        <v>7041</v>
      </c>
      <c r="Y191" s="49" t="s">
        <v>965</v>
      </c>
      <c r="Z191" s="49" t="s">
        <v>966</v>
      </c>
      <c r="AA191" s="49" t="s">
        <v>68</v>
      </c>
    </row>
    <row r="192" spans="3:27" x14ac:dyDescent="0.2">
      <c r="C192" s="42" t="s">
        <v>967</v>
      </c>
      <c r="D192" s="42" t="s">
        <v>968</v>
      </c>
      <c r="E192" s="43" t="s">
        <v>469</v>
      </c>
      <c r="F192" s="42" t="s">
        <v>55</v>
      </c>
      <c r="G192" s="42" t="s">
        <v>333</v>
      </c>
      <c r="H192" s="44"/>
      <c r="I192" s="42"/>
      <c r="X192" s="48">
        <v>7050</v>
      </c>
      <c r="Y192" s="49" t="s">
        <v>969</v>
      </c>
      <c r="Z192" s="49" t="s">
        <v>970</v>
      </c>
      <c r="AA192" s="49" t="s">
        <v>68</v>
      </c>
    </row>
    <row r="193" spans="3:27" x14ac:dyDescent="0.2">
      <c r="C193" s="42" t="s">
        <v>971</v>
      </c>
      <c r="D193" s="42" t="s">
        <v>972</v>
      </c>
      <c r="E193" s="43" t="s">
        <v>469</v>
      </c>
      <c r="F193" s="42" t="s">
        <v>132</v>
      </c>
      <c r="G193" s="42" t="s">
        <v>333</v>
      </c>
      <c r="H193" s="44"/>
      <c r="I193" s="42"/>
      <c r="X193" s="48">
        <v>7051</v>
      </c>
      <c r="Y193" s="49" t="s">
        <v>973</v>
      </c>
      <c r="Z193" s="49" t="s">
        <v>970</v>
      </c>
      <c r="AA193" s="49" t="s">
        <v>68</v>
      </c>
    </row>
    <row r="194" spans="3:27" x14ac:dyDescent="0.2">
      <c r="C194" s="42" t="s">
        <v>472</v>
      </c>
      <c r="D194" s="42" t="s">
        <v>974</v>
      </c>
      <c r="E194" s="43" t="s">
        <v>255</v>
      </c>
      <c r="F194" s="42" t="s">
        <v>132</v>
      </c>
      <c r="G194" s="42" t="s">
        <v>333</v>
      </c>
      <c r="H194" s="44"/>
      <c r="I194" s="42"/>
      <c r="X194" s="48">
        <v>7060</v>
      </c>
      <c r="Y194" s="49" t="s">
        <v>975</v>
      </c>
      <c r="Z194" s="49" t="s">
        <v>976</v>
      </c>
      <c r="AA194" s="49" t="s">
        <v>68</v>
      </c>
    </row>
    <row r="195" spans="3:27" x14ac:dyDescent="0.2">
      <c r="C195" s="42" t="s">
        <v>977</v>
      </c>
      <c r="D195" s="42" t="s">
        <v>978</v>
      </c>
      <c r="E195" s="43" t="s">
        <v>255</v>
      </c>
      <c r="F195" s="42" t="s">
        <v>132</v>
      </c>
      <c r="G195" s="42" t="s">
        <v>333</v>
      </c>
      <c r="H195" s="44"/>
      <c r="I195" s="42"/>
      <c r="X195" s="48">
        <v>7061</v>
      </c>
      <c r="Y195" s="49" t="s">
        <v>979</v>
      </c>
      <c r="Z195" s="49" t="s">
        <v>976</v>
      </c>
      <c r="AA195" s="49" t="s">
        <v>68</v>
      </c>
    </row>
    <row r="196" spans="3:27" x14ac:dyDescent="0.2">
      <c r="C196" s="42" t="s">
        <v>980</v>
      </c>
      <c r="D196" s="42" t="s">
        <v>981</v>
      </c>
      <c r="E196" s="43" t="s">
        <v>261</v>
      </c>
      <c r="F196" s="42" t="s">
        <v>55</v>
      </c>
      <c r="G196" s="42" t="s">
        <v>333</v>
      </c>
      <c r="H196" s="44"/>
      <c r="I196" s="42"/>
      <c r="X196" s="48">
        <v>7070</v>
      </c>
      <c r="Y196" s="49" t="s">
        <v>982</v>
      </c>
      <c r="Z196" s="49" t="s">
        <v>983</v>
      </c>
      <c r="AA196" s="49" t="s">
        <v>68</v>
      </c>
    </row>
    <row r="197" spans="3:27" x14ac:dyDescent="0.2">
      <c r="C197" s="42" t="s">
        <v>984</v>
      </c>
      <c r="D197" s="42" t="s">
        <v>985</v>
      </c>
      <c r="E197" s="43" t="s">
        <v>261</v>
      </c>
      <c r="F197" s="42" t="s">
        <v>132</v>
      </c>
      <c r="G197" s="42" t="s">
        <v>333</v>
      </c>
      <c r="H197" s="44"/>
      <c r="I197" s="42"/>
      <c r="X197" s="48">
        <v>7071</v>
      </c>
      <c r="Y197" s="49" t="s">
        <v>986</v>
      </c>
      <c r="Z197" s="49" t="s">
        <v>983</v>
      </c>
      <c r="AA197" s="49" t="s">
        <v>68</v>
      </c>
    </row>
    <row r="198" spans="3:27" x14ac:dyDescent="0.2">
      <c r="C198" s="42" t="s">
        <v>289</v>
      </c>
      <c r="D198" s="42" t="s">
        <v>987</v>
      </c>
      <c r="E198" s="43" t="s">
        <v>292</v>
      </c>
      <c r="F198" s="42" t="s">
        <v>132</v>
      </c>
      <c r="G198" s="42" t="s">
        <v>333</v>
      </c>
      <c r="H198" s="44"/>
      <c r="I198" s="42"/>
      <c r="X198" s="48">
        <v>7080</v>
      </c>
      <c r="Y198" s="49" t="s">
        <v>988</v>
      </c>
      <c r="Z198" s="49" t="s">
        <v>989</v>
      </c>
      <c r="AA198" s="49" t="s">
        <v>68</v>
      </c>
    </row>
    <row r="199" spans="3:27" x14ac:dyDescent="0.2">
      <c r="C199" s="42" t="s">
        <v>990</v>
      </c>
      <c r="D199" s="42" t="s">
        <v>991</v>
      </c>
      <c r="E199" s="43" t="s">
        <v>292</v>
      </c>
      <c r="F199" s="42" t="s">
        <v>132</v>
      </c>
      <c r="G199" s="42" t="s">
        <v>333</v>
      </c>
      <c r="H199" s="44"/>
      <c r="I199" s="42"/>
      <c r="X199" s="48">
        <v>7090</v>
      </c>
      <c r="Y199" s="49" t="s">
        <v>992</v>
      </c>
      <c r="Z199" s="49" t="s">
        <v>993</v>
      </c>
      <c r="AA199" s="49" t="s">
        <v>68</v>
      </c>
    </row>
    <row r="200" spans="3:27" x14ac:dyDescent="0.2">
      <c r="C200" s="42" t="s">
        <v>994</v>
      </c>
      <c r="D200" s="42" t="s">
        <v>995</v>
      </c>
      <c r="E200" s="43" t="s">
        <v>300</v>
      </c>
      <c r="F200" s="42" t="s">
        <v>55</v>
      </c>
      <c r="G200" s="42" t="s">
        <v>333</v>
      </c>
      <c r="H200" s="44"/>
      <c r="I200" s="42"/>
      <c r="X200" s="48">
        <v>7091</v>
      </c>
      <c r="Y200" s="49" t="s">
        <v>996</v>
      </c>
      <c r="Z200" s="49" t="s">
        <v>993</v>
      </c>
      <c r="AA200" s="49" t="s">
        <v>68</v>
      </c>
    </row>
    <row r="201" spans="3:27" x14ac:dyDescent="0.2">
      <c r="C201" s="42" t="s">
        <v>997</v>
      </c>
      <c r="D201" s="42" t="s">
        <v>998</v>
      </c>
      <c r="E201" s="43" t="s">
        <v>300</v>
      </c>
      <c r="F201" s="42" t="s">
        <v>132</v>
      </c>
      <c r="G201" s="42" t="s">
        <v>333</v>
      </c>
      <c r="H201" s="44"/>
      <c r="I201" s="42"/>
      <c r="X201" s="48">
        <v>7120</v>
      </c>
      <c r="Y201" s="49" t="s">
        <v>999</v>
      </c>
      <c r="Z201" s="49" t="s">
        <v>1000</v>
      </c>
      <c r="AA201" s="49" t="s">
        <v>68</v>
      </c>
    </row>
    <row r="202" spans="3:27" x14ac:dyDescent="0.2">
      <c r="C202" s="42" t="s">
        <v>1001</v>
      </c>
      <c r="D202" s="42" t="s">
        <v>1002</v>
      </c>
      <c r="E202" s="43" t="s">
        <v>292</v>
      </c>
      <c r="F202" s="42" t="s">
        <v>55</v>
      </c>
      <c r="G202" s="42" t="s">
        <v>333</v>
      </c>
      <c r="H202" s="44"/>
      <c r="I202" s="42"/>
      <c r="X202" s="48">
        <v>7140</v>
      </c>
      <c r="Y202" s="49" t="s">
        <v>1003</v>
      </c>
      <c r="Z202" s="49" t="s">
        <v>1004</v>
      </c>
      <c r="AA202" s="49" t="s">
        <v>68</v>
      </c>
    </row>
    <row r="203" spans="3:27" x14ac:dyDescent="0.2">
      <c r="C203" s="42" t="s">
        <v>1005</v>
      </c>
      <c r="D203" s="42" t="s">
        <v>1006</v>
      </c>
      <c r="E203" s="43" t="s">
        <v>100</v>
      </c>
      <c r="F203" s="42" t="s">
        <v>55</v>
      </c>
      <c r="G203" s="42" t="s">
        <v>1007</v>
      </c>
      <c r="H203" s="44"/>
      <c r="I203" s="42"/>
      <c r="X203" s="48">
        <v>7141</v>
      </c>
      <c r="Y203" s="49" t="s">
        <v>1008</v>
      </c>
      <c r="Z203" s="49" t="s">
        <v>1009</v>
      </c>
      <c r="AA203" s="49" t="s">
        <v>68</v>
      </c>
    </row>
    <row r="204" spans="3:27" x14ac:dyDescent="0.2">
      <c r="C204" s="42" t="s">
        <v>271</v>
      </c>
      <c r="D204" s="42" t="s">
        <v>1010</v>
      </c>
      <c r="E204" s="43" t="s">
        <v>199</v>
      </c>
      <c r="F204" s="42" t="s">
        <v>132</v>
      </c>
      <c r="G204" s="42" t="s">
        <v>1007</v>
      </c>
      <c r="H204" s="44"/>
      <c r="I204" s="42"/>
      <c r="X204" s="48">
        <v>9001</v>
      </c>
      <c r="Y204" s="49" t="s">
        <v>1011</v>
      </c>
      <c r="Z204" s="49" t="s">
        <v>1012</v>
      </c>
      <c r="AA204" s="49" t="s">
        <v>68</v>
      </c>
    </row>
    <row r="205" spans="3:27" x14ac:dyDescent="0.2">
      <c r="C205" s="42" t="s">
        <v>1013</v>
      </c>
      <c r="D205" s="42" t="s">
        <v>1014</v>
      </c>
      <c r="E205" s="43" t="s">
        <v>199</v>
      </c>
      <c r="F205" s="42" t="s">
        <v>132</v>
      </c>
      <c r="G205" s="42" t="s">
        <v>1007</v>
      </c>
      <c r="H205" s="44"/>
      <c r="I205" s="42"/>
      <c r="X205" s="48">
        <v>9999</v>
      </c>
      <c r="Y205" s="49" t="s">
        <v>1015</v>
      </c>
      <c r="Z205" s="49" t="s">
        <v>1016</v>
      </c>
      <c r="AA205" s="49" t="s">
        <v>68</v>
      </c>
    </row>
    <row r="206" spans="3:27" x14ac:dyDescent="0.2">
      <c r="C206" s="42" t="s">
        <v>1017</v>
      </c>
      <c r="D206" s="42" t="s">
        <v>1018</v>
      </c>
      <c r="E206" s="43" t="s">
        <v>662</v>
      </c>
      <c r="F206" s="42" t="s">
        <v>55</v>
      </c>
      <c r="G206" s="42" t="s">
        <v>1007</v>
      </c>
      <c r="H206" s="44"/>
      <c r="I206" s="42"/>
      <c r="X206" s="48">
        <v>8000</v>
      </c>
      <c r="Y206" s="49" t="s">
        <v>1019</v>
      </c>
      <c r="Z206" s="49" t="s">
        <v>1019</v>
      </c>
      <c r="AA206" s="49" t="s">
        <v>1020</v>
      </c>
    </row>
    <row r="207" spans="3:27" x14ac:dyDescent="0.2">
      <c r="C207" s="42" t="s">
        <v>1021</v>
      </c>
      <c r="D207" s="42" t="s">
        <v>1022</v>
      </c>
      <c r="E207" s="43" t="s">
        <v>662</v>
      </c>
      <c r="F207" s="42" t="s">
        <v>132</v>
      </c>
      <c r="G207" s="42" t="s">
        <v>1007</v>
      </c>
      <c r="H207" s="44"/>
      <c r="I207" s="42"/>
      <c r="X207" s="48">
        <v>8001</v>
      </c>
      <c r="Y207" s="49" t="s">
        <v>1023</v>
      </c>
      <c r="Z207" s="49" t="s">
        <v>1023</v>
      </c>
      <c r="AA207" s="49" t="s">
        <v>1020</v>
      </c>
    </row>
    <row r="208" spans="3:27" x14ac:dyDescent="0.2">
      <c r="C208" s="42" t="s">
        <v>372</v>
      </c>
      <c r="D208" s="42" t="s">
        <v>1024</v>
      </c>
      <c r="E208" s="43" t="s">
        <v>184</v>
      </c>
      <c r="F208" s="42" t="s">
        <v>132</v>
      </c>
      <c r="G208" s="42" t="s">
        <v>1007</v>
      </c>
      <c r="H208" s="44"/>
      <c r="I208" s="42"/>
      <c r="X208" s="48">
        <v>8002</v>
      </c>
      <c r="Y208" s="49" t="s">
        <v>1025</v>
      </c>
      <c r="Z208" s="49" t="s">
        <v>1026</v>
      </c>
      <c r="AA208" s="49" t="s">
        <v>1020</v>
      </c>
    </row>
    <row r="209" spans="3:27" x14ac:dyDescent="0.2">
      <c r="C209" s="42" t="s">
        <v>1027</v>
      </c>
      <c r="D209" s="42" t="s">
        <v>1028</v>
      </c>
      <c r="E209" s="43" t="s">
        <v>184</v>
      </c>
      <c r="F209" s="42" t="s">
        <v>132</v>
      </c>
      <c r="G209" s="42" t="s">
        <v>1007</v>
      </c>
      <c r="H209" s="44"/>
      <c r="I209" s="42"/>
      <c r="X209" s="48">
        <v>8003</v>
      </c>
      <c r="Y209" s="49" t="s">
        <v>1029</v>
      </c>
      <c r="Z209" s="49" t="s">
        <v>1029</v>
      </c>
      <c r="AA209" s="49" t="s">
        <v>1020</v>
      </c>
    </row>
    <row r="210" spans="3:27" x14ac:dyDescent="0.2">
      <c r="C210" s="42" t="s">
        <v>1030</v>
      </c>
      <c r="D210" s="42" t="s">
        <v>1031</v>
      </c>
      <c r="E210" s="43" t="s">
        <v>215</v>
      </c>
      <c r="F210" s="42" t="s">
        <v>55</v>
      </c>
      <c r="G210" s="42" t="s">
        <v>1007</v>
      </c>
      <c r="H210" s="44"/>
      <c r="I210" s="42"/>
      <c r="X210" s="48">
        <v>8004</v>
      </c>
      <c r="Y210" s="49" t="s">
        <v>1032</v>
      </c>
      <c r="Z210" s="49" t="s">
        <v>1033</v>
      </c>
      <c r="AA210" s="49" t="s">
        <v>1020</v>
      </c>
    </row>
    <row r="211" spans="3:27" x14ac:dyDescent="0.2">
      <c r="C211" s="42" t="s">
        <v>1034</v>
      </c>
      <c r="D211" s="42" t="s">
        <v>1035</v>
      </c>
      <c r="E211" s="43" t="s">
        <v>215</v>
      </c>
      <c r="F211" s="42" t="s">
        <v>132</v>
      </c>
      <c r="G211" s="42" t="s">
        <v>1007</v>
      </c>
      <c r="H211" s="44"/>
      <c r="I211" s="42"/>
      <c r="X211" s="48">
        <v>8005</v>
      </c>
      <c r="Y211" s="49" t="s">
        <v>1011</v>
      </c>
      <c r="Z211" s="49" t="s">
        <v>1012</v>
      </c>
      <c r="AA211" s="49" t="s">
        <v>1020</v>
      </c>
    </row>
    <row r="212" spans="3:27" x14ac:dyDescent="0.2">
      <c r="C212" s="42" t="s">
        <v>498</v>
      </c>
      <c r="D212" s="42" t="s">
        <v>1036</v>
      </c>
      <c r="E212" s="43" t="s">
        <v>456</v>
      </c>
      <c r="F212" s="42" t="s">
        <v>132</v>
      </c>
      <c r="G212" s="42" t="s">
        <v>1007</v>
      </c>
      <c r="H212" s="44"/>
      <c r="I212" s="42"/>
      <c r="X212" s="48">
        <v>8006</v>
      </c>
      <c r="Y212" s="49" t="s">
        <v>1037</v>
      </c>
      <c r="Z212" s="49" t="s">
        <v>1038</v>
      </c>
      <c r="AA212" s="49" t="s">
        <v>1020</v>
      </c>
    </row>
    <row r="213" spans="3:27" x14ac:dyDescent="0.2">
      <c r="C213" s="42" t="s">
        <v>1039</v>
      </c>
      <c r="D213" s="42" t="s">
        <v>1040</v>
      </c>
      <c r="E213" s="43" t="s">
        <v>456</v>
      </c>
      <c r="F213" s="42" t="s">
        <v>132</v>
      </c>
      <c r="G213" s="42" t="s">
        <v>1007</v>
      </c>
      <c r="H213" s="44"/>
      <c r="I213" s="42"/>
    </row>
    <row r="214" spans="3:27" x14ac:dyDescent="0.2">
      <c r="C214" s="42" t="s">
        <v>1041</v>
      </c>
      <c r="D214" s="42" t="s">
        <v>1042</v>
      </c>
      <c r="E214" s="43" t="s">
        <v>469</v>
      </c>
      <c r="F214" s="42" t="s">
        <v>55</v>
      </c>
      <c r="G214" s="42" t="s">
        <v>1007</v>
      </c>
      <c r="H214" s="44"/>
      <c r="I214" s="42"/>
    </row>
    <row r="215" spans="3:27" x14ac:dyDescent="0.2">
      <c r="C215" s="42" t="s">
        <v>1043</v>
      </c>
      <c r="D215" s="42" t="s">
        <v>1044</v>
      </c>
      <c r="E215" s="43" t="s">
        <v>469</v>
      </c>
      <c r="F215" s="42" t="s">
        <v>132</v>
      </c>
      <c r="G215" s="42" t="s">
        <v>1007</v>
      </c>
      <c r="H215" s="44"/>
      <c r="I215" s="42"/>
    </row>
    <row r="216" spans="3:27" x14ac:dyDescent="0.2">
      <c r="C216" s="42" t="s">
        <v>453</v>
      </c>
      <c r="D216" s="42" t="s">
        <v>1045</v>
      </c>
      <c r="E216" s="43" t="s">
        <v>255</v>
      </c>
      <c r="F216" s="42" t="s">
        <v>132</v>
      </c>
      <c r="G216" s="42" t="s">
        <v>1007</v>
      </c>
      <c r="H216" s="44"/>
      <c r="I216" s="42"/>
    </row>
    <row r="217" spans="3:27" x14ac:dyDescent="0.2">
      <c r="C217" s="42" t="s">
        <v>1046</v>
      </c>
      <c r="D217" s="42" t="s">
        <v>1047</v>
      </c>
      <c r="E217" s="43" t="s">
        <v>255</v>
      </c>
      <c r="F217" s="42" t="s">
        <v>132</v>
      </c>
      <c r="G217" s="42" t="s">
        <v>1007</v>
      </c>
      <c r="H217" s="44"/>
      <c r="I217" s="42"/>
    </row>
    <row r="218" spans="3:27" x14ac:dyDescent="0.2">
      <c r="C218" s="42" t="s">
        <v>1048</v>
      </c>
      <c r="D218" s="42" t="s">
        <v>1049</v>
      </c>
      <c r="E218" s="43" t="s">
        <v>261</v>
      </c>
      <c r="F218" s="42" t="s">
        <v>55</v>
      </c>
      <c r="G218" s="42" t="s">
        <v>1007</v>
      </c>
      <c r="H218" s="44"/>
      <c r="I218" s="42"/>
    </row>
    <row r="219" spans="3:27" x14ac:dyDescent="0.2">
      <c r="C219" s="42" t="s">
        <v>1050</v>
      </c>
      <c r="D219" s="42" t="s">
        <v>1051</v>
      </c>
      <c r="E219" s="43" t="s">
        <v>261</v>
      </c>
      <c r="F219" s="42" t="s">
        <v>132</v>
      </c>
      <c r="G219" s="42" t="s">
        <v>1007</v>
      </c>
      <c r="H219" s="44"/>
      <c r="I219" s="42"/>
    </row>
    <row r="220" spans="3:27" x14ac:dyDescent="0.2">
      <c r="C220" s="42" t="s">
        <v>258</v>
      </c>
      <c r="D220" s="42" t="s">
        <v>1052</v>
      </c>
      <c r="E220" s="43" t="s">
        <v>292</v>
      </c>
      <c r="F220" s="42" t="s">
        <v>132</v>
      </c>
      <c r="G220" s="42" t="s">
        <v>1007</v>
      </c>
      <c r="H220" s="44"/>
      <c r="I220" s="42"/>
    </row>
    <row r="221" spans="3:27" x14ac:dyDescent="0.2">
      <c r="C221" s="42" t="s">
        <v>1053</v>
      </c>
      <c r="D221" s="42" t="s">
        <v>1054</v>
      </c>
      <c r="E221" s="43" t="s">
        <v>292</v>
      </c>
      <c r="F221" s="42" t="s">
        <v>132</v>
      </c>
      <c r="G221" s="42" t="s">
        <v>1007</v>
      </c>
      <c r="H221" s="44"/>
      <c r="I221" s="42"/>
    </row>
    <row r="222" spans="3:27" x14ac:dyDescent="0.2">
      <c r="C222" s="42" t="s">
        <v>1055</v>
      </c>
      <c r="D222" s="42" t="s">
        <v>1056</v>
      </c>
      <c r="E222" s="43" t="s">
        <v>300</v>
      </c>
      <c r="F222" s="42" t="s">
        <v>55</v>
      </c>
      <c r="G222" s="42" t="s">
        <v>1007</v>
      </c>
      <c r="H222" s="44"/>
      <c r="I222" s="42"/>
    </row>
    <row r="223" spans="3:27" x14ac:dyDescent="0.2">
      <c r="C223" s="42" t="s">
        <v>1057</v>
      </c>
      <c r="D223" s="42" t="s">
        <v>1058</v>
      </c>
      <c r="E223" s="43" t="s">
        <v>300</v>
      </c>
      <c r="F223" s="42" t="s">
        <v>132</v>
      </c>
      <c r="G223" s="42" t="s">
        <v>1007</v>
      </c>
      <c r="H223" s="44"/>
      <c r="I223" s="42"/>
    </row>
    <row r="224" spans="3:27" x14ac:dyDescent="0.2">
      <c r="C224" s="42" t="s">
        <v>461</v>
      </c>
      <c r="D224" s="42" t="s">
        <v>1059</v>
      </c>
      <c r="E224" s="43" t="s">
        <v>255</v>
      </c>
      <c r="F224" s="42" t="s">
        <v>132</v>
      </c>
      <c r="G224" s="42" t="s">
        <v>1060</v>
      </c>
      <c r="H224" s="44"/>
      <c r="I224" s="42"/>
    </row>
    <row r="225" spans="3:9" x14ac:dyDescent="0.2">
      <c r="C225" s="42" t="s">
        <v>1061</v>
      </c>
      <c r="D225" s="42" t="s">
        <v>1062</v>
      </c>
      <c r="E225" s="43" t="s">
        <v>255</v>
      </c>
      <c r="F225" s="42" t="s">
        <v>132</v>
      </c>
      <c r="G225" s="42" t="s">
        <v>1060</v>
      </c>
      <c r="H225" s="44"/>
      <c r="I225" s="42"/>
    </row>
    <row r="226" spans="3:9" x14ac:dyDescent="0.2">
      <c r="C226" s="42" t="s">
        <v>1063</v>
      </c>
      <c r="D226" s="42" t="s">
        <v>1064</v>
      </c>
      <c r="E226" s="43" t="s">
        <v>261</v>
      </c>
      <c r="F226" s="42" t="s">
        <v>55</v>
      </c>
      <c r="G226" s="42" t="s">
        <v>1060</v>
      </c>
      <c r="H226" s="44"/>
    </row>
    <row r="227" spans="3:9" x14ac:dyDescent="0.2">
      <c r="C227" s="42" t="s">
        <v>1065</v>
      </c>
      <c r="D227" s="42" t="s">
        <v>1066</v>
      </c>
      <c r="E227" s="43" t="s">
        <v>261</v>
      </c>
      <c r="F227" s="42" t="s">
        <v>132</v>
      </c>
      <c r="G227" s="42" t="s">
        <v>1060</v>
      </c>
      <c r="H227" s="44"/>
    </row>
    <row r="228" spans="3:9" x14ac:dyDescent="0.2">
      <c r="C228" s="42" t="s">
        <v>406</v>
      </c>
      <c r="D228" s="42" t="s">
        <v>1067</v>
      </c>
      <c r="E228" s="43" t="s">
        <v>274</v>
      </c>
      <c r="F228" s="42" t="s">
        <v>132</v>
      </c>
      <c r="G228" s="42" t="s">
        <v>1060</v>
      </c>
      <c r="H228" s="44"/>
    </row>
    <row r="229" spans="3:9" x14ac:dyDescent="0.2">
      <c r="C229" s="42" t="s">
        <v>1068</v>
      </c>
      <c r="D229" s="42" t="s">
        <v>1069</v>
      </c>
      <c r="E229" s="43" t="s">
        <v>274</v>
      </c>
      <c r="F229" s="42" t="s">
        <v>132</v>
      </c>
      <c r="G229" s="42" t="s">
        <v>1060</v>
      </c>
      <c r="H229" s="44"/>
    </row>
    <row r="230" spans="3:9" x14ac:dyDescent="0.2">
      <c r="C230" s="42" t="s">
        <v>1070</v>
      </c>
      <c r="D230" s="42" t="s">
        <v>1071</v>
      </c>
      <c r="E230" s="43" t="s">
        <v>280</v>
      </c>
      <c r="F230" s="42" t="s">
        <v>55</v>
      </c>
      <c r="G230" s="42" t="s">
        <v>1060</v>
      </c>
      <c r="H230" s="44"/>
    </row>
    <row r="231" spans="3:9" x14ac:dyDescent="0.2">
      <c r="C231" s="42" t="s">
        <v>1072</v>
      </c>
      <c r="D231" s="42" t="s">
        <v>1073</v>
      </c>
      <c r="E231" s="43" t="s">
        <v>274</v>
      </c>
      <c r="F231" s="42" t="s">
        <v>132</v>
      </c>
      <c r="G231" s="42" t="s">
        <v>1060</v>
      </c>
      <c r="H231" s="44"/>
    </row>
    <row r="232" spans="3:9" x14ac:dyDescent="0.2">
      <c r="C232" s="42" t="s">
        <v>412</v>
      </c>
      <c r="D232" s="42" t="s">
        <v>1074</v>
      </c>
      <c r="E232" s="43" t="s">
        <v>274</v>
      </c>
      <c r="F232" s="42" t="s">
        <v>132</v>
      </c>
      <c r="G232" s="42" t="s">
        <v>1060</v>
      </c>
      <c r="H232" s="44"/>
    </row>
    <row r="233" spans="3:9" x14ac:dyDescent="0.2">
      <c r="C233" s="42" t="s">
        <v>1075</v>
      </c>
      <c r="D233" s="42" t="s">
        <v>1076</v>
      </c>
      <c r="E233" s="43" t="s">
        <v>274</v>
      </c>
      <c r="F233" s="42" t="s">
        <v>132</v>
      </c>
      <c r="G233" s="42" t="s">
        <v>1060</v>
      </c>
      <c r="H233" s="44"/>
    </row>
    <row r="234" spans="3:9" x14ac:dyDescent="0.2">
      <c r="C234" s="42" t="s">
        <v>1077</v>
      </c>
      <c r="D234" s="42" t="s">
        <v>1078</v>
      </c>
      <c r="E234" s="43" t="s">
        <v>280</v>
      </c>
      <c r="F234" s="42" t="s">
        <v>55</v>
      </c>
      <c r="G234" s="42" t="s">
        <v>1060</v>
      </c>
      <c r="H234" s="44"/>
    </row>
    <row r="235" spans="3:9" x14ac:dyDescent="0.2">
      <c r="C235" s="42" t="s">
        <v>1079</v>
      </c>
      <c r="D235" s="42" t="s">
        <v>1080</v>
      </c>
      <c r="E235" s="43" t="s">
        <v>274</v>
      </c>
      <c r="F235" s="42" t="s">
        <v>132</v>
      </c>
      <c r="G235" s="42" t="s">
        <v>1060</v>
      </c>
      <c r="H235" s="44"/>
    </row>
    <row r="236" spans="3:9" x14ac:dyDescent="0.2">
      <c r="C236" s="42" t="s">
        <v>277</v>
      </c>
      <c r="D236" s="42" t="s">
        <v>1081</v>
      </c>
      <c r="E236" s="43" t="s">
        <v>160</v>
      </c>
      <c r="F236" s="42" t="s">
        <v>132</v>
      </c>
      <c r="G236" s="42" t="s">
        <v>1007</v>
      </c>
      <c r="H236" s="44"/>
    </row>
    <row r="237" spans="3:9" x14ac:dyDescent="0.2">
      <c r="C237" s="42" t="s">
        <v>1082</v>
      </c>
      <c r="D237" s="42" t="s">
        <v>1083</v>
      </c>
      <c r="E237" s="43" t="s">
        <v>160</v>
      </c>
      <c r="F237" s="42" t="s">
        <v>132</v>
      </c>
      <c r="G237" s="42" t="s">
        <v>1007</v>
      </c>
      <c r="H237" s="44"/>
    </row>
    <row r="238" spans="3:9" x14ac:dyDescent="0.2">
      <c r="C238" s="42" t="s">
        <v>1084</v>
      </c>
      <c r="D238" s="42" t="s">
        <v>1085</v>
      </c>
      <c r="E238" s="43" t="s">
        <v>211</v>
      </c>
      <c r="F238" s="42" t="s">
        <v>55</v>
      </c>
      <c r="G238" s="42" t="s">
        <v>1007</v>
      </c>
      <c r="H238" s="44"/>
    </row>
    <row r="239" spans="3:9" x14ac:dyDescent="0.2">
      <c r="C239" s="42" t="s">
        <v>1086</v>
      </c>
      <c r="D239" s="42" t="s">
        <v>1087</v>
      </c>
      <c r="E239" s="43" t="s">
        <v>160</v>
      </c>
      <c r="F239" s="42" t="s">
        <v>132</v>
      </c>
      <c r="G239" s="42" t="s">
        <v>1007</v>
      </c>
      <c r="H239" s="44"/>
    </row>
    <row r="240" spans="3:9" x14ac:dyDescent="0.2">
      <c r="C240" s="42" t="s">
        <v>1088</v>
      </c>
      <c r="D240" s="42" t="s">
        <v>1089</v>
      </c>
      <c r="E240" s="43" t="s">
        <v>292</v>
      </c>
      <c r="F240" s="42" t="s">
        <v>132</v>
      </c>
      <c r="G240" s="42" t="s">
        <v>563</v>
      </c>
      <c r="H240" s="44"/>
    </row>
    <row r="241" spans="3:8" x14ac:dyDescent="0.2">
      <c r="C241" s="42" t="s">
        <v>1090</v>
      </c>
      <c r="D241" s="42" t="s">
        <v>1091</v>
      </c>
      <c r="E241" s="43" t="s">
        <v>292</v>
      </c>
      <c r="F241" s="42" t="s">
        <v>132</v>
      </c>
      <c r="G241" s="42" t="s">
        <v>563</v>
      </c>
      <c r="H241" s="44"/>
    </row>
    <row r="242" spans="3:8" x14ac:dyDescent="0.2">
      <c r="C242" s="42" t="s">
        <v>1092</v>
      </c>
      <c r="D242" s="42" t="s">
        <v>1093</v>
      </c>
      <c r="E242" s="43" t="s">
        <v>300</v>
      </c>
      <c r="F242" s="42" t="s">
        <v>55</v>
      </c>
      <c r="G242" s="42" t="s">
        <v>563</v>
      </c>
      <c r="H242" s="44"/>
    </row>
    <row r="243" spans="3:8" x14ac:dyDescent="0.2">
      <c r="C243" s="42" t="s">
        <v>1094</v>
      </c>
      <c r="D243" s="42" t="s">
        <v>1095</v>
      </c>
      <c r="E243" s="43" t="s">
        <v>300</v>
      </c>
      <c r="F243" s="42" t="s">
        <v>132</v>
      </c>
      <c r="G243" s="42" t="s">
        <v>563</v>
      </c>
      <c r="H243" s="44"/>
    </row>
    <row r="244" spans="3:8" x14ac:dyDescent="0.2">
      <c r="C244" s="42" t="s">
        <v>1096</v>
      </c>
      <c r="D244" s="42" t="s">
        <v>1097</v>
      </c>
      <c r="E244" s="43" t="s">
        <v>292</v>
      </c>
      <c r="F244" s="42" t="s">
        <v>132</v>
      </c>
      <c r="G244" s="42" t="s">
        <v>563</v>
      </c>
      <c r="H244" s="44"/>
    </row>
    <row r="245" spans="3:8" x14ac:dyDescent="0.2">
      <c r="C245" s="42" t="s">
        <v>1098</v>
      </c>
      <c r="D245" s="42" t="s">
        <v>1099</v>
      </c>
      <c r="E245" s="43" t="s">
        <v>292</v>
      </c>
      <c r="F245" s="42" t="s">
        <v>132</v>
      </c>
      <c r="G245" s="42" t="s">
        <v>563</v>
      </c>
      <c r="H245" s="44"/>
    </row>
    <row r="246" spans="3:8" x14ac:dyDescent="0.2">
      <c r="C246" s="42" t="s">
        <v>1100</v>
      </c>
      <c r="D246" s="42" t="s">
        <v>1101</v>
      </c>
      <c r="E246" s="43" t="s">
        <v>300</v>
      </c>
      <c r="F246" s="42" t="s">
        <v>55</v>
      </c>
      <c r="G246" s="42" t="s">
        <v>333</v>
      </c>
      <c r="H246" s="44"/>
    </row>
    <row r="247" spans="3:8" x14ac:dyDescent="0.2">
      <c r="C247" s="42" t="s">
        <v>1102</v>
      </c>
      <c r="D247" s="42" t="s">
        <v>1103</v>
      </c>
      <c r="E247" s="43" t="s">
        <v>300</v>
      </c>
      <c r="F247" s="42" t="s">
        <v>132</v>
      </c>
      <c r="G247" s="42" t="s">
        <v>563</v>
      </c>
      <c r="H247" s="44"/>
    </row>
    <row r="248" spans="3:8" x14ac:dyDescent="0.2">
      <c r="C248" s="42" t="s">
        <v>523</v>
      </c>
      <c r="D248" s="42" t="s">
        <v>1104</v>
      </c>
      <c r="E248" s="43" t="s">
        <v>292</v>
      </c>
      <c r="F248" s="42" t="s">
        <v>132</v>
      </c>
      <c r="G248" s="42" t="s">
        <v>56</v>
      </c>
      <c r="H248" s="44"/>
    </row>
    <row r="249" spans="3:8" x14ac:dyDescent="0.2">
      <c r="C249" s="42" t="s">
        <v>1105</v>
      </c>
      <c r="D249" s="42" t="s">
        <v>1106</v>
      </c>
      <c r="E249" s="43" t="s">
        <v>292</v>
      </c>
      <c r="F249" s="42" t="s">
        <v>132</v>
      </c>
      <c r="G249" s="42" t="s">
        <v>56</v>
      </c>
      <c r="H249" s="44"/>
    </row>
    <row r="250" spans="3:8" x14ac:dyDescent="0.2">
      <c r="C250" s="42" t="s">
        <v>1107</v>
      </c>
      <c r="D250" s="42" t="s">
        <v>1108</v>
      </c>
      <c r="E250" s="43" t="s">
        <v>300</v>
      </c>
      <c r="F250" s="42" t="s">
        <v>55</v>
      </c>
      <c r="G250" s="42" t="s">
        <v>333</v>
      </c>
      <c r="H250" s="44"/>
    </row>
    <row r="251" spans="3:8" x14ac:dyDescent="0.2">
      <c r="C251" s="42" t="s">
        <v>1109</v>
      </c>
      <c r="D251" s="42" t="s">
        <v>1110</v>
      </c>
      <c r="E251" s="43" t="s">
        <v>300</v>
      </c>
      <c r="F251" s="42" t="s">
        <v>132</v>
      </c>
      <c r="G251" s="42" t="s">
        <v>56</v>
      </c>
      <c r="H251" s="44"/>
    </row>
    <row r="252" spans="3:8" x14ac:dyDescent="0.2">
      <c r="C252" s="42" t="s">
        <v>1111</v>
      </c>
      <c r="D252" s="42" t="s">
        <v>1112</v>
      </c>
      <c r="E252" s="43" t="s">
        <v>292</v>
      </c>
      <c r="F252" s="42" t="s">
        <v>55</v>
      </c>
      <c r="G252" s="42" t="s">
        <v>333</v>
      </c>
      <c r="H252" s="44"/>
    </row>
    <row r="253" spans="3:8" x14ac:dyDescent="0.2">
      <c r="C253" s="42" t="s">
        <v>558</v>
      </c>
      <c r="D253" s="42" t="s">
        <v>1113</v>
      </c>
      <c r="E253" s="43" t="s">
        <v>292</v>
      </c>
      <c r="F253" s="42" t="s">
        <v>132</v>
      </c>
      <c r="G253" s="42" t="s">
        <v>56</v>
      </c>
      <c r="H253" s="44"/>
    </row>
    <row r="254" spans="3:8" x14ac:dyDescent="0.2">
      <c r="C254" s="42" t="s">
        <v>1114</v>
      </c>
      <c r="D254" s="42" t="s">
        <v>1115</v>
      </c>
      <c r="E254" s="43" t="s">
        <v>292</v>
      </c>
      <c r="F254" s="42" t="s">
        <v>132</v>
      </c>
      <c r="G254" s="42" t="s">
        <v>56</v>
      </c>
      <c r="H254" s="44"/>
    </row>
    <row r="255" spans="3:8" x14ac:dyDescent="0.2">
      <c r="C255" s="42" t="s">
        <v>1116</v>
      </c>
      <c r="D255" s="42" t="s">
        <v>1117</v>
      </c>
      <c r="E255" s="43" t="s">
        <v>300</v>
      </c>
      <c r="F255" s="42" t="s">
        <v>55</v>
      </c>
      <c r="G255" s="42" t="s">
        <v>333</v>
      </c>
      <c r="H255" s="44"/>
    </row>
    <row r="256" spans="3:8" x14ac:dyDescent="0.2">
      <c r="C256" s="42" t="s">
        <v>1118</v>
      </c>
      <c r="D256" s="42" t="s">
        <v>1119</v>
      </c>
      <c r="E256" s="43" t="s">
        <v>300</v>
      </c>
      <c r="F256" s="42" t="s">
        <v>132</v>
      </c>
      <c r="G256" s="42" t="s">
        <v>56</v>
      </c>
      <c r="H256" s="44"/>
    </row>
    <row r="257" spans="3:8" x14ac:dyDescent="0.2">
      <c r="C257" s="42" t="s">
        <v>538</v>
      </c>
      <c r="D257" s="42" t="s">
        <v>1120</v>
      </c>
      <c r="E257" s="43" t="s">
        <v>292</v>
      </c>
      <c r="F257" s="42" t="s">
        <v>132</v>
      </c>
      <c r="G257" s="42" t="s">
        <v>293</v>
      </c>
      <c r="H257" s="44"/>
    </row>
    <row r="258" spans="3:8" x14ac:dyDescent="0.2">
      <c r="C258" s="42" t="s">
        <v>1121</v>
      </c>
      <c r="D258" s="42" t="s">
        <v>1122</v>
      </c>
      <c r="E258" s="43" t="s">
        <v>292</v>
      </c>
      <c r="F258" s="42" t="s">
        <v>132</v>
      </c>
      <c r="G258" s="42" t="s">
        <v>293</v>
      </c>
      <c r="H258" s="44"/>
    </row>
    <row r="259" spans="3:8" x14ac:dyDescent="0.2">
      <c r="C259" s="42" t="s">
        <v>1123</v>
      </c>
      <c r="D259" s="42" t="s">
        <v>1124</v>
      </c>
      <c r="E259" s="43" t="s">
        <v>300</v>
      </c>
      <c r="F259" s="42" t="s">
        <v>55</v>
      </c>
      <c r="G259" s="42" t="s">
        <v>333</v>
      </c>
      <c r="H259" s="44"/>
    </row>
    <row r="260" spans="3:8" x14ac:dyDescent="0.2">
      <c r="C260" s="42" t="s">
        <v>1125</v>
      </c>
      <c r="D260" s="42" t="s">
        <v>1126</v>
      </c>
      <c r="E260" s="43" t="s">
        <v>300</v>
      </c>
      <c r="F260" s="42" t="s">
        <v>132</v>
      </c>
      <c r="G260" s="42" t="s">
        <v>293</v>
      </c>
      <c r="H260" s="44"/>
    </row>
    <row r="261" spans="3:8" x14ac:dyDescent="0.2">
      <c r="C261" s="42" t="s">
        <v>308</v>
      </c>
      <c r="D261" s="42" t="s">
        <v>1127</v>
      </c>
      <c r="E261" s="43" t="s">
        <v>160</v>
      </c>
      <c r="F261" s="42" t="s">
        <v>132</v>
      </c>
      <c r="G261" s="42" t="s">
        <v>56</v>
      </c>
      <c r="H261" s="44"/>
    </row>
    <row r="262" spans="3:8" x14ac:dyDescent="0.2">
      <c r="C262" s="42" t="s">
        <v>1128</v>
      </c>
      <c r="D262" s="42" t="s">
        <v>1129</v>
      </c>
      <c r="E262" s="43" t="s">
        <v>160</v>
      </c>
      <c r="F262" s="42" t="s">
        <v>132</v>
      </c>
      <c r="G262" s="42" t="s">
        <v>56</v>
      </c>
      <c r="H262" s="44"/>
    </row>
    <row r="263" spans="3:8" x14ac:dyDescent="0.2">
      <c r="C263" s="42" t="s">
        <v>1130</v>
      </c>
      <c r="D263" s="42" t="s">
        <v>1131</v>
      </c>
      <c r="E263" s="43" t="s">
        <v>211</v>
      </c>
      <c r="F263" s="42" t="s">
        <v>55</v>
      </c>
      <c r="G263" s="42" t="s">
        <v>56</v>
      </c>
      <c r="H263" s="44"/>
    </row>
    <row r="264" spans="3:8" x14ac:dyDescent="0.2">
      <c r="C264" s="42" t="s">
        <v>1132</v>
      </c>
      <c r="D264" s="42" t="s">
        <v>1133</v>
      </c>
      <c r="E264" s="43" t="s">
        <v>211</v>
      </c>
      <c r="F264" s="42" t="s">
        <v>132</v>
      </c>
      <c r="G264" s="42" t="s">
        <v>56</v>
      </c>
      <c r="H264" s="44"/>
    </row>
    <row r="265" spans="3:8" x14ac:dyDescent="0.2">
      <c r="C265" s="42" t="s">
        <v>435</v>
      </c>
      <c r="D265" s="42" t="s">
        <v>1134</v>
      </c>
      <c r="E265" s="43" t="s">
        <v>238</v>
      </c>
      <c r="F265" s="42" t="s">
        <v>132</v>
      </c>
      <c r="G265" s="42" t="s">
        <v>56</v>
      </c>
      <c r="H265" s="44"/>
    </row>
    <row r="266" spans="3:8" x14ac:dyDescent="0.2">
      <c r="C266" s="42" t="s">
        <v>1135</v>
      </c>
      <c r="D266" s="42" t="s">
        <v>1136</v>
      </c>
      <c r="E266" s="43" t="s">
        <v>238</v>
      </c>
      <c r="F266" s="42" t="s">
        <v>132</v>
      </c>
      <c r="G266" s="42" t="s">
        <v>56</v>
      </c>
      <c r="H266" s="44"/>
    </row>
    <row r="267" spans="3:8" x14ac:dyDescent="0.2">
      <c r="C267" s="42" t="s">
        <v>1137</v>
      </c>
      <c r="D267" s="42" t="s">
        <v>1138</v>
      </c>
      <c r="E267" s="43" t="s">
        <v>244</v>
      </c>
      <c r="F267" s="42" t="s">
        <v>55</v>
      </c>
      <c r="G267" s="42" t="s">
        <v>56</v>
      </c>
      <c r="H267" s="44"/>
    </row>
    <row r="268" spans="3:8" x14ac:dyDescent="0.2">
      <c r="C268" s="42" t="s">
        <v>1139</v>
      </c>
      <c r="D268" s="42" t="s">
        <v>1140</v>
      </c>
      <c r="E268" s="43" t="s">
        <v>244</v>
      </c>
      <c r="F268" s="42" t="s">
        <v>132</v>
      </c>
      <c r="G268" s="42" t="s">
        <v>56</v>
      </c>
      <c r="H268" s="44"/>
    </row>
    <row r="269" spans="3:8" x14ac:dyDescent="0.2">
      <c r="C269" s="42" t="s">
        <v>466</v>
      </c>
      <c r="D269" s="42" t="s">
        <v>1141</v>
      </c>
      <c r="E269" s="43" t="s">
        <v>255</v>
      </c>
      <c r="F269" s="42" t="s">
        <v>132</v>
      </c>
      <c r="G269" s="42" t="s">
        <v>56</v>
      </c>
      <c r="H269" s="44"/>
    </row>
    <row r="270" spans="3:8" x14ac:dyDescent="0.2">
      <c r="C270" s="42" t="s">
        <v>1142</v>
      </c>
      <c r="D270" s="42" t="s">
        <v>1143</v>
      </c>
      <c r="E270" s="43" t="s">
        <v>255</v>
      </c>
      <c r="F270" s="42" t="s">
        <v>132</v>
      </c>
      <c r="G270" s="42" t="s">
        <v>56</v>
      </c>
      <c r="H270" s="44"/>
    </row>
    <row r="271" spans="3:8" x14ac:dyDescent="0.2">
      <c r="C271" s="42" t="s">
        <v>1144</v>
      </c>
      <c r="D271" s="42" t="s">
        <v>1145</v>
      </c>
      <c r="E271" s="43" t="s">
        <v>261</v>
      </c>
      <c r="F271" s="42" t="s">
        <v>55</v>
      </c>
      <c r="G271" s="42" t="s">
        <v>56</v>
      </c>
      <c r="H271" s="44"/>
    </row>
    <row r="272" spans="3:8" x14ac:dyDescent="0.2">
      <c r="C272" s="42" t="s">
        <v>1146</v>
      </c>
      <c r="D272" s="42" t="s">
        <v>1147</v>
      </c>
      <c r="E272" s="43" t="s">
        <v>261</v>
      </c>
      <c r="F272" s="42" t="s">
        <v>132</v>
      </c>
      <c r="G272" s="42" t="s">
        <v>56</v>
      </c>
      <c r="H272" s="44"/>
    </row>
    <row r="273" spans="3:8" x14ac:dyDescent="0.2">
      <c r="C273" s="42" t="s">
        <v>1148</v>
      </c>
      <c r="D273" s="42" t="s">
        <v>97</v>
      </c>
      <c r="E273" s="43" t="s">
        <v>1149</v>
      </c>
      <c r="F273" s="42" t="s">
        <v>132</v>
      </c>
      <c r="G273" s="42" t="s">
        <v>56</v>
      </c>
      <c r="H273" s="44"/>
    </row>
    <row r="274" spans="3:8" x14ac:dyDescent="0.2">
      <c r="C274" s="42" t="s">
        <v>478</v>
      </c>
      <c r="D274" s="42" t="s">
        <v>1150</v>
      </c>
      <c r="E274" s="65" t="s">
        <v>1149</v>
      </c>
      <c r="F274" s="42" t="s">
        <v>132</v>
      </c>
      <c r="G274" s="42" t="s">
        <v>56</v>
      </c>
      <c r="H274" s="44"/>
    </row>
    <row r="275" spans="3:8" x14ac:dyDescent="0.2">
      <c r="C275" s="42" t="s">
        <v>1151</v>
      </c>
      <c r="D275" s="42" t="s">
        <v>1152</v>
      </c>
      <c r="E275" s="65" t="s">
        <v>1149</v>
      </c>
      <c r="F275" s="42" t="s">
        <v>132</v>
      </c>
      <c r="G275" s="42" t="s">
        <v>56</v>
      </c>
      <c r="H275" s="44"/>
    </row>
    <row r="276" spans="3:8" x14ac:dyDescent="0.2">
      <c r="C276" s="42" t="s">
        <v>1153</v>
      </c>
      <c r="D276" s="42" t="s">
        <v>1154</v>
      </c>
      <c r="E276" s="66" t="s">
        <v>1155</v>
      </c>
      <c r="F276" s="42" t="s">
        <v>55</v>
      </c>
      <c r="G276" s="42" t="s">
        <v>56</v>
      </c>
      <c r="H276" s="44"/>
    </row>
    <row r="277" spans="3:8" x14ac:dyDescent="0.2">
      <c r="C277" s="42" t="s">
        <v>1156</v>
      </c>
      <c r="D277" s="42" t="s">
        <v>1157</v>
      </c>
      <c r="E277" s="66" t="s">
        <v>1155</v>
      </c>
      <c r="F277" s="42" t="s">
        <v>132</v>
      </c>
      <c r="G277" s="42" t="s">
        <v>56</v>
      </c>
      <c r="H277" s="44"/>
    </row>
    <row r="278" spans="3:8" x14ac:dyDescent="0.2">
      <c r="C278" s="42" t="s">
        <v>417</v>
      </c>
      <c r="D278" s="42" t="s">
        <v>1158</v>
      </c>
      <c r="E278" s="66" t="s">
        <v>1159</v>
      </c>
      <c r="F278" s="42" t="s">
        <v>132</v>
      </c>
      <c r="G278" s="42" t="s">
        <v>56</v>
      </c>
      <c r="H278" s="44"/>
    </row>
    <row r="279" spans="3:8" x14ac:dyDescent="0.2">
      <c r="C279" s="42" t="s">
        <v>1160</v>
      </c>
      <c r="D279" s="42" t="s">
        <v>1161</v>
      </c>
      <c r="E279" s="66" t="s">
        <v>1159</v>
      </c>
      <c r="F279" s="42" t="s">
        <v>132</v>
      </c>
      <c r="G279" s="42" t="s">
        <v>56</v>
      </c>
      <c r="H279" s="44"/>
    </row>
    <row r="280" spans="3:8" x14ac:dyDescent="0.2">
      <c r="C280" s="42" t="s">
        <v>1162</v>
      </c>
      <c r="D280" s="42" t="s">
        <v>1163</v>
      </c>
      <c r="E280" s="66" t="s">
        <v>326</v>
      </c>
      <c r="F280" s="42" t="s">
        <v>55</v>
      </c>
      <c r="G280" s="42" t="s">
        <v>56</v>
      </c>
      <c r="H280" s="44"/>
    </row>
    <row r="281" spans="3:8" x14ac:dyDescent="0.2">
      <c r="C281" s="42" t="s">
        <v>1164</v>
      </c>
      <c r="D281" s="42" t="s">
        <v>1165</v>
      </c>
      <c r="E281" s="66" t="s">
        <v>326</v>
      </c>
      <c r="F281" s="42" t="s">
        <v>132</v>
      </c>
      <c r="G281" s="42" t="s">
        <v>56</v>
      </c>
      <c r="H281" s="44"/>
    </row>
    <row r="282" spans="3:8" x14ac:dyDescent="0.2">
      <c r="C282" s="42" t="s">
        <v>423</v>
      </c>
      <c r="D282" s="42" t="s">
        <v>1166</v>
      </c>
      <c r="E282" s="66" t="s">
        <v>274</v>
      </c>
      <c r="F282" s="42" t="s">
        <v>132</v>
      </c>
      <c r="G282" s="42" t="s">
        <v>56</v>
      </c>
      <c r="H282" s="44"/>
    </row>
    <row r="283" spans="3:8" x14ac:dyDescent="0.2">
      <c r="C283" s="42" t="s">
        <v>1167</v>
      </c>
      <c r="D283" s="42" t="s">
        <v>1168</v>
      </c>
      <c r="E283" s="66" t="s">
        <v>274</v>
      </c>
      <c r="F283" s="42" t="s">
        <v>132</v>
      </c>
      <c r="G283" s="42" t="s">
        <v>56</v>
      </c>
      <c r="H283" s="44"/>
    </row>
    <row r="284" spans="3:8" x14ac:dyDescent="0.2">
      <c r="C284" s="42" t="s">
        <v>1169</v>
      </c>
      <c r="D284" s="42" t="s">
        <v>1170</v>
      </c>
      <c r="E284" s="66" t="s">
        <v>280</v>
      </c>
      <c r="F284" s="42" t="s">
        <v>55</v>
      </c>
      <c r="G284" s="42" t="s">
        <v>56</v>
      </c>
      <c r="H284" s="44"/>
    </row>
    <row r="285" spans="3:8" x14ac:dyDescent="0.2">
      <c r="C285" s="42" t="s">
        <v>1171</v>
      </c>
      <c r="D285" s="42" t="s">
        <v>1172</v>
      </c>
      <c r="E285" s="66" t="s">
        <v>280</v>
      </c>
      <c r="F285" s="42" t="s">
        <v>132</v>
      </c>
      <c r="G285" s="42" t="s">
        <v>56</v>
      </c>
      <c r="H285" s="44"/>
    </row>
    <row r="286" spans="3:8" x14ac:dyDescent="0.2">
      <c r="C286" s="42" t="s">
        <v>429</v>
      </c>
      <c r="D286" s="42" t="s">
        <v>1173</v>
      </c>
      <c r="E286" s="66" t="s">
        <v>274</v>
      </c>
      <c r="F286" s="42" t="s">
        <v>132</v>
      </c>
      <c r="G286" s="42" t="s">
        <v>56</v>
      </c>
      <c r="H286" s="44"/>
    </row>
    <row r="287" spans="3:8" x14ac:dyDescent="0.2">
      <c r="C287" s="42" t="s">
        <v>1174</v>
      </c>
      <c r="D287" s="42" t="s">
        <v>1175</v>
      </c>
      <c r="E287" s="66" t="s">
        <v>274</v>
      </c>
      <c r="F287" s="42" t="s">
        <v>132</v>
      </c>
      <c r="G287" s="42" t="s">
        <v>56</v>
      </c>
      <c r="H287" s="44"/>
    </row>
    <row r="288" spans="3:8" x14ac:dyDescent="0.2">
      <c r="C288" s="42" t="s">
        <v>1176</v>
      </c>
      <c r="D288" s="42" t="s">
        <v>1177</v>
      </c>
      <c r="E288" s="66" t="s">
        <v>280</v>
      </c>
      <c r="F288" s="42" t="s">
        <v>55</v>
      </c>
      <c r="G288" s="42" t="s">
        <v>56</v>
      </c>
      <c r="H288" s="44"/>
    </row>
    <row r="289" spans="3:8" x14ac:dyDescent="0.2">
      <c r="C289" s="42" t="s">
        <v>1178</v>
      </c>
      <c r="D289" s="42" t="s">
        <v>1179</v>
      </c>
      <c r="E289" s="66" t="s">
        <v>280</v>
      </c>
      <c r="F289" s="42" t="s">
        <v>132</v>
      </c>
      <c r="G289" s="42" t="s">
        <v>56</v>
      </c>
      <c r="H289" s="44"/>
    </row>
    <row r="290" spans="3:8" x14ac:dyDescent="0.2">
      <c r="C290" s="42" t="s">
        <v>1180</v>
      </c>
      <c r="D290" s="42" t="s">
        <v>1181</v>
      </c>
      <c r="E290" s="66" t="s">
        <v>238</v>
      </c>
      <c r="F290" s="42" t="s">
        <v>132</v>
      </c>
      <c r="G290" s="42" t="s">
        <v>682</v>
      </c>
      <c r="H290" s="44"/>
    </row>
    <row r="291" spans="3:8" x14ac:dyDescent="0.2">
      <c r="C291" s="42" t="s">
        <v>1182</v>
      </c>
      <c r="D291" s="42" t="s">
        <v>1183</v>
      </c>
      <c r="E291" s="66" t="s">
        <v>238</v>
      </c>
      <c r="F291" s="42" t="s">
        <v>132</v>
      </c>
      <c r="G291" s="42" t="s">
        <v>682</v>
      </c>
      <c r="H291" s="44"/>
    </row>
    <row r="292" spans="3:8" x14ac:dyDescent="0.2">
      <c r="C292" s="42" t="s">
        <v>1184</v>
      </c>
      <c r="D292" s="42" t="s">
        <v>1185</v>
      </c>
      <c r="E292" s="66" t="s">
        <v>244</v>
      </c>
      <c r="F292" s="42" t="s">
        <v>55</v>
      </c>
      <c r="G292" s="42" t="s">
        <v>682</v>
      </c>
      <c r="H292" s="44"/>
    </row>
    <row r="293" spans="3:8" x14ac:dyDescent="0.2">
      <c r="C293" s="42" t="s">
        <v>1186</v>
      </c>
      <c r="D293" s="42" t="s">
        <v>1187</v>
      </c>
      <c r="E293" s="66" t="s">
        <v>244</v>
      </c>
      <c r="F293" s="42" t="s">
        <v>132</v>
      </c>
      <c r="G293" s="42" t="s">
        <v>682</v>
      </c>
      <c r="H293" s="44"/>
    </row>
  </sheetData>
  <dataValidations count="2">
    <dataValidation type="list" allowBlank="1" showInputMessage="1" showErrorMessage="1" sqref="E983043:E983333 E65539:E65829 E131075:E131365 E196611:E196901 E262147:E262437 E327683:E327973 E393219:E393509 E458755:E459045 E524291:E524581 E589827:E590117 E655363:E655653 E720899:E721189 E786435:E786725 E851971:E852261 E917507:E917797" xr:uid="{228F4C76-EAD2-4257-9979-811F2E2A9F82}">
      <formula1>INDIRECT("Table5[GrpInO]")</formula1>
    </dataValidation>
    <dataValidation type="list" allowBlank="1" showInputMessage="1" showErrorMessage="1" sqref="I3" xr:uid="{9C3FA817-AEC0-4A87-9D2E-D180400F98DD}">
      <formula1>"M,D,W,S,C,B,N"</formula1>
    </dataValidation>
  </dataValidations>
  <pageMargins left="0.7" right="0.7" top="0.75" bottom="0.75" header="0.3" footer="0.3"/>
  <headerFooter>
    <oddFooter>&amp;C_x000D_&amp;1#&amp;"Calibri"&amp;8&amp;K000000 Aernnova Group confidential information. Limited use on a need-to-know basis. All rights reserved.</oddFooter>
  </headerFooter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1174-F169-4C52-942F-2AFAC6A89600}">
  <sheetPr codeName="Sheet12"/>
  <dimension ref="A1:L26"/>
  <sheetViews>
    <sheetView zoomScale="156" workbookViewId="0">
      <selection activeCell="O23" sqref="O23"/>
    </sheetView>
  </sheetViews>
  <sheetFormatPr defaultColWidth="16" defaultRowHeight="11.25" x14ac:dyDescent="0.2"/>
  <cols>
    <col min="1" max="1" width="2.796875" style="1" bestFit="1" customWidth="1"/>
    <col min="2" max="2" width="12.59765625" style="7" bestFit="1" customWidth="1"/>
    <col min="3" max="3" width="13.59765625" style="16" bestFit="1" customWidth="1"/>
    <col min="4" max="4" width="10.59765625" style="6" customWidth="1"/>
    <col min="5" max="5" width="11.59765625" style="6" bestFit="1" customWidth="1"/>
    <col min="6" max="6" width="10.59765625" style="16" bestFit="1" customWidth="1"/>
    <col min="7" max="7" width="8.19921875" style="6" customWidth="1"/>
    <col min="8" max="8" width="6" style="8" bestFit="1" customWidth="1"/>
    <col min="9" max="9" width="16" style="7"/>
    <col min="10" max="10" width="3.19921875" style="23" bestFit="1" customWidth="1"/>
    <col min="11" max="11" width="3.19921875" style="31" bestFit="1" customWidth="1"/>
    <col min="12" max="12" width="12.796875" style="23"/>
    <col min="13" max="16384" width="16" style="7"/>
  </cols>
  <sheetData>
    <row r="1" spans="1:12" s="1" customFormat="1" ht="12.75" thickBot="1" x14ac:dyDescent="0.25">
      <c r="D1" s="2"/>
      <c r="E1" s="2"/>
      <c r="G1" s="2"/>
      <c r="H1" s="3"/>
      <c r="I1" s="1" t="s">
        <v>0</v>
      </c>
      <c r="K1" s="1" t="str">
        <f>IF(TRUE,"LNG","LNG")</f>
        <v>LNG</v>
      </c>
    </row>
    <row r="2" spans="1:12" ht="78" x14ac:dyDescent="0.2">
      <c r="B2" s="4" t="s">
        <v>1</v>
      </c>
      <c r="C2" s="5" t="str">
        <f ca="1">LEFT($D$5,FIND("[",$D$5)-1)</f>
        <v>C:\Users\127839\Downloads\Story\DataTracker\Projects\</v>
      </c>
      <c r="F2" s="7"/>
      <c r="G2" s="4" t="s">
        <v>2</v>
      </c>
      <c r="J2" s="32" t="s">
        <v>50</v>
      </c>
      <c r="K2" s="51" t="str">
        <f>IF(Detect_Language()=1033,"R","F")</f>
        <v>R</v>
      </c>
      <c r="L2" s="32"/>
    </row>
    <row r="3" spans="1:12" ht="12.75" x14ac:dyDescent="0.2">
      <c r="A3" s="1" t="s">
        <v>3</v>
      </c>
      <c r="B3" s="9" t="s">
        <v>4</v>
      </c>
      <c r="C3" s="10" t="b">
        <f>(OsyS&lt;&gt;"M")</f>
        <v>1</v>
      </c>
      <c r="F3" s="7"/>
      <c r="G3" s="11" t="str" cm="1">
        <f t="array" ref="G3:G5">_xlfn._xlws.SORT(_xlfn.UNIQUE(TRANSPOSE(_xlfn.TEXTSPLIT(PrjX_Id,":"))))</f>
        <v>31199</v>
      </c>
      <c r="K3" s="51" t="str" cm="1">
        <f t="array" ref="K3">LEFT(Detect_OS(),1)</f>
        <v>W</v>
      </c>
    </row>
    <row r="4" spans="1:12" x14ac:dyDescent="0.2">
      <c r="B4" s="12" t="s">
        <v>5</v>
      </c>
      <c r="C4" s="13" t="b">
        <f>(LngS="R")</f>
        <v>1</v>
      </c>
      <c r="D4" s="8"/>
      <c r="E4" s="8"/>
      <c r="F4" s="7"/>
      <c r="G4" s="11" t="str">
        <v>31200</v>
      </c>
    </row>
    <row r="5" spans="1:12" ht="12.75" x14ac:dyDescent="0.2">
      <c r="B5" s="12" t="s">
        <v>6</v>
      </c>
      <c r="C5" s="13" t="str">
        <f ca="1">_xlfn.TEXTAFTER(D5,"]")</f>
        <v>InData</v>
      </c>
      <c r="D5" s="14" t="str" cm="1">
        <f t="array" aca="1" ref="D5" ca="1">CELL("filename",INDIRECT("A1"))</f>
        <v>C:\Users\127839\Downloads\Story\DataTracker\Projects\[OfbDetails_V01.xlsm]InData</v>
      </c>
      <c r="F5" s="7"/>
      <c r="G5" s="11" t="str">
        <v>X</v>
      </c>
      <c r="K5" s="52"/>
    </row>
    <row r="6" spans="1:12" ht="12.75" x14ac:dyDescent="0.2">
      <c r="B6" s="9" t="s">
        <v>7</v>
      </c>
      <c r="C6" s="15" t="str">
        <f>IF($D$11="X","X",Prj0_Id)&amp;":"&amp;IF($D$12="X","X",Prj1_Id)&amp;":"&amp;IF($D$13="X","X",Prj2_Id)</f>
        <v>31200:X:31199</v>
      </c>
      <c r="F6" s="7"/>
      <c r="K6" s="52"/>
    </row>
    <row r="7" spans="1:12" ht="12.75" x14ac:dyDescent="0.2">
      <c r="B7" s="67" t="s">
        <v>1194</v>
      </c>
      <c r="C7" s="15">
        <v>3</v>
      </c>
      <c r="F7" s="7"/>
      <c r="K7" s="52"/>
    </row>
    <row r="8" spans="1:12" ht="12.75" x14ac:dyDescent="0.2">
      <c r="F8" s="7"/>
      <c r="K8" s="53"/>
    </row>
    <row r="9" spans="1:12" ht="12.75" x14ac:dyDescent="0.2">
      <c r="K9" s="53"/>
    </row>
    <row r="10" spans="1:12" x14ac:dyDescent="0.2">
      <c r="B10" s="17" t="s">
        <v>8</v>
      </c>
      <c r="C10" s="18" t="s">
        <v>9</v>
      </c>
      <c r="D10" s="18" t="s">
        <v>10</v>
      </c>
      <c r="E10" s="18" t="s">
        <v>11</v>
      </c>
      <c r="F10" s="18" t="s">
        <v>12</v>
      </c>
      <c r="G10" s="18" t="s">
        <v>13</v>
      </c>
      <c r="K10" s="53"/>
    </row>
    <row r="11" spans="1:12" x14ac:dyDescent="0.2">
      <c r="B11" s="17" t="s">
        <v>14</v>
      </c>
      <c r="C11" s="19">
        <v>31200</v>
      </c>
      <c r="D11" s="20" t="s">
        <v>15</v>
      </c>
      <c r="E11" s="19" t="str">
        <f>Prj0_Id&amp;"M"</f>
        <v>31200M</v>
      </c>
      <c r="F11" s="20" t="s">
        <v>16</v>
      </c>
      <c r="G11" s="20"/>
      <c r="H11" s="20"/>
    </row>
    <row r="12" spans="1:12" x14ac:dyDescent="0.2">
      <c r="B12" s="17" t="s">
        <v>17</v>
      </c>
      <c r="C12" s="19" t="s">
        <v>16</v>
      </c>
      <c r="D12" s="20" t="s">
        <v>16</v>
      </c>
      <c r="E12" s="21" t="str">
        <f>_xlfn.LET(_xlpm.x,Prj1_Id,IF(_xlpm.x="X","X",_xlpm.x&amp;"M"))</f>
        <v>X</v>
      </c>
      <c r="F12" s="20" t="s">
        <v>16</v>
      </c>
      <c r="G12" s="20"/>
      <c r="H12" s="20"/>
    </row>
    <row r="13" spans="1:12" x14ac:dyDescent="0.2">
      <c r="B13" s="17" t="s">
        <v>18</v>
      </c>
      <c r="C13" s="19" t="s">
        <v>19</v>
      </c>
      <c r="D13" s="20" t="s">
        <v>15</v>
      </c>
      <c r="E13" s="21" t="str">
        <f>Prj2_Id&amp;"M"</f>
        <v>31199M</v>
      </c>
      <c r="F13" s="20" t="s">
        <v>16</v>
      </c>
      <c r="G13" s="20"/>
    </row>
    <row r="15" spans="1:12" ht="12.75" x14ac:dyDescent="0.2">
      <c r="B15" s="22"/>
      <c r="C15" s="22"/>
      <c r="D15" s="22"/>
      <c r="E15" s="22"/>
      <c r="F15" s="22"/>
      <c r="G15" s="22"/>
    </row>
    <row r="16" spans="1:12" ht="12.75" x14ac:dyDescent="0.2">
      <c r="B16" s="22"/>
      <c r="C16" s="22"/>
      <c r="D16" s="22"/>
      <c r="E16" s="22"/>
      <c r="F16" s="22"/>
      <c r="G16" s="22"/>
      <c r="K16" s="53"/>
    </row>
    <row r="17" spans="2:11" ht="12.75" x14ac:dyDescent="0.2">
      <c r="B17" s="22"/>
      <c r="C17" s="22"/>
      <c r="D17" s="22"/>
      <c r="E17" s="22"/>
      <c r="F17" s="22"/>
      <c r="G17" s="22"/>
      <c r="K17" s="53"/>
    </row>
    <row r="18" spans="2:11" ht="12.75" x14ac:dyDescent="0.2">
      <c r="B18" s="22"/>
      <c r="C18" s="22"/>
      <c r="D18" s="22"/>
      <c r="E18" s="22"/>
      <c r="F18" s="22"/>
      <c r="G18" s="22"/>
    </row>
    <row r="19" spans="2:11" ht="12.75" x14ac:dyDescent="0.2">
      <c r="B19" s="22"/>
      <c r="C19" s="22"/>
      <c r="D19" s="22"/>
      <c r="E19" s="22"/>
      <c r="F19" s="22"/>
      <c r="G19" s="22"/>
    </row>
    <row r="20" spans="2:11" ht="12.75" x14ac:dyDescent="0.2">
      <c r="B20" s="22"/>
      <c r="C20" s="22"/>
      <c r="D20" s="22"/>
      <c r="E20" s="22"/>
      <c r="F20" s="22"/>
      <c r="G20" s="22"/>
    </row>
    <row r="21" spans="2:11" ht="12.75" x14ac:dyDescent="0.2">
      <c r="B21" s="22"/>
      <c r="C21" s="22"/>
      <c r="D21" s="22"/>
      <c r="E21" s="22"/>
      <c r="F21" s="22"/>
      <c r="G21" s="22"/>
    </row>
    <row r="22" spans="2:11" ht="12.75" x14ac:dyDescent="0.2">
      <c r="B22" s="22"/>
      <c r="C22" s="22"/>
      <c r="D22" s="22"/>
      <c r="E22" s="22"/>
      <c r="F22" s="22"/>
      <c r="G22" s="22"/>
    </row>
    <row r="23" spans="2:11" ht="12.75" x14ac:dyDescent="0.2">
      <c r="B23" s="22"/>
      <c r="C23" s="22"/>
      <c r="D23" s="22"/>
      <c r="E23" s="22"/>
      <c r="F23" s="22"/>
      <c r="G23" s="22"/>
    </row>
    <row r="24" spans="2:11" ht="12.75" x14ac:dyDescent="0.2">
      <c r="B24" s="22"/>
      <c r="C24" s="22"/>
      <c r="D24" s="22"/>
      <c r="E24" s="22"/>
      <c r="F24" s="22"/>
      <c r="G24" s="22"/>
    </row>
    <row r="25" spans="2:11" ht="12.75" x14ac:dyDescent="0.2">
      <c r="B25" s="22"/>
      <c r="C25" s="22"/>
      <c r="D25" s="22"/>
      <c r="E25" s="22"/>
      <c r="F25" s="22"/>
      <c r="G25" s="22"/>
    </row>
    <row r="26" spans="2:11" ht="12.75" x14ac:dyDescent="0.2">
      <c r="B26" s="22"/>
      <c r="C26" s="22"/>
      <c r="D26" s="22"/>
      <c r="E26" s="22"/>
      <c r="F26" s="22"/>
      <c r="G26" s="22"/>
    </row>
  </sheetData>
  <dataConsolidate link="1"/>
  <conditionalFormatting sqref="C11:G13">
    <cfRule type="cellIs" dxfId="13" priority="1" operator="equal">
      <formula>"X"</formula>
    </cfRule>
    <cfRule type="expression" dxfId="12" priority="2">
      <formula>(C11&lt;&gt;"X")</formula>
    </cfRule>
  </conditionalFormatting>
  <dataValidations count="3">
    <dataValidation type="list" allowBlank="1" showInputMessage="1" showErrorMessage="1" sqref="G11:G13" xr:uid="{C2D0060C-3E53-4BC1-BD14-9A438B18774C}">
      <formula1>"X,O"</formula1>
    </dataValidation>
    <dataValidation type="list" allowBlank="1" showInputMessage="1" showErrorMessage="1" sqref="C12:C13" xr:uid="{05A4D004-954C-42B4-A277-6D2F54B86498}">
      <formula1>_xlfn.ANCHORARRAY($G$3)</formula1>
    </dataValidation>
    <dataValidation type="list" allowBlank="1" showInputMessage="1" showErrorMessage="1" sqref="H11:H12 D11:D13 F11:F13" xr:uid="{7CDE8A36-724B-4925-A61E-74AA45AC6735}">
      <formula1>"O,X"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&amp;C_x000D_&amp;1#&amp;"Calibri"&amp;8&amp;K000000 Aernnova Group confidential information. Limited use on a need-to-know basis. All rights reserved.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915C1-2688-4425-864F-EEF441B866C1}">
  <dimension ref="C2:G3"/>
  <sheetViews>
    <sheetView tabSelected="1" workbookViewId="0">
      <selection activeCell="G6" sqref="G6"/>
    </sheetView>
  </sheetViews>
  <sheetFormatPr defaultRowHeight="11.25" x14ac:dyDescent="0.2"/>
  <sheetData>
    <row r="2" spans="3:7" x14ac:dyDescent="0.2">
      <c r="C2" t="s">
        <v>1188</v>
      </c>
      <c r="D2" t="s">
        <v>1189</v>
      </c>
      <c r="E2" t="s">
        <v>1192</v>
      </c>
      <c r="F2" t="s">
        <v>1193</v>
      </c>
      <c r="G2" t="s">
        <v>1195</v>
      </c>
    </row>
    <row r="3" spans="3:7" x14ac:dyDescent="0.2">
      <c r="C3" t="s">
        <v>1190</v>
      </c>
      <c r="D3" t="s">
        <v>1191</v>
      </c>
      <c r="G3">
        <v>51890.16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9D80E-A159-48DF-8B3B-CCA7AC0E83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StdData</vt:lpstr>
      <vt:lpstr>InData</vt:lpstr>
      <vt:lpstr>OutData</vt:lpstr>
      <vt:lpstr>LngS</vt:lpstr>
      <vt:lpstr>LvE</vt:lpstr>
      <vt:lpstr>OsyS</vt:lpstr>
      <vt:lpstr>Prj0_Id</vt:lpstr>
      <vt:lpstr>Prj0M_Id</vt:lpstr>
      <vt:lpstr>Prj1_Id</vt:lpstr>
      <vt:lpstr>Prj1M_Id</vt:lpstr>
      <vt:lpstr>Prj2_Id</vt:lpstr>
      <vt:lpstr>Prj2M_Id</vt:lpstr>
      <vt:lpstr>StdData!PrjX_Id</vt:lpstr>
      <vt:lpstr>PrjX_Id</vt:lpstr>
      <vt:lpstr>Pth</vt:lpstr>
      <vt:lpstr>Vrs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 GIL, DIEGO</dc:creator>
  <cp:lastModifiedBy>PEREZ GIL, DIEGO</cp:lastModifiedBy>
  <dcterms:created xsi:type="dcterms:W3CDTF">2024-11-27T21:01:14Z</dcterms:created>
  <dcterms:modified xsi:type="dcterms:W3CDTF">2024-12-01T21:59:56Z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2024-11-27T21:12:17Z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df13cce9-065a-45f2-a3a1-b0c78434566d</vt:lpwstr>
  </property>
  <property fmtid="{D5CDD505-2E9C-101B-9397-08002B2CF9AE}" pid="8" name="MSIP_Label_5c37234c-be34-48e6-861e-3e7763cedb77_ContentBits">
    <vt:lpwstr>2</vt:lpwstr>
  </property>
</Properties>
</file>