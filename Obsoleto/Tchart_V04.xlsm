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idac/Downloads/Story/DataTracker/Projects/"/>
    </mc:Choice>
  </mc:AlternateContent>
  <xr:revisionPtr revIDLastSave="0" documentId="13_ncr:2001_{720678D9-0584-A747-B90F-C6F5C02FD61B}" xr6:coauthVersionLast="47" xr6:coauthVersionMax="47" xr10:uidLastSave="{00000000-0000-0000-0000-000000000000}"/>
  <bookViews>
    <workbookView xWindow="0" yWindow="740" windowWidth="29400" windowHeight="18380" activeTab="1" xr2:uid="{EDAD35E9-EC97-4654-B180-E6FDDD7C6CE2}"/>
  </bookViews>
  <sheets>
    <sheet name="InData" sheetId="58853" r:id="rId1"/>
    <sheet name="OutData" sheetId="58858" r:id="rId2"/>
  </sheets>
  <externalReferences>
    <externalReference r:id="rId3"/>
  </externalReferences>
  <definedNames>
    <definedName name="_xlnm._FilterDatabase" localSheetId="0" hidden="1">InData!#REF!</definedName>
    <definedName name="DinamicRange">OFFSET([1]PRP!$A$1,0,0,MATCH("EOE",#REF!,0),MATCH("EOL",#REF!,0))</definedName>
    <definedName name="ExternalData_1" localSheetId="0" hidden="1">InData!#REF!</definedName>
    <definedName name="ExternalData_18" localSheetId="0" hidden="1">InData!#REF!</definedName>
    <definedName name="ExternalData_19" localSheetId="0" hidden="1">InData!#REF!</definedName>
    <definedName name="ExternalData_3" localSheetId="0" hidden="1">InData!#REF!</definedName>
    <definedName name="ExternalData_30" localSheetId="0" hidden="1">InData!#REF!</definedName>
    <definedName name="ExternalData_33" localSheetId="0" hidden="1">InData!#REF!</definedName>
    <definedName name="ExternalData_34" localSheetId="0" hidden="1">InData!#REF!</definedName>
    <definedName name="ExternalData_35" localSheetId="0" hidden="1">InData!#REF!</definedName>
    <definedName name="ExternalData_4" localSheetId="1" hidden="1">OutData!$A$1:$D$106</definedName>
    <definedName name="LngS">InData!$F$2</definedName>
    <definedName name="OsyS">InData!$F$3</definedName>
    <definedName name="PrjX_Id">InData!$C$6</definedName>
    <definedName name="Pth">InData!$C$2</definedName>
    <definedName name="Vrs">InData!$C$7</definedName>
  </definedNames>
  <calcPr calcId="191029" calcMode="manual"/>
  <customWorkbookViews>
    <customWorkbookView name="JSOLDEVI - Personal View" guid="{A6A3454B-DDBC-4A33-99EC-1DC9146C3DAD}" mergeInterval="0" personalView="1" maximized="1" windowWidth="1020" windowHeight="554" activeSheetId="3"/>
  </customWorkbookView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58853" l="1"/>
  <c r="F2" i="58853" a="1"/>
  <c r="F2" i="58853" l="1"/>
  <c r="B1" i="58853" a="1"/>
  <c r="B1" i="58853" s="1"/>
  <c r="C2" i="58853" s="1"/>
  <c r="F3" i="58853" s="1"/>
  <c r="C5" i="58853" l="1"/>
  <c r="C4" i="58853"/>
  <c r="C3" i="5885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F75A1E-1B83-4740-9AEB-4726E96BB3BA}" keepAlive="1" name="Query - _IsoWeek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2" xr16:uid="{EF952624-26DE-D946-AA33-DA508F759AE9}" keepAlive="1" name="Query - _IsoWeek(1)" description="Connection to the '_IsoWeek' query in the workbook." type="5" refreshedVersion="0" background="1">
    <dbPr connection="Provider=Microsoft.Mashup.OleDb.1;Data Source=$Workbook$;Location=_IsoWeek;Extended Properties=&quot;&quot;" command="SELECT * FROM [_IsoWeek]"/>
  </connection>
  <connection id="3" xr16:uid="{ED32ACDA-F517-4668-AF78-FD5155FB74A3}" keepAlive="1" name="Query - CDc0_Tot" description="Connection to the 'CDc0_Tot' query in the workbook." type="5" refreshedVersion="0" background="1">
    <dbPr connection="Provider=Microsoft.Mashup.OleDb.1;Data Source=$Workbook$;Location=CDc0_Tot;Extended Properties=&quot;&quot;" command="SELECT * FROM [CDc0_Tot]"/>
  </connection>
  <connection id="4" xr16:uid="{F5CD3415-4A4C-490D-8F65-73C9D48C944B}" keepAlive="1" name="Query - DhB0" description="Connection to the 'DhB0' query in the workbook." type="5" refreshedVersion="8" background="1" saveData="1">
    <dbPr connection="Provider=Microsoft.Mashup.OleDb.1;Data Source=$Workbook$;Location=DhB0;Extended Properties=&quot;&quot;" command="SELECT * FROM [DhB0]"/>
  </connection>
  <connection id="5" xr16:uid="{53B52B73-6F68-4A9E-BECC-409F416A8BBB}" keepAlive="1" name="Query - DhB1" description="Connection to the 'DhB1' query in the workbook." type="5" refreshedVersion="0" background="1">
    <dbPr connection="Provider=Microsoft.Mashup.OleDb.1;Data Source=$Workbook$;Location=DhB1;Extended Properties=&quot;&quot;" command="SELECT * FROM [DhB1]"/>
  </connection>
  <connection id="6" xr16:uid="{0BDA86E1-48DB-4325-AC30-7FC7A3484695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7" xr16:uid="{CCC0B00F-0F5B-4F5A-B95A-58D2C35B04A8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8" xr16:uid="{CDB90F31-52F8-42B3-933F-036CE72FB9D1}" keepAlive="1" name="Query - DhB4" description="Connection to the 'DhB4' query in the workbook." type="5" refreshedVersion="0" background="1">
    <dbPr connection="Provider=Microsoft.Mashup.OleDb.1;Data Source=$Workbook$;Location=DhB4;Extended Properties=&quot;&quot;" command="SELECT * FROM [DhB4]"/>
  </connection>
  <connection id="9" xr16:uid="{5839F313-7179-4FE3-B7FA-9EBA6EF8C834}" keepAlive="1" name="Query - DhB5" description="Connection to the 'DhB5' query in the workbook." type="5" refreshedVersion="0" background="1">
    <dbPr connection="Provider=Microsoft.Mashup.OleDb.1;Data Source=$Workbook$;Location=DhB5;Extended Properties=&quot;&quot;" command="SELECT * FROM [DhB5]"/>
  </connection>
  <connection id="10" xr16:uid="{AB289030-4855-2649-8692-35EBE3E8237A}" keepAlive="1" name="Query - DhB6" description="Connection to the 'DhB6' query in the workbook." type="5" refreshedVersion="0" background="1">
    <dbPr connection="Provider=Microsoft.Mashup.OleDb.1;Data Source=$Workbook$;Location=DhB6;Extended Properties=&quot;&quot;" command="SELECT * FROM [DhB6]"/>
  </connection>
  <connection id="11" xr16:uid="{8EA966A2-DF8E-4714-9A82-27935D709F11}" keepAlive="1" name="Query - FilD_ASP" description="Connection to the 'FilD_ASP' query in the workbook." type="5" refreshedVersion="8" background="1" saveData="1">
    <dbPr connection="Provider=Microsoft.Mashup.OleDb.1;Data Source=$Workbook$;Location=FilD_ASP;Extended Properties=&quot;&quot;" command="SELECT * FROM [FilD_ASP]"/>
  </connection>
  <connection id="12" xr16:uid="{8B05A9D8-8A3A-4287-BBC0-B60FD333FDBA}" keepAlive="1" name="Query - FilD_XPE0" description="Connection to the 'FilD_XPE0' query in the workbook." type="5" refreshedVersion="0" background="1">
    <dbPr connection="Provider=Microsoft.Mashup.OleDb.1;Data Source=$Workbook$;Location=FilD_XPE0;Extended Properties=&quot;&quot;" command="SELECT * FROM [FilD_XPE0]"/>
  </connection>
  <connection id="13" xr16:uid="{C4176FBE-0814-48DA-9299-F1847F0588DF}" keepAlive="1" name="Query - FilD_XPE1" description="Connection to the 'FilD_XPE1' query in the workbook." type="5" refreshedVersion="8" background="1" saveData="1">
    <dbPr connection="Provider=Microsoft.Mashup.OleDb.1;Data Source=$Workbook$;Location=FilD_XPE1;Extended Properties=&quot;&quot;" command="SELECT * FROM [FilD_XPE1]"/>
  </connection>
  <connection id="14" xr16:uid="{5F4194C5-6129-42B5-A1DC-0F66C73A1A5E}" keepAlive="1" name="Query - FilD0" description="Connection to the 'FilD0' query in the workbook." type="5" refreshedVersion="0" background="1">
    <dbPr connection="Provider=Microsoft.Mashup.OleDb.1;Data Source=$Workbook$;Location=FilD0;Extended Properties=&quot;&quot;" command="SELECT * FROM [FilD0]"/>
  </connection>
  <connection id="15" xr16:uid="{90116E05-EA2A-4183-8555-D85F6E2CC7FF}" keepAlive="1" name="Query - FilDCDc0" description="Connection to the 'FilDCDc0' query in the workbook." type="5" refreshedVersion="0" background="1">
    <dbPr connection="Provider=Microsoft.Mashup.OleDb.1;Data Source=$Workbook$;Location=FilDCDc0;Extended Properties=&quot;&quot;" command="SELECT * FROM [FilDCDc0]"/>
  </connection>
  <connection id="16" xr16:uid="{0A7E4E30-8C96-4AB9-8E11-5FD379AA4C95}" keepAlive="1" name="Query - FilDCDc1" description="Connection to the 'FilDCDc1' query in the workbook." type="5" refreshedVersion="0" background="1">
    <dbPr connection="Provider=Microsoft.Mashup.OleDb.1;Data Source=$Workbook$;Location=FilDCDc1;Extended Properties=&quot;&quot;" command="SELECT * FROM [FilDCDc1]"/>
  </connection>
  <connection id="17" xr16:uid="{CCBD3171-13AD-450C-A786-369740313DF7}" keepAlive="1" name="Query - FilDCDc2" description="Connection to the 'FilDCDc2' query in the workbook." type="5" refreshedVersion="0" background="1">
    <dbPr connection="Provider=Microsoft.Mashup.OleDb.1;Data Source=$Workbook$;Location=FilDCDc2;Extended Properties=&quot;&quot;" command="SELECT * FROM [FilDCDc2]"/>
  </connection>
  <connection id="18" xr16:uid="{D2C60C16-8F38-4B6B-A210-CE1F35AE3D0B}" keepAlive="1" name="Query - FilDCDc3" description="Connection to the 'FilDCDc3' query in the workbook." type="5" refreshedVersion="0" background="1">
    <dbPr connection="Provider=Microsoft.Mashup.OleDb.1;Data Source=$Workbook$;Location=FilDCDc3;Extended Properties=&quot;&quot;" command="SELECT * FROM [FilDCDc3]"/>
  </connection>
  <connection id="19" xr16:uid="{A47F0DB8-1A08-48B6-A30B-AABFCE7EAF8B}" keepAlive="1" name="Query - FilDCsv" description="Connection to the 'FilDCsv' query in the workbook." type="5" refreshedVersion="0" background="1">
    <dbPr connection="Provider=Microsoft.Mashup.OleDb.1;Data Source=$Workbook$;Location=FilDCsv;Extended Properties=&quot;&quot;" command="SELECT * FROM [FilDCsv]"/>
  </connection>
  <connection id="20" xr16:uid="{C9B8ADC1-21B1-461D-8A24-6F856AC363E2}" keepAlive="1" name="Query - FilDGEn0" description="Connection to the 'FilDGEn0' query in the workbook." type="5" refreshedVersion="8" background="1" saveData="1">
    <dbPr connection="Provider=Microsoft.Mashup.OleDb.1;Data Source=$Workbook$;Location=FilDGEn0;Extended Properties=&quot;&quot;" command="SELECT * FROM [FilDGEn0]"/>
  </connection>
  <connection id="21" xr16:uid="{C4E2BE22-8673-4E1C-9001-C03CE45EAAC8}" keepAlive="1" name="Query - FilDGEn1" description="Connection to the 'FilDGEn1' query in the workbook." type="5" refreshedVersion="8" background="1" saveData="1">
    <dbPr connection="Provider=Microsoft.Mashup.OleDb.1;Data Source=$Workbook$;Location=FilDGEn1;Extended Properties=&quot;&quot;" command="SELECT * FROM [FilDGEn1]"/>
  </connection>
  <connection id="22" xr16:uid="{BE71BCCB-B805-496D-85D6-D45ECCC274A8}" keepAlive="1" name="Query - FilDGEn2" description="Connection to the 'FilDGEn2' query in the workbook." type="5" refreshedVersion="8" background="1" saveData="1">
    <dbPr connection="Provider=Microsoft.Mashup.OleDb.1;Data Source=$Workbook$;Location=FilDGEn2;Extended Properties=&quot;&quot;" command="SELECT * FROM [FilDGEn2]"/>
  </connection>
  <connection id="23" xr16:uid="{AA48903E-DF51-4D46-A569-74440538B1D0}" keepAlive="1" name="Query - FilDGEn3" description="Connection to the 'FilDGEn3' query in the workbook." type="5" refreshedVersion="8" background="1" saveData="1">
    <dbPr connection="Provider=Microsoft.Mashup.OleDb.1;Data Source=$Workbook$;Location=FilDGEn3;Extended Properties=&quot;&quot;" command="SELECT * FROM [FilDGEn3]"/>
  </connection>
  <connection id="24" xr16:uid="{01C8C239-BA09-4B8F-A3C7-85EDA974822C}" keepAlive="1" name="Query - FilDGEn4" description="Connection to the 'FilDGEn4' query in the workbook." type="5" refreshedVersion="8" background="1" saveData="1">
    <dbPr connection="Provider=Microsoft.Mashup.OleDb.1;Data Source=$Workbook$;Location=FilDGEn4;Extended Properties=&quot;&quot;" command="SELECT * FROM [FilDGEn4]"/>
  </connection>
  <connection id="25" xr16:uid="{29B44186-5217-4E2B-AFFE-74EF51D8BCEB}" keepAlive="1" name="Query - FilDOFb0" description="Connection to the 'FilDOFb0' query in the workbook." type="5" refreshedVersion="0" background="1">
    <dbPr connection="Provider=Microsoft.Mashup.OleDb.1;Data Source=$Workbook$;Location=FilDOFb0;Extended Properties=&quot;&quot;" command="SELECT * FROM [FilDOFb0]"/>
  </connection>
  <connection id="26" xr16:uid="{A2A3F5DC-767C-4C40-8B66-9E8C550EAFC2}" keepAlive="1" name="Query - FilDOFb1" description="Connection to the 'FilDOFb1' query in the workbook." type="5" refreshedVersion="8" background="1" saveData="1">
    <dbPr connection="Provider=Microsoft.Mashup.OleDb.1;Data Source=$Workbook$;Location=FilDOFb1;Extended Properties=&quot;&quot;" command="SELECT * FROM [FilDOFb1]"/>
  </connection>
  <connection id="27" xr16:uid="{248AA9E2-52F0-4BF0-B71A-3CC8653749D9}" keepAlive="1" name="Query - FilDOFb2" description="Connection to the 'FilDOFb2' query in the workbook." type="5" refreshedVersion="0" background="1">
    <dbPr connection="Provider=Microsoft.Mashup.OleDb.1;Data Source=$Workbook$;Location=FilDOFb2;Extended Properties=&quot;&quot;" command="SELECT * FROM [FilDOFb2]"/>
  </connection>
  <connection id="28" xr16:uid="{45839686-40C0-4B51-9AFD-5169E03B8C28}" keepAlive="1" name="Query - FilDOFb3" description="Connection to the 'FilDOFb3' query in the workbook." type="5" refreshedVersion="0" background="1">
    <dbPr connection="Provider=Microsoft.Mashup.OleDb.1;Data Source=$Workbook$;Location=FilDOFb3;Extended Properties=&quot;&quot;" command="SELECT * FROM [FilDOFb3]"/>
  </connection>
  <connection id="29" xr16:uid="{4F63123E-5660-4C04-A570-6AF08EA8178F}" keepAlive="1" name="Query - FilDOFb4" description="Connection to the 'FilDOFb4' query in the workbook." type="5" refreshedVersion="8" background="1" saveData="1">
    <dbPr connection="Provider=Microsoft.Mashup.OleDb.1;Data Source=$Workbook$;Location=FilDOFb4;Extended Properties=&quot;&quot;" command="SELECT * FROM [FilDOFb4]"/>
  </connection>
  <connection id="30" xr16:uid="{21E3CE4A-68C4-4A0B-98F0-55AB20B1F992}" keepAlive="1" name="Query - FilDOFs0" description="Connection to the 'FilDOFs0' query in the workbook." type="5" refreshedVersion="0" background="1">
    <dbPr connection="Provider=Microsoft.Mashup.OleDb.1;Data Source=$Workbook$;Location=FilDOFs0;Extended Properties=&quot;&quot;" command="SELECT * FROM [FilDOFs0]"/>
  </connection>
  <connection id="31" xr16:uid="{0BD9F1EA-D69C-4E35-B7B1-87EC639D27D2}" keepAlive="1" name="Query - FilDOFs1" description="Connection to the 'FilDOFs1' query in the workbook." type="5" refreshedVersion="0" background="1">
    <dbPr connection="Provider=Microsoft.Mashup.OleDb.1;Data Source=$Workbook$;Location=FilDOFs1;Extended Properties=&quot;&quot;" command="SELECT * FROM [FilDOFs1]"/>
  </connection>
  <connection id="32" xr16:uid="{D190B548-94D8-4DB8-862F-7A322C624D03}" keepAlive="1" name="Query - FilDXls" description="Connection to the 'FilDXls' query in the workbook." type="5" refreshedVersion="0" background="1">
    <dbPr connection="Provider=Microsoft.Mashup.OleDb.1;Data Source=$Workbook$;Location=FilDXls;Extended Properties=&quot;&quot;" command="SELECT * FROM [FilDXls]"/>
  </connection>
  <connection id="33" xr16:uid="{4C483B8B-5EA9-4513-B0F0-C66FB85EB920}" keepAlive="1" name="Query - FilOFb0" description="Connection to the 'FilOFb0' query in the workbook." type="5" refreshedVersion="0" background="1">
    <dbPr connection="Provider=Microsoft.Mashup.OleDb.1;Data Source=$Workbook$;Location=FilOFb0;Extended Properties=&quot;&quot;" command="SELECT * FROM [FilOFb0]"/>
  </connection>
  <connection id="34" xr16:uid="{11D4FD57-CDBF-4A63-9777-0BEDA1E2A46F}" keepAlive="1" name="Query - FilRT11" description="Connection to the 'FilRT11' query in the workbook." type="5" refreshedVersion="8" background="1" saveData="1">
    <dbPr connection="Provider=Microsoft.Mashup.OleDb.1;Data Source=$Workbook$;Location=FilRT11;Extended Properties=&quot;&quot;" command="SELECT * FROM [FilRT11]"/>
  </connection>
  <connection id="35" xr16:uid="{ED15B482-B0C2-462B-99C1-F7C0A5C7F5F0}" keepAlive="1" name="Query - FrmAll" description="Connection to the 'FrmAll' query in the workbook." type="5" refreshedVersion="8" background="1" saveData="1">
    <dbPr connection="Provider=Microsoft.Mashup.OleDb.1;Data Source=$Workbook$;Location=FrmAll;Extended Properties=&quot;&quot;" command="SELECT * FROM [FrmAll]"/>
  </connection>
  <connection id="36" xr16:uid="{0A8E0167-432E-428C-884D-AF39A629D41B}" keepAlive="1" name="Query - FrmBB_0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7" xr16:uid="{2DCF75F5-A4C4-BE4D-95F2-FCD1A13AA763}" keepAlive="1" name="Query - FrmBB_0(1)" description="Connection to the 'FrmBB_0' query in the workbook." type="5" refreshedVersion="8" background="1" saveData="1">
    <dbPr connection="Provider=Microsoft.Mashup.OleDb.1;Data Source=$Workbook$;Location=FrmBB_0;Extended Properties=&quot;&quot;" command="SELECT * FROM [FrmBB_0]"/>
  </connection>
  <connection id="38" xr16:uid="{BB8C64A5-E95F-42CB-909C-82FB88691A7B}" keepAlive="1" name="Query - FrmBD_0" description="Connection to the 'FrmBD_0' query in the workbook." type="5" refreshedVersion="8" background="1" saveData="1">
    <dbPr connection="Provider=Microsoft.Mashup.OleDb.1;Data Source=$Workbook$;Location=FrmBD_0;Extended Properties=&quot;&quot;" command="SELECT * FROM [FrmBD_0]"/>
  </connection>
  <connection id="39" xr16:uid="{1224BAF9-1F46-7C42-9EC1-85B7A5B269DF}" keepAlive="1" name="Query - FrmBD_0(1)" description="Connection to the 'FrmBD_0' query in the workbook." type="5" refreshedVersion="8" background="1" saveData="1">
    <dbPr connection="Provider=Microsoft.Mashup.OleDb.1;Data Source=$Workbook$;Location=FrmBD_0;Extended Properties=&quot;&quot;" command="SELECT * FROM [FrmBD_0]"/>
  </connection>
  <connection id="40" xr16:uid="{91BC309F-418A-4749-9C5D-A0F0CCF545C5}" keepAlive="1" name="Query - FrmBH_0" description="Connection to the 'FrmBH_0' query in the workbook." type="5" refreshedVersion="0" background="1">
    <dbPr connection="Provider=Microsoft.Mashup.OleDb.1;Data Source=$Workbook$;Location=FrmBH_0;Extended Properties=&quot;&quot;" command="SELECT * FROM [FrmBH_0]"/>
  </connection>
  <connection id="41" xr16:uid="{3D30CEF8-314D-2F43-8A3C-6E20567907AC}" keepAlive="1" name="Query - FrmBH_0(1)" description="Connection to the 'FrmBH_0' query in the workbook." type="5" refreshedVersion="8" background="1" saveData="1">
    <dbPr connection="Provider=Microsoft.Mashup.OleDb.1;Data Source=$Workbook$;Location=FrmBH_0;Extended Properties=&quot;&quot;" command="SELECT * FROM [FrmBH_0]"/>
  </connection>
  <connection id="42" xr16:uid="{965F24A8-1738-44EF-9B57-A14F7B788DD3}" keepAlive="1" name="Query - Limits" description="Connection to the 'Limits' query in the workbook." type="5" refreshedVersion="8" background="1" saveData="1">
    <dbPr connection="Provider=Microsoft.Mashup.OleDb.1;Data Source=$Workbook$;Location=Limits;Extended Properties=&quot;&quot;" command="SELECT * FROM [Limits]"/>
  </connection>
  <connection id="43" xr16:uid="{298DC523-7C64-41B0-BB45-7ADDADDF548D}" keepAlive="1" name="Query - P_DCsv" description="Connection to the 'P_DCsv' query in the workbook." type="5" refreshedVersion="0" background="1">
    <dbPr connection="Provider=Microsoft.Mashup.OleDb.1;Data Source=$Workbook$;Location=P_DCsv;Extended Properties=&quot;&quot;" command="SELECT * FROM [P_DCsv]"/>
  </connection>
  <connection id="44" xr16:uid="{2A58B69A-AB7A-4947-9BBD-0692907D1F0E}" keepAlive="1" name="Query - P_DXls" description="Connection to the 'P_DXls' query in the workbook." type="5" refreshedVersion="0" background="1">
    <dbPr connection="Provider=Microsoft.Mashup.OleDb.1;Data Source=$Workbook$;Location=P_DXls;Extended Properties=&quot;&quot;" command="SELECT * FROM [P_DXls]"/>
  </connection>
  <connection id="45" xr16:uid="{0C70C391-C724-45D2-8407-E341961C3387}" keepAlive="1" name="Query - S_DCsv" description="Connection to the 'S_DCsv' query in the workbook." type="5" refreshedVersion="0" background="1">
    <dbPr connection="Provider=Microsoft.Mashup.OleDb.1;Data Source=$Workbook$;Location=S_DCsv;Extended Properties=&quot;&quot;" command="SELECT * FROM [S_DCsv]"/>
  </connection>
  <connection id="46" xr16:uid="{3FB29BA4-4CCF-4544-999F-AE4113245A6F}" keepAlive="1" name="Query - S_DXls" description="Connection to the 'S_DXls' query in the workbook." type="5" refreshedVersion="0" background="1">
    <dbPr connection="Provider=Microsoft.Mashup.OleDb.1;Data Source=$Workbook$;Location=S_DXls;Extended Properties=&quot;&quot;" command="SELECT * FROM [S_DXls]"/>
  </connection>
  <connection id="47" xr16:uid="{383EBDBD-7CE1-4DAC-B506-78D366000C6A}" keepAlive="1" name="Query - TF_DCsv" description="Connection to the 'TF_DCsv' query in the workbook." type="5" refreshedVersion="0" background="1">
    <dbPr connection="Provider=Microsoft.Mashup.OleDb.1;Data Source=$Workbook$;Location=TF_DCsv;Extended Properties=&quot;&quot;" command="SELECT * FROM [TF_DCsv]"/>
  </connection>
  <connection id="48" xr16:uid="{6EBB0336-3472-42C6-B84B-B5C9B0729921}" keepAlive="1" name="Query - TF_DXls" description="Connection to the 'TF_DXls' query in the workbook." type="5" refreshedVersion="0" background="1">
    <dbPr connection="Provider=Microsoft.Mashup.OleDb.1;Data Source=$Workbook$;Location=TF_DXls;Extended Properties=&quot;&quot;" command="SELECT * FROM [TF_DXls]"/>
  </connection>
  <connection id="49" xr16:uid="{71D2B38F-18C0-4A10-82CC-7AAA3D6DB131}" keepAlive="1" name="Query - Tot_GEn" description="Connection to the 'Tot_GEn' query in the workbook." type="5" refreshedVersion="0" background="1">
    <dbPr connection="Provider=Microsoft.Mashup.OleDb.1;Data Source=$Workbook$;Location=Tot_GEn;Extended Properties=&quot;&quot;" command="SELECT * FROM [Tot_GEn]"/>
  </connection>
  <connection id="50" xr16:uid="{AD739868-371F-4261-B4CF-9BE67D34F85D}" keepAlive="1" name="Query - Transform SampleCD2" description="Connection to the 'Transform SampleCD2' query in the workbook." type="5" refreshedVersion="0" background="1">
    <dbPr connection="Provider=Microsoft.Mashup.OleDb.1;Data Source=$Workbook$;Location=&quot;Transform SampleCD2&quot;;Extended Properties=&quot;&quot;" command="SELECT * FROM [Transform SampleCD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<sst xmlns="http://schemas.openxmlformats.org/spreadsheetml/2006/main" count="244" uniqueCount="63">
  <si>
    <t>COSTES EVITABLES</t>
  </si>
  <si>
    <t>GRANDES COMPRAS</t>
  </si>
  <si>
    <t>RECEPCION UTILES</t>
  </si>
  <si>
    <t>GESTION Y COORDINACION</t>
  </si>
  <si>
    <t>ROBCAD</t>
  </si>
  <si>
    <t>ARMARIOS ELECTRICOS</t>
  </si>
  <si>
    <t>FABRICACION ELEMENTOS IMPLANTA</t>
  </si>
  <si>
    <t>ROBÓTICA</t>
  </si>
  <si>
    <t>METROLOGÍA</t>
  </si>
  <si>
    <t>DISEÑO ELÉCTRICO</t>
  </si>
  <si>
    <t>DISEÑO NR</t>
  </si>
  <si>
    <t>FABRICACIÓN MECÁNICA</t>
  </si>
  <si>
    <t>MONTAJE MECÁNICO</t>
  </si>
  <si>
    <t>FABRICACIÓN ELÉCTRICA</t>
  </si>
  <si>
    <t>GESTIÓN DE PROYECTOS</t>
  </si>
  <si>
    <t>SOR</t>
  </si>
  <si>
    <t>Row</t>
  </si>
  <si>
    <t>Column</t>
  </si>
  <si>
    <t>DESMONTAJE</t>
  </si>
  <si>
    <t>DISEÑO HARDWARE</t>
  </si>
  <si>
    <t>DISEÑO SOFTWARE</t>
  </si>
  <si>
    <t>PrjId</t>
  </si>
  <si>
    <t>PathName</t>
  </si>
  <si>
    <t>Windows System</t>
  </si>
  <si>
    <t>English Version</t>
  </si>
  <si>
    <t>CUADRANTES CD2</t>
  </si>
  <si>
    <t>CUADRANTE ESTRUCTURADO</t>
  </si>
  <si>
    <t>DISEÑO MECÁNICO</t>
  </si>
  <si>
    <t>PUESTA EN MARCHA EN SERRA</t>
  </si>
  <si>
    <t>COSTES EVITABLES PROVEEDORES</t>
  </si>
  <si>
    <t>DISEÑO ELEMENTOS IMPLANTACION</t>
  </si>
  <si>
    <t>Value</t>
  </si>
  <si>
    <t>MONTAJE EN SERRA</t>
  </si>
  <si>
    <t>PROGRAMA STD PLC SIEMENS</t>
  </si>
  <si>
    <t>31200</t>
  </si>
  <si>
    <t>PUESTA EN MARCHA EN PLANTA</t>
  </si>
  <si>
    <t>DISEÑO UTILES/GARRAS</t>
  </si>
  <si>
    <t>FABRICACION UTILES/GARRAS</t>
  </si>
  <si>
    <t>ENR. UTILES/GARRAS</t>
  </si>
  <si>
    <t>MATERIAL SERRA UNP</t>
  </si>
  <si>
    <t>Sheet Name</t>
  </si>
  <si>
    <t>LngS</t>
  </si>
  <si>
    <t>DISC</t>
  </si>
  <si>
    <t>DIST</t>
  </si>
  <si>
    <t>FABT</t>
  </si>
  <si>
    <t>Wks</t>
  </si>
  <si>
    <t>SchPdt1</t>
  </si>
  <si>
    <t>GESH</t>
  </si>
  <si>
    <t>IMPC</t>
  </si>
  <si>
    <t>IMPT</t>
  </si>
  <si>
    <t>PEMC</t>
  </si>
  <si>
    <t>PEMT</t>
  </si>
  <si>
    <t>TRANSP. &amp; DESPLAZ.</t>
  </si>
  <si>
    <t>GESTIÓN MECÁNICA</t>
  </si>
  <si>
    <t>MATERIAL MECÁNICO</t>
  </si>
  <si>
    <t>INSTALACIÓN E.N.R.</t>
  </si>
  <si>
    <t>MATERIAL ELÉCTRICO</t>
  </si>
  <si>
    <t>MATERIAL FLUIDOS</t>
  </si>
  <si>
    <t>FrmBB_0</t>
  </si>
  <si>
    <t>Osy</t>
  </si>
  <si>
    <t>Project</t>
  </si>
  <si>
    <t>Vrs DashBoard</t>
  </si>
  <si>
    <t>Vrs Std.Prices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</si>
</sst>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]_-;\-* #,##0.00\ [$€]_-;_-* &quot;-&quot;??\ [$€]_-;_-@_-"/>
    <numFmt numFmtId="165" formatCode="dd/mm/yy\ hh:mm:ss"/>
  </numFmts>
  <fonts count="37">
    <font>
      <sz val="10"/>
      <name val="Arial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24"/>
      <name val="Times New Roman"/>
      <family val="1"/>
    </font>
    <font>
      <sz val="8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 Nova Cond Light"/>
      <family val="2"/>
    </font>
    <font>
      <sz val="8"/>
      <color theme="0"/>
      <name val="Arial Nova Cond Light"/>
      <family val="2"/>
    </font>
    <font>
      <sz val="4"/>
      <name val="Arial Nova Cond Light"/>
      <family val="2"/>
    </font>
    <font>
      <sz val="8"/>
      <color indexed="24"/>
      <name val="Arial Nova Cond Light"/>
      <family val="2"/>
    </font>
    <font>
      <sz val="8"/>
      <name val="Arial"/>
      <family val="2"/>
    </font>
    <font>
      <sz val="4"/>
      <color theme="1"/>
      <name val="Arial Nova Cond Light"/>
      <family val="2"/>
    </font>
    <font>
      <sz val="8"/>
      <color theme="1"/>
      <name val="Arial Nova Cond Light"/>
    </font>
    <font>
      <sz val="8"/>
      <name val="Arial Nova Cond Light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</borders>
  <cellStyleXfs count="110">
    <xf numFmtId="0" fontId="0" fillId="0" borderId="0"/>
    <xf numFmtId="164" fontId="9" fillId="0" borderId="0" applyFont="0" applyFill="0" applyBorder="0" applyAlignment="0" applyProtection="0"/>
    <xf numFmtId="0" fontId="11" fillId="0" borderId="0"/>
    <xf numFmtId="0" fontId="9" fillId="0" borderId="0"/>
    <xf numFmtId="0" fontId="14" fillId="0" borderId="0" applyNumberFormat="0" applyFill="0" applyBorder="0" applyAlignment="0" applyProtection="0"/>
    <xf numFmtId="0" fontId="15" fillId="0" borderId="1" applyNumberFormat="0" applyFill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0" applyNumberFormat="0" applyBorder="0" applyAlignment="0" applyProtection="0"/>
    <xf numFmtId="0" fontId="19" fillId="4" borderId="0" applyNumberFormat="0" applyBorder="0" applyAlignment="0" applyProtection="0"/>
    <xf numFmtId="0" fontId="20" fillId="5" borderId="0" applyNumberFormat="0" applyBorder="0" applyAlignment="0" applyProtection="0"/>
    <xf numFmtId="0" fontId="21" fillId="6" borderId="4" applyNumberFormat="0" applyAlignment="0" applyProtection="0"/>
    <xf numFmtId="0" fontId="22" fillId="7" borderId="5" applyNumberFormat="0" applyAlignment="0" applyProtection="0"/>
    <xf numFmtId="0" fontId="23" fillId="7" borderId="4" applyNumberFormat="0" applyAlignment="0" applyProtection="0"/>
    <xf numFmtId="0" fontId="24" fillId="0" borderId="6" applyNumberFormat="0" applyFill="0" applyAlignment="0" applyProtection="0"/>
    <xf numFmtId="0" fontId="25" fillId="8" borderId="7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2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2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2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2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2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2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9" fontId="11" fillId="0" borderId="0" applyFont="0" applyFill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0" fillId="0" borderId="0"/>
    <xf numFmtId="0" fontId="4" fillId="0" borderId="0"/>
    <xf numFmtId="0" fontId="12" fillId="0" borderId="0"/>
  </cellStyleXfs>
  <cellXfs count="31">
    <xf numFmtId="0" fontId="0" fillId="0" borderId="0" xfId="0"/>
    <xf numFmtId="0" fontId="29" fillId="0" borderId="0" xfId="0" applyFont="1" applyAlignment="1">
      <alignment horizontal="left" vertical="top" textRotation="90"/>
    </xf>
    <xf numFmtId="0" fontId="29" fillId="0" borderId="0" xfId="108" applyFont="1" applyAlignment="1">
      <alignment vertical="top"/>
    </xf>
    <xf numFmtId="0" fontId="30" fillId="34" borderId="0" xfId="3" applyFont="1" applyFill="1" applyAlignment="1">
      <alignment horizontal="center" vertical="top" textRotation="90"/>
    </xf>
    <xf numFmtId="0" fontId="29" fillId="0" borderId="0" xfId="0" applyFont="1" applyAlignment="1">
      <alignment vertical="top"/>
    </xf>
    <xf numFmtId="0" fontId="34" fillId="0" borderId="0" xfId="108" applyFont="1" applyAlignment="1">
      <alignment vertical="top"/>
    </xf>
    <xf numFmtId="0" fontId="34" fillId="0" borderId="0" xfId="108" applyFont="1" applyAlignment="1">
      <alignment horizontal="left" vertical="top" textRotation="90"/>
    </xf>
    <xf numFmtId="165" fontId="34" fillId="0" borderId="0" xfId="108" applyNumberFormat="1" applyFont="1" applyAlignment="1">
      <alignment horizontal="left" vertical="top"/>
    </xf>
    <xf numFmtId="0" fontId="34" fillId="0" borderId="0" xfId="108" applyFont="1" applyAlignment="1">
      <alignment horizontal="left" vertical="top"/>
    </xf>
    <xf numFmtId="0" fontId="3" fillId="0" borderId="0" xfId="108" applyFont="1" applyAlignment="1">
      <alignment vertical="top"/>
    </xf>
    <xf numFmtId="0" fontId="34" fillId="36" borderId="0" xfId="108" applyFont="1" applyFill="1" applyAlignment="1">
      <alignment horizontal="center" vertical="top" textRotation="90"/>
    </xf>
    <xf numFmtId="0" fontId="31" fillId="36" borderId="0" xfId="108" applyFont="1" applyFill="1" applyAlignment="1">
      <alignment horizontal="center" vertical="top" textRotation="90"/>
    </xf>
    <xf numFmtId="0" fontId="2" fillId="0" borderId="0" xfId="108" applyFont="1" applyAlignment="1">
      <alignment vertical="top"/>
    </xf>
    <xf numFmtId="0" fontId="29" fillId="0" borderId="0" xfId="108" applyFont="1" applyAlignment="1">
      <alignment horizontal="center" vertical="top"/>
    </xf>
    <xf numFmtId="0" fontId="31" fillId="36" borderId="0" xfId="2" applyFont="1" applyFill="1" applyAlignment="1">
      <alignment horizontal="center" vertical="top" textRotation="90" wrapText="1"/>
    </xf>
    <xf numFmtId="0" fontId="1" fillId="2" borderId="10" xfId="108" applyFont="1" applyFill="1" applyBorder="1" applyAlignment="1">
      <alignment horizontal="left" vertical="top" textRotation="90"/>
    </xf>
    <xf numFmtId="0" fontId="1" fillId="35" borderId="11" xfId="108" applyFont="1" applyFill="1" applyBorder="1" applyAlignment="1">
      <alignment horizontal="left" vertical="top" textRotation="90" wrapText="1"/>
    </xf>
    <xf numFmtId="0" fontId="1" fillId="2" borderId="12" xfId="108" applyFont="1" applyFill="1" applyBorder="1" applyAlignment="1">
      <alignment vertical="top"/>
    </xf>
    <xf numFmtId="0" fontId="1" fillId="35" borderId="13" xfId="108" applyFont="1" applyFill="1" applyBorder="1" applyAlignment="1">
      <alignment horizontal="left" vertical="top"/>
    </xf>
    <xf numFmtId="0" fontId="1" fillId="2" borderId="14" xfId="108" applyFont="1" applyFill="1" applyBorder="1" applyAlignment="1">
      <alignment vertical="top"/>
    </xf>
    <xf numFmtId="0" fontId="1" fillId="35" borderId="15" xfId="108" applyFont="1" applyFill="1" applyBorder="1" applyAlignment="1">
      <alignment horizontal="left" vertical="top"/>
    </xf>
    <xf numFmtId="0" fontId="29" fillId="0" borderId="0" xfId="3" applyFont="1" applyAlignment="1">
      <alignment vertical="top"/>
    </xf>
    <xf numFmtId="0" fontId="1" fillId="35" borderId="15" xfId="108" applyFont="1" applyFill="1" applyBorder="1" applyAlignment="1">
      <alignment horizontal="left" vertical="top" shrinkToFit="1"/>
    </xf>
    <xf numFmtId="3" fontId="32" fillId="0" borderId="0" xfId="107" applyNumberFormat="1" applyFont="1" applyAlignment="1">
      <alignment vertical="top"/>
    </xf>
    <xf numFmtId="0" fontId="1" fillId="0" borderId="0" xfId="108" applyFont="1" applyAlignment="1">
      <alignment vertical="top"/>
    </xf>
    <xf numFmtId="0" fontId="1" fillId="0" borderId="0" xfId="108" applyFont="1" applyAlignment="1">
      <alignment horizontal="left" vertical="top"/>
    </xf>
    <xf numFmtId="0" fontId="11" fillId="0" borderId="0" xfId="2" applyAlignment="1">
      <alignment vertical="top"/>
    </xf>
    <xf numFmtId="0" fontId="35" fillId="0" borderId="0" xfId="108" applyFont="1" applyAlignment="1">
      <alignment vertical="top"/>
    </xf>
    <xf numFmtId="0" fontId="35" fillId="36" borderId="0" xfId="108" applyFont="1" applyFill="1" applyAlignment="1">
      <alignment horizontal="center" vertical="top" textRotation="90"/>
    </xf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 vertical="top" textRotation="90"/>
    </xf>
  </cellXfs>
  <cellStyles count="110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20% - Énfasis1 2" xfId="49" xr:uid="{0D9DBB27-4DF9-4AF6-8042-01987225CAC5}"/>
    <cellStyle name="20% - Énfasis1 3" xfId="69" xr:uid="{1FB492D9-B366-4F28-8789-9D058D9F41E8}"/>
    <cellStyle name="20% - Énfasis1 4" xfId="89" xr:uid="{52D9910A-9522-48E1-A26C-8029AE37406D}"/>
    <cellStyle name="20% - Énfasis2 2" xfId="52" xr:uid="{2CFBADF5-6C04-4CEB-A869-FD8BF3512F8B}"/>
    <cellStyle name="20% - Énfasis2 3" xfId="72" xr:uid="{A3AB0B9B-92C4-4399-9240-D5EDC29EA05A}"/>
    <cellStyle name="20% - Énfasis2 4" xfId="92" xr:uid="{F8A749BF-FCAD-4C50-B912-F12A2AD54330}"/>
    <cellStyle name="20% - Énfasis3 2" xfId="55" xr:uid="{6A24A474-C00A-4A07-A172-B7D4FF761CCB}"/>
    <cellStyle name="20% - Énfasis3 3" xfId="75" xr:uid="{55EEDA42-7830-4C5A-956D-C9F1CF63AFDF}"/>
    <cellStyle name="20% - Énfasis3 4" xfId="95" xr:uid="{DD7AEFAC-DBCE-41FB-B775-09E8AA1523FB}"/>
    <cellStyle name="20% - Énfasis4 2" xfId="58" xr:uid="{1586EEC7-5DE1-4308-B919-A85DDB1B8D13}"/>
    <cellStyle name="20% - Énfasis4 3" xfId="78" xr:uid="{AD6490E7-5DEA-4CC0-BEE6-70A53C6DEC15}"/>
    <cellStyle name="20% - Énfasis4 4" xfId="98" xr:uid="{CE8E71D9-311B-4658-A3CC-3611644E7627}"/>
    <cellStyle name="20% - Énfasis5 2" xfId="61" xr:uid="{4642760D-793B-4886-BB1F-114094497D5D}"/>
    <cellStyle name="20% - Énfasis5 3" xfId="81" xr:uid="{3880F4AC-8267-45B7-8379-DB8681A11400}"/>
    <cellStyle name="20% - Énfasis5 4" xfId="101" xr:uid="{4DD8A540-E1B6-47A6-8358-3897B043105A}"/>
    <cellStyle name="20% - Énfasis6 2" xfId="64" xr:uid="{D4D09DFD-CA0A-470C-B308-6091B085A681}"/>
    <cellStyle name="20% - Énfasis6 3" xfId="84" xr:uid="{B10F02AB-D2B9-4734-A077-D6AAAE5B4F1D}"/>
    <cellStyle name="20% - Énfasis6 4" xfId="104" xr:uid="{ABF7E058-D4AC-4A44-8F68-E4D42BB55A2C}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40% - Énfasis1 2" xfId="50" xr:uid="{09C15F0F-7A10-417E-9667-9D8C8ADA7C25}"/>
    <cellStyle name="40% - Énfasis1 3" xfId="70" xr:uid="{84B7F22F-66DC-4C49-8C8C-FB21E3CF5242}"/>
    <cellStyle name="40% - Énfasis1 4" xfId="90" xr:uid="{48D4B0C4-70E7-43D3-A4A8-BBB772148BF3}"/>
    <cellStyle name="40% - Énfasis2 2" xfId="53" xr:uid="{2031771D-28BA-45A9-9C01-39E9D577A2B0}"/>
    <cellStyle name="40% - Énfasis2 3" xfId="73" xr:uid="{B409DCF3-1E4E-428E-85CA-6DFE4B31D51E}"/>
    <cellStyle name="40% - Énfasis2 4" xfId="93" xr:uid="{9358D899-703D-468F-BC63-DD6149F67275}"/>
    <cellStyle name="40% - Énfasis3 2" xfId="56" xr:uid="{C1E50A40-8942-4C3B-99E4-DBAA145FDEF6}"/>
    <cellStyle name="40% - Énfasis3 3" xfId="76" xr:uid="{2D78E89B-CF30-4E61-A75C-FE57B9DBDBDB}"/>
    <cellStyle name="40% - Énfasis3 4" xfId="96" xr:uid="{42C0727A-FEA3-4ECD-BEEE-26ACA7A847C4}"/>
    <cellStyle name="40% - Énfasis4 2" xfId="59" xr:uid="{FFE2EB2B-C4B4-495F-907B-FAE4E04B67DB}"/>
    <cellStyle name="40% - Énfasis4 3" xfId="79" xr:uid="{65C55C7C-86E7-4F2A-9E56-438A1655F371}"/>
    <cellStyle name="40% - Énfasis4 4" xfId="99" xr:uid="{7BBDD919-6455-400F-AD18-753737295F06}"/>
    <cellStyle name="40% - Énfasis5 2" xfId="62" xr:uid="{943D7F8A-1854-4A27-9AD0-22C8583243F1}"/>
    <cellStyle name="40% - Énfasis5 3" xfId="82" xr:uid="{DCCE716A-6B86-4503-B46D-206275A5C77E}"/>
    <cellStyle name="40% - Énfasis5 4" xfId="102" xr:uid="{52603E35-C490-42C2-9131-49D7A20A393A}"/>
    <cellStyle name="40% - Énfasis6 2" xfId="65" xr:uid="{76F523A0-724F-4405-BF39-5E4B9EBDADB9}"/>
    <cellStyle name="40% - Énfasis6 3" xfId="85" xr:uid="{B99A5F32-AB86-47B7-92F8-E0DD7CE77488}"/>
    <cellStyle name="40% - Énfasis6 4" xfId="105" xr:uid="{0F18FBD3-4117-4ED6-92F4-6B9E3AE040F4}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60% - Énfasis1 2" xfId="51" xr:uid="{00835684-DF7A-4D88-994E-996C0BD3AEC8}"/>
    <cellStyle name="60% - Énfasis1 3" xfId="71" xr:uid="{D03A3CD4-FB8A-4311-A0D8-D90AB2BA9B07}"/>
    <cellStyle name="60% - Énfasis1 4" xfId="91" xr:uid="{F66110F4-AF82-4A40-9742-506618D1F10C}"/>
    <cellStyle name="60% - Énfasis2 2" xfId="54" xr:uid="{BFC748B1-2435-4645-9D9A-F600844BC445}"/>
    <cellStyle name="60% - Énfasis2 3" xfId="74" xr:uid="{F8A9B66D-65CD-4939-93BA-0BEDA6C3ABFF}"/>
    <cellStyle name="60% - Énfasis2 4" xfId="94" xr:uid="{F4E26853-8800-40A8-9292-F25AE44BE1A3}"/>
    <cellStyle name="60% - Énfasis3 2" xfId="57" xr:uid="{2B5DCDFE-8196-45AC-B2E3-26F1CE2450B8}"/>
    <cellStyle name="60% - Énfasis3 3" xfId="77" xr:uid="{6D42DF25-F822-45AC-9F90-2BABF47171A5}"/>
    <cellStyle name="60% - Énfasis3 4" xfId="97" xr:uid="{E0966AEC-CDD0-4149-8FE5-B7F0F9C3DCF2}"/>
    <cellStyle name="60% - Énfasis4 2" xfId="60" xr:uid="{3344A915-6D07-461C-AB93-629956F0F7B0}"/>
    <cellStyle name="60% - Énfasis4 3" xfId="80" xr:uid="{203EC5E1-DB3F-4784-BACE-367AF314D884}"/>
    <cellStyle name="60% - Énfasis4 4" xfId="100" xr:uid="{FDA0EC78-F475-4D3F-B571-F07196634EF5}"/>
    <cellStyle name="60% - Énfasis5 2" xfId="63" xr:uid="{6B854227-C5DF-4E70-85C1-A44A919CACF1}"/>
    <cellStyle name="60% - Énfasis5 3" xfId="83" xr:uid="{B8BFE219-F846-4DD1-B65A-51F37CAAEC3A}"/>
    <cellStyle name="60% - Énfasis5 4" xfId="103" xr:uid="{7084BF62-A6EC-418D-BA7C-FD8507C3A4FE}"/>
    <cellStyle name="60% - Énfasis6 2" xfId="66" xr:uid="{4910269A-2A25-4299-AEBB-12535AB4369B}"/>
    <cellStyle name="60% - Énfasis6 3" xfId="86" xr:uid="{B25A026D-8782-4CAC-B62D-2486E4F97CD1}"/>
    <cellStyle name="60% - Énfasis6 4" xfId="106" xr:uid="{136AE63F-FB37-4B14-95D1-A89030689654}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10" builtinId="27" customBuiltin="1"/>
    <cellStyle name="Calculation" xfId="14" builtinId="22" customBuiltin="1"/>
    <cellStyle name="Check Cell" xfId="16" builtinId="23" customBuiltin="1"/>
    <cellStyle name="Euro" xfId="1" xr:uid="{00000000-0005-0000-0000-000000000000}"/>
    <cellStyle name="Explanatory Text" xfId="18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2" builtinId="20" customBuiltin="1"/>
    <cellStyle name="Linked Cell" xfId="15" builtinId="24" customBuiltin="1"/>
    <cellStyle name="Neutral" xfId="11" builtinId="28" customBuiltin="1"/>
    <cellStyle name="Normal" xfId="0" builtinId="0"/>
    <cellStyle name="Normal 2" xfId="2" xr:uid="{00000000-0005-0000-0000-000004000000}"/>
    <cellStyle name="Normal 2 2" xfId="109" xr:uid="{27452548-C02E-4356-A5D2-C3AE69CAEE2D}"/>
    <cellStyle name="Normal 3" xfId="3" xr:uid="{00000000-0005-0000-0000-000005000000}"/>
    <cellStyle name="Normal 4" xfId="45" xr:uid="{F4E07F3D-A046-49B3-8382-356E4DB1B18B}"/>
    <cellStyle name="Normal 5" xfId="47" xr:uid="{263968E7-A1E0-4F79-B4E7-FC480516CF24}"/>
    <cellStyle name="Normal 6" xfId="67" xr:uid="{6ABA2028-45E9-4DBF-A451-C5C54C9142D6}"/>
    <cellStyle name="Normal 7" xfId="87" xr:uid="{B374D0FE-0D6E-4EE7-9219-A669045F561C}"/>
    <cellStyle name="Normal 8" xfId="108" xr:uid="{1670FD44-4E89-4889-8330-24DB8EDC5B2B}"/>
    <cellStyle name="Normal_ED0D" xfId="107" xr:uid="{FD123B24-5A15-4BED-9960-70D035E18AB5}"/>
    <cellStyle name="Notas 2" xfId="46" xr:uid="{9063289B-580B-4C99-97E2-48A6AEBF46D7}"/>
    <cellStyle name="Notas 3" xfId="48" xr:uid="{828DA343-9072-4C0E-9216-18108674F557}"/>
    <cellStyle name="Notas 4" xfId="68" xr:uid="{F9756A97-A7EF-4BCE-8336-226AFD8D2871}"/>
    <cellStyle name="Notas 5" xfId="88" xr:uid="{42F3177A-EA66-42F5-8FE9-C397A66503CC}"/>
    <cellStyle name="Output" xfId="13" builtinId="21" customBuiltin="1"/>
    <cellStyle name="Porcentual 2" xfId="44" xr:uid="{D7AE5EE5-90BD-4D25-9090-EAC36B510BD8}"/>
    <cellStyle name="Title" xfId="4" builtinId="15" customBuiltin="1"/>
    <cellStyle name="Total" xfId="19" builtinId="25" customBuiltin="1"/>
    <cellStyle name="Warning Text" xfId="17" builtinId="11" customBuiltin="1"/>
  </cellStyles>
  <dxfs count="6">
    <dxf>
      <font>
        <strike val="0"/>
        <outline val="0"/>
        <shadow val="0"/>
        <u val="none"/>
        <vertAlign val="baseline"/>
        <sz val="8"/>
        <name val="Arial Nova Cond Light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scheme val="none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scheme val="none"/>
      </font>
      <alignment vertical="top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scheme val="none"/>
      </font>
      <alignment horizontal="left" vertical="top" textRotation="90" wrapText="0" indent="0" justifyLastLine="0" shrinkToFit="0" readingOrder="0"/>
    </dxf>
  </dxfs>
  <tableStyles count="0" defaultTableStyle="TableStyleMedium9" defaultPivotStyle="PivotStyleLight16"/>
  <colors>
    <mruColors>
      <color rgb="FF663300"/>
      <color rgb="FFFFEB84"/>
      <color rgb="FFFFCCCC"/>
      <color rgb="FFA50021"/>
      <color rgb="FFFFFFCC"/>
      <color rgb="FFFFFFFF"/>
      <color rgb="FF66FF66"/>
      <color rgb="FFF8696B"/>
      <color rgb="FF63BE7B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673100</xdr:colOff>
      <xdr:row>7</xdr:row>
      <xdr:rowOff>152400</xdr:rowOff>
    </xdr:from>
    <xdr:to>
      <xdr:col>7</xdr:col>
      <xdr:colOff>685800</xdr:colOff>
      <xdr:row>13</xdr:row>
      <xdr:rowOff>139700</xdr:rowOff>
    </xdr:to>
    <xdr:sp macro="[0]!ExportarDatosParaVisualizacion_Mac" textlink="">
      <xdr:nvSpPr>
        <xdr:cNvPr id="2" name="Rounded Rectangle 1">
          <a:extLst>
            <a:ext uri="{FF2B5EF4-FFF2-40B4-BE49-F238E27FC236}">
              <a16:creationId xmlns:a16="http://schemas.microsoft.com/office/drawing/2014/main" id="{F529A082-10B1-5E4A-A2DE-E441EECDE3C1}"/>
            </a:ext>
          </a:extLst>
        </xdr:cNvPr>
        <xdr:cNvSpPr/>
      </xdr:nvSpPr>
      <xdr:spPr bwMode="auto">
        <a:xfrm>
          <a:off x="4800600" y="1498600"/>
          <a:ext cx="1663700" cy="9779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4000"/>
            <a:t>CdM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P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7" xr16:uid="{D120CE0D-7007-4A42-870B-1425727BEF7A}" autoFormatId="16" applyNumberFormats="0" applyBorderFormats="0" applyFontFormats="0" applyPatternFormats="0" applyAlignmentFormats="0" applyWidthHeightFormats="0">
  <queryTableRefresh nextId="5">
    <queryTableFields count="4">
      <queryTableField id="1" name="Row" tableColumnId="1"/>
      <queryTableField id="2" name="Column" tableColumnId="2"/>
      <queryTableField id="3" name="Wks" tableColumnId="3"/>
      <queryTableField id="4" name="Valu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E3CB0AD-3CFF-4A3C-9D91-2030D0680970}" name="SchPdt1" displayName="SchPdt1" ref="I2:J10" totalsRowShown="0" dataCellStyle="Normal 8">
  <autoFilter ref="I2:J10" xr:uid="{BE3CB0AD-3CFF-4A3C-9D91-2030D0680970}"/>
  <tableColumns count="2">
    <tableColumn id="1" xr3:uid="{5B9A2CE2-660F-483D-B88E-CA3440434502}" name="PrjId" dataCellStyle="Normal 8"/>
    <tableColumn id="2" xr3:uid="{6AD41C44-4190-42A7-93EE-059CE45E76C4}" name="Row" dataCellStyle="Normal 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CF6CF5-8020-EB42-B28D-572114AB81C1}" name="FrmBB_1" displayName="FrmBB_1" ref="A1:D106" tableType="queryTable" totalsRowShown="0" headerRowDxfId="5" dataDxfId="4">
  <autoFilter ref="A1:D106" xr:uid="{01CF6CF5-8020-EB42-B28D-572114AB81C1}"/>
  <tableColumns count="4">
    <tableColumn id="1" xr3:uid="{5A73883B-34C1-2943-8C4E-C48C0D045F7C}" uniqueName="1" name="Row" queryTableFieldId="1" dataDxfId="3"/>
    <tableColumn id="2" xr3:uid="{8AB16C83-7443-9348-A067-6858B1FA0C3E}" uniqueName="2" name="Column" queryTableFieldId="2" dataDxfId="2"/>
    <tableColumn id="3" xr3:uid="{391D14E7-2618-D34E-A110-00F6ADE5A5EB}" uniqueName="3" name="Wks" queryTableFieldId="3" dataDxfId="1"/>
    <tableColumn id="4" xr3:uid="{B6EFD862-C72E-EA4A-8074-64AE0EC7BFCD}" uniqueName="4" name="Value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3367-E41E-46DE-9B7F-788E528A3B9C}">
  <sheetPr codeName="Sheet12"/>
  <dimension ref="A1:P26"/>
  <sheetViews>
    <sheetView zoomScale="150" zoomScaleNormal="150" workbookViewId="0">
      <selection activeCell="M2" sqref="M2:P107"/>
    </sheetView>
  </sheetViews>
  <sheetFormatPr baseColWidth="10" defaultColWidth="11.5" defaultRowHeight="10"/>
  <cols>
    <col min="1" max="1" width="1.83203125" style="10" bestFit="1" customWidth="1"/>
    <col min="2" max="2" width="8.6640625" style="24" customWidth="1"/>
    <col min="3" max="3" width="6.5" style="25" customWidth="1"/>
    <col min="4" max="4" width="4" style="2" bestFit="1" customWidth="1"/>
    <col min="5" max="5" width="1.83203125" style="5" bestFit="1" customWidth="1"/>
    <col min="6" max="6" width="2.1640625" style="21" bestFit="1" customWidth="1"/>
    <col min="7" max="7" width="4.33203125" style="2" bestFit="1" customWidth="1"/>
    <col min="8" max="8" width="1.83203125" style="5" bestFit="1" customWidth="1"/>
    <col min="9" max="10" width="5" style="9" bestFit="1" customWidth="1"/>
    <col min="11" max="11" width="11.5" style="9"/>
    <col min="12" max="12" width="1.83203125" style="5" bestFit="1" customWidth="1"/>
    <col min="13" max="13" width="20" style="27" bestFit="1" customWidth="1"/>
    <col min="14" max="14" width="13.6640625" style="27" bestFit="1" customWidth="1"/>
    <col min="15" max="15" width="5.5" style="27" bestFit="1" customWidth="1"/>
    <col min="16" max="16" width="6.83203125" style="27" bestFit="1" customWidth="1"/>
    <col min="17" max="16384" width="11.5" style="9"/>
  </cols>
  <sheetData>
    <row r="1" spans="1:16" s="10" customFormat="1" ht="35" customHeight="1" thickBot="1">
      <c r="B1" s="14" t="str" cm="1">
        <f t="array" aca="1" ref="B1" ca="1">CELL(IF(LngS="r","filename","nombrearchivo"))</f>
        <v>/Users/didac/Downloads/Story/DataTracker/Projects/[Tchart_V04.xlsm]OutData</v>
      </c>
      <c r="D1" s="11"/>
      <c r="F1" s="10" t="str">
        <f>IF(TRUE,"LNG","LNG")</f>
        <v>LNG</v>
      </c>
      <c r="G1" s="11"/>
      <c r="M1" s="28"/>
      <c r="N1" s="28"/>
      <c r="O1" s="28"/>
      <c r="P1" s="28"/>
    </row>
    <row r="2" spans="1:16" ht="84">
      <c r="B2" s="15" t="s">
        <v>22</v>
      </c>
      <c r="C2" s="16" t="str">
        <f ca="1">LEFT($B$1,FIND("[",$B$1)-1)</f>
        <v>/Users/didac/Downloads/Story/DataTracker/Projects/</v>
      </c>
      <c r="E2" s="6" t="s">
        <v>41</v>
      </c>
      <c r="F2" s="3" t="str" cm="1">
        <f t="array" aca="1" ref="F2" ca="1">IF(ISERROR(INDIRECT("r1c1",FALSE)),"f","r")</f>
        <v>r</v>
      </c>
      <c r="H2" s="6" t="s">
        <v>46</v>
      </c>
      <c r="I2" s="1" t="s">
        <v>21</v>
      </c>
      <c r="J2" s="1" t="s">
        <v>16</v>
      </c>
      <c r="L2" s="6" t="s">
        <v>58</v>
      </c>
    </row>
    <row r="3" spans="1:16" ht="13">
      <c r="A3" s="10" t="s">
        <v>15</v>
      </c>
      <c r="B3" s="17" t="s">
        <v>23</v>
      </c>
      <c r="C3" s="18" t="b">
        <f ca="1">(OsyS&lt;&gt;"/")</f>
        <v>0</v>
      </c>
      <c r="E3" s="6" t="s">
        <v>59</v>
      </c>
      <c r="F3" s="3" t="str">
        <f ca="1">IF(LEFT(Pth,1)="/","/","\")</f>
        <v>/</v>
      </c>
      <c r="H3" s="9"/>
      <c r="I3" s="12" t="s">
        <v>34</v>
      </c>
      <c r="J3" s="4" t="s">
        <v>47</v>
      </c>
      <c r="L3" s="9"/>
    </row>
    <row r="4" spans="1:16">
      <c r="B4" s="19" t="s">
        <v>24</v>
      </c>
      <c r="C4" s="20" t="b">
        <f ca="1">(LngS="r")</f>
        <v>1</v>
      </c>
      <c r="E4" s="7"/>
      <c r="H4" s="7"/>
      <c r="I4" s="12" t="s">
        <v>34</v>
      </c>
      <c r="J4" s="4" t="s">
        <v>42</v>
      </c>
      <c r="L4" s="7"/>
    </row>
    <row r="5" spans="1:16">
      <c r="B5" s="19" t="s">
        <v>40</v>
      </c>
      <c r="C5" s="20" t="str">
        <f ca="1">_xlfn.TEXTAFTER(B1,"]")</f>
        <v>OutData</v>
      </c>
      <c r="E5" s="8"/>
      <c r="H5" s="8"/>
      <c r="I5" s="12" t="s">
        <v>34</v>
      </c>
      <c r="J5" s="4" t="s">
        <v>43</v>
      </c>
      <c r="L5" s="8"/>
    </row>
    <row r="6" spans="1:16">
      <c r="B6" s="17" t="s">
        <v>60</v>
      </c>
      <c r="C6" s="22">
        <v>31200</v>
      </c>
      <c r="E6" s="7"/>
      <c r="H6" s="7"/>
      <c r="I6" s="12" t="s">
        <v>34</v>
      </c>
      <c r="J6" s="4" t="s">
        <v>44</v>
      </c>
      <c r="L6" s="7"/>
    </row>
    <row r="7" spans="1:16">
      <c r="B7" s="17" t="s">
        <v>61</v>
      </c>
      <c r="C7" s="22">
        <v>3</v>
      </c>
      <c r="E7" s="7"/>
      <c r="H7" s="7"/>
      <c r="I7" s="12" t="s">
        <v>34</v>
      </c>
      <c r="J7" s="4" t="s">
        <v>49</v>
      </c>
      <c r="L7" s="7"/>
    </row>
    <row r="8" spans="1:16">
      <c r="B8" s="17" t="s">
        <v>62</v>
      </c>
      <c r="C8" s="22">
        <v>1</v>
      </c>
      <c r="E8" s="7"/>
      <c r="F8" s="23"/>
      <c r="H8" s="7"/>
      <c r="I8" s="12" t="s">
        <v>34</v>
      </c>
      <c r="J8" s="4" t="s">
        <v>51</v>
      </c>
      <c r="L8" s="7"/>
    </row>
    <row r="9" spans="1:16">
      <c r="E9" s="7"/>
      <c r="F9" s="23"/>
      <c r="H9" s="7"/>
      <c r="I9" s="12" t="s">
        <v>34</v>
      </c>
      <c r="J9" s="4" t="s">
        <v>48</v>
      </c>
      <c r="L9" s="7"/>
    </row>
    <row r="10" spans="1:16" ht="13">
      <c r="B10"/>
      <c r="C10"/>
      <c r="E10" s="7"/>
      <c r="F10" s="23"/>
      <c r="H10" s="7"/>
      <c r="I10" s="12" t="s">
        <v>34</v>
      </c>
      <c r="J10" s="4" t="s">
        <v>50</v>
      </c>
      <c r="L10" s="7"/>
    </row>
    <row r="11" spans="1:16" ht="13">
      <c r="B11"/>
      <c r="C11"/>
      <c r="D11" s="13"/>
      <c r="E11" s="7"/>
      <c r="G11" s="13"/>
      <c r="H11" s="7"/>
      <c r="L11" s="7"/>
    </row>
    <row r="12" spans="1:16" ht="13">
      <c r="B12"/>
      <c r="C12"/>
      <c r="D12" s="13"/>
      <c r="E12" s="7"/>
      <c r="G12" s="13"/>
      <c r="H12" s="7"/>
      <c r="L12" s="7"/>
    </row>
    <row r="13" spans="1:16" ht="13">
      <c r="B13"/>
      <c r="C13"/>
    </row>
    <row r="15" spans="1:16" ht="11">
      <c r="B15" s="26"/>
      <c r="C15" s="26"/>
    </row>
    <row r="16" spans="1:16" ht="11">
      <c r="B16" s="26"/>
      <c r="C16" s="26"/>
      <c r="F16" s="23"/>
    </row>
    <row r="17" spans="2:6" ht="11">
      <c r="B17" s="26"/>
      <c r="C17" s="26"/>
      <c r="F17" s="23"/>
    </row>
    <row r="18" spans="2:6" ht="11">
      <c r="B18" s="26"/>
      <c r="C18" s="26"/>
    </row>
    <row r="19" spans="2:6" ht="11">
      <c r="B19" s="26"/>
      <c r="C19" s="26"/>
    </row>
    <row r="20" spans="2:6" ht="11">
      <c r="B20" s="26"/>
      <c r="C20" s="26"/>
    </row>
    <row r="21" spans="2:6">
      <c r="D21" s="24"/>
      <c r="F21" s="24"/>
    </row>
    <row r="22" spans="2:6" ht="11">
      <c r="B22" s="26"/>
      <c r="C22" s="26"/>
    </row>
    <row r="23" spans="2:6" ht="11">
      <c r="B23" s="26"/>
      <c r="C23" s="26"/>
    </row>
    <row r="24" spans="2:6" ht="11">
      <c r="B24" s="26"/>
      <c r="C24" s="26"/>
    </row>
    <row r="25" spans="2:6" ht="11">
      <c r="B25" s="26"/>
      <c r="C25" s="26"/>
    </row>
    <row r="26" spans="2:6" ht="11">
      <c r="B26" s="26"/>
      <c r="C26" s="26"/>
    </row>
  </sheetData>
  <dataConsolidate/>
  <phoneticPr fontId="33" type="noConversion"/>
  <dataValidations count="1">
    <dataValidation type="list" allowBlank="1" showInputMessage="1" showErrorMessage="1" sqref="G11:G12 D11:D12" xr:uid="{8B2A1EBB-CC72-4072-B9C4-9E812A7F321B}">
      <formula1>"O,X"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9AF6-4EE1-5F48-97E4-38D5063BBD29}">
  <sheetPr codeName="Sheet1"/>
  <dimension ref="A1:D106"/>
  <sheetViews>
    <sheetView tabSelected="1" workbookViewId="0">
      <selection activeCell="J8" sqref="J8"/>
    </sheetView>
  </sheetViews>
  <sheetFormatPr baseColWidth="10" defaultRowHeight="13"/>
  <sheetData>
    <row r="1" spans="1:4" ht="28">
      <c r="A1" s="30" t="s">
        <v>16</v>
      </c>
      <c r="B1" s="30" t="s">
        <v>17</v>
      </c>
      <c r="C1" s="30" t="s">
        <v>45</v>
      </c>
      <c r="D1" s="30" t="s">
        <v>31</v>
      </c>
    </row>
    <row r="2" spans="1:4">
      <c r="A2" s="29" t="s">
        <v>25</v>
      </c>
      <c r="B2" s="29" t="s">
        <v>52</v>
      </c>
      <c r="C2" s="29">
        <v>2025.12</v>
      </c>
      <c r="D2" s="29">
        <v>-20428.38</v>
      </c>
    </row>
    <row r="3" spans="1:4">
      <c r="A3" s="29" t="s">
        <v>3</v>
      </c>
      <c r="B3" s="29" t="s">
        <v>14</v>
      </c>
      <c r="C3" s="29">
        <v>2025.12</v>
      </c>
      <c r="D3" s="29">
        <v>74664.240000000005</v>
      </c>
    </row>
    <row r="4" spans="1:4">
      <c r="A4" s="29" t="s">
        <v>3</v>
      </c>
      <c r="B4" s="29" t="s">
        <v>53</v>
      </c>
      <c r="C4" s="29">
        <v>2025.12</v>
      </c>
      <c r="D4" s="29">
        <v>104416.4</v>
      </c>
    </row>
    <row r="5" spans="1:4">
      <c r="A5" s="29" t="s">
        <v>3</v>
      </c>
      <c r="B5" s="29" t="s">
        <v>9</v>
      </c>
      <c r="C5" s="29">
        <v>2025.12</v>
      </c>
      <c r="D5" s="29">
        <v>23665.5</v>
      </c>
    </row>
    <row r="6" spans="1:4">
      <c r="A6" s="29" t="s">
        <v>3</v>
      </c>
      <c r="B6" s="29" t="s">
        <v>7</v>
      </c>
      <c r="C6" s="29">
        <v>2025.12</v>
      </c>
      <c r="D6" s="29">
        <v>166.2</v>
      </c>
    </row>
    <row r="7" spans="1:4">
      <c r="A7" s="29" t="s">
        <v>3</v>
      </c>
      <c r="B7" s="29" t="s">
        <v>12</v>
      </c>
      <c r="C7" s="29">
        <v>2025.12</v>
      </c>
      <c r="D7" s="29">
        <v>8614.5</v>
      </c>
    </row>
    <row r="8" spans="1:4">
      <c r="A8" s="29" t="s">
        <v>3</v>
      </c>
      <c r="B8" s="29" t="s">
        <v>55</v>
      </c>
      <c r="C8" s="29">
        <v>2025.12</v>
      </c>
      <c r="D8" s="29">
        <v>18321.84</v>
      </c>
    </row>
    <row r="9" spans="1:4">
      <c r="A9" s="29" t="s">
        <v>19</v>
      </c>
      <c r="B9" s="29" t="s">
        <v>9</v>
      </c>
      <c r="C9" s="29">
        <v>2025.12</v>
      </c>
      <c r="D9" s="29">
        <v>19337.2</v>
      </c>
    </row>
    <row r="10" spans="1:4">
      <c r="A10" s="29" t="s">
        <v>19</v>
      </c>
      <c r="B10" s="29" t="s">
        <v>9</v>
      </c>
      <c r="C10" s="29">
        <v>2025.12</v>
      </c>
      <c r="D10" s="29">
        <v>15000</v>
      </c>
    </row>
    <row r="11" spans="1:4">
      <c r="A11" s="29" t="s">
        <v>19</v>
      </c>
      <c r="B11" s="29" t="s">
        <v>10</v>
      </c>
      <c r="C11" s="29">
        <v>2025.12</v>
      </c>
      <c r="D11" s="29">
        <v>11020.56</v>
      </c>
    </row>
    <row r="12" spans="1:4">
      <c r="A12" s="29" t="s">
        <v>19</v>
      </c>
      <c r="B12" s="29" t="s">
        <v>54</v>
      </c>
      <c r="C12" s="29">
        <v>2025.12</v>
      </c>
      <c r="D12" s="29">
        <v>20.8</v>
      </c>
    </row>
    <row r="13" spans="1:4">
      <c r="A13" s="29" t="s">
        <v>19</v>
      </c>
      <c r="B13" s="29" t="s">
        <v>56</v>
      </c>
      <c r="C13" s="29">
        <v>2025.12</v>
      </c>
      <c r="D13" s="29">
        <v>26.23</v>
      </c>
    </row>
    <row r="14" spans="1:4">
      <c r="A14" s="29" t="s">
        <v>20</v>
      </c>
      <c r="B14" s="29" t="s">
        <v>9</v>
      </c>
      <c r="C14" s="29">
        <v>2025.12</v>
      </c>
      <c r="D14" s="29">
        <v>12758.48</v>
      </c>
    </row>
    <row r="15" spans="1:4">
      <c r="A15" s="29" t="s">
        <v>20</v>
      </c>
      <c r="B15" s="29" t="s">
        <v>7</v>
      </c>
      <c r="C15" s="29">
        <v>2025.12</v>
      </c>
      <c r="D15" s="29">
        <v>47993.68</v>
      </c>
    </row>
    <row r="16" spans="1:4">
      <c r="A16" s="29" t="s">
        <v>4</v>
      </c>
      <c r="B16" s="29" t="s">
        <v>4</v>
      </c>
      <c r="C16" s="29">
        <v>2025.12</v>
      </c>
      <c r="D16" s="29">
        <v>46262.93</v>
      </c>
    </row>
    <row r="17" spans="1:4">
      <c r="A17" s="29" t="s">
        <v>28</v>
      </c>
      <c r="B17" s="29" t="s">
        <v>14</v>
      </c>
      <c r="C17" s="29">
        <v>2025.12</v>
      </c>
      <c r="D17" s="29">
        <v>2868.32</v>
      </c>
    </row>
    <row r="18" spans="1:4">
      <c r="A18" s="29" t="s">
        <v>28</v>
      </c>
      <c r="B18" s="29" t="s">
        <v>9</v>
      </c>
      <c r="C18" s="29">
        <v>2025.12</v>
      </c>
      <c r="D18" s="29">
        <v>22061.360000000001</v>
      </c>
    </row>
    <row r="19" spans="1:4">
      <c r="A19" s="29" t="s">
        <v>28</v>
      </c>
      <c r="B19" s="29" t="s">
        <v>9</v>
      </c>
      <c r="C19" s="29">
        <v>2025.12</v>
      </c>
      <c r="D19" s="29">
        <v>18000</v>
      </c>
    </row>
    <row r="20" spans="1:4">
      <c r="A20" s="29" t="s">
        <v>28</v>
      </c>
      <c r="B20" s="29" t="s">
        <v>7</v>
      </c>
      <c r="C20" s="29">
        <v>2025.12</v>
      </c>
      <c r="D20" s="29">
        <v>49475.35</v>
      </c>
    </row>
    <row r="21" spans="1:4">
      <c r="A21" s="29" t="s">
        <v>28</v>
      </c>
      <c r="B21" s="29" t="s">
        <v>12</v>
      </c>
      <c r="C21" s="29">
        <v>2025.12</v>
      </c>
      <c r="D21" s="29">
        <v>21679.85</v>
      </c>
    </row>
    <row r="22" spans="1:4">
      <c r="A22" s="29" t="s">
        <v>28</v>
      </c>
      <c r="B22" s="29" t="s">
        <v>11</v>
      </c>
      <c r="C22" s="29">
        <v>2025.12</v>
      </c>
      <c r="D22" s="29">
        <v>2671.25</v>
      </c>
    </row>
    <row r="23" spans="1:4">
      <c r="A23" s="29" t="s">
        <v>18</v>
      </c>
      <c r="B23" s="29" t="s">
        <v>12</v>
      </c>
      <c r="C23" s="29">
        <v>2025.12</v>
      </c>
      <c r="D23" s="29">
        <v>3960</v>
      </c>
    </row>
    <row r="24" spans="1:4">
      <c r="A24" s="29" t="s">
        <v>18</v>
      </c>
      <c r="B24" s="29" t="s">
        <v>12</v>
      </c>
      <c r="C24" s="29">
        <v>2025.12</v>
      </c>
      <c r="D24" s="29">
        <v>6588</v>
      </c>
    </row>
    <row r="25" spans="1:4">
      <c r="A25" s="29" t="s">
        <v>18</v>
      </c>
      <c r="B25" s="29" t="s">
        <v>55</v>
      </c>
      <c r="C25" s="29">
        <v>2025.12</v>
      </c>
      <c r="D25" s="29">
        <v>1985.44</v>
      </c>
    </row>
    <row r="26" spans="1:4">
      <c r="A26" s="29" t="s">
        <v>35</v>
      </c>
      <c r="B26" s="29" t="s">
        <v>9</v>
      </c>
      <c r="C26" s="29">
        <v>2025.12</v>
      </c>
      <c r="D26" s="29">
        <v>219.72</v>
      </c>
    </row>
    <row r="27" spans="1:4">
      <c r="A27" s="29" t="s">
        <v>35</v>
      </c>
      <c r="B27" s="29" t="s">
        <v>7</v>
      </c>
      <c r="C27" s="29">
        <v>2025.12</v>
      </c>
      <c r="D27" s="29">
        <v>575.74</v>
      </c>
    </row>
    <row r="28" spans="1:4">
      <c r="A28" s="29" t="s">
        <v>35</v>
      </c>
      <c r="B28" s="29" t="s">
        <v>55</v>
      </c>
      <c r="C28" s="29">
        <v>2025.12</v>
      </c>
      <c r="D28" s="29">
        <v>437.16</v>
      </c>
    </row>
    <row r="29" spans="1:4">
      <c r="A29" s="29" t="s">
        <v>35</v>
      </c>
      <c r="B29" s="29" t="s">
        <v>55</v>
      </c>
      <c r="C29" s="29">
        <v>2025.12</v>
      </c>
      <c r="D29" s="29">
        <v>10394.799999999999</v>
      </c>
    </row>
    <row r="30" spans="1:4">
      <c r="A30" s="29" t="s">
        <v>39</v>
      </c>
      <c r="B30" s="29" t="s">
        <v>54</v>
      </c>
      <c r="C30" s="29">
        <v>2025.12</v>
      </c>
      <c r="D30" s="29">
        <v>477996</v>
      </c>
    </row>
    <row r="31" spans="1:4">
      <c r="A31" s="29" t="s">
        <v>39</v>
      </c>
      <c r="B31" s="29" t="s">
        <v>54</v>
      </c>
      <c r="C31" s="29">
        <v>2025.12</v>
      </c>
      <c r="D31" s="29">
        <v>21108.92</v>
      </c>
    </row>
    <row r="32" spans="1:4">
      <c r="A32" s="29" t="s">
        <v>36</v>
      </c>
      <c r="B32" s="29" t="s">
        <v>27</v>
      </c>
      <c r="C32" s="29">
        <v>2025.12</v>
      </c>
      <c r="D32" s="29">
        <v>209051.59</v>
      </c>
    </row>
    <row r="33" spans="1:4">
      <c r="A33" s="29" t="s">
        <v>36</v>
      </c>
      <c r="B33" s="29" t="s">
        <v>27</v>
      </c>
      <c r="C33" s="29">
        <v>2025.12</v>
      </c>
      <c r="D33" s="29">
        <v>29023.5</v>
      </c>
    </row>
    <row r="34" spans="1:4">
      <c r="A34" s="29" t="s">
        <v>36</v>
      </c>
      <c r="B34" s="29" t="s">
        <v>11</v>
      </c>
      <c r="C34" s="29">
        <v>2025.12</v>
      </c>
      <c r="D34" s="29">
        <v>25</v>
      </c>
    </row>
    <row r="35" spans="1:4">
      <c r="A35" s="29" t="s">
        <v>36</v>
      </c>
      <c r="B35" s="29" t="s">
        <v>56</v>
      </c>
      <c r="C35" s="29">
        <v>2025.12</v>
      </c>
      <c r="D35" s="29">
        <v>86.78</v>
      </c>
    </row>
    <row r="36" spans="1:4">
      <c r="A36" s="29" t="s">
        <v>30</v>
      </c>
      <c r="B36" s="29" t="s">
        <v>27</v>
      </c>
      <c r="C36" s="29">
        <v>2025.12</v>
      </c>
      <c r="D36" s="29">
        <v>18005.599999999999</v>
      </c>
    </row>
    <row r="37" spans="1:4">
      <c r="A37" s="29" t="s">
        <v>30</v>
      </c>
      <c r="B37" s="29" t="s">
        <v>27</v>
      </c>
      <c r="C37" s="29">
        <v>2025.12</v>
      </c>
      <c r="D37" s="29">
        <v>3694.55</v>
      </c>
    </row>
    <row r="38" spans="1:4">
      <c r="A38" s="29" t="s">
        <v>2</v>
      </c>
      <c r="B38" s="29" t="s">
        <v>54</v>
      </c>
      <c r="C38" s="29">
        <v>2025.12</v>
      </c>
      <c r="D38" s="29">
        <v>277.61</v>
      </c>
    </row>
    <row r="39" spans="1:4">
      <c r="A39" s="29" t="s">
        <v>2</v>
      </c>
      <c r="B39" s="29" t="s">
        <v>54</v>
      </c>
      <c r="C39" s="29">
        <v>2025.12</v>
      </c>
      <c r="D39" s="29">
        <v>3008.1</v>
      </c>
    </row>
    <row r="40" spans="1:4">
      <c r="A40" s="29" t="s">
        <v>2</v>
      </c>
      <c r="B40" s="29" t="s">
        <v>12</v>
      </c>
      <c r="C40" s="29">
        <v>2025.12</v>
      </c>
      <c r="D40" s="29">
        <v>38079.120000000003</v>
      </c>
    </row>
    <row r="41" spans="1:4">
      <c r="A41" s="29" t="s">
        <v>2</v>
      </c>
      <c r="B41" s="29" t="s">
        <v>8</v>
      </c>
      <c r="C41" s="29">
        <v>2025.12</v>
      </c>
      <c r="D41" s="29">
        <v>238.48</v>
      </c>
    </row>
    <row r="42" spans="1:4">
      <c r="A42" s="29" t="s">
        <v>2</v>
      </c>
      <c r="B42" s="29" t="s">
        <v>11</v>
      </c>
      <c r="C42" s="29">
        <v>2025.12</v>
      </c>
      <c r="D42" s="29">
        <v>19.75</v>
      </c>
    </row>
    <row r="43" spans="1:4">
      <c r="A43" s="29" t="s">
        <v>2</v>
      </c>
      <c r="B43" s="29" t="s">
        <v>56</v>
      </c>
      <c r="C43" s="29">
        <v>2025.12</v>
      </c>
      <c r="D43" s="29">
        <v>12</v>
      </c>
    </row>
    <row r="44" spans="1:4">
      <c r="A44" s="29" t="s">
        <v>2</v>
      </c>
      <c r="B44" s="29" t="s">
        <v>57</v>
      </c>
      <c r="C44" s="29">
        <v>2025.12</v>
      </c>
      <c r="D44" s="29">
        <v>146.47</v>
      </c>
    </row>
    <row r="45" spans="1:4">
      <c r="A45" s="29" t="s">
        <v>5</v>
      </c>
      <c r="B45" s="29" t="s">
        <v>54</v>
      </c>
      <c r="C45" s="29">
        <v>2025.12</v>
      </c>
      <c r="D45" s="29">
        <v>44.39</v>
      </c>
    </row>
    <row r="46" spans="1:4">
      <c r="A46" s="29" t="s">
        <v>5</v>
      </c>
      <c r="B46" s="29" t="s">
        <v>54</v>
      </c>
      <c r="C46" s="29">
        <v>2025.12</v>
      </c>
      <c r="D46" s="29">
        <v>7060.19</v>
      </c>
    </row>
    <row r="47" spans="1:4">
      <c r="A47" s="29" t="s">
        <v>5</v>
      </c>
      <c r="B47" s="29" t="s">
        <v>54</v>
      </c>
      <c r="C47" s="29">
        <v>2025.12</v>
      </c>
      <c r="D47" s="29">
        <v>224.19</v>
      </c>
    </row>
    <row r="48" spans="1:4">
      <c r="A48" s="29" t="s">
        <v>5</v>
      </c>
      <c r="B48" s="29" t="s">
        <v>13</v>
      </c>
      <c r="C48" s="29">
        <v>2025.12</v>
      </c>
      <c r="D48" s="29">
        <v>8210.24</v>
      </c>
    </row>
    <row r="49" spans="1:4">
      <c r="A49" s="29" t="s">
        <v>5</v>
      </c>
      <c r="B49" s="29" t="s">
        <v>13</v>
      </c>
      <c r="C49" s="29">
        <v>2025.12</v>
      </c>
      <c r="D49" s="29">
        <v>20693.560000000001</v>
      </c>
    </row>
    <row r="50" spans="1:4">
      <c r="A50" s="29" t="s">
        <v>5</v>
      </c>
      <c r="B50" s="29" t="s">
        <v>55</v>
      </c>
      <c r="C50" s="29">
        <v>2025.12</v>
      </c>
      <c r="D50" s="29">
        <v>2649.84</v>
      </c>
    </row>
    <row r="51" spans="1:4">
      <c r="A51" s="29" t="s">
        <v>5</v>
      </c>
      <c r="B51" s="29" t="s">
        <v>11</v>
      </c>
      <c r="C51" s="29">
        <v>2025.12</v>
      </c>
      <c r="D51" s="29">
        <v>57.23</v>
      </c>
    </row>
    <row r="52" spans="1:4">
      <c r="A52" s="29" t="s">
        <v>5</v>
      </c>
      <c r="B52" s="29" t="s">
        <v>56</v>
      </c>
      <c r="C52" s="29">
        <v>2025.12</v>
      </c>
      <c r="D52" s="29">
        <v>97967.27</v>
      </c>
    </row>
    <row r="53" spans="1:4">
      <c r="A53" s="29" t="s">
        <v>5</v>
      </c>
      <c r="B53" s="29" t="s">
        <v>57</v>
      </c>
      <c r="C53" s="29">
        <v>2025.12</v>
      </c>
      <c r="D53" s="29">
        <v>305.83</v>
      </c>
    </row>
    <row r="54" spans="1:4">
      <c r="A54" s="29" t="s">
        <v>6</v>
      </c>
      <c r="B54" s="29" t="s">
        <v>54</v>
      </c>
      <c r="C54" s="29">
        <v>2025.12</v>
      </c>
      <c r="D54" s="29">
        <v>874.96</v>
      </c>
    </row>
    <row r="55" spans="1:4">
      <c r="A55" s="29" t="s">
        <v>6</v>
      </c>
      <c r="B55" s="29" t="s">
        <v>54</v>
      </c>
      <c r="C55" s="29">
        <v>2025.12</v>
      </c>
      <c r="D55" s="29">
        <v>52406.58</v>
      </c>
    </row>
    <row r="56" spans="1:4">
      <c r="A56" s="29" t="s">
        <v>6</v>
      </c>
      <c r="B56" s="29" t="s">
        <v>11</v>
      </c>
      <c r="C56" s="29">
        <v>2025.12</v>
      </c>
      <c r="D56" s="29">
        <v>24014.5</v>
      </c>
    </row>
    <row r="57" spans="1:4">
      <c r="A57" s="29" t="s">
        <v>6</v>
      </c>
      <c r="B57" s="29" t="s">
        <v>11</v>
      </c>
      <c r="C57" s="29">
        <v>2025.12</v>
      </c>
      <c r="D57" s="29">
        <v>78300</v>
      </c>
    </row>
    <row r="58" spans="1:4">
      <c r="A58" s="29" t="s">
        <v>6</v>
      </c>
      <c r="B58" s="29" t="s">
        <v>11</v>
      </c>
      <c r="C58" s="29">
        <v>2025.12</v>
      </c>
      <c r="D58" s="29">
        <v>340091.5</v>
      </c>
    </row>
    <row r="59" spans="1:4">
      <c r="A59" s="29" t="s">
        <v>6</v>
      </c>
      <c r="B59" s="29" t="s">
        <v>56</v>
      </c>
      <c r="C59" s="29">
        <v>2025.12</v>
      </c>
      <c r="D59" s="29">
        <v>36132.57</v>
      </c>
    </row>
    <row r="60" spans="1:4">
      <c r="A60" s="29" t="s">
        <v>6</v>
      </c>
      <c r="B60" s="29" t="s">
        <v>57</v>
      </c>
      <c r="C60" s="29">
        <v>2025.12</v>
      </c>
      <c r="D60" s="29">
        <v>201.29</v>
      </c>
    </row>
    <row r="61" spans="1:4">
      <c r="A61" s="29" t="s">
        <v>32</v>
      </c>
      <c r="B61" s="29" t="s">
        <v>54</v>
      </c>
      <c r="C61" s="29">
        <v>2025.12</v>
      </c>
      <c r="D61" s="29">
        <v>31.88</v>
      </c>
    </row>
    <row r="62" spans="1:4">
      <c r="A62" s="29" t="s">
        <v>32</v>
      </c>
      <c r="B62" s="29" t="s">
        <v>54</v>
      </c>
      <c r="C62" s="29">
        <v>2025.12</v>
      </c>
      <c r="D62" s="29">
        <v>206.5</v>
      </c>
    </row>
    <row r="63" spans="1:4">
      <c r="A63" s="29" t="s">
        <v>32</v>
      </c>
      <c r="B63" s="29" t="s">
        <v>54</v>
      </c>
      <c r="C63" s="29">
        <v>2025.12</v>
      </c>
      <c r="D63" s="29">
        <v>118000</v>
      </c>
    </row>
    <row r="64" spans="1:4">
      <c r="A64" s="29" t="s">
        <v>32</v>
      </c>
      <c r="B64" s="29" t="s">
        <v>54</v>
      </c>
      <c r="C64" s="29">
        <v>2025.12</v>
      </c>
      <c r="D64" s="29">
        <v>4677.5600000000004</v>
      </c>
    </row>
    <row r="65" spans="1:4">
      <c r="A65" s="29" t="s">
        <v>32</v>
      </c>
      <c r="B65" s="29" t="s">
        <v>11</v>
      </c>
      <c r="C65" s="29">
        <v>2025.12</v>
      </c>
      <c r="D65" s="29">
        <v>94.5</v>
      </c>
    </row>
    <row r="66" spans="1:4">
      <c r="A66" s="29" t="s">
        <v>32</v>
      </c>
      <c r="B66" s="29" t="s">
        <v>11</v>
      </c>
      <c r="C66" s="29">
        <v>2025.12</v>
      </c>
      <c r="D66" s="29">
        <v>208.33</v>
      </c>
    </row>
    <row r="67" spans="1:4">
      <c r="A67" s="29" t="s">
        <v>32</v>
      </c>
      <c r="B67" s="29" t="s">
        <v>12</v>
      </c>
      <c r="C67" s="29">
        <v>2025.12</v>
      </c>
      <c r="D67" s="29">
        <v>35888.959999999999</v>
      </c>
    </row>
    <row r="68" spans="1:4">
      <c r="A68" s="29" t="s">
        <v>32</v>
      </c>
      <c r="B68" s="29" t="s">
        <v>12</v>
      </c>
      <c r="C68" s="29">
        <v>2025.12</v>
      </c>
      <c r="D68" s="29">
        <v>55138</v>
      </c>
    </row>
    <row r="69" spans="1:4">
      <c r="A69" s="29" t="s">
        <v>32</v>
      </c>
      <c r="B69" s="29" t="s">
        <v>55</v>
      </c>
      <c r="C69" s="29">
        <v>2025.12</v>
      </c>
      <c r="D69" s="29">
        <v>15828.73</v>
      </c>
    </row>
    <row r="70" spans="1:4">
      <c r="A70" s="29" t="s">
        <v>32</v>
      </c>
      <c r="B70" s="29" t="s">
        <v>55</v>
      </c>
      <c r="C70" s="29">
        <v>2025.12</v>
      </c>
      <c r="D70" s="29">
        <v>107160.56</v>
      </c>
    </row>
    <row r="71" spans="1:4">
      <c r="A71" s="29" t="s">
        <v>32</v>
      </c>
      <c r="B71" s="29" t="s">
        <v>56</v>
      </c>
      <c r="C71" s="29">
        <v>2025.12</v>
      </c>
      <c r="D71" s="29">
        <v>105681.19</v>
      </c>
    </row>
    <row r="72" spans="1:4">
      <c r="A72" s="29" t="s">
        <v>32</v>
      </c>
      <c r="B72" s="29" t="s">
        <v>57</v>
      </c>
      <c r="C72" s="29">
        <v>2025.12</v>
      </c>
      <c r="D72" s="29">
        <v>3744.35</v>
      </c>
    </row>
    <row r="73" spans="1:4">
      <c r="A73" s="29" t="s">
        <v>37</v>
      </c>
      <c r="B73" s="29" t="s">
        <v>11</v>
      </c>
      <c r="C73" s="29">
        <v>2025.12</v>
      </c>
      <c r="D73" s="29">
        <v>30524.95</v>
      </c>
    </row>
    <row r="74" spans="1:4">
      <c r="A74" s="29" t="s">
        <v>37</v>
      </c>
      <c r="B74" s="29" t="s">
        <v>11</v>
      </c>
      <c r="C74" s="29">
        <v>2025.12</v>
      </c>
      <c r="D74" s="29">
        <v>499932.8</v>
      </c>
    </row>
    <row r="75" spans="1:4">
      <c r="A75" s="29" t="s">
        <v>37</v>
      </c>
      <c r="B75" s="29" t="s">
        <v>12</v>
      </c>
      <c r="C75" s="29">
        <v>2025.12</v>
      </c>
      <c r="D75" s="29">
        <v>7207.43</v>
      </c>
    </row>
    <row r="76" spans="1:4">
      <c r="A76" s="29" t="s">
        <v>37</v>
      </c>
      <c r="B76" s="29" t="s">
        <v>8</v>
      </c>
      <c r="C76" s="29">
        <v>2025.12</v>
      </c>
      <c r="D76" s="29">
        <v>16514.439999999999</v>
      </c>
    </row>
    <row r="77" spans="1:4">
      <c r="A77" s="29" t="s">
        <v>37</v>
      </c>
      <c r="B77" s="29" t="s">
        <v>54</v>
      </c>
      <c r="C77" s="29">
        <v>2025.12</v>
      </c>
      <c r="D77" s="29">
        <v>126308.17</v>
      </c>
    </row>
    <row r="78" spans="1:4">
      <c r="A78" s="29" t="s">
        <v>37</v>
      </c>
      <c r="B78" s="29" t="s">
        <v>56</v>
      </c>
      <c r="C78" s="29">
        <v>2025.12</v>
      </c>
      <c r="D78" s="29">
        <v>48.56</v>
      </c>
    </row>
    <row r="79" spans="1:4">
      <c r="A79" s="29" t="s">
        <v>37</v>
      </c>
      <c r="B79" s="29" t="s">
        <v>57</v>
      </c>
      <c r="C79" s="29">
        <v>2025.12</v>
      </c>
      <c r="D79" s="29">
        <v>809.14</v>
      </c>
    </row>
    <row r="80" spans="1:4">
      <c r="A80" s="29" t="s">
        <v>38</v>
      </c>
      <c r="B80" s="29" t="s">
        <v>54</v>
      </c>
      <c r="C80" s="29">
        <v>2025.12</v>
      </c>
      <c r="D80" s="29">
        <v>381.2</v>
      </c>
    </row>
    <row r="81" spans="1:4">
      <c r="A81" s="29" t="s">
        <v>38</v>
      </c>
      <c r="B81" s="29" t="s">
        <v>54</v>
      </c>
      <c r="C81" s="29">
        <v>2025.12</v>
      </c>
      <c r="D81" s="29">
        <v>726.24</v>
      </c>
    </row>
    <row r="82" spans="1:4">
      <c r="A82" s="29" t="s">
        <v>38</v>
      </c>
      <c r="B82" s="29" t="s">
        <v>54</v>
      </c>
      <c r="C82" s="29">
        <v>2025.12</v>
      </c>
      <c r="D82" s="29">
        <v>9345.4599999999991</v>
      </c>
    </row>
    <row r="83" spans="1:4">
      <c r="A83" s="29" t="s">
        <v>38</v>
      </c>
      <c r="B83" s="29" t="s">
        <v>11</v>
      </c>
      <c r="C83" s="29">
        <v>2025.12</v>
      </c>
      <c r="D83" s="29">
        <v>6393</v>
      </c>
    </row>
    <row r="84" spans="1:4">
      <c r="A84" s="29" t="s">
        <v>38</v>
      </c>
      <c r="B84" s="29" t="s">
        <v>11</v>
      </c>
      <c r="C84" s="29">
        <v>2025.12</v>
      </c>
      <c r="D84" s="29">
        <v>105.8</v>
      </c>
    </row>
    <row r="85" spans="1:4">
      <c r="A85" s="29" t="s">
        <v>38</v>
      </c>
      <c r="B85" s="29" t="s">
        <v>55</v>
      </c>
      <c r="C85" s="29">
        <v>2025.12</v>
      </c>
      <c r="D85" s="29">
        <v>7604.76</v>
      </c>
    </row>
    <row r="86" spans="1:4">
      <c r="A86" s="29" t="s">
        <v>38</v>
      </c>
      <c r="B86" s="29" t="s">
        <v>55</v>
      </c>
      <c r="C86" s="29">
        <v>2025.12</v>
      </c>
      <c r="D86" s="29">
        <v>52355</v>
      </c>
    </row>
    <row r="87" spans="1:4">
      <c r="A87" s="29" t="s">
        <v>38</v>
      </c>
      <c r="B87" s="29" t="s">
        <v>56</v>
      </c>
      <c r="C87" s="29">
        <v>2025.12</v>
      </c>
      <c r="D87" s="29">
        <v>110462.9</v>
      </c>
    </row>
    <row r="88" spans="1:4">
      <c r="A88" s="29" t="s">
        <v>38</v>
      </c>
      <c r="B88" s="29" t="s">
        <v>57</v>
      </c>
      <c r="C88" s="29">
        <v>2025.12</v>
      </c>
      <c r="D88" s="29">
        <v>99610.74</v>
      </c>
    </row>
    <row r="89" spans="1:4">
      <c r="A89" s="29" t="s">
        <v>1</v>
      </c>
      <c r="B89" s="29" t="s">
        <v>54</v>
      </c>
      <c r="C89" s="29">
        <v>2025.12</v>
      </c>
      <c r="D89" s="29">
        <v>420612.8</v>
      </c>
    </row>
    <row r="90" spans="1:4">
      <c r="A90" s="29" t="s">
        <v>33</v>
      </c>
      <c r="B90" s="29" t="s">
        <v>9</v>
      </c>
      <c r="C90" s="29">
        <v>2025.12</v>
      </c>
      <c r="D90" s="29">
        <v>9920.6</v>
      </c>
    </row>
    <row r="91" spans="1:4">
      <c r="A91" s="29" t="s">
        <v>33</v>
      </c>
      <c r="B91" s="29" t="s">
        <v>9</v>
      </c>
      <c r="C91" s="29">
        <v>2025.12</v>
      </c>
      <c r="D91" s="29">
        <v>3693.28</v>
      </c>
    </row>
    <row r="92" spans="1:4">
      <c r="A92" s="29" t="s">
        <v>0</v>
      </c>
      <c r="B92" s="29" t="s">
        <v>11</v>
      </c>
      <c r="C92" s="29">
        <v>2025.12</v>
      </c>
      <c r="D92" s="29">
        <v>4246</v>
      </c>
    </row>
    <row r="93" spans="1:4">
      <c r="A93" s="29" t="s">
        <v>0</v>
      </c>
      <c r="B93" s="29" t="s">
        <v>11</v>
      </c>
      <c r="C93" s="29">
        <v>2025.12</v>
      </c>
      <c r="D93" s="29">
        <v>160</v>
      </c>
    </row>
    <row r="94" spans="1:4">
      <c r="A94" s="29" t="s">
        <v>0</v>
      </c>
      <c r="B94" s="29" t="s">
        <v>12</v>
      </c>
      <c r="C94" s="29">
        <v>2025.12</v>
      </c>
      <c r="D94" s="29">
        <v>1895.8</v>
      </c>
    </row>
    <row r="95" spans="1:4">
      <c r="A95" s="29" t="s">
        <v>0</v>
      </c>
      <c r="B95" s="29" t="s">
        <v>12</v>
      </c>
      <c r="C95" s="29">
        <v>2025.12</v>
      </c>
      <c r="D95" s="29">
        <v>400</v>
      </c>
    </row>
    <row r="96" spans="1:4">
      <c r="A96" s="29" t="s">
        <v>0</v>
      </c>
      <c r="B96" s="29" t="s">
        <v>8</v>
      </c>
      <c r="C96" s="29">
        <v>2025.12</v>
      </c>
      <c r="D96" s="29">
        <v>69.099999999999994</v>
      </c>
    </row>
    <row r="97" spans="1:4">
      <c r="A97" s="29" t="s">
        <v>0</v>
      </c>
      <c r="B97" s="29" t="s">
        <v>55</v>
      </c>
      <c r="C97" s="29">
        <v>2025.12</v>
      </c>
      <c r="D97" s="29">
        <v>2222.23</v>
      </c>
    </row>
    <row r="98" spans="1:4">
      <c r="A98" s="29" t="s">
        <v>0</v>
      </c>
      <c r="B98" s="29" t="s">
        <v>54</v>
      </c>
      <c r="C98" s="29">
        <v>2025.12</v>
      </c>
      <c r="D98" s="29">
        <v>157.80000000000001</v>
      </c>
    </row>
    <row r="99" spans="1:4">
      <c r="A99" s="29" t="s">
        <v>29</v>
      </c>
      <c r="B99" s="29" t="s">
        <v>27</v>
      </c>
      <c r="C99" s="29">
        <v>2025.12</v>
      </c>
      <c r="D99" s="29">
        <v>98.49</v>
      </c>
    </row>
    <row r="100" spans="1:4">
      <c r="A100" s="29" t="s">
        <v>29</v>
      </c>
      <c r="B100" s="29" t="s">
        <v>11</v>
      </c>
      <c r="C100" s="29">
        <v>2025.12</v>
      </c>
      <c r="D100" s="29">
        <v>580</v>
      </c>
    </row>
    <row r="101" spans="1:4">
      <c r="A101" s="29" t="s">
        <v>29</v>
      </c>
      <c r="B101" s="29" t="s">
        <v>12</v>
      </c>
      <c r="C101" s="29">
        <v>2025.12</v>
      </c>
      <c r="D101" s="29">
        <v>1781.95</v>
      </c>
    </row>
    <row r="102" spans="1:4">
      <c r="A102" s="29" t="s">
        <v>29</v>
      </c>
      <c r="B102" s="29" t="s">
        <v>8</v>
      </c>
      <c r="C102" s="29">
        <v>2025.12</v>
      </c>
      <c r="D102" s="29">
        <v>78.55</v>
      </c>
    </row>
    <row r="103" spans="1:4">
      <c r="A103" s="29" t="s">
        <v>29</v>
      </c>
      <c r="B103" s="29" t="s">
        <v>55</v>
      </c>
      <c r="C103" s="29">
        <v>2025.12</v>
      </c>
      <c r="D103" s="29">
        <v>1020.4</v>
      </c>
    </row>
    <row r="104" spans="1:4">
      <c r="A104" s="29" t="s">
        <v>26</v>
      </c>
      <c r="B104" s="29" t="s">
        <v>54</v>
      </c>
      <c r="C104" s="29">
        <v>2025.12</v>
      </c>
      <c r="D104" s="29">
        <v>10403.969999999999</v>
      </c>
    </row>
    <row r="105" spans="1:4">
      <c r="A105" s="29" t="s">
        <v>26</v>
      </c>
      <c r="B105" s="29" t="s">
        <v>56</v>
      </c>
      <c r="C105" s="29">
        <v>2025.12</v>
      </c>
      <c r="D105" s="29">
        <v>1015.74</v>
      </c>
    </row>
    <row r="106" spans="1:4">
      <c r="A106" s="29" t="s">
        <v>26</v>
      </c>
      <c r="B106" s="29" t="s">
        <v>57</v>
      </c>
      <c r="C106" s="29">
        <v>2025.12</v>
      </c>
      <c r="D106" s="29">
        <v>425.56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88E8EB-1E24-4783-849A-9CF0A5D058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InData</vt:lpstr>
      <vt:lpstr>OutData</vt:lpstr>
      <vt:lpstr>LngS</vt:lpstr>
      <vt:lpstr>OsyS</vt:lpstr>
      <vt:lpstr>PrjX_Id</vt:lpstr>
      <vt:lpstr>Pth</vt:lpstr>
      <vt:lpstr>Vrs</vt:lpstr>
    </vt:vector>
  </TitlesOfParts>
  <Company>SERRA SOLDADURA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I. PROCESOS</dc:creator>
  <cp:lastModifiedBy>Dídac Pérez Gil</cp:lastModifiedBy>
  <cp:lastPrinted>2013-04-30T09:28:39Z</cp:lastPrinted>
  <dcterms:created xsi:type="dcterms:W3CDTF">2003-03-06T12:03:29Z</dcterms:created>
  <dcterms:modified xsi:type="dcterms:W3CDTF">2025-03-21T19:13:43Z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2021-07-20T08:25:20Z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b8f191dd-3847-4e57-a8db-1b65ede502cd</vt:lpwstr>
  </property>
  <property fmtid="{D5CDD505-2E9C-101B-9397-08002B2CF9AE}" pid="8" name="MSIP_Label_5c37234c-be34-48e6-861e-3e7763cedb77_ContentBits">
    <vt:lpwstr>2</vt:lpwstr>
  </property>
</Properties>
</file>