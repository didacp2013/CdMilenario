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202300"/>
  <mc:AlternateContent xmlns:mc="http://schemas.openxmlformats.org/markup-compatibility/2006">
    <mc:Choice Requires="x15">
      <x15ac:absPath xmlns:x15ac="http://schemas.microsoft.com/office/spreadsheetml/2010/11/ac" url="C:\Users\127839\Downloads\StoryMac\DashBTracker\PruebasCdM\"/>
    </mc:Choice>
  </mc:AlternateContent>
  <xr:revisionPtr revIDLastSave="0" documentId="8_{8E4CD477-A38D-4473-8BD4-2EB9D7835491}" xr6:coauthVersionLast="47" xr6:coauthVersionMax="47" xr10:uidLastSave="{00000000-0000-0000-0000-000000000000}"/>
  <bookViews>
    <workbookView xWindow="28695" yWindow="540" windowWidth="21600" windowHeight="11835" activeTab="2" xr2:uid="{1DED43E1-C979-419C-90BB-6D754B3B8A13}"/>
  </bookViews>
  <sheets>
    <sheet name="Query" sheetId="7" r:id="rId1"/>
    <sheet name="OutData" sheetId="6" r:id="rId2"/>
    <sheet name="InData" sheetId="4" r:id="rId3"/>
  </sheets>
  <functionGroups builtInGroupCount="19"/>
  <definedNames>
    <definedName name="_xlnm._FilterDatabase" localSheetId="2" hidden="1">InData!#REF!</definedName>
    <definedName name="ExternalData_3" localSheetId="1" hidden="1">OutData!$A$1:$L$3185</definedName>
    <definedName name="ExternalData_4" localSheetId="0" hidden="1">Query!$A$1:$A$2</definedName>
    <definedName name="ExternalData_5" localSheetId="2" hidden="1">InData!#REF!</definedName>
    <definedName name="LngS">InData!$F$2</definedName>
    <definedName name="OsyS">InData!$F$3</definedName>
    <definedName name="PrjX_Id">InData!$C$6</definedName>
    <definedName name="Pth">InData!$C$2</definedName>
    <definedName name="Vrs">InData!$C$7</definedName>
    <definedName name="VrsStd">InData!$C$8</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 i="4" l="1"/>
  <c r="F3" i="4" a="1"/>
  <c r="F2" i="4" a="1"/>
  <c r="F3" i="4" l="1"/>
  <c r="F2" i="4"/>
  <c r="B1" i="4" s="1" a="1"/>
  <c r="B1" i="4" s="1"/>
  <c r="C2" i="4" s="1"/>
  <c r="C3" i="4"/>
  <c r="C4" i="4" l="1"/>
  <c r="C5"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FD34CF0-318E-2648-920A-E5E18B4AAB26}" keepAlive="1" name="Query - _ExcelMix" description="Connection to the '_ExcelMix' query in the workbook." type="5" refreshedVersion="0" background="1">
    <dbPr connection="Provider=Microsoft.Mashup.OleDb.1;Data Source=$Workbook$;Location=_ExcelMix;Extended Properties=&quot;&quot;" command="SELECT * FROM [_ExcelMix]"/>
  </connection>
  <connection id="2" xr16:uid="{63B2F8E6-D3B6-4E1E-8F70-69C1F4A7E42E}" keepAlive="1" name="Query - _GetPath" description="Connection to the '_GetPath' query in the workbook." type="5" refreshedVersion="0" background="1">
    <dbPr connection="Provider=Microsoft.Mashup.OleDb.1;Data Source=$Workbook$;Location=_GetPath;Extended Properties=&quot;&quot;" command="SELECT * FROM [_GetPath]"/>
  </connection>
  <connection id="3" xr16:uid="{7A38988B-C5D1-473F-ACC2-A6A7D6428D71}" keepAlive="1" name="Query - BdD1" description="Connection to the 'BdD1' query in the workbook." type="5" refreshedVersion="0" background="1">
    <dbPr connection="Provider=Microsoft.Mashup.OleDb.1;Data Source=$Workbook$;Location=BdD1;Extended Properties=&quot;&quot;" command="SELECT * FROM [BdD1]"/>
  </connection>
  <connection id="4" xr16:uid="{77FEDC9C-0D8C-487E-A604-E80F3CE8988B}" keepAlive="1" name="Query - DataTracker" description="Connection to the 'DataTracker' query in the workbook." type="5" refreshedVersion="0" background="1">
    <dbPr connection="Provider=Microsoft.Mashup.OleDb.1;Data Source=$Workbook$;Location=DataTracker;Extended Properties=&quot;&quot;" command="SELECT * FROM [DataTracker]"/>
  </connection>
  <connection id="5" xr16:uid="{9C0BE895-DE98-414E-AF51-0AF08BEFC384}" keepAlive="1" name="Query - DhB0" description="Connection to the 'DhB0' query in the workbook." type="5" refreshedVersion="0" background="1">
    <dbPr connection="Provider=Microsoft.Mashup.OleDb.1;Data Source=$Workbook$;Location=DhB0;Extended Properties=&quot;&quot;" command="SELECT * FROM [DhB0]"/>
  </connection>
  <connection id="6" xr16:uid="{F608EC58-2D5B-43AE-AE6B-7DBF7726FC6F}" keepAlive="1" name="Query - DhB2" description="Connection to the 'DhB2' query in the workbook." type="5" refreshedVersion="0" background="1">
    <dbPr connection="Provider=Microsoft.Mashup.OleDb.1;Data Source=$Workbook$;Location=DhB2;Extended Properties=&quot;&quot;" command="SELECT * FROM [DhB2]"/>
  </connection>
  <connection id="7" xr16:uid="{146D658D-E28E-4F54-A903-922F8881E326}" keepAlive="1" name="Query - DhB3" description="Connection to the 'DhB3' query in the workbook." type="5" refreshedVersion="0" background="1">
    <dbPr connection="Provider=Microsoft.Mashup.OleDb.1;Data Source=$Workbook$;Location=DhB3;Extended Properties=&quot;&quot;" command="SELECT * FROM [DhB3]"/>
  </connection>
  <connection id="8" xr16:uid="{AF919484-8460-4D6D-B285-26191E6CFD9D}" keepAlive="1" name="Query - F_Asg0" description="Connection to the 'F_Asg0' query in the workbook." type="5" refreshedVersion="0" background="1">
    <dbPr connection="Provider=Microsoft.Mashup.OleDb.1;Data Source=$Workbook$;Location=F_Asg0;Extended Properties=&quot;&quot;" command="SELECT * FROM [F_Asg0]"/>
  </connection>
  <connection id="9" xr16:uid="{571055C8-EA8C-4ECB-BC08-AB8BC38D9D11}" keepAlive="1" name="Query - F_Asg1" description="Connection to the 'F_Asg1' query in the workbook." type="5" refreshedVersion="8" background="1" saveData="1">
    <dbPr connection="Provider=Microsoft.Mashup.OleDb.1;Data Source=$Workbook$;Location=F_Asg1;Extended Properties=&quot;&quot;" command="SELECT * FROM [F_Asg1]"/>
  </connection>
  <connection id="10" xr16:uid="{2AD2653F-E44C-4218-A74F-5564EB3DB7A0}" keepAlive="1" name="Query - F_Asg2" description="Connection to the 'F_Asg2' query in the workbook." type="5" refreshedVersion="8" background="1" saveData="1">
    <dbPr connection="Provider=Microsoft.Mashup.OleDb.1;Data Source=$Workbook$;Location=F_Asg2;Extended Properties=&quot;&quot;" command="SELECT * FROM [F_Asg2]"/>
  </connection>
  <connection id="11" xr16:uid="{8C596D6C-C39E-477B-BE7A-2D100C2CF1E6}" keepAlive="1" name="Query - F_Asg3" description="Connection to the 'F_Asg3' query in the workbook." type="5" refreshedVersion="0" background="1" saveData="1">
    <dbPr connection="Provider=Microsoft.Mashup.OleDb.1;Data Source=$Workbook$;Location=F_Asg3;Extended Properties=&quot;&quot;" command="SELECT * FROM [F_Asg3]"/>
  </connection>
  <connection id="12" xr16:uid="{875A44A9-79D6-4B51-A17C-AC87F9D7E206}" keepAlive="1" name="Query - F_Asg4" description="Connection to the 'F_Asg4' query in the workbook." type="5" refreshedVersion="8" background="1" saveData="1">
    <dbPr connection="Provider=Microsoft.Mashup.OleDb.1;Data Source=$Workbook$;Location=F_Asg4;Extended Properties=&quot;&quot;" command="SELECT * FROM [F_Asg4]"/>
  </connection>
  <connection id="13" xr16:uid="{C60454B7-7A40-6A41-BBE1-94F488D44B99}" keepAlive="1" name="Query - F_Asg5" description="Connection to the 'F_Asg5' query in the workbook." type="5" refreshedVersion="8" background="1" saveData="1">
    <dbPr connection="Provider=Microsoft.Mashup.OleDb.1;Data Source=$Workbook$;Location=F_Asg5;Extended Properties=&quot;&quot;" command="SELECT * FROM [F_Asg5]"/>
  </connection>
  <connection id="14" xr16:uid="{6408294A-F8A2-48EE-9B1A-1217AE53338A}" keepAlive="1" name="Query - F_Fil0" description="Connection to the 'F_Fil0' query in the workbook." type="5" refreshedVersion="0" background="1">
    <dbPr connection="Provider=Microsoft.Mashup.OleDb.1;Data Source=$Workbook$;Location=F_Fil0;Extended Properties=&quot;&quot;" command="SELECT * FROM [F_Fil0]"/>
  </connection>
  <connection id="15" xr16:uid="{B84ADE30-3DA3-4D79-96D8-C0FDB8D7049D}" keepAlive="1" name="Query - F_Fil1" description="Connection to the 'F_Fil1' query in the workbook." type="5" refreshedVersion="8" background="1" saveData="1">
    <dbPr connection="Provider=Microsoft.Mashup.OleDb.1;Data Source=$Workbook$;Location=F_Fil1;Extended Properties=&quot;&quot;" command="SELECT * FROM [F_Fil1]"/>
  </connection>
  <connection id="16" xr16:uid="{A2E45655-7076-48C3-BF84-7AA425ED6BC0}" keepAlive="1" name="Query - F_GEn0" description="Connection to the 'F_GEn0' query in the workbook." type="5" refreshedVersion="0" background="1">
    <dbPr connection="Provider=Microsoft.Mashup.OleDb.1;Data Source=$Workbook$;Location=F_GEn0;Extended Properties=&quot;&quot;" command="SELECT * FROM [F_GEn0]"/>
  </connection>
  <connection id="17" xr16:uid="{E80904FF-7002-4CA5-BBE5-323773F54364}" keepAlive="1" name="Query - F_GEn1" description="Connection to the 'F_GEn1' query in the workbook." type="5" refreshedVersion="0" background="1">
    <dbPr connection="Provider=Microsoft.Mashup.OleDb.1;Data Source=$Workbook$;Location=F_GEn1;Extended Properties=&quot;&quot;" command="SELECT * FROM [F_GEn1]"/>
  </connection>
  <connection id="18" xr16:uid="{B677B82F-6A45-40E7-BD1F-9019B2A9DAA9}" keepAlive="1" name="Query - F_GEn2" description="Connection to the 'F_GEn2' query in the workbook." type="5" refreshedVersion="0" background="1">
    <dbPr connection="Provider=Microsoft.Mashup.OleDb.1;Data Source=$Workbook$;Location=F_GEn2;Extended Properties=&quot;&quot;" command="SELECT * FROM [F_GEn2]"/>
  </connection>
  <connection id="19" xr16:uid="{BE8C4BD1-09DB-46F9-B799-B09C9AA8C43E}" keepAlive="1" name="Query - F_GEn3" description="Connection to the 'F_GEn3' query in the workbook." type="5" refreshedVersion="0" background="1" saveData="1">
    <dbPr connection="Provider=Microsoft.Mashup.OleDb.1;Data Source=$Workbook$;Location=F_GEn3;Extended Properties=&quot;&quot;" command="SELECT * FROM [F_GEn3]"/>
  </connection>
  <connection id="20" xr16:uid="{32D70CDB-4A0A-4D1A-98C5-970E6B291B4A}" keepAlive="1" name="Query - F_GEn4" description="Connection to the 'F_GEn4' query in the workbook." type="5" refreshedVersion="0" background="1">
    <dbPr connection="Provider=Microsoft.Mashup.OleDb.1;Data Source=$Workbook$;Location=F_GEn4;Extended Properties=&quot;&quot;" command="SELECT * FROM [F_GEn4]"/>
  </connection>
  <connection id="21" xr16:uid="{57133165-6099-4538-9D11-CE6401729077}" keepAlive="1" name="Query - F_GEn5" description="Connection to the 'F_GEn5' query in the workbook." type="5" refreshedVersion="8" background="1" saveData="1">
    <dbPr connection="Provider=Microsoft.Mashup.OleDb.1;Data Source=$Workbook$;Location=F_GEn5;Extended Properties=&quot;&quot;" command="SELECT * FROM [F_GEn5]"/>
  </connection>
  <connection id="22" xr16:uid="{D08EF113-A0C7-4685-AB93-53A304883808}" keepAlive="1" name="Query - F_GEn6" description="Connection to the 'F_GEn6' query in the workbook." type="5" refreshedVersion="8" background="1" saveData="1">
    <dbPr connection="Provider=Microsoft.Mashup.OleDb.1;Data Source=$Workbook$;Location=F_GEn6;Extended Properties=&quot;&quot;" command="SELECT * FROM [F_GEn6]"/>
  </connection>
  <connection id="23" xr16:uid="{28BB02EF-6978-4663-BE30-7CDA0C97D1A1}" keepAlive="1" name="Query - F_GEn7" description="Connection to the 'F_GEn7' query in the workbook." type="5" refreshedVersion="8" background="1" saveData="1">
    <dbPr connection="Provider=Microsoft.Mashup.OleDb.1;Data Source=$Workbook$;Location=F_GEn7;Extended Properties=&quot;&quot;" command="SELECT * FROM [F_GEn7]"/>
  </connection>
  <connection id="24" xr16:uid="{6F8F85DE-45B4-4D99-8507-2F0736642863}" keepAlive="1" name="Query - F_GEn8" description="Connection to the 'F_GEn8' query in the workbook." type="5" refreshedVersion="8" background="1" saveData="1">
    <dbPr connection="Provider=Microsoft.Mashup.OleDb.1;Data Source=$Workbook$;Location=F_GEn8;Extended Properties=&quot;&quot;" command="SELECT * FROM [F_GEn8]"/>
  </connection>
  <connection id="25" xr16:uid="{45D7F73A-5BDE-454E-829D-BF09270EB9EC}" keepAlive="1" name="Query - F_Itm0" description="Connection to the 'F_Itm0' query in the workbook." type="5" refreshedVersion="0" background="1">
    <dbPr connection="Provider=Microsoft.Mashup.OleDb.1;Data Source=$Workbook$;Location=F_Itm0;Extended Properties=&quot;&quot;" command="SELECT * FROM [F_Itm0]"/>
  </connection>
  <connection id="26" xr16:uid="{37EB9028-283A-4AC2-B1A6-F54089D24D5F}" keepAlive="1" name="Query - F_Itm1" description="Connection to the 'F_Itm1' query in the workbook." type="5" refreshedVersion="0" background="1">
    <dbPr connection="Provider=Microsoft.Mashup.OleDb.1;Data Source=$Workbook$;Location=F_Itm1;Extended Properties=&quot;&quot;" command="SELECT * FROM [F_Itm1]"/>
  </connection>
  <connection id="27" xr16:uid="{4FCD8611-8F47-450B-878F-EE7034FFD9AD}" keepAlive="1" name="Query - F_Mod" description="Connection to the 'F_Mod' query in the workbook." type="5" refreshedVersion="0" background="1">
    <dbPr connection="Provider=Microsoft.Mashup.OleDb.1;Data Source=$Workbook$;Location=F_Mod;Extended Properties=&quot;&quot;" command="SELECT * FROM [F_Mod]"/>
  </connection>
  <connection id="28" xr16:uid="{ED02E08F-E026-437E-839C-EE6863677809}" keepAlive="1" name="Query - F_STw0" description="Connection to the 'F_STw0' query in the workbook." type="5" refreshedVersion="8" background="1" saveData="1">
    <dbPr connection="Provider=Microsoft.Mashup.OleDb.1;Data Source=$Workbook$;Location=F_STw0;Extended Properties=&quot;&quot;" command="SELECT * FROM [F_STw0]"/>
  </connection>
  <connection id="29" xr16:uid="{7A14D692-67B4-429C-9278-113482779BC6}" keepAlive="1" name="Query - F_STw1" description="Connection to the 'F_STw1' query in the workbook." type="5" refreshedVersion="8" background="1" saveData="1">
    <dbPr connection="Provider=Microsoft.Mashup.OleDb.1;Data Source=$Workbook$;Location=F_STw1;Extended Properties=&quot;&quot;" command="SELECT * FROM [F_STw1]"/>
  </connection>
  <connection id="30" xr16:uid="{E4AF0158-1AC0-41EA-87F0-C0AC662C973B}" keepAlive="1" name="Query - F_STx0" description="Connection to the 'F_STx0' query in the workbook." type="5" refreshedVersion="8" background="1" saveData="1">
    <dbPr connection="Provider=Microsoft.Mashup.OleDb.1;Data Source=$Workbook$;Location=F_STx0;Extended Properties=&quot;&quot;" command="SELECT * FROM [F_STx0]"/>
  </connection>
  <connection id="31" xr16:uid="{DE758A03-6BD4-4AC0-88B2-80C2F2FD6ACA}" keepAlive="1" name="Query - F_STx1" description="Connection to the 'F_STx1' query in the workbook." type="5" refreshedVersion="8" background="1" saveData="1">
    <dbPr connection="Provider=Microsoft.Mashup.OleDb.1;Data Source=$Workbook$;Location=F_STx1;Extended Properties=&quot;&quot;" command="SELECT * FROM [F_STx1]"/>
  </connection>
  <connection id="32" xr16:uid="{716B3A68-D688-4694-9C61-52CA9BA4B372}" keepAlive="1" name="Query - FilDet" description="Connection to the 'FilDet' query in the workbook." type="5" refreshedVersion="0" background="1">
    <dbPr connection="Provider=Microsoft.Mashup.OleDb.1;Data Source=$Workbook$;Location=FilDet;Extended Properties=&quot;&quot;" command="SELECT * FROM [FilDet]"/>
  </connection>
  <connection id="33" xr16:uid="{ED5E062E-0F73-4B30-990D-40FF702054C6}" keepAlive="1" name="Query - P_Txt" description="Connection to the 'P_Txt' query in the workbook." type="5" refreshedVersion="0" background="1">
    <dbPr connection="Provider=Microsoft.Mashup.OleDb.1;Data Source=$Workbook$;Location=P_Txt;Extended Properties=&quot;&quot;" command="SELECT * FROM [P_Txt]"/>
  </connection>
  <connection id="34" xr16:uid="{1C5453B3-9078-9846-8D56-24A6F7B6E05C}" keepAlive="1" name="Query - P_Xls(1)" description="Connection to the 'P_Xls' query in the workbook." type="5" refreshedVersion="0" background="1">
    <dbPr connection="Provider=Microsoft.Mashup.OleDb.1;Data Source=$Workbook$;Location=P_Xls;Extended Properties=&quot;&quot;" command="SELECT * FROM [P_Xls]"/>
  </connection>
  <connection id="35" xr16:uid="{272B5B12-31F6-40CA-B9FB-908B25A42F98}" keepAlive="1" name="Query - P_Xlsx" description="Connection to the 'P_Xlsx' query in the workbook." type="5" refreshedVersion="0" background="1">
    <dbPr connection="Provider=Microsoft.Mashup.OleDb.1;Data Source=$Workbook$;Location=P_Xlsx;Extended Properties=&quot;&quot;" command="SELECT * FROM [P_Xlsx]"/>
  </connection>
  <connection id="36" xr16:uid="{FF6E3309-0C97-4997-B90C-A7AE42468B7A}" keepAlive="1" name="Query - PrjPrj0" description="Connection to the 'PrjPrj0' query in the workbook." type="5" refreshedVersion="0" background="1">
    <dbPr connection="Provider=Microsoft.Mashup.OleDb.1;Data Source=$Workbook$;Location=PrjPrj0;Extended Properties=&quot;&quot;" command="SELECT * FROM [PrjPrj0]"/>
  </connection>
  <connection id="37" xr16:uid="{EC41495D-FC86-4DE0-8AD6-0385A9F15956}" keepAlive="1" name="Query - PrjPrj1" description="Connection to the 'PrjPrj1' query in the workbook." type="5" refreshedVersion="0" background="1">
    <dbPr connection="Provider=Microsoft.Mashup.OleDb.1;Data Source=$Workbook$;Location=PrjPrj1;Extended Properties=&quot;&quot;" command="SELECT * FROM [PrjPrj1]"/>
  </connection>
  <connection id="38" xr16:uid="{FCAF24C6-94F6-4991-9B3E-005444D0B8CB}" keepAlive="1" name="Query - ProcesarDatosJerarquicos" description="Connection to the 'ProcesarDatosJerarquicos' query in the workbook." type="5" refreshedVersion="0" background="1">
    <dbPr connection="Provider=Microsoft.Mashup.OleDb.1;Data Source=$Workbook$;Location=ProcesarDatosJerarquicos;Extended Properties=&quot;&quot;" command="SELECT * FROM [ProcesarDatosJerarquicos]"/>
  </connection>
  <connection id="39" xr16:uid="{90F621E9-2607-4828-8FD0-F5D2ECFC23F9}" keepAlive="1" name="Query - S_Txt" description="Connection to the 'S_Txt' query in the workbook." type="5" refreshedVersion="0" background="1">
    <dbPr connection="Provider=Microsoft.Mashup.OleDb.1;Data Source=$Workbook$;Location=S_Txt;Extended Properties=&quot;&quot;" command="SELECT * FROM [S_Txt]"/>
  </connection>
  <connection id="40" xr16:uid="{E81E1A0E-3D82-4431-B3CD-07CD96C9725C}" keepAlive="1" name="Query - S_Xlsx" description="Connection to the 'S_Xlsx' query in the workbook." type="5" refreshedVersion="0" background="1">
    <dbPr connection="Provider=Microsoft.Mashup.OleDb.1;Data Source=$Workbook$;Location=S_Xlsx;Extended Properties=&quot;&quot;" command="SELECT * FROM [S_Xlsx]"/>
  </connection>
  <connection id="41" xr16:uid="{E9245F86-33F7-4B97-9B1A-7E5F5688A313}" keepAlive="1" name="Query - T_Txt" description="Connection to the 'T_Txt' query in the workbook." type="5" refreshedVersion="0" background="1">
    <dbPr connection="Provider=Microsoft.Mashup.OleDb.1;Data Source=$Workbook$;Location=T_Txt;Extended Properties=&quot;&quot;" command="SELECT * FROM [T_Txt]"/>
  </connection>
  <connection id="42" xr16:uid="{2FA90779-B072-A248-B9D9-32F4B077B2D6}" keepAlive="1" name="Query - T_Xls(1)" description="Connection to the 'T_Xls' query in the workbook." type="5" refreshedVersion="0" background="1">
    <dbPr connection="Provider=Microsoft.Mashup.OleDb.1;Data Source=$Workbook$;Location=T_Xls;Extended Properties=&quot;&quot;" command="SELECT * FROM [T_Xls]"/>
  </connection>
  <connection id="43" xr16:uid="{70ACDFC4-7051-46C2-89E3-08D315E46830}" keepAlive="1" name="Query - T_Xlsx" description="Connection to the 'T_Xlsx' query in the workbook." type="5" refreshedVersion="0" background="1">
    <dbPr connection="Provider=Microsoft.Mashup.OleDb.1;Data Source=$Workbook$;Location=T_Xlsx;Extended Properties=&quot;&quot;" command="SELECT * FROM [T_Xlsx]"/>
  </connection>
  <connection id="44" xr16:uid="{D8E0083A-8785-419B-82C6-6747220FEF53}" keepAlive="1" name="Query - TbItmExp" description="Connection to the 'TbItmExp' query in the workbook." type="5" refreshedVersion="0" background="1">
    <dbPr connection="Provider=Microsoft.Mashup.OleDb.1;Data Source=$Workbook$;Location=TbItmExp;Extended Properties=&quot;&quot;" command="SELECT * FROM [TbItmExp]"/>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<sst xmlns="http://schemas.openxmlformats.org/spreadsheetml/2006/main" count="30491" uniqueCount="6468">
  <si>
    <t>PathName</t>
  </si>
  <si>
    <t>SOR</t>
  </si>
  <si>
    <t>Windows System</t>
  </si>
  <si>
    <t>English Version</t>
  </si>
  <si>
    <t>Sheet Name</t>
  </si>
  <si>
    <t>LngS</t>
  </si>
  <si>
    <t>CstId</t>
  </si>
  <si>
    <t xml:space="preserve">ABONO                                </t>
  </si>
  <si>
    <t>008</t>
  </si>
  <si>
    <t xml:space="preserve">TRANSPORTEC                          </t>
  </si>
  <si>
    <t>041</t>
  </si>
  <si>
    <t xml:space="preserve">EMBALAJE                             </t>
  </si>
  <si>
    <t>046</t>
  </si>
  <si>
    <t xml:space="preserve">DES001                               </t>
  </si>
  <si>
    <t>038</t>
  </si>
  <si>
    <t xml:space="preserve">TRANSPORTEV                          </t>
  </si>
  <si>
    <t>045</t>
  </si>
  <si>
    <t>099</t>
  </si>
  <si>
    <t xml:space="preserve">ItmId              </t>
  </si>
  <si>
    <t>040</t>
  </si>
  <si>
    <t>042</t>
  </si>
  <si>
    <t>043</t>
  </si>
  <si>
    <t>044</t>
  </si>
  <si>
    <t>068</t>
  </si>
  <si>
    <t>070</t>
  </si>
  <si>
    <t>071</t>
  </si>
  <si>
    <t>075</t>
  </si>
  <si>
    <t>076</t>
  </si>
  <si>
    <t>081</t>
  </si>
  <si>
    <t>082</t>
  </si>
  <si>
    <t>ANT</t>
  </si>
  <si>
    <t>ANTICIPOS</t>
  </si>
  <si>
    <t>P40</t>
  </si>
  <si>
    <t>P41</t>
  </si>
  <si>
    <t>DES000</t>
  </si>
  <si>
    <t>VENTA</t>
  </si>
  <si>
    <t>COMISION</t>
  </si>
  <si>
    <t>FINANC</t>
  </si>
  <si>
    <t>DES003</t>
  </si>
  <si>
    <t>DES002</t>
  </si>
  <si>
    <t>TRANPORTECN</t>
  </si>
  <si>
    <t>TRANPORTEVN</t>
  </si>
  <si>
    <t>EMBALAJEN</t>
  </si>
  <si>
    <t>ADUANA1</t>
  </si>
  <si>
    <t>ADUANA2</t>
  </si>
  <si>
    <t>GENERAL</t>
  </si>
  <si>
    <t>DES010</t>
  </si>
  <si>
    <t>TRANSPORTE10</t>
  </si>
  <si>
    <t>Row</t>
  </si>
  <si>
    <t>Column</t>
  </si>
  <si>
    <t>MATERIAL SERRA UNP</t>
  </si>
  <si>
    <t>MATERIAL MECÁNICO</t>
  </si>
  <si>
    <t>DISEÑO HARDWARE</t>
  </si>
  <si>
    <t>MONTAJE EN SERRA</t>
  </si>
  <si>
    <t>ARMARIOS ELECTRICOS</t>
  </si>
  <si>
    <t>MATERIAL ELÉCTRICO</t>
  </si>
  <si>
    <t>DISEÑO UTILES/GARRAS</t>
  </si>
  <si>
    <t>FABRICACIÓN MECÁNICA</t>
  </si>
  <si>
    <t>RECEPCION UTILES</t>
  </si>
  <si>
    <t>FABRICACION UTILES/GARRAS</t>
  </si>
  <si>
    <t>FABRICACION ELEMENTOS IMPLANTA</t>
  </si>
  <si>
    <t>GESTION Y COORDINACION</t>
  </si>
  <si>
    <t>GESTIÓN DE PROYECTOS</t>
  </si>
  <si>
    <t>GESTIÓN MECÁNICA</t>
  </si>
  <si>
    <t>DISEÑO ELÉCTRICO</t>
  </si>
  <si>
    <t>MONTAJE MECÁNICO</t>
  </si>
  <si>
    <t>INSTALACIÓN E.N.R.</t>
  </si>
  <si>
    <t>PUESTA EN MARCHA EN PLANTA</t>
  </si>
  <si>
    <t>ROBÓTICA</t>
  </si>
  <si>
    <t>DISEÑO SOFTWARE</t>
  </si>
  <si>
    <t>MATERIAL FLUIDOS</t>
  </si>
  <si>
    <t>DISEÑO NR</t>
  </si>
  <si>
    <t>ROBCAD</t>
  </si>
  <si>
    <t>PUESTA EN MARCHA EN SERRA</t>
  </si>
  <si>
    <t>DESMONTAJE</t>
  </si>
  <si>
    <t>DISEÑO MECÁNICO</t>
  </si>
  <si>
    <t>DISEÑO ELEMENTOS IMPLANTACION</t>
  </si>
  <si>
    <t>FABRICACIÓN ELÉCTRICA</t>
  </si>
  <si>
    <t>METROLOGÍA</t>
  </si>
  <si>
    <t>ENR. UTILES/GARRAS</t>
  </si>
  <si>
    <t>GRANDES COMPRAS</t>
  </si>
  <si>
    <t>PROGRAMA STD PLC SIEMENS</t>
  </si>
  <si>
    <t>COSTES EVITABLES</t>
  </si>
  <si>
    <t>COSTES EVITABLES PROVEEDORES</t>
  </si>
  <si>
    <t>GASTOS ADUANALES</t>
  </si>
  <si>
    <t>TRANSP. &amp; DESPLAZ.</t>
  </si>
  <si>
    <t>GASTOS DE DESPLAZAMIENTO</t>
  </si>
  <si>
    <t>GASTOS GENERALES</t>
  </si>
  <si>
    <t>TRANSPORTES Y EMBALAJES</t>
  </si>
  <si>
    <t>1</t>
  </si>
  <si>
    <t>2</t>
  </si>
  <si>
    <t>3</t>
  </si>
  <si>
    <t>00N15-1-00Ax1=0
634344/10</t>
  </si>
  <si>
    <t>127249x37=1563,25
378766/00</t>
  </si>
  <si>
    <t>142355x4=392,48
420654/120
378785/00
378956/00</t>
  </si>
  <si>
    <t>142355x2=196,24
420654/120
378785/00
378956/00</t>
  </si>
  <si>
    <t>142356x36=3574,08
378785/00</t>
  </si>
  <si>
    <t>142908x9=198,99
378785/00</t>
  </si>
  <si>
    <t>142909x41=3870,81
378785/00
378956/00</t>
  </si>
  <si>
    <t>142910x8=7849,92
378785/00</t>
  </si>
  <si>
    <t>142911x2=865,8
378785/00</t>
  </si>
  <si>
    <t>142913x6=4012,44
378785/00</t>
  </si>
  <si>
    <t>142915x60=95,4
378785/00</t>
  </si>
  <si>
    <t>143037x27=611,55
378766/00</t>
  </si>
  <si>
    <t>142355x8=676
420654/120
378785/00
378956/00</t>
  </si>
  <si>
    <t>101263x8=16,4
420654/10
420654/130
420658/10
420690/10
420724/10</t>
  </si>
  <si>
    <t>01E02-1-00Ax1=0
634344/20</t>
  </si>
  <si>
    <t>102087x13=93,28
378775/00
378846/00
378989/00
379035/00</t>
  </si>
  <si>
    <t>106004x24=218,11
378775/00</t>
  </si>
  <si>
    <t>106918x160=33,57
378776/00
378848/00
379589/00</t>
  </si>
  <si>
    <t>110055x8=151,92
378772/00</t>
  </si>
  <si>
    <t>110851x46=249
378775/00
378846/00
378989/00
379035/00</t>
  </si>
  <si>
    <t>110860x32=301,22
420763/30
378775/00
378846/00
378930/00</t>
  </si>
  <si>
    <t>110866x13=121,07
378775/00
378989/00</t>
  </si>
  <si>
    <t>111037x46=399,65
421296/20
378775/00
378846/00
378989/00</t>
  </si>
  <si>
    <t>112381x120=153,16
378776/00
378848/00
379589/00</t>
  </si>
  <si>
    <t>112810x8=161,36
477126/00</t>
  </si>
  <si>
    <t>112944x8=302,54
378774/00</t>
  </si>
  <si>
    <t>113394x80=115,56
378772/00</t>
  </si>
  <si>
    <t>119770x800=186,72
378776/00
378848/00
477680/00</t>
  </si>
  <si>
    <t>120612x15=43,2
378772/00
378988/00</t>
  </si>
  <si>
    <t>120613x50=144
378772/00
378988/00</t>
  </si>
  <si>
    <t>122390x160=36,14
378776/00
378848/00
378936/00
477680/00</t>
  </si>
  <si>
    <t>123070x160=158,4
378778/00</t>
  </si>
  <si>
    <t>123497x8=776,88
378772/00</t>
  </si>
  <si>
    <t>123931x8=172,08
378772/00</t>
  </si>
  <si>
    <t>124155x40=51,38
477169/00
378776/00
378848/00</t>
  </si>
  <si>
    <t>124268x22=30,98
378776/00</t>
  </si>
  <si>
    <t>124268x20=28,16
378776/00</t>
  </si>
  <si>
    <t>124268x18=25,35
378776/00</t>
  </si>
  <si>
    <t>129094x32=14,59
378776/00</t>
  </si>
  <si>
    <t>129452x8=27,04
477126/00</t>
  </si>
  <si>
    <t>132456x48=457,8
378771/00
015952/00</t>
  </si>
  <si>
    <t>132456x6=57,23
378771/00
015952/00</t>
  </si>
  <si>
    <t>132459x8=205,68
477124/00</t>
  </si>
  <si>
    <t>132521x8=457,12
477126/00</t>
  </si>
  <si>
    <t>136289x80=436,13
378771/00
379586/00</t>
  </si>
  <si>
    <t>136290x40=218,06
378771/00
379022/00
379586/00</t>
  </si>
  <si>
    <t>137459x8=65,2
378771/00</t>
  </si>
  <si>
    <t>137500x8=42,24
378771/00</t>
  </si>
  <si>
    <t>137574x8=399,66
378771/00</t>
  </si>
  <si>
    <t>138598x300=101,4
378775/00
378846/00
379035/00</t>
  </si>
  <si>
    <t>138599x300=146,4
378775/00
378846/00
379035/00</t>
  </si>
  <si>
    <t>138978x36=38,05
378774/00
379020/00</t>
  </si>
  <si>
    <t>138979x16=378,22
378774/00
379020/00</t>
  </si>
  <si>
    <t>140216x185=70,02
378776/00
477680/00</t>
  </si>
  <si>
    <t>140367x195=398,97
378778/00
378850/00</t>
  </si>
  <si>
    <t>140472x48=152,93
378778/00
477300/00</t>
  </si>
  <si>
    <t>140491x8=161,92
477124/00</t>
  </si>
  <si>
    <t>140492x8=246,8
477124/00</t>
  </si>
  <si>
    <t>140703x50=345
378773/00
378998/00</t>
  </si>
  <si>
    <t>140752x8=522
378772/00
378929/00</t>
  </si>
  <si>
    <t>140753x8=136,08
378772/00
378929/00</t>
  </si>
  <si>
    <t>141070x8=132,43
378776/00</t>
  </si>
  <si>
    <t>141286x16=157,08
378771/00
379022/00
379586/00</t>
  </si>
  <si>
    <t>141673x16=141,6
477126/00</t>
  </si>
  <si>
    <t>141983x5=26,37
378772/00
015949/00</t>
  </si>
  <si>
    <t>141983x4=21,1
378772/00
015949/00</t>
  </si>
  <si>
    <t>141984x4=372,6
378772/00
378929/00
015948/00</t>
  </si>
  <si>
    <t>141984x1=93,15
378772/00
378929/00
015948/00</t>
  </si>
  <si>
    <t>141984x3=279,45
378772/00
378929/00
015948/00</t>
  </si>
  <si>
    <t>142247x4=100,08
378772/00
378929/00
015950/00</t>
  </si>
  <si>
    <t>142247x1=25,02
378772/00
378929/00
015950/00</t>
  </si>
  <si>
    <t>142247x3=75,06
378772/00
378929/00
015950/00</t>
  </si>
  <si>
    <t>143766x64=260,64
378772/00</t>
  </si>
  <si>
    <t>143787x16=709,2
378772/00</t>
  </si>
  <si>
    <t>143788x4=2494,8
378772/00</t>
  </si>
  <si>
    <t>144384x16=644,4
378772/00</t>
  </si>
  <si>
    <t>144529x16=171,36
378772/00</t>
  </si>
  <si>
    <t>99001x8=236,48
378838/00</t>
  </si>
  <si>
    <t>99046x8=79,76
477329/00</t>
  </si>
  <si>
    <t>101377x300=2,1
420658/590
634346/270
634346/420
634346/1310
420776/170</t>
  </si>
  <si>
    <t>105978x300=9,9
634343/230
420658/600
634346/430
634346/580
634346/1340</t>
  </si>
  <si>
    <t>103147x94=15,96
634343/240
420658/610</t>
  </si>
  <si>
    <t>132962x12=1,8
420658/620
420731/230</t>
  </si>
  <si>
    <t>126192x12=0,78
634343/270
420658/630</t>
  </si>
  <si>
    <t>101404x894=11,54
634343/70
420658/640
420733/270</t>
  </si>
  <si>
    <t>101455x30=0,99
420658/650</t>
  </si>
  <si>
    <t>104824x30=0,81
420658/660</t>
  </si>
  <si>
    <t>101442x30=0,95
420658/670
420658/800</t>
  </si>
  <si>
    <t>116021x30=0,9
420658/680
634347/220</t>
  </si>
  <si>
    <t>118970x40=4,6
634343/250
420658/690</t>
  </si>
  <si>
    <t>105411x30=0,74
420658/710</t>
  </si>
  <si>
    <t>105301x16=3,1
420658/720</t>
  </si>
  <si>
    <t>105302x16=3,08
420658/730</t>
  </si>
  <si>
    <t>128872x7=0,91
420658/740</t>
  </si>
  <si>
    <t>128874x16=2,51
420658/750</t>
  </si>
  <si>
    <t>104841x50=4,5
420658/760</t>
  </si>
  <si>
    <t>104842x50=3,95
420658/770</t>
  </si>
  <si>
    <t>128871x50=5,5
420658/780</t>
  </si>
  <si>
    <t>132975x50=2
634343/50
634343/200
420658/790</t>
  </si>
  <si>
    <t>101405x30=0,43
420658/810</t>
  </si>
  <si>
    <t>104150x3=3,9
420658/820
634346/1020</t>
  </si>
  <si>
    <t>104148x3=7,2
420658/830
420732/280
420732/290
420731/280
420733/460</t>
  </si>
  <si>
    <t>30991.00.419.000x99=21,88
634341/60
420658/840
420776/280</t>
  </si>
  <si>
    <t>01E05-1-00Ax1=0
634344/30</t>
  </si>
  <si>
    <t>141329x8=194,27
378857/00</t>
  </si>
  <si>
    <t>141727x8=634,58
378857/00
378875/00
379727/00</t>
  </si>
  <si>
    <t>141727x20=1586,44
378857/00
378875/00
379727/00</t>
  </si>
  <si>
    <t>141728x28=396,48
379727/00
015639/00
015644/00</t>
  </si>
  <si>
    <t>99014x8=6292
378857/00</t>
  </si>
  <si>
    <t>01E06-1-00Ax1=0
634344/40</t>
  </si>
  <si>
    <t>141728x8=113,28
379727/00
015639/00
015644/00</t>
  </si>
  <si>
    <t>21020.00.401.430x12=3,84
420734/30
420734/40
420869/410
420869/530
420869/540</t>
  </si>
  <si>
    <t>120948x10=77,9
420734/50
378843/00
379705/00</t>
  </si>
  <si>
    <t>66010x1=5704,75
378904/00</t>
  </si>
  <si>
    <t>66029x1=1303,7
378904/00</t>
  </si>
  <si>
    <t>04E01-1-00x1=0
634344/60</t>
  </si>
  <si>
    <t>111610x6=23,58
378929/00</t>
  </si>
  <si>
    <t>122379x40=18,29
378936/00</t>
  </si>
  <si>
    <t>122390x6=1,36
378776/00
378848/00
378936/00
477680/00</t>
  </si>
  <si>
    <t>122394x10=6,06
378936/00</t>
  </si>
  <si>
    <t>128808x1=26,23
477301/00</t>
  </si>
  <si>
    <t>139609x1=35,07
015938/00</t>
  </si>
  <si>
    <t>140276x1=33,36
378928/00</t>
  </si>
  <si>
    <t>140472x6=19,12
378778/00
477300/00</t>
  </si>
  <si>
    <t>140752x1=65,25
378772/00
378929/00</t>
  </si>
  <si>
    <t>140753x1=17,01
378772/00
378929/00</t>
  </si>
  <si>
    <t>141614x1=1,83
015796/00</t>
  </si>
  <si>
    <t>141620x1=4,34
378928/00</t>
  </si>
  <si>
    <t>141685x1=35,13
378998/00</t>
  </si>
  <si>
    <t>141722x1=55,71
378928/00</t>
  </si>
  <si>
    <t>142314x1=32,41
015954/00</t>
  </si>
  <si>
    <t>142333x1=13,59
015795/00</t>
  </si>
  <si>
    <t>142510x1=37,78
378928/00</t>
  </si>
  <si>
    <t>142592x1=4,2
378928/00</t>
  </si>
  <si>
    <t>143030x1=289,99
016025/00</t>
  </si>
  <si>
    <t>144327x1=7,84
378929/00</t>
  </si>
  <si>
    <t>144383x2=72,9
378929/00</t>
  </si>
  <si>
    <t>144566x1=364,5
378929/00</t>
  </si>
  <si>
    <t>144567x2=19,89
378929/00</t>
  </si>
  <si>
    <t>144953x2=173,7
378929/00</t>
  </si>
  <si>
    <t>145060x3=4833,68
378928/00
379669/00</t>
  </si>
  <si>
    <t>145294x12=10690,35
378928/00</t>
  </si>
  <si>
    <t>145339x1=4,51
378928/00</t>
  </si>
  <si>
    <t>99036x2=3292,2
378934/00</t>
  </si>
  <si>
    <t>99037x2=0
378934/00</t>
  </si>
  <si>
    <t>99038x6=15,08
378931/00</t>
  </si>
  <si>
    <t>99039x4=12,58
378931/00
379314/00</t>
  </si>
  <si>
    <t>101609x8=43,28
634344/70
420732/210</t>
  </si>
  <si>
    <t>66012x0,2=4138,71
378959/00</t>
  </si>
  <si>
    <t>66012x0,4=8277,42
378959/00</t>
  </si>
  <si>
    <t>66012x0,1=2069,36
378959/00</t>
  </si>
  <si>
    <t>66014x0,2=2131,05
378959/00</t>
  </si>
  <si>
    <t>66014x0,4=4262,1
378959/00</t>
  </si>
  <si>
    <t>66014x0,1=1065,53
378959/00</t>
  </si>
  <si>
    <t>01E00-0-00Ax1=0
634344/100</t>
  </si>
  <si>
    <t>102087x14=100,45
378775/00
378846/00
378989/00
379035/00</t>
  </si>
  <si>
    <t>102087x3=21,53
378775/00
378846/00
378989/00
379035/00</t>
  </si>
  <si>
    <t>110851x35=189,46
378775/00
378846/00
378989/00
379035/00</t>
  </si>
  <si>
    <t>110866x17=158,32
378775/00
378989/00</t>
  </si>
  <si>
    <t>111037x35=304,08
421296/20
378775/00
378846/00
378989/00</t>
  </si>
  <si>
    <t>120613x35=100,8
378772/00
378988/00</t>
  </si>
  <si>
    <t>01E13-1-00Ax1=0
634344/120</t>
  </si>
  <si>
    <t>145013x2=1573
379013/00</t>
  </si>
  <si>
    <t>00E04-0-00x1=0
634344/130</t>
  </si>
  <si>
    <t>142149x4=110,42
379033/00</t>
  </si>
  <si>
    <t>142150x30=27,59
379033/00</t>
  </si>
  <si>
    <t>99115x1=67,1
675884/00</t>
  </si>
  <si>
    <t>142909x4=377,64
378785/00
378956/00</t>
  </si>
  <si>
    <t>04E02-1-00Ax1=0
634344/160</t>
  </si>
  <si>
    <t>145337x1=38,34
379127/00</t>
  </si>
  <si>
    <t>145338x2=63,9
379127/00</t>
  </si>
  <si>
    <t>99149x1=19,89
379127/00</t>
  </si>
  <si>
    <t>109118x30=0,33
634344/170
634346/1050
420732/410</t>
  </si>
  <si>
    <t>109117x30=0,33
624324/30
634344/180
634346/1080
420776/160
420776/190
420776/260</t>
  </si>
  <si>
    <t>00E03-0-00Ax1=0
634344/190</t>
  </si>
  <si>
    <t>119770x100=23,34
378776/00
378848/00
477680/00</t>
  </si>
  <si>
    <t>01E17-1-00Ax1=0
634344/200</t>
  </si>
  <si>
    <t>122390x60=13,55
378776/00
378848/00
378936/00
477680/00</t>
  </si>
  <si>
    <t>140216x50=18,93
378776/00
477680/00</t>
  </si>
  <si>
    <t>00E06-0-00Ax1=0
634344/210</t>
  </si>
  <si>
    <t>144814x30=49,14
421026/50
421026/60
420763/40
477703/00</t>
  </si>
  <si>
    <t>139929x10=253,5
379295/00</t>
  </si>
  <si>
    <t>139929x20=507
379295/00</t>
  </si>
  <si>
    <t>99166x1=1370
379293/00</t>
  </si>
  <si>
    <t>04E03-1-00x1=0
634344/240</t>
  </si>
  <si>
    <t>99167x4=14,22
379314/00</t>
  </si>
  <si>
    <t>00E09-0-00Ax1=0
634344/250</t>
  </si>
  <si>
    <t>145974x4096=182,27
379554/00</t>
  </si>
  <si>
    <t>00E20-1-00Ax1=0
634344/260</t>
  </si>
  <si>
    <t>140194x2=122,82
379576/00</t>
  </si>
  <si>
    <t>144238x1=47,07
379576/00</t>
  </si>
  <si>
    <t>144387x1=212,66
379576/00</t>
  </si>
  <si>
    <t>00E21-1-00Ax1=0
634344/270</t>
  </si>
  <si>
    <t>136289x3=16,35
378771/00
379586/00</t>
  </si>
  <si>
    <t>136290x7=38,16
378771/00
379022/00
379586/00</t>
  </si>
  <si>
    <t>141286x8=78,54
378771/00
379022/00
379586/00</t>
  </si>
  <si>
    <t>01E22-1-00Ax1=0
634344/280</t>
  </si>
  <si>
    <t>106918x40=8,39
378776/00
378848/00
379589/00</t>
  </si>
  <si>
    <t>112381x20=25,53
378776/00
378848/00
379589/00</t>
  </si>
  <si>
    <t>99202x5=264,15
379608/00</t>
  </si>
  <si>
    <t>01E24-1-00Ax1=0
634344/290</t>
  </si>
  <si>
    <t>145060x2=3222,45
378928/00
379669/00</t>
  </si>
  <si>
    <t>120945x8=133,93
378843/00
379705/00</t>
  </si>
  <si>
    <t>141835x8=27,29
378843/00
379705/00</t>
  </si>
  <si>
    <t>120948x8=62,32
420734/50
378843/00
379705/00</t>
  </si>
  <si>
    <t>110967x8=180,85
378843/00
379705/00</t>
  </si>
  <si>
    <t>01E25-1-00x1=0
634344/340</t>
  </si>
  <si>
    <t>141727x6=475,94
378857/00
378875/00
379727/00</t>
  </si>
  <si>
    <t>141728x6=84,96
379727/00
015639/00
015644/00</t>
  </si>
  <si>
    <t>66063x1=2649,84
386587/00</t>
  </si>
  <si>
    <t>01E26-1-00Ax1=0
634344/360</t>
  </si>
  <si>
    <t>634344.0010x139=5125,69
138231(2h)
141024(16h)
138231(3h)
141025(8h)
141024(110h)</t>
  </si>
  <si>
    <t>44020x1=1191
477804/00</t>
  </si>
  <si>
    <t>44022x1=1191
477810/00</t>
  </si>
  <si>
    <t>44047x1=548
478157/00</t>
  </si>
  <si>
    <t>44048x1=942
478157/00</t>
  </si>
  <si>
    <t>651843.0040x52=1783,6
000273(40h)
000791(12h)</t>
  </si>
  <si>
    <t>651843.0050x16=582,88
141024(16h)</t>
  </si>
  <si>
    <t>651844.0040x30=1029
000273(30h)</t>
  </si>
  <si>
    <t>651844.0050x28=1020,04
000702(16h)
138760(12h)</t>
  </si>
  <si>
    <t>651844.0090x2=78,55
127763(2h)
127763(1h)</t>
  </si>
  <si>
    <t>66026x0,1=1980
386286/00</t>
  </si>
  <si>
    <t>66027x0,1=3294
386286/00</t>
  </si>
  <si>
    <t>624328.0020x54,5=1985,44
141024(55h)</t>
  </si>
  <si>
    <t>66015x1=3694,55
153505/00</t>
  </si>
  <si>
    <t>634342.0010x360,75=12635,6
000786(45h)
128475(76h)
128437(72h)
128475(160h)
000858(8h)</t>
  </si>
  <si>
    <t>66021x0,21=3150
386271/00</t>
  </si>
  <si>
    <t>66021x0,34=5100
386271/00</t>
  </si>
  <si>
    <t>66021x0,28=4200
386271/00</t>
  </si>
  <si>
    <t>66021x0,17=2550
386271/00</t>
  </si>
  <si>
    <t>101448x500=17,5
624324/20
634346/610
634346/1190
420723/1250</t>
  </si>
  <si>
    <t>109117x300=3,3
624324/30
634344/180
634346/1080
420776/160
420776/190
420776/260</t>
  </si>
  <si>
    <t>101601x3=4,17
624324/40
420723/500
420723/590</t>
  </si>
  <si>
    <t>101306x20=22,06
624324/50
420723/480
420723/780</t>
  </si>
  <si>
    <t>624324.0010x337=12340,94
000580(128h)
128724(173h)
000245(36h)</t>
  </si>
  <si>
    <t>624324.0020x268,5=10611,33
000407(93h)
000407(176h)</t>
  </si>
  <si>
    <t>624325.0010x290=12758,48
138388(254h)
138388(36h)</t>
  </si>
  <si>
    <t>624325.0020x1252,75=47426,8
137683(285h)
000227(212h)
137683(212h)
000227(519h)
136922(16h)
000327(9h)</t>
  </si>
  <si>
    <t>55000x192=3168
675598/00
675598/00
675598/00
675598/00
675598/00
675598/00
675598/00
675927/00</t>
  </si>
  <si>
    <t>55000x313=5164,5
675598/00
675598/00
675598/00
675598/00
675598/00
675598/00
675598/00
675927/00</t>
  </si>
  <si>
    <t>55000x150=2475
675598/00
675598/00
675598/00
675598/00
675598/00
675598/00
675598/00
675927/00</t>
  </si>
  <si>
    <t>55000x29=478,5
675598/00
675598/00
675598/00
675598/00
675598/00
675598/00
675598/00
675927/00</t>
  </si>
  <si>
    <t>55000x79=1303,5
675598/00
675598/00
675598/00
675598/00
675598/00
675598/00
675598/00
675927/00</t>
  </si>
  <si>
    <t>30991.00.419.000x100=25
634341/60
420658/840
420776/280</t>
  </si>
  <si>
    <t>123191x20=33,6
634341/70
421046/30
421053/30
420776/210</t>
  </si>
  <si>
    <t>123207x20=3,78
634341/80
421053/40
420723/870</t>
  </si>
  <si>
    <t>55000x85=1402,5
675598/00
675598/00
675598/00
675598/00
675598/00
675598/00
675598/00
675927/00</t>
  </si>
  <si>
    <t>126225x25=22,5
634341/120
675863/00
478235/00</t>
  </si>
  <si>
    <t>111306x10=26,9
634341/90
634341/130
477447/00</t>
  </si>
  <si>
    <t>55000x38=627
675598/00
675598/00
675598/00
675598/00
675598/00
675598/00
675598/00
675927/00</t>
  </si>
  <si>
    <t>55000x105=1732,5
675598/00
675598/00
675598/00
675598/00
675598/00
675598/00
675598/00
675927/00</t>
  </si>
  <si>
    <t>634341.0010x5368,55=201099,42
128437(895h)
138730(529h)
128437(1h)
001191(485h)
128475(692h)
136516(600h)
001059(587h)
128475(1193h)
138730(66h)
001059(4h)
128437(318h)</t>
  </si>
  <si>
    <t>00N15-1-00Ix1=0
634348/10</t>
  </si>
  <si>
    <t>99000x8=118,24
378768/00
378942/00
379614/00</t>
  </si>
  <si>
    <t>99001x4=118,24
378838/00</t>
  </si>
  <si>
    <t>99002x45=8208
378822/00</t>
  </si>
  <si>
    <t>99003x200=582
378781/00</t>
  </si>
  <si>
    <t>99004x200=410
378781/00</t>
  </si>
  <si>
    <t>01E03-1-00Fx1=0
634348/20</t>
  </si>
  <si>
    <t>101263x10=20,5
420654/10
420654/130
420658/10
420690/10
420724/10</t>
  </si>
  <si>
    <t>106918x30=6,29
378776/00
378848/00
379589/00</t>
  </si>
  <si>
    <t>110850x10=57,75
378826/00
378948/00
378846/00
379035/00</t>
  </si>
  <si>
    <t>110851x10=54,13
378775/00
378846/00
378989/00
379035/00</t>
  </si>
  <si>
    <t>111037x10=86,88
421296/20
378775/00
378846/00
378989/00</t>
  </si>
  <si>
    <t>112381x10=12,76
378776/00
378848/00
379589/00</t>
  </si>
  <si>
    <t>117247x10=256,89
378808/00</t>
  </si>
  <si>
    <t>117643x10=61,2
420724/90
378808/00
378843/00</t>
  </si>
  <si>
    <t>117644x10=167,41
378808/00</t>
  </si>
  <si>
    <t>117645x10=46,94
378808/00
378843/00
378843/00</t>
  </si>
  <si>
    <t>119534x20=39,1
378808/00
378843/00</t>
  </si>
  <si>
    <t>119536x10=706,91
378808/00</t>
  </si>
  <si>
    <t>119567x20=363,82
378808/00</t>
  </si>
  <si>
    <t>119770x350=81,69
378776/00
378848/00
477680/00</t>
  </si>
  <si>
    <t>120946x20=134,55
378808/00
378843/00</t>
  </si>
  <si>
    <t>122787x20=242,65
378808/00
378843/00
378843/00</t>
  </si>
  <si>
    <t>122790x10=121,33
378808/00
378843/00
378843/00</t>
  </si>
  <si>
    <t>122793x10=67,27
378808/00
378843/00</t>
  </si>
  <si>
    <t>124155x10=12,85
477169/00
378776/00
378848/00</t>
  </si>
  <si>
    <t>125266x10=716,78
378808/00</t>
  </si>
  <si>
    <t>126979x10=55,13
378826/00
378846/00
379035/00</t>
  </si>
  <si>
    <t>132401x20=321,83
378808/00</t>
  </si>
  <si>
    <t>138748x10=342,9
378805/00</t>
  </si>
  <si>
    <t>99005x10=1151,1
378805/00</t>
  </si>
  <si>
    <t>00E04-1-00Ix1=0
634348/30</t>
  </si>
  <si>
    <t>100755x100=204,77
378849/00
379220/00</t>
  </si>
  <si>
    <t>100759x300=614,3
378849/00
378849/00
378849/00</t>
  </si>
  <si>
    <t>100762x400=1523,13
378849/00</t>
  </si>
  <si>
    <t>102086x27=190,35
378846/00
379035/00</t>
  </si>
  <si>
    <t>102087x1=7,18
378775/00
378846/00
378989/00
379035/00</t>
  </si>
  <si>
    <t>110850x-10=-57,75
378826/00
378948/00
378846/00
379035/00</t>
  </si>
  <si>
    <t>110850x76=438,9
378826/00
378948/00
378846/00
379035/00</t>
  </si>
  <si>
    <t>110851x40=216,52
378775/00
378846/00
378989/00
379035/00</t>
  </si>
  <si>
    <t>110859x64=570,43
378846/00</t>
  </si>
  <si>
    <t>114643x100=285,61
378849/00</t>
  </si>
  <si>
    <t>114645x200=811,06
378849/00</t>
  </si>
  <si>
    <t>116848x800=458,69
378849/00</t>
  </si>
  <si>
    <t>126350x14=282,1
378846/00
379035/00</t>
  </si>
  <si>
    <t>126351x27=155,93
378846/00
379035/00</t>
  </si>
  <si>
    <t>126920x64=438,4
378846/00</t>
  </si>
  <si>
    <t>126979x-10=-55,13
378826/00
378846/00
379035/00</t>
  </si>
  <si>
    <t>126979x76=418,99
378826/00
378846/00
379035/00</t>
  </si>
  <si>
    <t>129495x1000=3739,35
378849/00</t>
  </si>
  <si>
    <t>129882x300=659,44
378849/00</t>
  </si>
  <si>
    <t>131776x40=407,6
378846/00
379035/00</t>
  </si>
  <si>
    <t>133476x600=870,9
378849/00
379616/00</t>
  </si>
  <si>
    <t>133477x300=575,71
378849/00</t>
  </si>
  <si>
    <t>135211x32=418,8
378846/00</t>
  </si>
  <si>
    <t>136521x30=216
477191/00</t>
  </si>
  <si>
    <t>138598x200=67,6
378775/00
378846/00
379035/00</t>
  </si>
  <si>
    <t>138599x200=97,6
378775/00
378846/00
379035/00</t>
  </si>
  <si>
    <t>139218x100=630,45
378849/00</t>
  </si>
  <si>
    <t>145359x30=930
378943/00</t>
  </si>
  <si>
    <t>99006x20=926,2
378858/00</t>
  </si>
  <si>
    <t>99007x100=400
378858/00</t>
  </si>
  <si>
    <t>99008x2=323,66
378858/00</t>
  </si>
  <si>
    <t>99009x17=629,51
378858/00</t>
  </si>
  <si>
    <t>99010x17=2125
378858/00</t>
  </si>
  <si>
    <t>99011x1548=1738,2
378849/00</t>
  </si>
  <si>
    <t>99012x110=304,66
378849/00</t>
  </si>
  <si>
    <t>99013x500=515,22
378849/00</t>
  </si>
  <si>
    <t>100752x100=121,7
420723/360</t>
  </si>
  <si>
    <t>104662x30=3,39
634343/150
634346/1700
634346/1940
634346/2020
420723/370
420723/830</t>
  </si>
  <si>
    <t>100980x300=14,9
420869/460
420723/390
420723/800
420723/1040</t>
  </si>
  <si>
    <t>100979x300=9,23
420869/450
634347/340
420723/400
420723/810
420723/1050</t>
  </si>
  <si>
    <t>101299x34=24,51
420723/410</t>
  </si>
  <si>
    <t>123184x80=26,4
420869/230
420869/360
420723/420
420723/960
420731/290
420733/360</t>
  </si>
  <si>
    <t>123183x100=22
634346/1990
420829/60
420869/260
420869/300
420723/430
420723/950
420723/1180
379160/00</t>
  </si>
  <si>
    <t>123182x50=9,1
420723/440</t>
  </si>
  <si>
    <t>123200x40=6,68
420869/250
420869/370
420723/450
420723/980</t>
  </si>
  <si>
    <t>123199x100=15,3
420869/240
420869/270
420869/310
420869/390
420723/460
420723/970
420723/1190</t>
  </si>
  <si>
    <t>101306x30=33,09
624324/50
420723/480
420723/780</t>
  </si>
  <si>
    <t>123231x20=31,68
420723/490</t>
  </si>
  <si>
    <t>101601x3=4,35
624324/40
420723/500
420723/590</t>
  </si>
  <si>
    <t>105058x50=9,4
420869/180
420723/510</t>
  </si>
  <si>
    <t>101472x150=3,3
634346/1350
420869/190
420723/530</t>
  </si>
  <si>
    <t>104843x10=0,58
420723/540</t>
  </si>
  <si>
    <t>137115x5=3,05
420723/550</t>
  </si>
  <si>
    <t>104831x20=0,6
420869/350
420723/560
420731/380</t>
  </si>
  <si>
    <t>105063x30=4,5
420723/570</t>
  </si>
  <si>
    <t>101602x1=1,85
420723/580</t>
  </si>
  <si>
    <t>101601x5=7,25
624324/40
420723/500
420723/590</t>
  </si>
  <si>
    <t>101600x3=5,15
420723/600</t>
  </si>
  <si>
    <t>101599x5=3,6
420723/610</t>
  </si>
  <si>
    <t>104840x16=0,88
420723/620
420731/240</t>
  </si>
  <si>
    <t>105045x10=1,4
634346/1660
634346/1730
420723/630
420723/640</t>
  </si>
  <si>
    <t>105045x1=0,14
634346/1660
634346/1730
420723/630
420723/640</t>
  </si>
  <si>
    <t>104832x30=0,77
634346/240
420869/490
420723/650</t>
  </si>
  <si>
    <t>109116x800=21,6
624331/120
420723/660
420723/670</t>
  </si>
  <si>
    <t>101007x8=9,5
420723/680</t>
  </si>
  <si>
    <t>100749x20=18,64
420723/690
378924/00
379624/00</t>
  </si>
  <si>
    <t>101345x100=11,7
420723/700
420723/1090
420723/1170</t>
  </si>
  <si>
    <t>110597x10=1,2
634346/530
634346/700
634347/250
420723/720</t>
  </si>
  <si>
    <t>105244x10=0,47
634346/520
634346/690
420723/730</t>
  </si>
  <si>
    <t>100669x100=10,5
420723/740
420723/880</t>
  </si>
  <si>
    <t>101327x100=3,64
420723/750
420723/890
420723/1260
420776/290</t>
  </si>
  <si>
    <t>104155x20=14,58
420723/770</t>
  </si>
  <si>
    <t>101306x16=17,65
624324/50
420723/480
420723/780</t>
  </si>
  <si>
    <t>101304x12=12,52
420723/790</t>
  </si>
  <si>
    <t>100977x600=6,4
420869/440
634347/330
420723/820
420723/1290
420732/420
420731/340</t>
  </si>
  <si>
    <t>104662x50=5,65
634343/150
634346/1700
634346/1940
634346/2020
420723/370
420723/830</t>
  </si>
  <si>
    <t>104660x25=3,78
634346/1690
634346/1930
420723/840</t>
  </si>
  <si>
    <t>105202x75=1,35
634346/1680
634346/1950
420723/380
420723/850
420731/330</t>
  </si>
  <si>
    <t>123207x10=1,89
634341/80
421053/40
420723/870</t>
  </si>
  <si>
    <t>104378x1=3,22
420723/900</t>
  </si>
  <si>
    <t>101444x1441=33,14
634346/330
634346/1570
420723/910</t>
  </si>
  <si>
    <t>114144x300=13,26
420723/710
420723/760
420723/920</t>
  </si>
  <si>
    <t>112099x3=4,08
420723/930</t>
  </si>
  <si>
    <t>21020.01.403.040x8=31,6
420723/940</t>
  </si>
  <si>
    <t>123183x20=4,4
634346/1990
420829/60
420869/260
420869/300
420723/430
420723/950
420723/1180
379160/00</t>
  </si>
  <si>
    <t>123184x20=6,6
420869/230
420869/360
420723/420
420723/960
420731/290
420733/360</t>
  </si>
  <si>
    <t>123199x20=3,06
420869/240
420869/270
420869/310
420869/390
420723/460
420723/970
420723/1190</t>
  </si>
  <si>
    <t>123200x20=3,34
420869/250
420869/370
420723/450
420723/980</t>
  </si>
  <si>
    <t>101295x12=6,28
420723/990</t>
  </si>
  <si>
    <t>101290x2=0,51
420869/580
420723/1000</t>
  </si>
  <si>
    <t>101292x2=0,62
420723/1010</t>
  </si>
  <si>
    <t>101331x500=3
420869/290
420723/1020
420723/1150
420723/1270</t>
  </si>
  <si>
    <t>100980x500=24,84
420869/460
420723/390
420723/800
420723/1040</t>
  </si>
  <si>
    <t>100979x500=15,38
420869/450
634347/340
420723/400
420723/810
420723/1050</t>
  </si>
  <si>
    <t>104379x2=4
420723/1060</t>
  </si>
  <si>
    <t>101296x1=0,56
420723/1070</t>
  </si>
  <si>
    <t>101293x1=0,38
420723/1080</t>
  </si>
  <si>
    <t>101344x200=22,6
420723/1100</t>
  </si>
  <si>
    <t>105281x80=27,2
634346/1060
420723/1120
420723/1140</t>
  </si>
  <si>
    <t>105284x20=27
634343/100
420723/1130</t>
  </si>
  <si>
    <t>105281x90=30,6
634346/1060
420723/1120
420723/1140</t>
  </si>
  <si>
    <t>101338x500=3
420723/1030
420723/1160
420723/1280</t>
  </si>
  <si>
    <t>123183x122=26,84
634346/1990
420829/60
420869/260
420869/300
420723/430
420723/950
420723/1180
379160/00</t>
  </si>
  <si>
    <t>123199x70=10,71
420869/240
420869/270
420869/310
420869/390
420723/460
420723/970
420723/1190</t>
  </si>
  <si>
    <t>110647x28=103,6
420723/1200</t>
  </si>
  <si>
    <t>105280x4=0,8
634343/80
634346/370
420723/1210
420776/310</t>
  </si>
  <si>
    <t>100735x50=29,55
420723/1220</t>
  </si>
  <si>
    <t>101079x4=1,27
420723/1230</t>
  </si>
  <si>
    <t>21020.00.401.420x1=4,24
420869/520
420723/1240</t>
  </si>
  <si>
    <t>101448x180=6,3
624324/20
634346/610
634346/1190
420723/1250</t>
  </si>
  <si>
    <t>100977x200=2,13
420869/440
634347/330
420723/820
420723/1290
420732/420
420731/340</t>
  </si>
  <si>
    <t>00E04-1-00Fx1=0
634348/40</t>
  </si>
  <si>
    <t>101263x15=30,75
420654/10
420654/130
420658/10
420690/10
420724/10</t>
  </si>
  <si>
    <t>106918x20=4,2
378776/00
378848/00
379589/00</t>
  </si>
  <si>
    <t>110850x5=28,88
378826/00
378948/00
378846/00
379035/00</t>
  </si>
  <si>
    <t>110851x15=81,2
378775/00
378846/00
378989/00
379035/00</t>
  </si>
  <si>
    <t>110967x27=610,36
378843/00
379705/00</t>
  </si>
  <si>
    <t>111037x15=130,32
421296/20
378775/00
378846/00
378989/00</t>
  </si>
  <si>
    <t>99047x6=177,69
378843/00</t>
  </si>
  <si>
    <t>112381x15=19,15
378776/00
378848/00
379589/00</t>
  </si>
  <si>
    <t>117645x3=14,08
378808/00
378843/00
378843/00</t>
  </si>
  <si>
    <t>117645x2=9,39
378808/00
378843/00
378843/00</t>
  </si>
  <si>
    <t>119534x6=11,73
378808/00
378843/00</t>
  </si>
  <si>
    <t>119569x30=70,65
378843/00</t>
  </si>
  <si>
    <t>119770x300=70,02
378776/00
378848/00
477680/00</t>
  </si>
  <si>
    <t>119898x3=48,26
378843/00</t>
  </si>
  <si>
    <t>120945x25=418,53
378843/00
379705/00</t>
  </si>
  <si>
    <t>120946x10=67,27
378808/00
378843/00</t>
  </si>
  <si>
    <t>120948x28=218,12
420734/50
378843/00
379705/00</t>
  </si>
  <si>
    <t>120964x14=207,65
378843/00</t>
  </si>
  <si>
    <t>122390x30=6,78
378776/00
378848/00
378936/00
477680/00</t>
  </si>
  <si>
    <t>122524x11=77,9
378843/00</t>
  </si>
  <si>
    <t>122777x15=88,36
378843/00</t>
  </si>
  <si>
    <t>122783x15=49,3
378843/00</t>
  </si>
  <si>
    <t>122786x15=181,99
378843/00</t>
  </si>
  <si>
    <t>122787x10=121,33
378808/00
378843/00
378843/00</t>
  </si>
  <si>
    <t>122790x11=133,46
378808/00
378843/00
378843/00</t>
  </si>
  <si>
    <t>122792x15=100,91
378843/00</t>
  </si>
  <si>
    <t>122793x11=74
378808/00
378843/00</t>
  </si>
  <si>
    <t>126979x5=27,56
378826/00
378846/00
379035/00</t>
  </si>
  <si>
    <t>139043x15=824,85
378841/00</t>
  </si>
  <si>
    <t>140216x15=5,68
378776/00
477680/00</t>
  </si>
  <si>
    <t>140367x15=30,69
378778/00
378850/00</t>
  </si>
  <si>
    <t>141835x28=95,51
378843/00
379705/00</t>
  </si>
  <si>
    <t>143950x15=1218,15
378853/00</t>
  </si>
  <si>
    <t>00N00-1-00Ix1=0
634348/50</t>
  </si>
  <si>
    <t>104283x50=123,9
420732/20
420733/410</t>
  </si>
  <si>
    <t>109590x40=144
675526/00</t>
  </si>
  <si>
    <t>111097x107=717,11
420732/40</t>
  </si>
  <si>
    <t>111098x150=536,4
420732/50</t>
  </si>
  <si>
    <t>112110x1000=5240
675526/00</t>
  </si>
  <si>
    <t>116238x50=223
420732/70</t>
  </si>
  <si>
    <t>116239x40=356
420732/80</t>
  </si>
  <si>
    <t>116240x75=1237,5
420732/90
420733/470</t>
  </si>
  <si>
    <t>116470x100=822
420732/100</t>
  </si>
  <si>
    <t>116471x50=645
420732/110</t>
  </si>
  <si>
    <t>116472x80=1143,68
634346/1130
420732/120</t>
  </si>
  <si>
    <t>116594x300=1785
675526/00</t>
  </si>
  <si>
    <t>116596x400=2096
675536/00</t>
  </si>
  <si>
    <t>116670x400=1856
675536/00</t>
  </si>
  <si>
    <t>142432x60=491,76
675526/00</t>
  </si>
  <si>
    <t>104075x80=193,92
420732/10
420732/170</t>
  </si>
  <si>
    <t>104175x20=82,05
015642/00
015641/00</t>
  </si>
  <si>
    <t>104175x50=205,14
015642/00
015641/00</t>
  </si>
  <si>
    <t>123172x25=12,83
420869/140
420732/190</t>
  </si>
  <si>
    <t>101462x110=3,63
420732/200
420776/320</t>
  </si>
  <si>
    <t>101609x4=21,64
634344/70
420732/210</t>
  </si>
  <si>
    <t>104280x5=21,36
420732/220
420731/30
420733/380</t>
  </si>
  <si>
    <t>104202x5=38,81
634346/1100
420732/230
420733/500</t>
  </si>
  <si>
    <t>104249x5=10,47
420732/240</t>
  </si>
  <si>
    <t>104207x5=45,42
420732/250
420733/400</t>
  </si>
  <si>
    <t>104284x5=12,51
420732/260</t>
  </si>
  <si>
    <t>117352x10=17,51
420732/270
420733/290</t>
  </si>
  <si>
    <t>104148x10=24
420658/830
420732/280
420732/290
420731/280
420733/460</t>
  </si>
  <si>
    <t>104148x50=120
420658/830
420732/280
420732/290
420731/280
420733/460</t>
  </si>
  <si>
    <t>113104x12=25
420869/200
420732/300
420732/350</t>
  </si>
  <si>
    <t>117346x20=22,86
420732/310</t>
  </si>
  <si>
    <t>117356x20=46,98
420869/500
420732/320
420732/380</t>
  </si>
  <si>
    <t>104161x30=60
420732/330
420732/340</t>
  </si>
  <si>
    <t>104161x5=10
420732/330
420732/340</t>
  </si>
  <si>
    <t>113104x20=46
420869/200
420732/300
420732/350</t>
  </si>
  <si>
    <t>117037x6=8,28
420732/360</t>
  </si>
  <si>
    <t>131028x6=4,44
420732/370</t>
  </si>
  <si>
    <t>117356x14=32,89
420869/500
420732/320
420732/380</t>
  </si>
  <si>
    <t>104153x10=13
420869/510
420732/390
421262/20</t>
  </si>
  <si>
    <t>104268x2=9,9
420732/400</t>
  </si>
  <si>
    <t>109118x50=0,55
634344/170
634346/1050
420732/410</t>
  </si>
  <si>
    <t>100977x400=4,27
420869/440
634347/330
420723/820
420723/1290
420732/420
420731/340</t>
  </si>
  <si>
    <t>104203x10=54,54
634347/300
420732/430
420732/440
420733/240
675695/00</t>
  </si>
  <si>
    <t>00N00-1-00Px1=0
634348/60</t>
  </si>
  <si>
    <t>104226x20=73,68
420731/10
420733/280
420733/420</t>
  </si>
  <si>
    <t>104244x10=50,22
420731/20</t>
  </si>
  <si>
    <t>104280x10=42,72
420732/220
420731/30
420733/380</t>
  </si>
  <si>
    <t>111543x14=289,23
378867/00</t>
  </si>
  <si>
    <t>116162x50=170
675524/00
676238/00</t>
  </si>
  <si>
    <t>120978x10=44,31
675526/00</t>
  </si>
  <si>
    <t>141630x7=367,92
675526/00
675883/00
676191/00
676271/00</t>
  </si>
  <si>
    <t>141631x8=306,8
675526/00
676191/00</t>
  </si>
  <si>
    <t>141632x10=91,87
675526/00</t>
  </si>
  <si>
    <t>141634x10=46,5
675526/00</t>
  </si>
  <si>
    <t>141635x10=20,4
675526/00</t>
  </si>
  <si>
    <t>144647x30=134,4
675526/00</t>
  </si>
  <si>
    <t>144648x30=241,8
675526/00</t>
  </si>
  <si>
    <t>99015x34=949,62
675522/00
675882/00</t>
  </si>
  <si>
    <t>99016x8=1345,36
675526/00
675883/00</t>
  </si>
  <si>
    <t>99017x8=182
675522/00
675882/00</t>
  </si>
  <si>
    <t>99018x4=1737,96
675522/00
675882/00</t>
  </si>
  <si>
    <t>99019x7=4003,72
675522/00
675882/00</t>
  </si>
  <si>
    <t>99020x9=4976,01
675522/00</t>
  </si>
  <si>
    <t>99021x5=3664,2
675522/00</t>
  </si>
  <si>
    <t>99022x42=459,9
675526/00</t>
  </si>
  <si>
    <t>99023x30=139,5
675526/00</t>
  </si>
  <si>
    <t>104840x20=1,1
420723/620
420731/240</t>
  </si>
  <si>
    <t>104224x4=17,53
420731/250
420731/370</t>
  </si>
  <si>
    <t>104186x4=2,72
420731/260</t>
  </si>
  <si>
    <t>104240x4=35,57
420731/270</t>
  </si>
  <si>
    <t>104148x20=48
420658/830
420732/280
420732/290
420731/280
420733/460</t>
  </si>
  <si>
    <t>123184x6=1,98
420869/230
420869/360
420723/420
420723/960
420731/290
420733/360</t>
  </si>
  <si>
    <t>123216x6=1,86
420731/300
420733/340</t>
  </si>
  <si>
    <t>101452x20=1,12
634346/410
634346/620
634346/1230
420731/310</t>
  </si>
  <si>
    <t>104652x20=1,4
634346/440
634346/630
634346/1460
420731/320</t>
  </si>
  <si>
    <t>105202x20=0,36
634346/1680
634346/1950
420723/380
420723/850
420731/330</t>
  </si>
  <si>
    <t>104241x1=11,27
420731/350</t>
  </si>
  <si>
    <t>104201x1=13,6
420731/360</t>
  </si>
  <si>
    <t>104224x1=4,38
420731/250
420731/370</t>
  </si>
  <si>
    <t>104831x120=3,6
420869/350
420723/560
420731/380</t>
  </si>
  <si>
    <t>00N00-1-00Ux1=0
634348/70</t>
  </si>
  <si>
    <t>104009x100=57,6
675526/00</t>
  </si>
  <si>
    <t>115658x100=194,35
675570/00</t>
  </si>
  <si>
    <t>115660x1200=4072,2
675522/00
675833/00
153545/00</t>
  </si>
  <si>
    <t>115662x200=905,84
675522/00
153585/00</t>
  </si>
  <si>
    <t>116162x40=136
675524/00
676238/00</t>
  </si>
  <si>
    <t>120978x28=124,07
675526/00</t>
  </si>
  <si>
    <t>125933x230=875,61
675525/00</t>
  </si>
  <si>
    <t>131929x700=161
675522/00
675833/00
153564/00</t>
  </si>
  <si>
    <t>135231x7=318,01
675522/00
675833/00</t>
  </si>
  <si>
    <t>135711x175=1687
675522/00
675833/00</t>
  </si>
  <si>
    <t>135712x400=3856
675522/00
675833/00</t>
  </si>
  <si>
    <t>138580x80=14,4
675522/00</t>
  </si>
  <si>
    <t>138584x5=15,45
675680/00
675522/00
675841/00
676299/00</t>
  </si>
  <si>
    <t>138584x35=108,15
675680/00
675522/00
675841/00
676299/00</t>
  </si>
  <si>
    <t>138585x30=100,5
675522/00
676904/00</t>
  </si>
  <si>
    <t>138587x40=97,2
675522/00</t>
  </si>
  <si>
    <t>138587x285=692,55
675522/00</t>
  </si>
  <si>
    <t>138589x50=203
675522/00</t>
  </si>
  <si>
    <t>104203x90=490,86
634347/300
420732/430
420732/440
420733/240
675695/00</t>
  </si>
  <si>
    <t>140550x500=3040
675522/00
675833/00</t>
  </si>
  <si>
    <t>140837x28=396,31
675526/00</t>
  </si>
  <si>
    <t>145518x24=1082,16
378863/00
015989/00
016002/00
016093/00</t>
  </si>
  <si>
    <t>99015x6=167,58
675522/00
675882/00</t>
  </si>
  <si>
    <t>99024x11=2823,37
675522/00
675833/00</t>
  </si>
  <si>
    <t>99024x6=1540,02
675522/00
675833/00</t>
  </si>
  <si>
    <t>104203x20=109,08
634347/300
420732/430
420732/440
420733/240
675695/00</t>
  </si>
  <si>
    <t>71254.02.210.016x10=8
420733/250
420733/300
420733/540
420776/220
420776/240</t>
  </si>
  <si>
    <t>104448x100=76,4
420733/260</t>
  </si>
  <si>
    <t>101404x1000=12,91
634343/70
420658/640
420733/270</t>
  </si>
  <si>
    <t>104226x10=38,1
420731/10
420733/280
420733/420</t>
  </si>
  <si>
    <t>71254.02.210.016x100=80
420733/250
420733/300
420733/540
420776/220
420776/240</t>
  </si>
  <si>
    <t>104447x50=43,65
420869/150
420733/310
420733/320
420776/230
420776/250</t>
  </si>
  <si>
    <t>104246x1=1,85
420733/330</t>
  </si>
  <si>
    <t>123217x1=0,17
420733/350</t>
  </si>
  <si>
    <t>123184x1=0,33
420869/230
420869/360
420723/420
420723/960
420731/290
420733/360</t>
  </si>
  <si>
    <t>123185x1=0,72
420733/370</t>
  </si>
  <si>
    <t>104280x1=4,27
420732/220
420731/30
420733/380</t>
  </si>
  <si>
    <t>104198x1=11,56
420733/390</t>
  </si>
  <si>
    <t>104207x1=9,08
420732/250
420733/400</t>
  </si>
  <si>
    <t>104283x1=2,48
420732/20
420733/410</t>
  </si>
  <si>
    <t>104226x1=3,81
420731/10
420733/280
420733/420</t>
  </si>
  <si>
    <t>104188x1=0,44
420733/430</t>
  </si>
  <si>
    <t>138466x4=27,3
420733/440
675840/00
016322/00</t>
  </si>
  <si>
    <t>138467x8=8,93
420733/450
675840/00</t>
  </si>
  <si>
    <t>104148x6=14,4
420658/830
420732/280
420732/290
420731/280
420733/460</t>
  </si>
  <si>
    <t>116240x10=165
420732/90
420733/470</t>
  </si>
  <si>
    <t>104253x4=5,57
634346/1010
420733/480
420776/200</t>
  </si>
  <si>
    <t>104194x2=6,38
420733/490</t>
  </si>
  <si>
    <t>104202x1=7,76
634346/1100
420732/230
420733/500</t>
  </si>
  <si>
    <t>104149x1=2,6
420733/510</t>
  </si>
  <si>
    <t>104303x1=1,93
634346/2030
420869/380
420733/520</t>
  </si>
  <si>
    <t>104003x10=21,39
420733/530</t>
  </si>
  <si>
    <t>71254.02.210.016x50=47,5
420733/250
420733/300
420733/540
420776/220
420776/240</t>
  </si>
  <si>
    <t>145139x10=9,3
420869/320
634347/280
420733/550
379231/00
379700/00</t>
  </si>
  <si>
    <t>141049x8=3,6
420733/560
420733/590
379015/00
379011/00
379700/00</t>
  </si>
  <si>
    <t>102804x4=6,49
420733/570</t>
  </si>
  <si>
    <t>141049x2=0,9
420733/560
420733/590
379015/00
379011/00
379700/00</t>
  </si>
  <si>
    <t>01E07-1-00Ix1=0
634348/80</t>
  </si>
  <si>
    <t>145781x80=1654,08
378897/00
378997/00</t>
  </si>
  <si>
    <t>145782x14=5657,4
378897/00
378997/00</t>
  </si>
  <si>
    <t>110860x2=18,82
420763/30
378775/00
378846/00
378930/00</t>
  </si>
  <si>
    <t>144814x4=7,28
421026/50
421026/60
420763/40
477703/00</t>
  </si>
  <si>
    <t>145788x3=11250
378899/00</t>
  </si>
  <si>
    <t>01E08-1-00x1=0
634348/100</t>
  </si>
  <si>
    <t>100749x130=124,83
420723/690
378924/00
379624/00</t>
  </si>
  <si>
    <t>123730x500=180
477280/00</t>
  </si>
  <si>
    <t>139127x130=177,45
378918/00</t>
  </si>
  <si>
    <t>139484x160=80,85
378918/00</t>
  </si>
  <si>
    <t>139485x188=5334,03
378918/00
379659/00</t>
  </si>
  <si>
    <t>139487x30=313,45
378918/00
379036/00</t>
  </si>
  <si>
    <t>140843x250=2225
477278/00</t>
  </si>
  <si>
    <t>140844x125=1075
477278/00
015800/00</t>
  </si>
  <si>
    <t>140844x175=1417,04
477278/00
015800/00</t>
  </si>
  <si>
    <t>140939x200=2100
477278/00</t>
  </si>
  <si>
    <t>141637x300=2430
477278/00</t>
  </si>
  <si>
    <t>141638x275=2530
477278/00
015799/00</t>
  </si>
  <si>
    <t>141638x125=1150
477278/00
015799/00</t>
  </si>
  <si>
    <t>145512x25=568
378917/00
379691/00
015784/00</t>
  </si>
  <si>
    <t>145512x30=695,4
378917/00
379691/00
015784/00</t>
  </si>
  <si>
    <t>145512x25=571,14
378917/00
379691/00
015784/00</t>
  </si>
  <si>
    <t>145513x25=589,5
378917/00
379658/00
015785/00</t>
  </si>
  <si>
    <t>145513x50=1202,5
378917/00
379658/00
015785/00</t>
  </si>
  <si>
    <t>145513x5=118,8
378917/00
379658/00
015785/00</t>
  </si>
  <si>
    <t>140937x100=800
016124/00</t>
  </si>
  <si>
    <t>140841x50=470
016208/00</t>
  </si>
  <si>
    <t>109117x15=0,17
624324/30
634344/180
634346/1080
420776/160
420776/190
420776/260</t>
  </si>
  <si>
    <t>101377x200=1,4
420658/590
634346/270
634346/420
634346/1310
420776/170</t>
  </si>
  <si>
    <t>105034x100=4,4
420776/180</t>
  </si>
  <si>
    <t>109117x40=0,44
624324/30
634344/180
634346/1080
420776/160
420776/190
420776/260</t>
  </si>
  <si>
    <t>104253x10=13,92
634346/1010
420733/480
420776/200</t>
  </si>
  <si>
    <t>104447x50=54,55
420869/150
420733/310
420733/320
420776/230
420776/250</t>
  </si>
  <si>
    <t>104447x40=43,64
420869/150
420733/310
420733/320
420776/230
420776/250</t>
  </si>
  <si>
    <t>104629x200=26
420776/270</t>
  </si>
  <si>
    <t>30991.00.419.000x200=44,2
634341/60
420658/840
420776/280</t>
  </si>
  <si>
    <t>101327x200=7,29
420723/750
420723/890
420723/1260
420776/290</t>
  </si>
  <si>
    <t>105280x40=8
634343/80
634346/370
420723/1210
420776/310</t>
  </si>
  <si>
    <t>101462x34=1,12
420732/200
420776/320</t>
  </si>
  <si>
    <t>117647x3=30
378957/00</t>
  </si>
  <si>
    <t>00N01-1-00x1=0
634348/120</t>
  </si>
  <si>
    <t>109963x50=319,5
675729/00</t>
  </si>
  <si>
    <t>00N02-1-00Ux1=0
634348/130</t>
  </si>
  <si>
    <t>115660x300=1018,05
675522/00
675833/00
153545/00</t>
  </si>
  <si>
    <t>117340x10=7,56
015988/00</t>
  </si>
  <si>
    <t>131929x500=115
675522/00
675833/00
153564/00</t>
  </si>
  <si>
    <t>135231x1=45,43
675522/00
675833/00</t>
  </si>
  <si>
    <t>135712x225=2169
675522/00
675833/00</t>
  </si>
  <si>
    <t>138584x20=61,8
675680/00
675522/00
675841/00
676299/00</t>
  </si>
  <si>
    <t>139205x5=26,3
675833/00
675841/00</t>
  </si>
  <si>
    <t>139205x20=105,2
675833/00
675841/00</t>
  </si>
  <si>
    <t>140550x100=608
675522/00
675833/00</t>
  </si>
  <si>
    <t>143837x6=259,2
675833/00
676265/00</t>
  </si>
  <si>
    <t>143838x5=233,6
675833/00
675833/00</t>
  </si>
  <si>
    <t>143838x1=46,72
675833/00
675833/00</t>
  </si>
  <si>
    <t>143838x2=93,44
675833/00
675833/00</t>
  </si>
  <si>
    <t>144829x6=324,54
379008/00</t>
  </si>
  <si>
    <t>145518x3=135,27
378863/00
015989/00
016002/00
016093/00</t>
  </si>
  <si>
    <t>99024x3=770,01
675522/00
675833/00</t>
  </si>
  <si>
    <t>99093x2=1473,76
675833/00</t>
  </si>
  <si>
    <t>99094x2=1713,72
675833/00</t>
  </si>
  <si>
    <t>99095x2=1353,78
675833/00</t>
  </si>
  <si>
    <t>99096x2=1319,72
675833/00
675882/00
675897/00</t>
  </si>
  <si>
    <t>99097x2=1199,76
675833/00</t>
  </si>
  <si>
    <t>99098x2=1113,82
675833/00</t>
  </si>
  <si>
    <t>99099x2=1319,72
675833/00</t>
  </si>
  <si>
    <t>99100x2=1439,7
675833/00</t>
  </si>
  <si>
    <t>99101x1=496,92
675833/00</t>
  </si>
  <si>
    <t>99102x2=1199,76
675833/00</t>
  </si>
  <si>
    <t>99103x2=1199,76
675833/00</t>
  </si>
  <si>
    <t>99104x1=479,9
675833/00</t>
  </si>
  <si>
    <t>99105x2=959,8
675833/00</t>
  </si>
  <si>
    <t>99106x1=711,71
675833/00</t>
  </si>
  <si>
    <t>143948x4=215,56
675939/00
676285/00</t>
  </si>
  <si>
    <t>00E01-0-00Fx1=0
634348/140</t>
  </si>
  <si>
    <t>141040x288=1163,52
379011/00</t>
  </si>
  <si>
    <t>141043x144=1023,84
379011/00</t>
  </si>
  <si>
    <t>141044x36=325,08
379015/00
379011/00
016323/00</t>
  </si>
  <si>
    <t>141044x132=1191,96
379015/00
379011/00
016323/00</t>
  </si>
  <si>
    <t>141045x84=971,88
379011/00</t>
  </si>
  <si>
    <t>141046x160=41,6
379011/00</t>
  </si>
  <si>
    <t>141047x200=62
379011/00</t>
  </si>
  <si>
    <t>141048x140=46,2
379015/00
379011/00</t>
  </si>
  <si>
    <t>141048x100=33
379015/00
379011/00</t>
  </si>
  <si>
    <t>141049x120=43,2
420733/560
420733/590
379015/00
379011/00
379700/00</t>
  </si>
  <si>
    <t>141049x10=3,6
420733/560
420733/590
379015/00
379011/00
379700/00</t>
  </si>
  <si>
    <t>141447x100=39
379011/00
379700/00</t>
  </si>
  <si>
    <t>141448x80=1216
379011/00</t>
  </si>
  <si>
    <t>141475x48=1224,48
379011/00</t>
  </si>
  <si>
    <t>99107x50=130
379011/00</t>
  </si>
  <si>
    <t>01E12-1-00Fx1=0
634348/150</t>
  </si>
  <si>
    <t>126344x2=20,47
379013/00
379548/00
015997/00
015996/00</t>
  </si>
  <si>
    <t>126344x-2=-20,47
379013/00
379548/00
015997/00
015996/00</t>
  </si>
  <si>
    <t>126344x6=62,65
379013/00
379548/00
015997/00
015996/00</t>
  </si>
  <si>
    <t>126365x6=58,38
379013/00
015993/00
016059/00
015971/00</t>
  </si>
  <si>
    <t>126365x-6=-58,38
379013/00
015993/00
016059/00
015971/00</t>
  </si>
  <si>
    <t>126365x6=52,36
379013/00
015993/00
016059/00
015971/00</t>
  </si>
  <si>
    <t>126940x1=9,09
016057/00
016058/00</t>
  </si>
  <si>
    <t>126940x11=99,97
016057/00
016058/00</t>
  </si>
  <si>
    <t>01E13-1-00Fx1=0
634348/160</t>
  </si>
  <si>
    <t>131033x3=343,71
379016/00</t>
  </si>
  <si>
    <t>99111x2=3463,69
379022/00</t>
  </si>
  <si>
    <t>99111x-2=-3463,69
379022/00</t>
  </si>
  <si>
    <t>99111x3=5195,53
379022/00</t>
  </si>
  <si>
    <t>00E02-0-00Ux1=0
634348/170</t>
  </si>
  <si>
    <t>21020.00.300.011x10=133,03
420853/10</t>
  </si>
  <si>
    <t>21020.00.300.411x3=14,58
420853/20</t>
  </si>
  <si>
    <t>21020.00.300.610x30=124,67
420869/280
420853/30</t>
  </si>
  <si>
    <t>21020.00.400.011x6=45,34
420840/310
420853/40</t>
  </si>
  <si>
    <t>21020.00.400.401x154=320
420853/50</t>
  </si>
  <si>
    <t>21020.00.401.810x20=30,22
420853/60</t>
  </si>
  <si>
    <t>00E02-0-00Fx1=0
634348/180</t>
  </si>
  <si>
    <t>124892x60=1403,28
379020/00</t>
  </si>
  <si>
    <t>126224x50=35
675863/00
478235/00</t>
  </si>
  <si>
    <t>126225x50=45
634341/120
675863/00
478235/00</t>
  </si>
  <si>
    <t>130908x150=1018,5
379020/00</t>
  </si>
  <si>
    <t>130908x50=339,5
379020/00</t>
  </si>
  <si>
    <t>138979x2=47,28
378774/00
379020/00</t>
  </si>
  <si>
    <t>140283x60=772,2
379020/00</t>
  </si>
  <si>
    <t>141361x100=401,24
379020/00
016334/00</t>
  </si>
  <si>
    <t>141853x2=16,6
477495/00</t>
  </si>
  <si>
    <t>00N03-1-00Px1=0
634348/190</t>
  </si>
  <si>
    <t>120978x2=8,86
675526/00</t>
  </si>
  <si>
    <t>141630x1=52,56
675526/00
675883/00
676191/00
676271/00</t>
  </si>
  <si>
    <t>145518x2=90,18
378863/00
015989/00
016002/00
016093/00</t>
  </si>
  <si>
    <t>99015x38=1061,34
675522/00
675882/00</t>
  </si>
  <si>
    <t>99016x2=336,34
675526/00
675883/00</t>
  </si>
  <si>
    <t>99017x2=45,5
675522/00
675882/00</t>
  </si>
  <si>
    <t>99018x1=434,49
675522/00
675882/00</t>
  </si>
  <si>
    <t>99019x1=571,96
675522/00
675882/00</t>
  </si>
  <si>
    <t>99113x1=546,32
675882/00</t>
  </si>
  <si>
    <t>44001x1=340
477484/00</t>
  </si>
  <si>
    <t>00N05-1-00Px1=0
634348/210</t>
  </si>
  <si>
    <t>142992x2=52,42
675897/00
676941/00</t>
  </si>
  <si>
    <t>99116x1=484,34
675897/00</t>
  </si>
  <si>
    <t>99117x4=2392,08
675897/00</t>
  </si>
  <si>
    <t>99118x4=82,2
675897/00</t>
  </si>
  <si>
    <t>99119x4=184,84
675897/00</t>
  </si>
  <si>
    <t>44002x1=380
477596/00</t>
  </si>
  <si>
    <t>44003x1=792
477596/00</t>
  </si>
  <si>
    <t>44004x1=272
477598/00</t>
  </si>
  <si>
    <t>66031x0,1=5235,5
386339/00</t>
  </si>
  <si>
    <t>66031x0,2=10471
386339/00</t>
  </si>
  <si>
    <t>66031x0,3=15706,5
386339/00</t>
  </si>
  <si>
    <t>66033x0,1=462
386339/00</t>
  </si>
  <si>
    <t>66033x0,9=4158
386339/00</t>
  </si>
  <si>
    <t>105028x1002=30,06
634348/270</t>
  </si>
  <si>
    <t>44005x1=119
477597/00</t>
  </si>
  <si>
    <t>44008x1=232
477629/00</t>
  </si>
  <si>
    <t>01E16-1-00Ux1=0
634348/300</t>
  </si>
  <si>
    <t>143039x40=440
477683/00
379681/00</t>
  </si>
  <si>
    <t>00N06-1-00x1=0
634348/320</t>
  </si>
  <si>
    <t>143837x4=172,8
675833/00
676265/00</t>
  </si>
  <si>
    <t>44013x1=552
477748/00</t>
  </si>
  <si>
    <t>141584x500=88
676338/00</t>
  </si>
  <si>
    <t>44016x1=380
477802/00</t>
  </si>
  <si>
    <t>44017x1=416
477802/00</t>
  </si>
  <si>
    <t>44018x1=560
477813/00</t>
  </si>
  <si>
    <t>44019x1=570
477813/00</t>
  </si>
  <si>
    <t>140101x3=70,5
676381/00</t>
  </si>
  <si>
    <t>99168x1=177,63
676507/00</t>
  </si>
  <si>
    <t>00N08-1-00Ux1=0
634348/420</t>
  </si>
  <si>
    <t>140179x300=907,41
676532/00</t>
  </si>
  <si>
    <t>00N09-1-00x1=0
634348/430</t>
  </si>
  <si>
    <t>99172x14=33,18
676824/00</t>
  </si>
  <si>
    <t>104153x20=26
420869/510
420732/390
421262/20</t>
  </si>
  <si>
    <t>00N10-1-00Ux1=0
634348/440</t>
  </si>
  <si>
    <t>99183x20=56,2
676880/00</t>
  </si>
  <si>
    <t>99184x20=83,4
676880/00</t>
  </si>
  <si>
    <t>140552x150=183,6
379557/00</t>
  </si>
  <si>
    <t>44026x1=846
478047/00</t>
  </si>
  <si>
    <t>138585x70=234,5
675522/00
676904/00</t>
  </si>
  <si>
    <t>00N11-1-00Ux1=0
634348/480</t>
  </si>
  <si>
    <t>131252x2=218,34
379590/00</t>
  </si>
  <si>
    <t>142992x1=26,21
675897/00
676941/00</t>
  </si>
  <si>
    <t>66057x1=390
478112/00</t>
  </si>
  <si>
    <t>44039x1=340
478133/00</t>
  </si>
  <si>
    <t>00N12-1-00Ux1=0
634348/510</t>
  </si>
  <si>
    <t>115660x500=1696,75
675522/00
675833/00
153545/00</t>
  </si>
  <si>
    <t>135294x50=105
379651/00
478204/00</t>
  </si>
  <si>
    <t>00N13-1-00Ux1=0
634348/530</t>
  </si>
  <si>
    <t>99200x2=925,76
153558/00</t>
  </si>
  <si>
    <t>140938x90=837
379681/00</t>
  </si>
  <si>
    <t>143039x-40=-440
477683/00
379681/00</t>
  </si>
  <si>
    <t>143039x10=110
477683/00
379681/00</t>
  </si>
  <si>
    <t>143039x-10=-110
477683/00
379681/00</t>
  </si>
  <si>
    <t>143039x20=220
477683/00
379681/00</t>
  </si>
  <si>
    <t>145512x5=115,9
378917/00
379691/00
015784/00</t>
  </si>
  <si>
    <t>00N14-1-00Ux1=0
634348/570</t>
  </si>
  <si>
    <t>99201x1=427,5
153563/00</t>
  </si>
  <si>
    <t>139271x20=63,2
153563/00</t>
  </si>
  <si>
    <t>00N15-1-00x1=0
634348/590</t>
  </si>
  <si>
    <t>99203x1=316,96
153564/00</t>
  </si>
  <si>
    <t>131929x120=27,6
675522/00
675833/00
153564/00</t>
  </si>
  <si>
    <t>115662x100=452,92
675522/00
153585/00</t>
  </si>
  <si>
    <t>01E26-1-00Ux1=0
634348/620</t>
  </si>
  <si>
    <t>145513x4=94,32
378917/00
379658/00
015785/00</t>
  </si>
  <si>
    <t>634348.0010x108,75=3961,76
138231(7h)
000702(102h)</t>
  </si>
  <si>
    <t>02M01-4-01x2=0
634345/10</t>
  </si>
  <si>
    <t>133258x24=81,6
675659/00</t>
  </si>
  <si>
    <t>C02M01-4-01x2=3572
764991/00</t>
  </si>
  <si>
    <t>02M01-4-06x6=0
634345/20</t>
  </si>
  <si>
    <t>133258x40=136
675659/00</t>
  </si>
  <si>
    <t>133258x32=108,8
675659/00</t>
  </si>
  <si>
    <t>C02M01-4-06x6=13074
764991/00</t>
  </si>
  <si>
    <t>06M01-0-00x8=0
634345/30</t>
  </si>
  <si>
    <t>144928x288=617,56
675658/00</t>
  </si>
  <si>
    <t>145358x16=416
378898/00</t>
  </si>
  <si>
    <t>21006.00.001.004x160=598,4
213284/30
213307/20
213308/20
213595/220
634346/850</t>
  </si>
  <si>
    <t>99032x8=5472
378898/00</t>
  </si>
  <si>
    <t>C06M01-0-00x4=24232
764994/00
764994/00</t>
  </si>
  <si>
    <t>105073x160=64
213284/60
213307/40
213308/40
213595/270</t>
  </si>
  <si>
    <t>126209x160=344
213284/70
213307/70
213308/50
213595/250</t>
  </si>
  <si>
    <t>120687x160=33,6
213284/80
213307/60
213308/60
213595/260
634346/1490</t>
  </si>
  <si>
    <t>C06M04-5-00x24=12840
764994/00</t>
  </si>
  <si>
    <t>C06M04-5-00x9=4815
764994/00</t>
  </si>
  <si>
    <t>C06M04-8-00x1=700
764994/00</t>
  </si>
  <si>
    <t>66011x1=94,5
477360/00</t>
  </si>
  <si>
    <t>06M02-0-00x6=0
634345/70</t>
  </si>
  <si>
    <t>21006.00.001.004x55=205,7
213284/30
213307/20
213308/20
213595/220
634346/850</t>
  </si>
  <si>
    <t>C06M02-0-00x6=27864
764999/00</t>
  </si>
  <si>
    <t>105073x56=22,4
213284/60
213307/40
213308/40
213595/270</t>
  </si>
  <si>
    <t>120687x56=11,76
213284/80
213307/60
213308/60
213595/260
634346/1490</t>
  </si>
  <si>
    <t>126209x56=120,4
213284/70
213307/70
213308/50
213595/250</t>
  </si>
  <si>
    <t>06M03-0-00x2=0
634345/80</t>
  </si>
  <si>
    <t>21006.00.001.004x12=44,88
213284/30
213307/20
213308/20
213595/220
634346/850</t>
  </si>
  <si>
    <t>C06M03-0-00x2=5758
764999/00</t>
  </si>
  <si>
    <t>105073x12=4,8
213284/60
213307/40
213308/40
213595/270</t>
  </si>
  <si>
    <t>126209x12=25,8
213284/70
213307/70
213308/50
213595/250</t>
  </si>
  <si>
    <t>120687x12=2,52
213284/80
213307/60
213308/60
213595/260
634346/1490</t>
  </si>
  <si>
    <t>99077x6=52200
378977/00
378977/00</t>
  </si>
  <si>
    <t>99077x3=26100
378977/00
378977/00</t>
  </si>
  <si>
    <t>06M06-0-13x16=0
634345/100</t>
  </si>
  <si>
    <t>99078x64=56,45
675792/00
675792/00</t>
  </si>
  <si>
    <t>C06M06-0-13x16=4320
765007/00</t>
  </si>
  <si>
    <t>06M06-0-14x7=0
634345/110</t>
  </si>
  <si>
    <t>99078x28=24,7
675792/00
675792/00</t>
  </si>
  <si>
    <t>C06M06-0-14x7=2478
765007/00</t>
  </si>
  <si>
    <t>99087x13=10879,37
386274/00</t>
  </si>
  <si>
    <t>99088x5=4184,37
386274/00</t>
  </si>
  <si>
    <t>144317x18=570,02
386274/00</t>
  </si>
  <si>
    <t>C290-00-000-1x12=10680
765024/00</t>
  </si>
  <si>
    <t>C00M02-0-00x10=2250
765020/00</t>
  </si>
  <si>
    <t>C00M04-0-00x3=1110
765020/00</t>
  </si>
  <si>
    <t>C00M08-1-00x1=1428,05
765023/00</t>
  </si>
  <si>
    <t>C00M01-0-00x100=10500
765022/00</t>
  </si>
  <si>
    <t>C490-00-000-1x24=16152
765033/00</t>
  </si>
  <si>
    <t>00M07-1-00x22=0
634345/210</t>
  </si>
  <si>
    <t>C00M07-1-00x22=7986
765032/00</t>
  </si>
  <si>
    <t>395-00-000-1x36=0
634345/220</t>
  </si>
  <si>
    <t>109064x288=195,84
634343/260
213353/10</t>
  </si>
  <si>
    <t>143073x80=16,8
213353/20</t>
  </si>
  <si>
    <t>99126x72=1085,04
675949/00</t>
  </si>
  <si>
    <t>99127x144=2515,68
675949/00</t>
  </si>
  <si>
    <t>99128x72=338,4
675952/00</t>
  </si>
  <si>
    <t>99129x100=92
675950/00</t>
  </si>
  <si>
    <t>99130x72=104,4
675950/00</t>
  </si>
  <si>
    <t>C395-00-000-1x36=77328
765033/00</t>
  </si>
  <si>
    <t>111997x4000=2,52
213353/90</t>
  </si>
  <si>
    <t>00M09-0-01x1=0
634345/230</t>
  </si>
  <si>
    <t>99142x6=4728
379092/00</t>
  </si>
  <si>
    <t>99143x12=312
379092/00
379598/00
379660/00</t>
  </si>
  <si>
    <t>99144x6=204
379092/00
379598/00
379660/00</t>
  </si>
  <si>
    <t>C00M09-0-01x1=1168
765034/00</t>
  </si>
  <si>
    <t>C00M09-0-01+1x1=10981
765070/00</t>
  </si>
  <si>
    <t>00M05-0-00x1=0
634345/240</t>
  </si>
  <si>
    <t>C00M05-0-00x1=6220
765035/00</t>
  </si>
  <si>
    <t>99147x54=17,82
379128/00</t>
  </si>
  <si>
    <t>99148x54=8,99
379128/00</t>
  </si>
  <si>
    <t>C00M11-0-00x3=57,8
765036/00</t>
  </si>
  <si>
    <t>C00M12-0-00x2=38,53
765036/00</t>
  </si>
  <si>
    <t>00M10-0-00x1=0
634345/270</t>
  </si>
  <si>
    <t>145749x1=26
378996/00
378996/00
379111/00
379670/00</t>
  </si>
  <si>
    <t>145753x1=2970
378996/00
378996/00
379111/00
379670/00
015742/00</t>
  </si>
  <si>
    <t>C00M10-0-00x1=19,27
765036/00</t>
  </si>
  <si>
    <t>C00M10-0-00+1x1=279
765070/00</t>
  </si>
  <si>
    <t>00M13-0-01x6=0
634345/280</t>
  </si>
  <si>
    <t>145749x6=156
378996/00
378996/00
379111/00
379670/00</t>
  </si>
  <si>
    <t>145753x6=17820
378996/00
378996/00
379111/00
379670/00
015742/00</t>
  </si>
  <si>
    <t>C00M13-0-01x6=115,6
765036/00</t>
  </si>
  <si>
    <t>C00M13-0-01+1x6=144
765070/00</t>
  </si>
  <si>
    <t>00M14-0-00x2=0
634345/290</t>
  </si>
  <si>
    <t>145749x2=52
378996/00
378996/00
379111/00
379670/00</t>
  </si>
  <si>
    <t>145753x2=5940
378996/00
378996/00
379111/00
379670/00
015742/00</t>
  </si>
  <si>
    <t>C00M14-0-00x2=38,53
765036/00</t>
  </si>
  <si>
    <t>C00M14-0-00+1x2=1016
765070/00</t>
  </si>
  <si>
    <t>00M15-0-00x1=0
634345/300</t>
  </si>
  <si>
    <t>141276x2=318,86
675741/00
675963/00</t>
  </si>
  <si>
    <t>145945x2=53,5
675741/00
675853/00
675991/00</t>
  </si>
  <si>
    <t>C00M15-0-00x1=19,27
765036/00</t>
  </si>
  <si>
    <t>00M17-0-00x36=0
634345/310</t>
  </si>
  <si>
    <t>99147x36=11,88
379128/00</t>
  </si>
  <si>
    <t>99148x36=5,99
379128/00</t>
  </si>
  <si>
    <t>44006x1=6329
477609/00</t>
  </si>
  <si>
    <t>44007x1=672
477629/00</t>
  </si>
  <si>
    <t>44009x1=3456
477684/00</t>
  </si>
  <si>
    <t>44010x1=430
477719/00</t>
  </si>
  <si>
    <t>00M19-0-01x3=0
634345/360</t>
  </si>
  <si>
    <t>99155x2=76
676230/00
379651/00</t>
  </si>
  <si>
    <t>99156x3=90
676230/00
379651/00</t>
  </si>
  <si>
    <t>99157x3=147
676230/00
379651/00</t>
  </si>
  <si>
    <t>44011x1=170
477747/00</t>
  </si>
  <si>
    <t>C00M11-0-00+1x3=1017
765070/00</t>
  </si>
  <si>
    <t>C00M12-0-00+1x2=736
765070/00</t>
  </si>
  <si>
    <t>740-00-000-1x1=0
634345/400</t>
  </si>
  <si>
    <t>137082x2=58,22
378960/00
379038/00</t>
  </si>
  <si>
    <t>141143x4=616,32
675741/00
675926/00
386553/00
015992/00
015780/00</t>
  </si>
  <si>
    <t>145948x2=53,5
675741/00
386553/00
016063/00</t>
  </si>
  <si>
    <t>145949x2=53,5
675741/00
675951/00
386553/00
016064/00</t>
  </si>
  <si>
    <t>99040x4=63,12
675737/00
675737/00
675737/00
676878/00</t>
  </si>
  <si>
    <t>99043x2=79,9
675742/00
675827/00
676241/00
676287/00</t>
  </si>
  <si>
    <t>99044x2=142,8
675742/00
676241/00
676287/00</t>
  </si>
  <si>
    <t>99121x1=201,29
675912/00</t>
  </si>
  <si>
    <t>99163x4=42,4
676283/00</t>
  </si>
  <si>
    <t>99164x1=85,46
676285/00</t>
  </si>
  <si>
    <t>C740-00-000-1x1=7805
765081/00</t>
  </si>
  <si>
    <t>44012x1=307,5
477748/00</t>
  </si>
  <si>
    <t>44014x1=364
477749/00</t>
  </si>
  <si>
    <t>44015x1=342
477749/00</t>
  </si>
  <si>
    <t>44023x1=740
477890/00</t>
  </si>
  <si>
    <t>44024x1=340
477932/00</t>
  </si>
  <si>
    <t>216-00-000-1x1=0
634345/460</t>
  </si>
  <si>
    <t>137082x4=116,44
378960/00
379038/00</t>
  </si>
  <si>
    <t>C216-00-000-1x1=1831
765139/00</t>
  </si>
  <si>
    <t>316-00-000-1x1=0
634345/470</t>
  </si>
  <si>
    <t>137081x4=105,64
378960/00
379038/00
379551/00
379580/00
379623/00</t>
  </si>
  <si>
    <t>C316-00-000-1x1=961
765139/00</t>
  </si>
  <si>
    <t>605-00-000-1x1=0
634345/480</t>
  </si>
  <si>
    <t>137082x10=291,1
378960/00
379038/00</t>
  </si>
  <si>
    <t>C605-00-000-1x1=1153
765139/00</t>
  </si>
  <si>
    <t>44028x1=88
478132/00</t>
  </si>
  <si>
    <t>00M06-0-00x1=0
634345/500</t>
  </si>
  <si>
    <t>109238x4=109,2
478122/00</t>
  </si>
  <si>
    <t>113696x4=29,36
213595/20</t>
  </si>
  <si>
    <t>138289x2=5,28
675747/00
675907/00
675968/00
676237/00
379599/00</t>
  </si>
  <si>
    <t>141322x2=156,57
379609/00
016096/00</t>
  </si>
  <si>
    <t>144274x8=95,44
478121/00</t>
  </si>
  <si>
    <t>99143x4=104
379092/00
379598/00
379660/00</t>
  </si>
  <si>
    <t>99144x4=136
379092/00
379598/00
379660/00</t>
  </si>
  <si>
    <t>99186x2=85,44
379606/00</t>
  </si>
  <si>
    <t>99187x2=109,9
478202/00</t>
  </si>
  <si>
    <t>99188x8=0
478109/00</t>
  </si>
  <si>
    <t>99189x2=93,96
379599/00</t>
  </si>
  <si>
    <t>99190x2=415,4
379606/00</t>
  </si>
  <si>
    <t>99191x2=106,52
379604/00</t>
  </si>
  <si>
    <t>99192x4=63,12
153541/00
153558/00</t>
  </si>
  <si>
    <t>99193x1=826
379598/00
379660/00</t>
  </si>
  <si>
    <t>99194x1=930
379598/00</t>
  </si>
  <si>
    <t>99195x2=696,24
379602/00</t>
  </si>
  <si>
    <t>99196x2=80,72
478131/00</t>
  </si>
  <si>
    <t>C00M06-0-00x1=20639
765139/00</t>
  </si>
  <si>
    <t>21006.00.001.002x4=10,98
213595/210</t>
  </si>
  <si>
    <t>21006.00.001.004x4=15
213284/30
213307/20
213308/20
213595/220
634346/850</t>
  </si>
  <si>
    <t>126209x4=8,6
213284/70
213307/70
213308/50
213595/250</t>
  </si>
  <si>
    <t>120687x4=0,84
213284/80
213307/60
213308/60
213595/260
634346/1490</t>
  </si>
  <si>
    <t>105073x4=1,6
213284/60
213307/40
213308/40
213595/270</t>
  </si>
  <si>
    <t>00M23-0-01x2=0
634345/510</t>
  </si>
  <si>
    <t>99143x2=52
379092/00
379598/00
379660/00</t>
  </si>
  <si>
    <t>99144x2=68
379092/00
379598/00
379660/00</t>
  </si>
  <si>
    <t>44037x1=997
478133/00</t>
  </si>
  <si>
    <t>44038x1=85
478133/00</t>
  </si>
  <si>
    <t>146440x85=196,35
478123/00</t>
  </si>
  <si>
    <t>00M02-0-01x1=0
634345/550</t>
  </si>
  <si>
    <t>99155x1=38
676230/00
379651/00</t>
  </si>
  <si>
    <t>99156x1=30
676230/00
379651/00</t>
  </si>
  <si>
    <t>99157x1=49
676230/00
379651/00</t>
  </si>
  <si>
    <t>44043x1=104
478165/00</t>
  </si>
  <si>
    <t>44044x1=1330
478165/00</t>
  </si>
  <si>
    <t>44045x1=792
478165/00</t>
  </si>
  <si>
    <t>44046x1=160
478165/00</t>
  </si>
  <si>
    <t>C00M20-0-01x5=13780
765141/00</t>
  </si>
  <si>
    <t>C00M20-0-02x6=894
765141/00</t>
  </si>
  <si>
    <t>44049x1=400
478206/00</t>
  </si>
  <si>
    <t>840-01-000-1x1=0
634345/630</t>
  </si>
  <si>
    <t>132152x2=43,68
379717/00</t>
  </si>
  <si>
    <t>132153x2=507,02
379717/00</t>
  </si>
  <si>
    <t>141765x2=318,86
676873/00
153574/00</t>
  </si>
  <si>
    <t>145234x1=2781
379714/00</t>
  </si>
  <si>
    <t>145237x1=252
379714/00</t>
  </si>
  <si>
    <t>145946x2=53,5
675741/00
675951/00
016065/00</t>
  </si>
  <si>
    <t>146467x1=193
379714/00</t>
  </si>
  <si>
    <t>C840-01-000-1x1=4191
765149/00</t>
  </si>
  <si>
    <t>66061x1=3903
386581/00</t>
  </si>
  <si>
    <t>00M25-1-00-001x30=1140
765151/00</t>
  </si>
  <si>
    <t>00M25-3-00-001x14=742
765151/00</t>
  </si>
  <si>
    <t>00M25-3-00-002x7=924
765151/00</t>
  </si>
  <si>
    <t>310-00-000-1x2=0
634347/10</t>
  </si>
  <si>
    <t>103133x8=13,31
634343/90
213289/10
213304/10
213311/10
213322/10
213323/10
213451/10
213468/10
213568/10
213575/10
213577/10
213599/10
213482/10</t>
  </si>
  <si>
    <t>141139x2=297,46
675741/00
675770/00
675951/00
676243/00
016094/00</t>
  </si>
  <si>
    <t>141912x4=291,04
675741/00</t>
  </si>
  <si>
    <t>143189x2=406,6
675741/00
675853/00</t>
  </si>
  <si>
    <t>143189x10=2033
675741/00
675853/00</t>
  </si>
  <si>
    <t>137082x16=465,76
378960/00
379038/00</t>
  </si>
  <si>
    <t>145943x2=53,5
675741/00
675853/00</t>
  </si>
  <si>
    <t>145944x2=53,5
675741/00
675853/00</t>
  </si>
  <si>
    <t>145945x4=107
675741/00
675853/00
675991/00</t>
  </si>
  <si>
    <t>145946x4=107
675741/00
675951/00
016065/00</t>
  </si>
  <si>
    <t>145947x2=53,5
675770/00
675741/00
675951/00
676243/00</t>
  </si>
  <si>
    <t>99040x12=189,36
675737/00
675737/00
675737/00
676878/00</t>
  </si>
  <si>
    <t>99041x4=55,4
675739/00
675760/00
675790/00
675824/00
676240/00
676829/00
676876/00</t>
  </si>
  <si>
    <t>99043x4=159,8
675742/00
675827/00
676241/00
676287/00</t>
  </si>
  <si>
    <t>99044x4=285,6
675742/00
676241/00
676287/00</t>
  </si>
  <si>
    <t>99045x4=1022,04
675737/00</t>
  </si>
  <si>
    <t>C310-00-000-1x2=33094
764995/00</t>
  </si>
  <si>
    <t>99131x2=158,68
675964/00</t>
  </si>
  <si>
    <t>06M05-1-00Ax24=3670,8
765005/00</t>
  </si>
  <si>
    <t>320-00-000-1x2=0
634347/30</t>
  </si>
  <si>
    <t>126030x4=26,4
213304/20</t>
  </si>
  <si>
    <t>137082x32=931,52
378960/00
379038/00</t>
  </si>
  <si>
    <t>141139x6=892,38
675741/00
675770/00
675951/00
676243/00
016094/00</t>
  </si>
  <si>
    <t>145334x14=3220,7
675741/00
676831/00</t>
  </si>
  <si>
    <t>145943x4=107
675741/00
675853/00</t>
  </si>
  <si>
    <t>145944x4=107
675741/00
675853/00</t>
  </si>
  <si>
    <t>145945x14=374,5
675741/00
675853/00
675991/00</t>
  </si>
  <si>
    <t>145947x4=107
675770/00
675741/00
675951/00
676243/00</t>
  </si>
  <si>
    <t>99040x40=631,2
675737/00
675737/00
675737/00
676878/00</t>
  </si>
  <si>
    <t>99041x8=110,8
675739/00
675760/00
675790/00
675824/00
676240/00
676829/00
676876/00</t>
  </si>
  <si>
    <t>99059x8=223,12
378964/00
379038/00
379564/00</t>
  </si>
  <si>
    <t>99060x2=1994
153493/00
016056/00</t>
  </si>
  <si>
    <t>99061x2=1994
153493/00
016060/00</t>
  </si>
  <si>
    <t>C320-00-000-1x2=44344
764999/00</t>
  </si>
  <si>
    <t>127426x4=46,32
675761/00
477392/00
675854/00
675908/00
675969/00</t>
  </si>
  <si>
    <t>138289x8=21,12
675747/00
675907/00
675968/00
676237/00
379599/00</t>
  </si>
  <si>
    <t>99135x4=291,32
675964/00</t>
  </si>
  <si>
    <t>99136x4=317,36
675964/00</t>
  </si>
  <si>
    <t>99137x2=170,92
675964/00</t>
  </si>
  <si>
    <t>141276x8=1275,44
675741/00
675963/00</t>
  </si>
  <si>
    <t>220-00-000-1x2=0
634347/40</t>
  </si>
  <si>
    <t>114669x16=69,92
675761/00
477392/00
675854/00
676875/00</t>
  </si>
  <si>
    <t>137082x18=523,98
378960/00
379038/00</t>
  </si>
  <si>
    <t>138289x4=10,56
675747/00
675907/00
675968/00
676237/00
379599/00</t>
  </si>
  <si>
    <t>141139x12=1784,76
675741/00
675770/00
675951/00
676243/00
016094/00</t>
  </si>
  <si>
    <t>143189x6=1219,8
675741/00
675853/00</t>
  </si>
  <si>
    <t>145946x8=214
675741/00
675951/00
016065/00</t>
  </si>
  <si>
    <t>145947x8=214
675770/00
675741/00
675951/00
676243/00</t>
  </si>
  <si>
    <t>99040x28=441,84
675737/00
675737/00
675737/00
676878/00</t>
  </si>
  <si>
    <t>99041x12=166,2
675739/00
675760/00
675790/00
675824/00
676240/00
676829/00
676876/00</t>
  </si>
  <si>
    <t>99050x4=107
675741/00
675951/00
675926/00</t>
  </si>
  <si>
    <t>99073x4=210,6
675763/00</t>
  </si>
  <si>
    <t>99074x24=1344
675763/00
675795/00
675827/00
676241/00
676872/00
153543/00
153550/00
153550/00</t>
  </si>
  <si>
    <t>99075x8=2,7
675778/00</t>
  </si>
  <si>
    <t>99076x16=537,44
675763/00</t>
  </si>
  <si>
    <t>C220-00-000-1x2=43802
765009/00</t>
  </si>
  <si>
    <t>99132x4=247,8
675964/00
675968/00</t>
  </si>
  <si>
    <t>99138x4=216,48
675964/00</t>
  </si>
  <si>
    <t>119812x1=7,59
676245/00</t>
  </si>
  <si>
    <t>99161x1=37,95
676263/00
676237/00</t>
  </si>
  <si>
    <t>129997x3=11,28
213451/320
675788/00
676239/00
676239/00
676866/00
676877/00</t>
  </si>
  <si>
    <t>99058x2=145,52
675741/00
675951/00
676243/00
016062/00
016149/00
016224/00</t>
  </si>
  <si>
    <t>520-00-000-1x1=0
634347/50</t>
  </si>
  <si>
    <t>141276x4=637,72
675741/00
675963/00</t>
  </si>
  <si>
    <t>141766x4=616,32
675762/00</t>
  </si>
  <si>
    <t>C520-00-000-1x1=6890
765009/00</t>
  </si>
  <si>
    <t>410-00-000-1x2=0
634347/60</t>
  </si>
  <si>
    <t>141139x4=594,92
675741/00
675770/00
675951/00
676243/00
016094/00</t>
  </si>
  <si>
    <t>141143x6=924,48
675741/00
675926/00
386553/00
015992/00
015780/00</t>
  </si>
  <si>
    <t>99050x6=160,5
675741/00
675951/00
675926/00</t>
  </si>
  <si>
    <t>C410-00-000-1x1=7636
765009/00</t>
  </si>
  <si>
    <t>620-00-000-1x1=0
634347/70</t>
  </si>
  <si>
    <t>141143x1=154,08
675741/00
675926/00
386553/00
015992/00
015780/00</t>
  </si>
  <si>
    <t>99050x1=26,75
675741/00
675951/00
675926/00</t>
  </si>
  <si>
    <t>C620-00-000-1x1=6356
765009/00</t>
  </si>
  <si>
    <t>99050x2=53,5
675741/00
675951/00
675926/00</t>
  </si>
  <si>
    <t>141143x2=308,16
675741/00
675926/00
386553/00
015992/00
015780/00</t>
  </si>
  <si>
    <t>MOD-11872x1=921
765033/00</t>
  </si>
  <si>
    <t>104626x10=0,7
213321/100</t>
  </si>
  <si>
    <t>610-00-000-1x2=0
634347/80</t>
  </si>
  <si>
    <t>129997x8=30,08
213451/320
675788/00
676239/00
676239/00
676866/00
676877/00</t>
  </si>
  <si>
    <t>137081x24=633,84
378960/00
379038/00
379551/00
379580/00
379623/00</t>
  </si>
  <si>
    <t>142171x4=6,4
477391/00</t>
  </si>
  <si>
    <t>143847x12=2234,16
675741/00
675951/00</t>
  </si>
  <si>
    <t>144570x4=877,4
675741/00
153500/00
675961/00</t>
  </si>
  <si>
    <t>145334x4=920,2
675741/00
676831/00</t>
  </si>
  <si>
    <t>99041x-12=-166,2
675739/00
675760/00
675790/00
675824/00
676240/00
676829/00
676876/00</t>
  </si>
  <si>
    <t>99048x4=107
675741/00
676867/00</t>
  </si>
  <si>
    <t>99049x4=107
675741/00
676867/00</t>
  </si>
  <si>
    <t>99054x8=214
675741/00
676867/00</t>
  </si>
  <si>
    <t>99057x1=21,4
675741/00
676873/00</t>
  </si>
  <si>
    <t>99057x3=64,2
675741/00
676873/00</t>
  </si>
  <si>
    <t>99059x4=111,56
378964/00
379038/00
379564/00</t>
  </si>
  <si>
    <t>99074x16=896
675763/00
675795/00
675827/00
676241/00
676872/00
153543/00
153550/00
153550/00</t>
  </si>
  <si>
    <t>99079x8=264,56
675795/00</t>
  </si>
  <si>
    <t>99080x8=571,2
675795/00</t>
  </si>
  <si>
    <t>99081x4=1,92
675797/00
676248/00
676310/00
676860/00
478038/00</t>
  </si>
  <si>
    <t>99082x8=464
675795/00</t>
  </si>
  <si>
    <t>C610-00-000-1x1=24536
765009/00</t>
  </si>
  <si>
    <t>99131x4=317,36
675964/00</t>
  </si>
  <si>
    <t>99133x4=252,84
675964/00</t>
  </si>
  <si>
    <t>143847x2=372,36
675741/00
675951/00</t>
  </si>
  <si>
    <t>99053x4=107
675741/00
676887/00</t>
  </si>
  <si>
    <t>132729x4=23,48
676885/00</t>
  </si>
  <si>
    <t>510-00-000-1x2=0
634347/90</t>
  </si>
  <si>
    <t>133911x8=29,44
477391/00</t>
  </si>
  <si>
    <t>137081x12=316,92
378960/00
379038/00
379551/00
379580/00
379623/00</t>
  </si>
  <si>
    <t>137082x21=611,31
378960/00
379038/00</t>
  </si>
  <si>
    <t>143194x4=791,8
675741/00
675951/00
015619/00</t>
  </si>
  <si>
    <t>143847x8=1489,44
675741/00
675951/00</t>
  </si>
  <si>
    <t>145946x12=321
675741/00
675951/00
016065/00</t>
  </si>
  <si>
    <t>99040x20=315,6
675737/00
675737/00
675737/00
676878/00</t>
  </si>
  <si>
    <t>99050x8=214
675741/00
675951/00
675926/00</t>
  </si>
  <si>
    <t>99051x2=53,5
675741/00
675894/00
675951/00</t>
  </si>
  <si>
    <t>99052x2=53,5
675741/00
675894/00
675951/00</t>
  </si>
  <si>
    <t>99055x2=53,5
675741/00</t>
  </si>
  <si>
    <t>99056x2=53,5
675741/00</t>
  </si>
  <si>
    <t>99083x8=35,6
675790/00</t>
  </si>
  <si>
    <t>99084x8=371,52
675795/00</t>
  </si>
  <si>
    <t>99085x4=219,16
675795/00
676872/00</t>
  </si>
  <si>
    <t>C510-00-000-1x2=59542
765009/00</t>
  </si>
  <si>
    <t>99134x2=128,52
675964/00</t>
  </si>
  <si>
    <t>99140x4=269,76
675964/00
676878/00</t>
  </si>
  <si>
    <t>144570x2=438,7
675741/00
153500/00
675961/00</t>
  </si>
  <si>
    <t>380-00-000-1x1=0
634347/100</t>
  </si>
  <si>
    <t>137082x8=232,88
378960/00
379038/00</t>
  </si>
  <si>
    <t>138291x2=12,4
675737/00
676237/00</t>
  </si>
  <si>
    <t>99074x4=224
675763/00
675795/00
675827/00
676241/00
676872/00
153543/00
153550/00
153550/00</t>
  </si>
  <si>
    <t>99089x4=880,92
675826/00
676874/00</t>
  </si>
  <si>
    <t>99090x4=42,84
675826/00
676874/00</t>
  </si>
  <si>
    <t>C380-00-000-1x1=10486
765024/00</t>
  </si>
  <si>
    <t>99138x2=108,24
675964/00</t>
  </si>
  <si>
    <t>580-00-000-1x3=0
634347/110</t>
  </si>
  <si>
    <t>118960x24=190,08
675893/00
675854/00
676856/00
478192/00</t>
  </si>
  <si>
    <t>137082x12=349,32
378960/00
379038/00</t>
  </si>
  <si>
    <t>141139x18=2677,14
675741/00
675770/00
675951/00
676243/00
016094/00</t>
  </si>
  <si>
    <t>142006x12=28,92
675737/00</t>
  </si>
  <si>
    <t>145947x14=374,5
675770/00
675741/00
675951/00
676243/00</t>
  </si>
  <si>
    <t>C580-00-000-1x2=12502
765024/00</t>
  </si>
  <si>
    <t>C580-00-000-1x1=6251
765024/00</t>
  </si>
  <si>
    <t>99141x12=497,16
675964/00</t>
  </si>
  <si>
    <t>99040x24=378,72
675737/00
675737/00
675737/00
676878/00</t>
  </si>
  <si>
    <t>44000x1=412,5
477470/00</t>
  </si>
  <si>
    <t>480-00-000-1x1=0
634347/140</t>
  </si>
  <si>
    <t>118960x8=63,36
675893/00
675854/00
676856/00
478192/00</t>
  </si>
  <si>
    <t>142006x4=9,64
675737/00</t>
  </si>
  <si>
    <t>C480-00-000-1x1=4395
765033/00</t>
  </si>
  <si>
    <t>99141x4=165,72
675964/00</t>
  </si>
  <si>
    <t>99040x8=126,24
675737/00
675737/00
675737/00
676878/00</t>
  </si>
  <si>
    <t>710-00-000-1x1=0
634347/150</t>
  </si>
  <si>
    <t>C710-00-000-1x1=7222
765033/00</t>
  </si>
  <si>
    <t>C710-00-000-1MODx1=1750
765081/00</t>
  </si>
  <si>
    <t>104693x8=1,54
634347/160</t>
  </si>
  <si>
    <t>105307x4=1,09
634347/170</t>
  </si>
  <si>
    <t>280-00-000-1x1=0
634347/180</t>
  </si>
  <si>
    <t>C280-00-000-1x1=8966
765038/00</t>
  </si>
  <si>
    <t>105437x10=3,41
634347/200</t>
  </si>
  <si>
    <t>101373x20=0,02
634347/210</t>
  </si>
  <si>
    <t>116021x20=0,6
420658/680
634347/220</t>
  </si>
  <si>
    <t>104600x20=0,63
634347/230</t>
  </si>
  <si>
    <t>116571x20=4
634347/240</t>
  </si>
  <si>
    <t>110597x20=2,4
634346/530
634346/700
634347/250
420723/720</t>
  </si>
  <si>
    <t>111988x20=1,96
634347/260</t>
  </si>
  <si>
    <t>210-00-000-1x1=0
634347/270</t>
  </si>
  <si>
    <t>103133x4=5,88
634343/90
213289/10
213304/10
213311/10
213322/10
213323/10
213451/10
213468/10
213568/10
213575/10
213577/10
213599/10
213482/10</t>
  </si>
  <si>
    <t>119812x4=30,36
676245/00</t>
  </si>
  <si>
    <t>129997x4=15,04
213451/320
675788/00
676239/00
676239/00
676866/00
676877/00</t>
  </si>
  <si>
    <t>141144x2=145,52
015999/00</t>
  </si>
  <si>
    <t>143194x2=395,9
675741/00
675951/00
015619/00</t>
  </si>
  <si>
    <t>143744x2=348
676236/00
676314/00
676825/00
676873/00
016180/00</t>
  </si>
  <si>
    <t>145946x5=133,75
675741/00
675951/00
016065/00</t>
  </si>
  <si>
    <t>99041x10=138,5
675739/00
675760/00
675790/00
675824/00
676240/00
676829/00
676876/00</t>
  </si>
  <si>
    <t>99059x2=55,78
378964/00
379038/00
379564/00</t>
  </si>
  <si>
    <t>99139x2=117,04
675964/00</t>
  </si>
  <si>
    <t>99074x8=448
675763/00
675795/00
675827/00
676241/00
676872/00
153543/00
153550/00
153550/00</t>
  </si>
  <si>
    <t>99081x2=0,96
675797/00
676248/00
676310/00
676860/00
478038/00</t>
  </si>
  <si>
    <t>99120x4=212,12
675912/00</t>
  </si>
  <si>
    <t>99121x2=402,58
675912/00</t>
  </si>
  <si>
    <t>99122x3=478,29
675951/00</t>
  </si>
  <si>
    <t>99123x1=29,75
675951/00</t>
  </si>
  <si>
    <t>99124x1=26,75
675951/00</t>
  </si>
  <si>
    <t>99160x4=252,6
676241/00</t>
  </si>
  <si>
    <t>99161x3=113,85
676263/00
676237/00</t>
  </si>
  <si>
    <t>99162x2=181,9
676236/00</t>
  </si>
  <si>
    <t>C210-00-000-1x1=27339
765071/00</t>
  </si>
  <si>
    <t>129997x2=9,08
213451/320
675788/00
676239/00
676239/00
676866/00
676877/00</t>
  </si>
  <si>
    <t>137082x1=29,11
378960/00
379038/00</t>
  </si>
  <si>
    <t>MOD-12397x1=6421
765133/00</t>
  </si>
  <si>
    <t>143744x1=174
676236/00
676314/00
676825/00
676873/00
016180/00</t>
  </si>
  <si>
    <t>137081x2=52,82
378960/00
379038/00
379551/00
379580/00
379623/00</t>
  </si>
  <si>
    <t>104267x20=138,96
634347/290</t>
  </si>
  <si>
    <t>104203x10=54,25
634347/300
420732/430
420732/440
420733/240
675695/00</t>
  </si>
  <si>
    <t>100954x100=6,38
634347/320</t>
  </si>
  <si>
    <t>100979x1000=30,75
420869/450
634347/340
420723/400
420723/810
420723/1050</t>
  </si>
  <si>
    <t>230-00-000-1x1=0
634347/350</t>
  </si>
  <si>
    <t>114669x8=34,96
675761/00
477392/00
675854/00
676875/00</t>
  </si>
  <si>
    <t>137082x3=87,33
378960/00
379038/00</t>
  </si>
  <si>
    <t>143189x1=203,3
675741/00
675853/00</t>
  </si>
  <si>
    <t>99060x1=997
153493/00
016056/00</t>
  </si>
  <si>
    <t>99061x1=997
153493/00
016060/00</t>
  </si>
  <si>
    <t>99110x4=1,35
675854/00</t>
  </si>
  <si>
    <t>C230-00-000-1x1=11170
765112/00</t>
  </si>
  <si>
    <t>128588x1=1,23
634347/310
634347/360</t>
  </si>
  <si>
    <t>44021x1=2561
477809/00</t>
  </si>
  <si>
    <t>66044x1=9709
765128/00</t>
  </si>
  <si>
    <t>44025x1=247
477970/00</t>
  </si>
  <si>
    <t>205-00-000-1+1x1=0
634347/410</t>
  </si>
  <si>
    <t>103133x4=5,4
634343/90
213289/10
213304/10
213311/10
213322/10
213323/10
213451/10
213468/10
213568/10
213575/10
213577/10
213599/10
213482/10</t>
  </si>
  <si>
    <t>127426x2=23,16
675761/00
477392/00
675854/00
675908/00
675969/00</t>
  </si>
  <si>
    <t>137082x5=145,55
378960/00
379038/00</t>
  </si>
  <si>
    <t>145542x2=460,1
676831/00</t>
  </si>
  <si>
    <t>99052x1=26,75
675741/00
675894/00
675951/00</t>
  </si>
  <si>
    <t>99132x2=123,9
675964/00
675968/00</t>
  </si>
  <si>
    <t>205-00-000-1x1=0
213568/180</t>
  </si>
  <si>
    <t>145943x1=26,75
675741/00
675853/00</t>
  </si>
  <si>
    <t>145944x1=26,75
675741/00
675853/00</t>
  </si>
  <si>
    <t>99051x1=26,75
675741/00
675894/00
675951/00</t>
  </si>
  <si>
    <t>99040x16=252,48
675737/00
675737/00
675737/00
676878/00</t>
  </si>
  <si>
    <t>145334x1=230,05
675741/00
676831/00</t>
  </si>
  <si>
    <t>C205-00-000-1+1x1=18299
765133/00</t>
  </si>
  <si>
    <t>99173x2=413,1
676828/00</t>
  </si>
  <si>
    <t>132508x4=3,96
675962/00
676828/00
676865/00</t>
  </si>
  <si>
    <t>99170x2=240,66
153552/00</t>
  </si>
  <si>
    <t>99171x2=259,62
153552/00</t>
  </si>
  <si>
    <t>405/6-00-000x2=0
634347/420</t>
  </si>
  <si>
    <t>118960x4=31,68
675893/00
675854/00
676856/00
478192/00</t>
  </si>
  <si>
    <t>129997x2=7,52
213451/320
675788/00
676239/00
676239/00
676866/00
676877/00</t>
  </si>
  <si>
    <t>132508x8=7,92
675962/00
676828/00
676865/00</t>
  </si>
  <si>
    <t>135397x2=0
676866/00</t>
  </si>
  <si>
    <t>137081x16=422,56
378960/00
379038/00
379551/00
379580/00
379623/00</t>
  </si>
  <si>
    <t>142006x2=4,82
675737/00</t>
  </si>
  <si>
    <t>99048x1=26,75
675741/00
676867/00</t>
  </si>
  <si>
    <t>99049x1=26,75
675741/00
676867/00</t>
  </si>
  <si>
    <t>99054x4=107
675741/00
676867/00</t>
  </si>
  <si>
    <t>99071x2=65,04
675737/00
676089/00
676865/00</t>
  </si>
  <si>
    <t>99174x2=380,02
676865/00</t>
  </si>
  <si>
    <t>99175x2=440,1
676865/00</t>
  </si>
  <si>
    <t>C405/6-00-000x2=22638
765138/00</t>
  </si>
  <si>
    <t>99141x2=82,86
675964/00</t>
  </si>
  <si>
    <t>410-00-000-1+1x2=0
634347/430</t>
  </si>
  <si>
    <t>103133x7=9,46
634343/90
213289/10
213304/10
213311/10
213322/10
213323/10
213451/10
213468/10
213568/10
213575/10
213577/10
213599/10
213482/10</t>
  </si>
  <si>
    <t>129997x4=18,16
213451/320
675788/00
676239/00
676239/00
676866/00
676877/00</t>
  </si>
  <si>
    <t>129997x3=13,62
213451/320
675788/00
676239/00
676239/00
676866/00
676877/00</t>
  </si>
  <si>
    <t>129997x2=0
213451/320
675788/00
676239/00
676239/00
676866/00
676877/00</t>
  </si>
  <si>
    <t>129997x15=68,1
213451/320
675788/00
676239/00
676239/00
676866/00
676877/00</t>
  </si>
  <si>
    <t>141765x12=1913,16
676873/00
153574/00</t>
  </si>
  <si>
    <t>142180x4=64,2
676873/00</t>
  </si>
  <si>
    <t>143744x15=2610
676236/00
676314/00
676825/00
676873/00
016180/00</t>
  </si>
  <si>
    <t>99040x36=568,08
675737/00
675737/00
675737/00
676878/00</t>
  </si>
  <si>
    <t>99041x52=720,2
675739/00
675760/00
675790/00
675824/00
676240/00
676829/00
676876/00</t>
  </si>
  <si>
    <t>99057x6=128,4
675741/00
676873/00</t>
  </si>
  <si>
    <t>99059x16=446,24
378964/00
379038/00
379564/00</t>
  </si>
  <si>
    <t>99176x8=358,16
676872/00</t>
  </si>
  <si>
    <t>99177x8=92,8
676879/00</t>
  </si>
  <si>
    <t>99178x8=82
676876/00</t>
  </si>
  <si>
    <t>99179x2=337,2
676878/00</t>
  </si>
  <si>
    <t>99180x8=318
676872/00</t>
  </si>
  <si>
    <t>99181x4=242,56
676872/00</t>
  </si>
  <si>
    <t>99182x4=281
676878/00</t>
  </si>
  <si>
    <t>C410-00-000-1+1x2=73580
765138/00</t>
  </si>
  <si>
    <t>99197x8=268,72
153543/00
153550/00</t>
  </si>
  <si>
    <t>44027x1=1100
478132/00</t>
  </si>
  <si>
    <t>44029x1=140
478132/00</t>
  </si>
  <si>
    <t>44030x1=370
478090/00</t>
  </si>
  <si>
    <t>44031x1=6203,75
478118/00</t>
  </si>
  <si>
    <t>44032x1=3330
478119/00</t>
  </si>
  <si>
    <t>44033x1=10815
478119/00</t>
  </si>
  <si>
    <t>44034x1=150
478119/00</t>
  </si>
  <si>
    <t>44035x1=387
478119/00</t>
  </si>
  <si>
    <t>44036x1=1250
478133/00</t>
  </si>
  <si>
    <t>830-00-000-1x2=0
634347/530</t>
  </si>
  <si>
    <t>103133x8=10,81
634343/90
213289/10
213304/10
213311/10
213322/10
213323/10
213451/10
213468/10
213568/10
213575/10
213577/10
213599/10
213482/10</t>
  </si>
  <si>
    <t>141143x8=1232,64
675741/00
675926/00
386553/00
015992/00
015780/00</t>
  </si>
  <si>
    <t>146438x2=42
386553/00</t>
  </si>
  <si>
    <t>C830-00-000-1x2=8528
765142/00</t>
  </si>
  <si>
    <t>44040x1=280
478134/00</t>
  </si>
  <si>
    <t>44042x1=150
478166/00</t>
  </si>
  <si>
    <t>880-00-000-1x1=0
634347/560</t>
  </si>
  <si>
    <t>141139x3=446,19
675741/00
675770/00
675951/00
676243/00
016094/00</t>
  </si>
  <si>
    <t>145947x3=80,25
675770/00
675741/00
675951/00
676243/00</t>
  </si>
  <si>
    <t>C880-00-000-1x1=4263
765144/00</t>
  </si>
  <si>
    <t>44050x1=112,5
478206/00</t>
  </si>
  <si>
    <t>44051x1=464
478209/00</t>
  </si>
  <si>
    <t>634347.0010x133=4676,79
000791(33h)
000273(28h)
137770(25h)
130288(7h)
000791(40h)</t>
  </si>
  <si>
    <t>634347.0020x423,92=13037,16
000342(27h)
130288(29h)
000242(42h)
136510(16h)
130288(164h)
000342(0h)
136510(59h)
000242(1h)
000342(31h)
000791(55h)</t>
  </si>
  <si>
    <t>ADUANA1x1=58825,090000000011
22301125
22301127
22400029
22400048
22400052
22400099
22400100
22400124
22400137
22400137
22400141
22400142
22400151
22400153
22400160
22400162
22400177
22400178
22400179
22400181
22400183
22400225
22400226
22400229
22400236
22400010
22400242
22400269
22400270
22400013
22400281
22400308
22400327
22400327
22400432
22400446
22400519
22400589
22400025
22400595</t>
  </si>
  <si>
    <t>DES000x1=2479,2300000000032
22300857
22300857
22300857
22300794
22300824
22300044
22300044
22300044
22400184
22400211
22400231
22400468
22400468
22400468
22400468
22400468
22400468
22400468
22400468
22400468
22400471
22400471
22400466
22400466
22400466
22400466
22400466
22400466
22400466
22400466
22400466
22400466
22400466
22400466
22400466
22400466
22400466
22400469
22400677
22400677
22400641
22400641
22400641
22400641
22400641
22400641
22400641
22400641
22400641
22400641
22400641
22400641
22400641
22400641
22400641
22400641
22400641</t>
  </si>
  <si>
    <t>DES001                               x1=67200,8
386286/25
386518/15</t>
  </si>
  <si>
    <t>ABONO                                x1=-17465,410000000007
153473/30
675737/90
675737/95
676087/5
676087/10
676087/15
676087/20
676088/5
676088/10
676088/15
676088/20</t>
  </si>
  <si>
    <t>PINTURAS                             x1=76,8
477596/50</t>
  </si>
  <si>
    <t>COS626200                            x1=156,3
478103/5</t>
  </si>
  <si>
    <t>GASES                                x1=1864
478141/5</t>
  </si>
  <si>
    <t>624323.0010x1220=58981,44
001037(532h)
001037(688h)</t>
  </si>
  <si>
    <t>624323.0020x2287=84065,8
000286(973h)
000286(1315h)</t>
  </si>
  <si>
    <t>624323.0030x559,75=22735,66
000580(260h)
000830(3h)
134633(3h)
000580(248h)
128729(42h)
138388(4h)</t>
  </si>
  <si>
    <t>624323.0040x169=6127,3
133798(95h)
133798(74h)</t>
  </si>
  <si>
    <t>624323.0050x445=16500,34
138231(10h)
141024(66h)
000702(8h)
000702(98h)
141024(243h)
138231(2h)
141025(16h)
128724(2h)</t>
  </si>
  <si>
    <t>624323.0060x4=166,2
137683(4h)</t>
  </si>
  <si>
    <t>624323.0070x244,75=8895,78
135112(83h)
135112(58h)
135112(0h)
136801(103h)</t>
  </si>
  <si>
    <t>99025x1=26653,7
386241/00</t>
  </si>
  <si>
    <t>99026x1=29663,58
386241/00</t>
  </si>
  <si>
    <t>99027x1=25615,94
386241/00</t>
  </si>
  <si>
    <t>99028x1=29663,58
386241/00</t>
  </si>
  <si>
    <t>99029x1=23249,96
386241/00</t>
  </si>
  <si>
    <t>99030x1=26908,44
386241/00</t>
  </si>
  <si>
    <t>99031x1=0
386241/00</t>
  </si>
  <si>
    <t>99033x1=16439,66
386241/00</t>
  </si>
  <si>
    <t>99034x1=16439,66
386241/00</t>
  </si>
  <si>
    <t>99035x1=13232,38
386241/00</t>
  </si>
  <si>
    <t>99072x8=8352
378961/00</t>
  </si>
  <si>
    <t>99091x0,3=26797,5
386279/00</t>
  </si>
  <si>
    <t>99091x0,7=62527,5
386279/00</t>
  </si>
  <si>
    <t>99109x0,3=1035
386279/00
386504/00</t>
  </si>
  <si>
    <t>99109x0,7=2415
386279/00
386504/00</t>
  </si>
  <si>
    <t>66039x1=8135
386402/00</t>
  </si>
  <si>
    <t>66040x1=745
386402/00</t>
  </si>
  <si>
    <t>99092x0,3=17811,9
386504/00</t>
  </si>
  <si>
    <t>99092x0,7=41561,1
386504/00</t>
  </si>
  <si>
    <t>66046x1=28463,9
386507/00</t>
  </si>
  <si>
    <t>66048x1=2612
386504/00</t>
  </si>
  <si>
    <t>66052x1=8840
386528/00</t>
  </si>
  <si>
    <t>66000x1=135821
153473/00</t>
  </si>
  <si>
    <t>66001x1=91339
153473/00</t>
  </si>
  <si>
    <t>66002x1=76221
153473/00</t>
  </si>
  <si>
    <t>66003x1=128197
153473/00</t>
  </si>
  <si>
    <t>66005x1=12352
153476/00</t>
  </si>
  <si>
    <t>66006x1=9747
153476/00</t>
  </si>
  <si>
    <t>66007x1=11967
153476/00</t>
  </si>
  <si>
    <t>66008x1=12352
153476/00</t>
  </si>
  <si>
    <t>66047x1=21106,32
386510/00</t>
  </si>
  <si>
    <t>105051x20=2,6
624331/110
634346/960</t>
  </si>
  <si>
    <t>66013x0,2=2030,39
378959/00</t>
  </si>
  <si>
    <t>66013x0,4=4060,78
378959/00</t>
  </si>
  <si>
    <t>66013x0,1=1015,2
378959/00</t>
  </si>
  <si>
    <t>01E09-1-00Ix1=0
634346/20</t>
  </si>
  <si>
    <t>145749x3=78
378996/00
378996/00
379111/00
379670/00</t>
  </si>
  <si>
    <t>145753x3=8910
378996/00
378996/00
379111/00
379670/00
015742/00</t>
  </si>
  <si>
    <t>145781x8=165,41
378897/00
378997/00</t>
  </si>
  <si>
    <t>145782x3=1212,3
378897/00
378997/00</t>
  </si>
  <si>
    <t>99086x15=1500
378996/00
379670/00</t>
  </si>
  <si>
    <t>138727x200=2604,44
379010/00</t>
  </si>
  <si>
    <t>143477x10=2407,78
379013/00</t>
  </si>
  <si>
    <t>00E01-0-00Ix1=0
634346/50</t>
  </si>
  <si>
    <t>111306x400=1076
634341/90
634341/130
477447/00</t>
  </si>
  <si>
    <t>111307x12=64,04
477447/00</t>
  </si>
  <si>
    <t>133628x50=52
379012/00
477710/00</t>
  </si>
  <si>
    <t>133629x100=69,42
379012/00</t>
  </si>
  <si>
    <t>133635x24=190,44
379012/00</t>
  </si>
  <si>
    <t>133805x36=346,14
379012/00</t>
  </si>
  <si>
    <t>133805x18=173,07
379012/00</t>
  </si>
  <si>
    <t>134352x24=168,11
379012/00</t>
  </si>
  <si>
    <t>138466x320=2099,52
420733/440
675840/00
016322/00</t>
  </si>
  <si>
    <t>138467x600=669,6
420733/450
675840/00</t>
  </si>
  <si>
    <t>138502x600=388,8
634346/1140
675840/00</t>
  </si>
  <si>
    <t>138975x100=111,6
675840/00</t>
  </si>
  <si>
    <t>139196x10=40,6
015969/00</t>
  </si>
  <si>
    <t>141089x120=1485,6
379011/00
379678/00
016327/00</t>
  </si>
  <si>
    <t>141090x138=2159,7
379011/00
016328/00</t>
  </si>
  <si>
    <t>141091x156=3004,56
379011/00
379723/00</t>
  </si>
  <si>
    <t>141092x111=2499,72
379011/00
016329/00</t>
  </si>
  <si>
    <t>141095x12=67,8
379011/00</t>
  </si>
  <si>
    <t>141097x27=343,44
379011/00</t>
  </si>
  <si>
    <t>141110x1110=3429,9
379011/00
016330/00</t>
  </si>
  <si>
    <t>141115x900=2385
379011/00</t>
  </si>
  <si>
    <t>142026x1000=90
379011/00</t>
  </si>
  <si>
    <t>142027x120=1290
379011/00
379678/00
016324/00</t>
  </si>
  <si>
    <t>142028x138=2253,54
379011/00
016325/00</t>
  </si>
  <si>
    <t>142029x96=2474,88
379011/00
016326/00</t>
  </si>
  <si>
    <t>142108x30=303,9
379011/00</t>
  </si>
  <si>
    <t>142112x20=225,8
379011/00</t>
  </si>
  <si>
    <t>142113x156=3084,12
379011/00
379723/00</t>
  </si>
  <si>
    <t>99108x30=63,6
379011/00</t>
  </si>
  <si>
    <t>141272x360=165,6
379231/00
015970/00</t>
  </si>
  <si>
    <t>141272x240=110,4
379231/00
015970/00</t>
  </si>
  <si>
    <t>66025x0,1=8910
386286/00</t>
  </si>
  <si>
    <t>66028x0,1=316
386286/00</t>
  </si>
  <si>
    <t>00E02-0-00Ix1=0
634346/110</t>
  </si>
  <si>
    <t>100706x1000=740
379020/00
379726/00</t>
  </si>
  <si>
    <t>100709x500=620
477477/00
379020/00</t>
  </si>
  <si>
    <t>100709x100=124
477477/00
379020/00</t>
  </si>
  <si>
    <t>100711x300=663
379020/00</t>
  </si>
  <si>
    <t>141666x12=71,86
379020/00</t>
  </si>
  <si>
    <t>99112x3=1217,74
379029/00</t>
  </si>
  <si>
    <t>136290x6=32,71
378771/00
379022/00
379586/00</t>
  </si>
  <si>
    <t>141286x6=58,91
378771/00
379022/00
379586/00</t>
  </si>
  <si>
    <t>00N04-1-00x1=0
634346/150</t>
  </si>
  <si>
    <t>99114x2=496,52
675882/00</t>
  </si>
  <si>
    <t>66030x1=118000
386309/00</t>
  </si>
  <si>
    <t>01E14-1-00x1=0
634346/170</t>
  </si>
  <si>
    <t>102086x11=82,09
378846/00
379035/00</t>
  </si>
  <si>
    <t>102087x8=57,4
378775/00
378846/00
378989/00
379035/00</t>
  </si>
  <si>
    <t>110850x35=202,13
378826/00
378948/00
378846/00
379035/00</t>
  </si>
  <si>
    <t>126350x8=161,2
378846/00
379035/00</t>
  </si>
  <si>
    <t>126351x11=67,65
378846/00
379035/00</t>
  </si>
  <si>
    <t>126979x35=192,95
378826/00
378846/00
379035/00</t>
  </si>
  <si>
    <t>131776x10=101,9
378846/00
379035/00</t>
  </si>
  <si>
    <t>139486x12=115,19
379036/00</t>
  </si>
  <si>
    <t>139486x39=374,37
379036/00</t>
  </si>
  <si>
    <t>139487x21=223,8
378918/00
379036/00</t>
  </si>
  <si>
    <t>21020.00.400.010x7=208,33
420869/130</t>
  </si>
  <si>
    <t>123172x10=5,13
420869/140
420732/190</t>
  </si>
  <si>
    <t>104447x20=17,46
420869/150
420733/310
420733/320
420776/230
420776/250</t>
  </si>
  <si>
    <t>104825x4=0,13
420869/160</t>
  </si>
  <si>
    <t>94500.10.671.002x8=4,64
420869/170</t>
  </si>
  <si>
    <t>101472x50=1,1
634346/1350
420869/190
420723/530</t>
  </si>
  <si>
    <t>113104x19=39,58
420869/200
420732/300
420732/350</t>
  </si>
  <si>
    <t>104304x10=12,42
420869/210</t>
  </si>
  <si>
    <t>123184x10=3,3
420869/230
420869/360
420723/420
420723/960
420731/290
420733/360</t>
  </si>
  <si>
    <t>123199x10=1,5
420869/240
420869/270
420869/310
420869/390
420723/460
420723/970
420723/1190</t>
  </si>
  <si>
    <t>123200x10=2,55
420869/250
420869/370
420723/450
420723/980</t>
  </si>
  <si>
    <t>123183x10=2,2
634346/1990
420829/60
420869/260
420869/300
420723/430
420723/950
420723/1180
379160/00</t>
  </si>
  <si>
    <t>21020.00.300.610x5=18,87
420869/280
420853/30</t>
  </si>
  <si>
    <t>145139x20=0
420869/320
634347/280
420733/550
379231/00
379700/00</t>
  </si>
  <si>
    <t>21020.00.300.210x10=75,46
420869/340</t>
  </si>
  <si>
    <t>123200x10=1,67
420869/250
420869/370
420723/450
420723/980</t>
  </si>
  <si>
    <t>104303x20=38,64
634346/2030
420869/380
420733/520</t>
  </si>
  <si>
    <t>123199x15=2,25
420869/240
420869/270
420869/310
420869/390
420723/460
420723/970
420723/1190</t>
  </si>
  <si>
    <t>104292x10=35,58
420869/400</t>
  </si>
  <si>
    <t>21020.00.401.430x10=3,2
420734/30
420734/40
420869/410
420869/530
420869/540</t>
  </si>
  <si>
    <t>125853x4=2,48
420869/330
420869/420
420733/580</t>
  </si>
  <si>
    <t>125211x4=32,2
420869/430</t>
  </si>
  <si>
    <t>100979x100=3,08
420869/450
634347/340
420723/400
420723/810
420723/1050</t>
  </si>
  <si>
    <t>100980x100=4,9
420869/460
420723/390
420723/800
420723/1040</t>
  </si>
  <si>
    <t>105065x2=0,31
420869/470</t>
  </si>
  <si>
    <t>101457x10=0,26
420869/480</t>
  </si>
  <si>
    <t>117356x26=52,65
420869/500
420732/320
420732/380</t>
  </si>
  <si>
    <t>104153x25=32,5
420869/510
420732/390
421262/20</t>
  </si>
  <si>
    <t>21020.00.401.420x10=27,24
420869/520
420723/1240</t>
  </si>
  <si>
    <t>101282x100=9
420869/550</t>
  </si>
  <si>
    <t>101287x30=6,24
420869/560</t>
  </si>
  <si>
    <t>101289x30=5,13
420869/570</t>
  </si>
  <si>
    <t>101290x30=7,44
420869/580
420723/1000</t>
  </si>
  <si>
    <t>101291x30=8,16
420869/590</t>
  </si>
  <si>
    <t>145589x35=321,62
379065/00</t>
  </si>
  <si>
    <t>145589x5=45,95
379065/00</t>
  </si>
  <si>
    <t>99125x300=54
379001/00</t>
  </si>
  <si>
    <t>01E15-1-00Ix1=0
634346/200</t>
  </si>
  <si>
    <t>138104x600=1248,78
379077/00
016135/00</t>
  </si>
  <si>
    <t>144470x150=1234,7
379077/00</t>
  </si>
  <si>
    <t>132508x12=11,88
675962/00
676828/00
676865/00</t>
  </si>
  <si>
    <t>104744x16=10,72
634346/220</t>
  </si>
  <si>
    <t>104839x12=0,75
634346/230</t>
  </si>
  <si>
    <t>104832x40=1,02
634346/240
420869/490
420723/650</t>
  </si>
  <si>
    <t>101374x2200=4,75
634346/250</t>
  </si>
  <si>
    <t>101376x1500=7,2
634343/180
634343/220
634346/260
634346/390
634346/1450</t>
  </si>
  <si>
    <t>101377x1000=7
420658/590
634346/270
634346/420
634346/1310
420776/170</t>
  </si>
  <si>
    <t>101445x300=7,5
634346/280
634346/1440
634346/1550</t>
  </si>
  <si>
    <t>104606x300=6,06
634346/290
634346/1280</t>
  </si>
  <si>
    <t>101450x350=9,21
634346/300
634346/1200
634346/1410</t>
  </si>
  <si>
    <t>101378x320=4,32
634346/310
634346/460
634346/760
634346/1320</t>
  </si>
  <si>
    <t>105242x250=6,25
634346/320
634346/490
634346/1330
634346/1540</t>
  </si>
  <si>
    <t>101444x1770=40,71
634346/330
634346/1570
420723/910</t>
  </si>
  <si>
    <t>104620x100=4,5
634346/340</t>
  </si>
  <si>
    <t>105976x1150=20,7
634346/350
634346/660</t>
  </si>
  <si>
    <t>105974x500=20
634346/360
634346/470
634346/1470</t>
  </si>
  <si>
    <t>105280x48=9,6
634343/80
634346/370
420723/1210
420776/310</t>
  </si>
  <si>
    <t>101451x48=1,54
634346/380
634346/1400</t>
  </si>
  <si>
    <t>101376x48=0,23
634343/180
634343/220
634346/260
634346/390
634346/1450</t>
  </si>
  <si>
    <t>105977x48=1,06
634343/190
634346/400</t>
  </si>
  <si>
    <t>101452x104=5,82
634346/410
634346/620
634346/1230
420731/310</t>
  </si>
  <si>
    <t>101377x152=1,06
420658/590
634346/270
634346/420
634346/1310
420776/170</t>
  </si>
  <si>
    <t>105978x152=5,02
634343/230
420658/600
634346/430
634346/580
634346/1340</t>
  </si>
  <si>
    <t>104652x48=3,36
634346/440
634346/630
634346/1460
420731/320</t>
  </si>
  <si>
    <t>101378x8=0,11
634346/310
634346/460
634346/760
634346/1320</t>
  </si>
  <si>
    <t>105974x8=0,32
634346/360
634346/470
634346/1470</t>
  </si>
  <si>
    <t>104690x24=4,33
634346/480
634346/570</t>
  </si>
  <si>
    <t>105242x24=0,6
634346/320
634346/490
634346/1330
634346/1540</t>
  </si>
  <si>
    <t>110595x24=1,58
634346/500</t>
  </si>
  <si>
    <t>104724x24=9,88
634346/510
634346/680</t>
  </si>
  <si>
    <t>110597x24=2,88
634346/530
634346/700
634347/250
420723/720</t>
  </si>
  <si>
    <t>105050x150=13,47
634346/540
634346/950</t>
  </si>
  <si>
    <t>105049x200=19,6
634346/550</t>
  </si>
  <si>
    <t>105978x830=27,39
634343/230
420658/600
634346/430
634346/580
634346/1340</t>
  </si>
  <si>
    <t>101471x430=3,01
634346/590</t>
  </si>
  <si>
    <t>101447x450=16,65
634346/600
634346/1390
634346/1430</t>
  </si>
  <si>
    <t>101448x300=10,5
624324/20
634346/610
634346/1190
420723/1250</t>
  </si>
  <si>
    <t>101452x110=6,16
634346/410
634346/620
634346/1230
420731/310</t>
  </si>
  <si>
    <t>104652x22=1,54
634346/440
634346/630
634346/1460
420731/320</t>
  </si>
  <si>
    <t>104656x70=6,3
634346/650</t>
  </si>
  <si>
    <t>105976x3790=68,22
634346/350
634346/660</t>
  </si>
  <si>
    <t>00E05-0-00Fx1=0
634346/670</t>
  </si>
  <si>
    <t>142261x50=35,5
676041/00
676211/00</t>
  </si>
  <si>
    <t>143066x60=247,8
676041/00
676211/00</t>
  </si>
  <si>
    <t>146049x50=92,5
676041/00
676373/00</t>
  </si>
  <si>
    <t>104724x10=4,12
634346/510
634346/680</t>
  </si>
  <si>
    <t>110597x16=1,92
634346/530
634346/700
634347/250
420723/720</t>
  </si>
  <si>
    <t>105039x198=18,81
634346/720</t>
  </si>
  <si>
    <t>99150x100=198,62
379153/00
379257/00
379545/00</t>
  </si>
  <si>
    <t>105052x36=3,42
634346/750</t>
  </si>
  <si>
    <t>101378x36=0,49
634346/310
634346/460
634346/760
634346/1320</t>
  </si>
  <si>
    <t>104725x6=2,1
634346/770</t>
  </si>
  <si>
    <t>99151x300=2100
676112/00</t>
  </si>
  <si>
    <t>123240x60=73,44
634346/2000
379160/00</t>
  </si>
  <si>
    <t>123208x60=20,52
634346/2010
379160/00</t>
  </si>
  <si>
    <t>123183x60=13,2
634346/1990
420829/60
420869/260
420869/300
420723/430
420723/950
420723/1180
379160/00</t>
  </si>
  <si>
    <t>66037x1=195
676034/00</t>
  </si>
  <si>
    <t>110646x5=16,1
634346/830</t>
  </si>
  <si>
    <t>99152x100=52,1
477616/00</t>
  </si>
  <si>
    <t>21006.00.001.004x16=59,98
213284/30
213307/20
213308/20
213595/220
634346/850</t>
  </si>
  <si>
    <t>104672x200=26
634346/860</t>
  </si>
  <si>
    <t>104250x20=45,12
634346/870</t>
  </si>
  <si>
    <t>00N00-0-00x1=0
634346/880</t>
  </si>
  <si>
    <t>141630x4=210,24
675526/00
675883/00
676191/00
676271/00</t>
  </si>
  <si>
    <t>141631x4=153,4
675526/00
676191/00</t>
  </si>
  <si>
    <t>00E03-0-00Fx1=0
634346/890</t>
  </si>
  <si>
    <t>00E03-0-00Ix1=0
634346/900</t>
  </si>
  <si>
    <t>100755x100=216,76
378849/00
379220/00</t>
  </si>
  <si>
    <t>141272x840=386,4
379231/00
015970/00</t>
  </si>
  <si>
    <t>145139x40=37,2
420869/320
634347/280
420733/550
379231/00
379700/00</t>
  </si>
  <si>
    <t>145139x560=520,8
420869/320
634347/280
420733/550
379231/00
379700/00</t>
  </si>
  <si>
    <t>123065x1026=35,04
421025/40
421025/50</t>
  </si>
  <si>
    <t>01E16-1-00Ix1=0
634346/910</t>
  </si>
  <si>
    <t>100755x400=867,04
378849/00
379220/00</t>
  </si>
  <si>
    <t>140606x100=571,52
379220/00</t>
  </si>
  <si>
    <t>99153x24=358,32
379223/00</t>
  </si>
  <si>
    <t>99154x24=358,32
379223/00</t>
  </si>
  <si>
    <t>66038x1=60
477690/00</t>
  </si>
  <si>
    <t>104675x100=16,56
634346/930</t>
  </si>
  <si>
    <t>104674x100=16
634346/940</t>
  </si>
  <si>
    <t>105050x4=0,36
634346/540
634346/950</t>
  </si>
  <si>
    <t>105051x4=0,52
624331/110
634346/960</t>
  </si>
  <si>
    <t>01E18-1-00x1=0
634346/970</t>
  </si>
  <si>
    <t>146117x500=1291,05
379257/00</t>
  </si>
  <si>
    <t>123191x20=39,28
634341/70
421046/30
421053/30
420776/210</t>
  </si>
  <si>
    <t>00E06-0-00Ix1=0
634346/980</t>
  </si>
  <si>
    <t>99158x25=101,4
379252/00</t>
  </si>
  <si>
    <t>99159x50=44,4
379252/00
379601/00</t>
  </si>
  <si>
    <t>00E07-0-00Fx1=0
634346/990</t>
  </si>
  <si>
    <t>140936x1440=173,52
379258/00</t>
  </si>
  <si>
    <t>00E07-0-00Ix1=0
634346/1000</t>
  </si>
  <si>
    <t>133628x50=40
379012/00
477710/00</t>
  </si>
  <si>
    <t>146016x100=142,4
477710/00</t>
  </si>
  <si>
    <t>123191x20=43,9
634341/70
421046/30
421053/30
420776/210</t>
  </si>
  <si>
    <t>123207x25=4,73
634341/80
421053/40
420723/870</t>
  </si>
  <si>
    <t>104253x30=40,98
634346/1010
420733/480
420776/200</t>
  </si>
  <si>
    <t>104150x30=39
420658/820
634346/1020</t>
  </si>
  <si>
    <t>104227x30=100,98
634346/1030</t>
  </si>
  <si>
    <t>104189x30=11,34
634346/1040</t>
  </si>
  <si>
    <t>109118x100=1,1
634344/170
634346/1050
420732/410</t>
  </si>
  <si>
    <t>105281x32=10,88
634346/1060
420723/1120
420723/1140</t>
  </si>
  <si>
    <t>109117x100=1,1
624324/30
634344/180
634346/1080
420776/160
420776/190
420776/260</t>
  </si>
  <si>
    <t>104242x2=11,72
634346/1090</t>
  </si>
  <si>
    <t>104202x2=15,52
634346/1100
420732/230
420733/500</t>
  </si>
  <si>
    <t>99165x4=24,96
676285/00</t>
  </si>
  <si>
    <t>143948x10=536,9
675939/00
676285/00</t>
  </si>
  <si>
    <t>116472x10=143
634346/1130
420732/120</t>
  </si>
  <si>
    <t>138502x10=6,75
634346/1140
675840/00</t>
  </si>
  <si>
    <t>00N01-0-00x1=0
634346/1150</t>
  </si>
  <si>
    <t>116245x16=66,88
676290/00</t>
  </si>
  <si>
    <t>138584x10=30,9
675680/00
675522/00
675841/00
676299/00</t>
  </si>
  <si>
    <t>00E08-0-00x1=0
634346/1160</t>
  </si>
  <si>
    <t>66042x1=44,04
676407/00</t>
  </si>
  <si>
    <t>130675x400=4569,2
379357/00</t>
  </si>
  <si>
    <t>101450x300=7,89
634346/300
634346/1200
634346/1410</t>
  </si>
  <si>
    <t>101446x500=12,5
634346/1210</t>
  </si>
  <si>
    <t>104619x300=12,9
634346/1220</t>
  </si>
  <si>
    <t>101452x100=5,6
634346/410
634346/620
634346/1230
420731/310</t>
  </si>
  <si>
    <t>104639x200=9,59
634346/1240
634346/1580</t>
  </si>
  <si>
    <t>104636x250=12,5
634346/1250</t>
  </si>
  <si>
    <t>104635x200=5,21
634346/1260</t>
  </si>
  <si>
    <t>104608x300=11,1
634346/1270</t>
  </si>
  <si>
    <t>104606x400=8,08
634346/290
634346/1280</t>
  </si>
  <si>
    <t>104659x50=10
634346/1290</t>
  </si>
  <si>
    <t>101375x1000=1,9
634346/1300</t>
  </si>
  <si>
    <t>101378x600=8,1
634346/310
634346/460
634346/760
634346/1320</t>
  </si>
  <si>
    <t>105242x200=5
634346/320
634346/490
634346/1330
634346/1540</t>
  </si>
  <si>
    <t>105978x500=16,5
634343/230
420658/600
634346/430
634346/580
634346/1340</t>
  </si>
  <si>
    <t>101472x230=5,06
634346/1350
420869/190
420723/530</t>
  </si>
  <si>
    <t>105144x500=5
634346/1360</t>
  </si>
  <si>
    <t>101473x80=3,91
634346/1370</t>
  </si>
  <si>
    <t>104637x234=14,04
634346/1380</t>
  </si>
  <si>
    <t>101447x200=7,4
634346/600
634346/1390
634346/1430</t>
  </si>
  <si>
    <t>101451x200=6,4
634346/380
634346/1400</t>
  </si>
  <si>
    <t>101450x150=3,95
634346/300
634346/1200
634346/1410</t>
  </si>
  <si>
    <t>01E19-1-00x1=0
634346/1420</t>
  </si>
  <si>
    <t>126344x12=125,31
379013/00
379548/00
015997/00
015996/00</t>
  </si>
  <si>
    <t>143900x4=62,97
379548/00</t>
  </si>
  <si>
    <t>101447x300=11,1
634346/600
634346/1390
634346/1430</t>
  </si>
  <si>
    <t>101445x600=15
634346/280
634346/1440
634346/1550</t>
  </si>
  <si>
    <t>101376x5000=24
634343/180
634343/220
634346/260
634346/390
634346/1450</t>
  </si>
  <si>
    <t>104652x150=10,5
634346/440
634346/630
634346/1460
420731/320</t>
  </si>
  <si>
    <t>00E09-0-00Fx1=0
634346/1480</t>
  </si>
  <si>
    <t>139410x5=530
676871/00</t>
  </si>
  <si>
    <t>139412x3=225
676871/00</t>
  </si>
  <si>
    <t>139443x5=530
676871/00</t>
  </si>
  <si>
    <t>120687x60=12,6
213284/80
213307/60
213308/60
213595/260
634346/1490</t>
  </si>
  <si>
    <t>66049x0,27=26192,32
386518/00</t>
  </si>
  <si>
    <t>66049x0,23=22311,98
386518/00</t>
  </si>
  <si>
    <t>66049x0,5=48504,3
386518/00</t>
  </si>
  <si>
    <t>66051x0,27=1029,13
386518/00</t>
  </si>
  <si>
    <t>66051x0,23=876,67
386518/00</t>
  </si>
  <si>
    <t>66051x0,5=1905,8
386518/00</t>
  </si>
  <si>
    <t>99185x8=535,04
379566/00</t>
  </si>
  <si>
    <t>00E20-1-00Ix1=0
634346/1530</t>
  </si>
  <si>
    <t>124544x100=169,51
379578/00</t>
  </si>
  <si>
    <t>101445x200=5
634346/280
634346/1440
634346/1550</t>
  </si>
  <si>
    <t>104607x200=4,92
634346/1560</t>
  </si>
  <si>
    <t>101444x200=4,6
634346/330
634346/1570
420723/910</t>
  </si>
  <si>
    <t>104639x100=4,96
634346/1240
634346/1580</t>
  </si>
  <si>
    <t>66053x1=3514
478094/00</t>
  </si>
  <si>
    <t>66054x1=3564
478094/00</t>
  </si>
  <si>
    <t>66055x1=1345,46
478097/00</t>
  </si>
  <si>
    <t>66056x1=0
676849/00</t>
  </si>
  <si>
    <t>01E22-1-00Ix1=0
634346/1630</t>
  </si>
  <si>
    <t>99000x-8=-118,24
378768/00
378942/00
379614/00</t>
  </si>
  <si>
    <t>99000x2=31,14
378768/00
378942/00
379614/00</t>
  </si>
  <si>
    <t>111037x1=8,16
421296/20
378775/00
378846/00
378989/00</t>
  </si>
  <si>
    <t>104844x50=6,45
634346/1650
634346/1740</t>
  </si>
  <si>
    <t>105045x50=7
634346/1660
634346/1730
420723/630
420723/640</t>
  </si>
  <si>
    <t>133476x400=623,4
378849/00
379616/00</t>
  </si>
  <si>
    <t>105202x100=1,8
634346/1680
634346/1950
420723/380
420723/850
420731/330</t>
  </si>
  <si>
    <t>104660x50=7,55
634346/1690
634346/1930
420723/840</t>
  </si>
  <si>
    <t>100749x870=887,23
420723/690
378924/00
379624/00</t>
  </si>
  <si>
    <t>01E23-1-00Ix1=0
634346/1720</t>
  </si>
  <si>
    <t>99198x2=62
379627/00</t>
  </si>
  <si>
    <t>99199x6=336
379627/00</t>
  </si>
  <si>
    <t>104844x60=7,74
634346/1650
634346/1740</t>
  </si>
  <si>
    <t>145513x25=601,25
378917/00
379658/00
015785/00</t>
  </si>
  <si>
    <t>139485x50=1418,63
378918/00
379659/00</t>
  </si>
  <si>
    <t>66058x1=2150
676849/00</t>
  </si>
  <si>
    <t>66059x1=2510
676849/00</t>
  </si>
  <si>
    <t>01E24-1-00Ix1=0
634346/1790</t>
  </si>
  <si>
    <t>145749x4=104
378996/00
378996/00
379111/00
379670/00</t>
  </si>
  <si>
    <t>145753x4=11880
378996/00
378996/00
379111/00
379670/00
015742/00</t>
  </si>
  <si>
    <t>99086x4=400
378996/00
379670/00</t>
  </si>
  <si>
    <t>146452x1000=1188,6
379672/00</t>
  </si>
  <si>
    <t>116416x50=37,5
634346/1810
634346/1980</t>
  </si>
  <si>
    <t>00E11-0-00Ix1=0
634346/1820</t>
  </si>
  <si>
    <t>141089x30=371,4
379011/00
379678/00
016327/00</t>
  </si>
  <si>
    <t>142027x30=322,5
379011/00
379678/00
016324/00</t>
  </si>
  <si>
    <t>135294x30=63
379651/00
478204/00</t>
  </si>
  <si>
    <t>00E12-0-00Ix1=0
634346/1840</t>
  </si>
  <si>
    <t>145139x160=148,8
420869/320
634347/280
420733/550
379231/00
379700/00</t>
  </si>
  <si>
    <t>00E12-0-00Fx1=0
634346/1850</t>
  </si>
  <si>
    <t>141049x20=9
420733/560
420733/590
379015/00
379011/00
379700/00</t>
  </si>
  <si>
    <t>141447x40=15,6
379011/00
379700/00</t>
  </si>
  <si>
    <t>66060x1=215,8
478217/00</t>
  </si>
  <si>
    <t>00E13-0-00Fx1=0
634346/1870</t>
  </si>
  <si>
    <t>143850x4=55
379720/00</t>
  </si>
  <si>
    <t>00E13-0-00Ix1=0
634346/1880</t>
  </si>
  <si>
    <t>141091x18=346,68
379011/00
379723/00</t>
  </si>
  <si>
    <t>142113x18=355,86
379011/00
379723/00</t>
  </si>
  <si>
    <t>00E14-0-00Ix1=0
634346/1890</t>
  </si>
  <si>
    <t>100706x400=296
379020/00
379726/00</t>
  </si>
  <si>
    <t>100712x300=933
379726/00</t>
  </si>
  <si>
    <t>00E14-0-00Fx1=0
634346/1900</t>
  </si>
  <si>
    <t>126224x25=17,5
675863/00
478235/00</t>
  </si>
  <si>
    <t>140833x50=16,1
478235/00</t>
  </si>
  <si>
    <t>144374x50=46,55
478235/00</t>
  </si>
  <si>
    <t>99204x20=210
379730/00</t>
  </si>
  <si>
    <t>66062x1=2700
386583/00</t>
  </si>
  <si>
    <t>104660x38=5,74
634346/1690
634346/1930
420723/840</t>
  </si>
  <si>
    <t>104662x60=6,78
634343/150
634346/1700
634346/1940
634346/2020
420723/370
420723/830</t>
  </si>
  <si>
    <t>105202x120=2,16
634346/1680
634346/1950
420723/380
420723/850
420731/330</t>
  </si>
  <si>
    <t>123240x10=12,24
634346/2000
379160/00</t>
  </si>
  <si>
    <t>123208x10=3,41
634346/2010
379160/00</t>
  </si>
  <si>
    <t>104662x20=2,26
634343/150
634346/1700
634346/1940
634346/2020
420723/370
420723/830</t>
  </si>
  <si>
    <t>104303x5=9,66
634346/2030
420869/380
420733/520</t>
  </si>
  <si>
    <t>01E26-1-00Ix1=0
634346/2040</t>
  </si>
  <si>
    <t>145513x8=188,64
378917/00
379658/00
015785/00</t>
  </si>
  <si>
    <t>634346.0010x715,5=24931,42
133798(112h)
133798(588h)
000791(16h)</t>
  </si>
  <si>
    <t>634346.0020x375,75=13719,54
138231(9h)
138231(67h)
000702(90h)
137472(37h)
141024(74h)
138760(59h)
133798(40h)</t>
  </si>
  <si>
    <t>634367.0020x220,25=9920,06
138388(204h)
138872(16h)</t>
  </si>
  <si>
    <t>634367.0040x82=3693,28
139101(82h)</t>
  </si>
  <si>
    <t>66050x1=10394,8
386518/00</t>
  </si>
  <si>
    <t>624329.0030x16,25=575,74
137683(12h)
000227(4h)</t>
  </si>
  <si>
    <t>624329.0050x12=437,16
138231(12h)</t>
  </si>
  <si>
    <t>66045x0,5=9000
386506/00</t>
  </si>
  <si>
    <t>44041x1=856,25
478166/00</t>
  </si>
  <si>
    <t>44052x1=285
478210/00</t>
  </si>
  <si>
    <t>624327.0020x256=9374,72
138388(24h)
000580(232h)</t>
  </si>
  <si>
    <t>624327.0030x702=24871,92
000227(270h)
137683(332h)
000327(100h)</t>
  </si>
  <si>
    <t>624327.0040x305=10461,5
133798(305h)</t>
  </si>
  <si>
    <t>132970x50=6,5
634343/10</t>
  </si>
  <si>
    <t>134545x50=1,75
634343/20</t>
  </si>
  <si>
    <t>133813x50=2
634343/30</t>
  </si>
  <si>
    <t>142076x30=1,35
634343/40</t>
  </si>
  <si>
    <t>132975x30=1,2
634343/50
634343/200
420658/790</t>
  </si>
  <si>
    <t>131368x30=1,5
634343/60</t>
  </si>
  <si>
    <t>101404x1000=12
634343/70
420658/640
420733/270</t>
  </si>
  <si>
    <t>105280x400=80
634343/80
634346/370
420723/1210
420776/310</t>
  </si>
  <si>
    <t>103133x14=23,3
634343/90
213289/10
213304/10
213311/10
213322/10
213323/10
213451/10
213468/10
213568/10
213575/10
213577/10
213599/10
213482/10</t>
  </si>
  <si>
    <t>105284x100=135
634343/100
420723/1130</t>
  </si>
  <si>
    <t>66034x1=1620,55
477631/00</t>
  </si>
  <si>
    <t>66035x1=637,9
477631/00</t>
  </si>
  <si>
    <t>66036x1=23,2
477631/00</t>
  </si>
  <si>
    <t>66041x1=141,6
676335/00</t>
  </si>
  <si>
    <t>104662x8=0,9
634343/150
634346/1700
634346/1940
634346/2020
420723/370
420723/830</t>
  </si>
  <si>
    <t>101458x10=0,39
634343/160</t>
  </si>
  <si>
    <t>66043x1=283,52
676428/00</t>
  </si>
  <si>
    <t>101376x180=0,86
634343/180
634343/220
634346/260
634346/390
634346/1450</t>
  </si>
  <si>
    <t>105977x180=3,96
634343/190
634346/400</t>
  </si>
  <si>
    <t>132975x180=7,2
634343/50
634343/200
420658/790</t>
  </si>
  <si>
    <t>104815x180=3,6
634343/210</t>
  </si>
  <si>
    <t>101376x300=1,44
634343/180
634343/220
634346/260
634346/390
634346/1450</t>
  </si>
  <si>
    <t>103147x72=12,23
634343/240
420658/610</t>
  </si>
  <si>
    <t>118970x56=6,44
634343/250
420658/690</t>
  </si>
  <si>
    <t>109064x20=13,6
634343/260
213353/10</t>
  </si>
  <si>
    <t>126192x35=2,28
634343/270
420658/630</t>
  </si>
  <si>
    <t>21020.00.201.201x2=2,61
634343/280</t>
  </si>
  <si>
    <t>21001.00.901.027x100=80
634343/290</t>
  </si>
  <si>
    <t>21001.00.901.028x100=55
634343/300</t>
  </si>
  <si>
    <t>21001.00.901.029x100=60
634343/310</t>
  </si>
  <si>
    <t>21001.00.901.030x100=80
634343/320</t>
  </si>
  <si>
    <t>142078x100=13
634343/330</t>
  </si>
  <si>
    <t>103152x54=12,31
634343/340</t>
  </si>
  <si>
    <t>105311x42=12,45
634343/350</t>
  </si>
  <si>
    <t>634343.0010x497=17351,78
000858(37h)
137770(1h)
000791(40h)
000273(10h)
000858(110h)
000791(155h)
000273(105h)
137770(40h)</t>
  </si>
  <si>
    <t>624326.0010x1020,04=45436,37
131427(619h)
000872(3h)
000806(32h)
131427(366h)</t>
  </si>
  <si>
    <t>TRANSPORTEC                          x1=8504,7000000000025
22400138
22400140
22400202
22400264
22400887
22400989
22400990
153493/15
153545/10
153552/25
153563/15
153564/15
153585/15
378897/15
378898/25
378904/10
378934/15
378943/10
378961/15
378997/15
379092/20
379598/25
379599/15
379627/15
379670/20
379681/20
379714/20
386274/20
386279/15
386504/15
477191/10
477301/10
477329/10
675525/10
675570/10
675729/10
675737/85
675826/15
675833/125
675841/15
675882/40
675897/35
675907/10
675912/20
675939/15
675962/10
675964/60
675964/65
675968/15
676237/20
676265/10
676285/20
676824/10
676828/15
676865/25
676871/20
676874/15
676878/25
676880/15
676904/10
676941/10</t>
  </si>
  <si>
    <t>TRANSPORTEV                          x1=3165,45
22400228
22400495
22400866
22400871
22400897
22400942
22401007
22401007
386583/5</t>
  </si>
  <si>
    <t>EMBALAJE                             x1=70
378961/10</t>
  </si>
  <si>
    <t>Project</t>
  </si>
  <si>
    <t>Osy</t>
  </si>
  <si>
    <t>Vrs DashBoard</t>
  </si>
  <si>
    <t>Vrs Std.Prices</t>
  </si>
  <si>
    <t>Cia</t>
  </si>
  <si>
    <t>Prj</t>
  </si>
  <si>
    <t>Parte_Prj</t>
  </si>
  <si>
    <t>Sp</t>
  </si>
  <si>
    <t>31199</t>
  </si>
  <si>
    <t>31200</t>
  </si>
  <si>
    <t>Nivel</t>
  </si>
  <si>
    <t>Valor</t>
  </si>
  <si>
    <t>ValorAcumulado</t>
  </si>
  <si>
    <t>Nivel1</t>
  </si>
  <si>
    <t>Nivel2</t>
  </si>
  <si>
    <t>Nivel3</t>
  </si>
  <si>
    <t>Nivel4</t>
  </si>
  <si>
    <t>Nivel5</t>
  </si>
  <si>
    <t>Proyecto</t>
  </si>
  <si>
    <t>0010</t>
  </si>
  <si>
    <t>31199.0010 -  03 - Fabricación</t>
  </si>
  <si>
    <t>Sp-31199.0010</t>
  </si>
  <si>
    <t xml:space="preserve">    31199.0010 - Subproyecto - 919,92€</t>
  </si>
  <si>
    <t xml:space="preserve">        624317.0010 (Operación) - 919,92€</t>
  </si>
  <si>
    <t xml:space="preserve">    31199.0010 - Subproyecto - 5.099,92€</t>
  </si>
  <si>
    <t xml:space="preserve">        624317.0010 (Operación) - 5.099,92€</t>
  </si>
  <si>
    <t xml:space="preserve">    31199.0010 - Subproyecto - 4.663,84€</t>
  </si>
  <si>
    <t xml:space="preserve">        624317.0010 (Operación) - 4.663,84€</t>
  </si>
  <si>
    <t xml:space="preserve">    31199.0010 - Subproyecto - 32.839,38€</t>
  </si>
  <si>
    <t xml:space="preserve">        624317.0010 (Operación) - 32.839,38€</t>
  </si>
  <si>
    <t xml:space="preserve">    31199.0010 - Subproyecto - 72,00€</t>
  </si>
  <si>
    <t xml:space="preserve">        66009 (Recep OC) - 72,00€</t>
  </si>
  <si>
    <t xml:space="preserve">    31199.0010 - Subproyecto - 19.973,44€</t>
  </si>
  <si>
    <t xml:space="preserve">        624317.0010 (Operación) - 19.973,44€</t>
  </si>
  <si>
    <t xml:space="preserve">    31199.0010 - Subproyecto - 1.260,00€</t>
  </si>
  <si>
    <t xml:space="preserve">        66003 (Recep OC) - 1.260,00€</t>
  </si>
  <si>
    <t xml:space="preserve">    31199.0010 - Subproyecto - 1.890,00€</t>
  </si>
  <si>
    <t xml:space="preserve">        66003 (Recep OC) - 1.890,00€</t>
  </si>
  <si>
    <t xml:space="preserve">    31199.0010 - Subproyecto - 630,00€</t>
  </si>
  <si>
    <t xml:space="preserve">        66003 (Recep OC) - 630,00€</t>
  </si>
  <si>
    <t>0020</t>
  </si>
  <si>
    <t>31199.0020 -  03 - Fabricación</t>
  </si>
  <si>
    <t>Sp-31199.0020</t>
  </si>
  <si>
    <t xml:space="preserve">    31199.0020 - Subproyecto - 10.563,68€</t>
  </si>
  <si>
    <t xml:space="preserve">        624318.0020 (Operación) - 10.563,68€</t>
  </si>
  <si>
    <t xml:space="preserve">    31199.0020 - Subproyecto - 6.012,84€</t>
  </si>
  <si>
    <t xml:space="preserve">        624318.0020 (Operación) - 6.012,84€</t>
  </si>
  <si>
    <t>0030</t>
  </si>
  <si>
    <t>31199.0030 -  03 - Fabricación</t>
  </si>
  <si>
    <t>Sp-31199.0030</t>
  </si>
  <si>
    <t xml:space="preserve">    31199.0030 - Subproyecto - 36,62€</t>
  </si>
  <si>
    <t xml:space="preserve">        624319.0030 (Operación) - 36,62€</t>
  </si>
  <si>
    <t xml:space="preserve">    31199.0030 - Subproyecto - 23.163,76€</t>
  </si>
  <si>
    <t xml:space="preserve">        624319.0030 (Operación) - 23.163,76€</t>
  </si>
  <si>
    <t>0040</t>
  </si>
  <si>
    <t>31199.0040 -  03 - Fabricación</t>
  </si>
  <si>
    <t>Sp-31199.0040</t>
  </si>
  <si>
    <t xml:space="preserve">    31199.0040 - Subproyecto - 9.481,80€</t>
  </si>
  <si>
    <t xml:space="preserve">        66001 (Recep OC) - 9.481,80€</t>
  </si>
  <si>
    <t xml:space="preserve">    31199.0040 - Subproyecto - 6.321,20€</t>
  </si>
  <si>
    <t xml:space="preserve">        66001 (Recep OC) - 6.321,20€</t>
  </si>
  <si>
    <t xml:space="preserve">    31199.0040 - Subproyecto - 3.160,60€</t>
  </si>
  <si>
    <t xml:space="preserve">        66001 (Recep OC) - 3.160,60€</t>
  </si>
  <si>
    <t xml:space="preserve">    31199.0040 - Subproyecto - 160,00€</t>
  </si>
  <si>
    <t xml:space="preserve">        66008 (Recep OC) - 160,00€</t>
  </si>
  <si>
    <t xml:space="preserve">    31199.0040 - Subproyecto - 4.152,19€</t>
  </si>
  <si>
    <t xml:space="preserve">        624320.0040 (Operación) - 4.152,19€</t>
  </si>
  <si>
    <t>0050</t>
  </si>
  <si>
    <t>31199.0050 -  03 - Fabricación</t>
  </si>
  <si>
    <t>Sp-31199.0050</t>
  </si>
  <si>
    <t xml:space="preserve">    31199.0050 - Subproyecto - 1.218,00€</t>
  </si>
  <si>
    <t xml:space="preserve">        66070 (Recep OC) - 1.218,00€</t>
  </si>
  <si>
    <t>0060</t>
  </si>
  <si>
    <t>31199.0060 -  03 - Fabricación</t>
  </si>
  <si>
    <t>Sp-31199.0060</t>
  </si>
  <si>
    <t xml:space="preserve">    31199.0060 - Subproyecto - 4.059,00€</t>
  </si>
  <si>
    <t xml:space="preserve">        55000 (Recep OC) - 4.059,00€</t>
  </si>
  <si>
    <t xml:space="preserve">    31199.0060 - Subproyecto - 2.736,00€</t>
  </si>
  <si>
    <t xml:space="preserve">        66007 (Recep OC) - 2.736,00€</t>
  </si>
  <si>
    <t xml:space="preserve">    31199.0060 - Subproyecto - 3.111,20€</t>
  </si>
  <si>
    <t xml:space="preserve">        66031 (Recep OC) - 3.111,20€</t>
  </si>
  <si>
    <t xml:space="preserve">    31199.0060 - Subproyecto - 2.216,03€</t>
  </si>
  <si>
    <t xml:space="preserve">        634332.0060 (Operación) - 2.216,03€</t>
  </si>
  <si>
    <t xml:space="preserve">    31199.0060 - Subproyecto - 1.795,40€</t>
  </si>
  <si>
    <t xml:space="preserve">        66067 (Recep OC) - 1.795,40€</t>
  </si>
  <si>
    <t xml:space="preserve">    31199.0060 - Subproyecto - 458,40€</t>
  </si>
  <si>
    <t xml:space="preserve">        66069 (Recep OC) - 458,40€</t>
  </si>
  <si>
    <t xml:space="preserve">    31199.0060 - Subproyecto - 2.524,50€</t>
  </si>
  <si>
    <t xml:space="preserve">        55000 (Recep OC) - 2.524,50€</t>
  </si>
  <si>
    <t xml:space="preserve">    31199.0060 - Subproyecto - 1.361,15€</t>
  </si>
  <si>
    <t xml:space="preserve">        66032 (Recep OC) - 1.361,15€</t>
  </si>
  <si>
    <t xml:space="preserve">    31199.0060 - Subproyecto - 5.280,00€</t>
  </si>
  <si>
    <t xml:space="preserve">        55000 (Recep OC) - 5.280,00€</t>
  </si>
  <si>
    <t xml:space="preserve">    31199.0060 - Subproyecto - 429,00€</t>
  </si>
  <si>
    <t xml:space="preserve">        55000 (Recep OC) - 429,00€</t>
  </si>
  <si>
    <t xml:space="preserve">    31199.0060 - Subproyecto - 10.404,00€</t>
  </si>
  <si>
    <t xml:space="preserve">        66000 (Recep OC) - 10.404,00€</t>
  </si>
  <si>
    <t xml:space="preserve">    31199.0060 - Subproyecto - 20.808,00€</t>
  </si>
  <si>
    <t xml:space="preserve">        66000 (Recep OC) - 20.808,00€</t>
  </si>
  <si>
    <t xml:space="preserve">    31199.0060 - Subproyecto - 31.212,00€</t>
  </si>
  <si>
    <t xml:space="preserve">        66000 (Recep OC) - 31.212,00€</t>
  </si>
  <si>
    <t>0070</t>
  </si>
  <si>
    <t>31199.0070 -  03 - Fabricación</t>
  </si>
  <si>
    <t>Sp-31199.0070</t>
  </si>
  <si>
    <t xml:space="preserve">    31199.0070 - Subproyecto - 0,00€</t>
  </si>
  <si>
    <t xml:space="preserve">        105301 (Estándar) - 0,00€</t>
  </si>
  <si>
    <t xml:space="preserve">    31199.0070 - Subproyecto - 26,00€</t>
  </si>
  <si>
    <t xml:space="preserve">        104676 (Estándar) - 26,00€</t>
  </si>
  <si>
    <t xml:space="preserve">    31199.0070 - Subproyecto - 56,00€</t>
  </si>
  <si>
    <t xml:space="preserve">        66029 (Recep OC) - 56,00€</t>
  </si>
  <si>
    <t xml:space="preserve">    31199.0070 - Subproyecto - 463,61€</t>
  </si>
  <si>
    <t xml:space="preserve">        66028 (Recep OC) - 463,61€</t>
  </si>
  <si>
    <t xml:space="preserve">        02M01-4-11 (Rec.Plan. OF) - 0,00€</t>
  </si>
  <si>
    <t xml:space="preserve">    31199.0070 - Subproyecto - 38,00€</t>
  </si>
  <si>
    <t xml:space="preserve">        44020 (Recep OC) - 38,00€</t>
  </si>
  <si>
    <t xml:space="preserve">    31199.0070 - Subproyecto - 35,00€</t>
  </si>
  <si>
    <t xml:space="preserve">        44019 (Recep OC) - 35,00€</t>
  </si>
  <si>
    <t xml:space="preserve">    31199.0070 - Subproyecto - 14,55€</t>
  </si>
  <si>
    <t xml:space="preserve">        105301 (Estándar) - 14,55€</t>
  </si>
  <si>
    <t xml:space="preserve">    31199.0070 - Subproyecto - 1,20€</t>
  </si>
  <si>
    <t xml:space="preserve">        101404 (Estándar) - 1,20€</t>
  </si>
  <si>
    <t xml:space="preserve">    31199.0070 - Subproyecto - 1,10€</t>
  </si>
  <si>
    <t xml:space="preserve">        101472 (Estándar) - 1,10€</t>
  </si>
  <si>
    <t xml:space="preserve">    31199.0070 - Subproyecto - 126,25€</t>
  </si>
  <si>
    <t xml:space="preserve">        66025 (Recep OC) - 126,25€</t>
  </si>
  <si>
    <t xml:space="preserve">    31199.0070 - Subproyecto - 28,50€</t>
  </si>
  <si>
    <t xml:space="preserve">        44016 (Recep OC) - 28,50€</t>
  </si>
  <si>
    <t xml:space="preserve">    31199.0070 - Subproyecto - 60,00€</t>
  </si>
  <si>
    <t xml:space="preserve">        44015 (Recep OC) - 60,00€</t>
  </si>
  <si>
    <t xml:space="preserve">    31199.0070 - Subproyecto - 630,00€</t>
  </si>
  <si>
    <t xml:space="preserve">        44014 (Recep OC) - 630,00€</t>
  </si>
  <si>
    <t xml:space="preserve">    31199.0070 - Subproyecto - 64,00€</t>
  </si>
  <si>
    <t xml:space="preserve">        44018 (Recep OC) - 64,00€</t>
  </si>
  <si>
    <t xml:space="preserve">        685-00-000-1 (Rec.Plan. OF) - 0,00€</t>
  </si>
  <si>
    <t xml:space="preserve">    31199.0070 - Subproyecto - 262,50€</t>
  </si>
  <si>
    <t xml:space="preserve">        66046 (Recep OC) - 262,50€</t>
  </si>
  <si>
    <t xml:space="preserve">    31199.0070 - Subproyecto - 15,00€</t>
  </si>
  <si>
    <t xml:space="preserve">        44025 (Recep OC) - 15,00€</t>
  </si>
  <si>
    <t xml:space="preserve">    31199.0070 - Subproyecto - 72,00€</t>
  </si>
  <si>
    <t xml:space="preserve">        44010 (Recep OC) - 72,00€</t>
  </si>
  <si>
    <t xml:space="preserve">    31199.0070 - Subproyecto - 116,00€</t>
  </si>
  <si>
    <t xml:space="preserve">        44033 (Recep OC) - 116,00€</t>
  </si>
  <si>
    <t xml:space="preserve">    31199.0070 - Subproyecto - 10.252,64€</t>
  </si>
  <si>
    <t xml:space="preserve">        634333.0070 (Operación) - 10.252,64€</t>
  </si>
  <si>
    <t xml:space="preserve">    31199.0070 - Subproyecto - 581,00€</t>
  </si>
  <si>
    <t xml:space="preserve">        44032 (Recep OC) - 581,00€</t>
  </si>
  <si>
    <t xml:space="preserve">    31199.0070 - Subproyecto - 387,00€</t>
  </si>
  <si>
    <t xml:space="preserve">        44031 (Recep OC) - 387,00€</t>
  </si>
  <si>
    <t xml:space="preserve">    31199.0070 - Subproyecto - 721,00€</t>
  </si>
  <si>
    <t xml:space="preserve">        44030 (Recep OC) - 721,00€</t>
  </si>
  <si>
    <t xml:space="preserve">    31199.0070 - Subproyecto - 696,00€</t>
  </si>
  <si>
    <t xml:space="preserve">        44029 (Recep OC) - 696,00€</t>
  </si>
  <si>
    <t xml:space="preserve">    31199.0070 - Subproyecto - 1.974,00€</t>
  </si>
  <si>
    <t xml:space="preserve">        44028 (Recep OC) - 1.974,00€</t>
  </si>
  <si>
    <t xml:space="preserve">    31199.0070 - Subproyecto - 5.648,00€</t>
  </si>
  <si>
    <t xml:space="preserve">        C725-00-000-1 (Recep OC) - 5.648,00€</t>
  </si>
  <si>
    <t xml:space="preserve">    31199.0070 - Subproyecto - 41,90€</t>
  </si>
  <si>
    <t xml:space="preserve">        66066 (Recep OC) - 41,90€</t>
  </si>
  <si>
    <t xml:space="preserve">    31199.0070 - Subproyecto - 2.386,00€</t>
  </si>
  <si>
    <t xml:space="preserve">        C9000-01M01-1-10 (Transfer. Stock) - 2.386,00€</t>
  </si>
  <si>
    <t xml:space="preserve">    31199.0070 - Subproyecto - 225,00€</t>
  </si>
  <si>
    <t xml:space="preserve">        66056 (Recep OC) - 225,00€</t>
  </si>
  <si>
    <t xml:space="preserve">        735-00-000-1 (Rec.Plan. OF) - 0,00€</t>
  </si>
  <si>
    <t xml:space="preserve">    31199.0070 - Subproyecto - 40,80€</t>
  </si>
  <si>
    <t xml:space="preserve">        66047 (Recep OC) - 40,80€</t>
  </si>
  <si>
    <t xml:space="preserve">    31199.0070 - Subproyecto - 110,00€</t>
  </si>
  <si>
    <t xml:space="preserve">        44026 (Recep OC) - 110,00€</t>
  </si>
  <si>
    <t xml:space="preserve">    31199.0070 - Subproyecto - 44,00€</t>
  </si>
  <si>
    <t xml:space="preserve">        44022 (Recep OC) - 44,00€</t>
  </si>
  <si>
    <t xml:space="preserve">    31199.0070 - Subproyecto - 1.482,00€</t>
  </si>
  <si>
    <t xml:space="preserve">        44009 (Recep OC) - 1.482,00€</t>
  </si>
  <si>
    <t xml:space="preserve">    31199.0070 - Subproyecto - 1.464,00€</t>
  </si>
  <si>
    <t xml:space="preserve">        MOD11908 (Recep OC) - 1.464,00€</t>
  </si>
  <si>
    <t xml:space="preserve">        596-00-000-1 (Rec.Plan. OF) - 0,00€</t>
  </si>
  <si>
    <t xml:space="preserve">        310-00-000-1 (Rec.Plan. OF) - 0,00€</t>
  </si>
  <si>
    <t xml:space="preserve">        580-00-000-1 (Rec.Plan. OF) - 0,00€</t>
  </si>
  <si>
    <t xml:space="preserve">        520-00-000-1 (Rec.Plan. OF) - 0,00€</t>
  </si>
  <si>
    <t xml:space="preserve">        530-00-000-1 (Rec.Plan. OF) - 0,00€</t>
  </si>
  <si>
    <t xml:space="preserve">        510-01-000-1 (Rec.Plan. OF) - 0,00€</t>
  </si>
  <si>
    <t xml:space="preserve">        410-00-000-1 (Rec.Plan. OF) - 0,00€</t>
  </si>
  <si>
    <t xml:space="preserve">        680-00-000-1 (Rec.Plan. OF) - 0,00€</t>
  </si>
  <si>
    <t xml:space="preserve">        480-00-000-1 (Rec.Plan. OF) - 0,00€</t>
  </si>
  <si>
    <t xml:space="preserve">        420-00-000-1 (Rec.Plan. OF) - 0,00€</t>
  </si>
  <si>
    <t xml:space="preserve">        180/280-00-000-1 (Rec.Plan. OF) - 0,00€</t>
  </si>
  <si>
    <t xml:space="preserve">        110/210-00-0001 (Rec.Plan. OF) - 0,00€</t>
  </si>
  <si>
    <t xml:space="preserve">        130/230-00-0001 (Rec.Plan. OF) - 0,00€</t>
  </si>
  <si>
    <t xml:space="preserve">        120/220-00-0001 (Rec.Plan. OF) - 0,00€</t>
  </si>
  <si>
    <t xml:space="preserve">        597-00-000-1 (Rec.Plan. OF) - 0,00€</t>
  </si>
  <si>
    <t xml:space="preserve">        430-00-000-1 (Rec.Plan. OF) - 0,00€</t>
  </si>
  <si>
    <t xml:space="preserve">        585-00-000-1 (Rec.Plan. OF) - 0,00€</t>
  </si>
  <si>
    <t xml:space="preserve">        415-00-000-1 (Rec.Plan. OF) - 0,00€</t>
  </si>
  <si>
    <t xml:space="preserve">        330-00-000-1 (Rec.Plan. OF) - 0,00€</t>
  </si>
  <si>
    <t xml:space="preserve">        397-00-000-1 (Rec.Plan. OF) - 0,00€</t>
  </si>
  <si>
    <t xml:space="preserve">        610-00-00-1 (Rec.Plan. OF) - 0,00€</t>
  </si>
  <si>
    <t xml:space="preserve">    31199.0070 - Subproyecto - 1.056,40€</t>
  </si>
  <si>
    <t xml:space="preserve">        137081 (Recep OC) - 1.056,40€</t>
  </si>
  <si>
    <t xml:space="preserve">    31199.0070 - Subproyecto - 8.580,00€</t>
  </si>
  <si>
    <t xml:space="preserve">        C595-00-000-1 (Recep OC) - 8.580,00€</t>
  </si>
  <si>
    <t xml:space="preserve">        C395-00-000-1 (Recep OC) - 8.580,00€</t>
  </si>
  <si>
    <t xml:space="preserve">        300-00-000-1 (Rec.Plan. OF) - 0,00€</t>
  </si>
  <si>
    <t xml:space="preserve">    31199.0070 - Subproyecto - 1.036,00€</t>
  </si>
  <si>
    <t xml:space="preserve">        44000 (Recep OC) - 1.036,00€</t>
  </si>
  <si>
    <t xml:space="preserve">        396-00-000-1 (Rec.Plan. OF) - 0,00€</t>
  </si>
  <si>
    <t xml:space="preserve">        780-00-000-1 (Rec.Plan. OF) - 0,00€</t>
  </si>
  <si>
    <t xml:space="preserve">        320-00-000-1 (Rec.Plan. OF) - 0,00€</t>
  </si>
  <si>
    <t xml:space="preserve">    31199.0070 - Subproyecto - 42,80€</t>
  </si>
  <si>
    <t xml:space="preserve">        99025 (Recep OC) - 42,80€</t>
  </si>
  <si>
    <t xml:space="preserve">        380-00-000-1 (Rec.Plan. OF) - 0,00€</t>
  </si>
  <si>
    <t xml:space="preserve">    31199.0070 - Subproyecto - 10.452,00€</t>
  </si>
  <si>
    <t xml:space="preserve">        C495-00-000-1 (Recep OC) - 10.452,00€</t>
  </si>
  <si>
    <t xml:space="preserve">        620-00-00-1 (Rec.Plan. OF) - 0,00€</t>
  </si>
  <si>
    <t xml:space="preserve">    31199.0070 - Subproyecto - 148,44€</t>
  </si>
  <si>
    <t xml:space="preserve">            99036 (Recep OC) - 148,44€</t>
  </si>
  <si>
    <t xml:space="preserve">    31199.0070 - Subproyecto - 6,40€</t>
  </si>
  <si>
    <t xml:space="preserve">            142171 (Recep OC) - 6,40€</t>
  </si>
  <si>
    <t xml:space="preserve">    31199.0070 - Subproyecto - 1.187,70€</t>
  </si>
  <si>
    <t xml:space="preserve">            143194 (Recep OC) - 1.187,70€</t>
  </si>
  <si>
    <t xml:space="preserve">    31199.0070 - Subproyecto - 43,32€</t>
  </si>
  <si>
    <t xml:space="preserve">            144772 (Recep OC) - 43,32€</t>
  </si>
  <si>
    <t xml:space="preserve">    31199.0070 - Subproyecto - 53,50€</t>
  </si>
  <si>
    <t xml:space="preserve">            99023 (Recep OC) - 53,50€</t>
  </si>
  <si>
    <t xml:space="preserve">            99024 (Recep OC) - 53,50€</t>
  </si>
  <si>
    <t xml:space="preserve">    31199.0070 - Subproyecto - 48,08€</t>
  </si>
  <si>
    <t xml:space="preserve">            116414 (Estándar) - 48,08€</t>
  </si>
  <si>
    <t xml:space="preserve">    31199.0070 - Subproyecto - 0,96€</t>
  </si>
  <si>
    <t xml:space="preserve">            99034 (Recep OC) - 0,96€</t>
  </si>
  <si>
    <t xml:space="preserve">    31199.0070 - Subproyecto - 114,84€</t>
  </si>
  <si>
    <t xml:space="preserve">            99005 (Recep OC) - 114,84€</t>
  </si>
  <si>
    <t xml:space="preserve">    31199.0070 - Subproyecto - 6,30€</t>
  </si>
  <si>
    <t xml:space="preserve">            103133 (Estándar) - 6,30€</t>
  </si>
  <si>
    <t xml:space="preserve">    31199.0070 - Subproyecto - 85,60€</t>
  </si>
  <si>
    <t xml:space="preserve">            99044 (Recep OC) - 85,60€</t>
  </si>
  <si>
    <t xml:space="preserve">            99020 (Recep OC) - 42,80€</t>
  </si>
  <si>
    <t xml:space="preserve">    31199.0070 - Subproyecto - -42,80€</t>
  </si>
  <si>
    <t xml:space="preserve">            99020 (Recep OC) - -42,80€</t>
  </si>
  <si>
    <t xml:space="preserve">    31199.0070 - Subproyecto - 892,38€</t>
  </si>
  <si>
    <t xml:space="preserve">            141139 (Recep OC) - 892,38€</t>
  </si>
  <si>
    <t xml:space="preserve">    31199.0070 - Subproyecto - 297,46€</t>
  </si>
  <si>
    <t xml:space="preserve">            141139 (Recep OC) - 297,46€</t>
  </si>
  <si>
    <t xml:space="preserve">    31199.0070 - Subproyecto - -297,46€</t>
  </si>
  <si>
    <t xml:space="preserve">            141139 (Recep OC) - -297,46€</t>
  </si>
  <si>
    <t xml:space="preserve">    31199.0070 - Subproyecto - 6.242,00€</t>
  </si>
  <si>
    <t xml:space="preserve">            C585-00-000-1 (Recep OC) - 6.242,00€</t>
  </si>
  <si>
    <t xml:space="preserve">            99031 (Recep OC) - 53,50€</t>
  </si>
  <si>
    <t xml:space="preserve">    31199.0070 - Subproyecto - 9,64€</t>
  </si>
  <si>
    <t xml:space="preserve">            99060 (Recep OC) - 9,64€</t>
  </si>
  <si>
    <t xml:space="preserve">    31199.0070 - Subproyecto - 609,90€</t>
  </si>
  <si>
    <t xml:space="preserve">            143189 (Recep OC) - 609,90€</t>
  </si>
  <si>
    <t xml:space="preserve">    31199.0070 - Subproyecto - 72,76€</t>
  </si>
  <si>
    <t xml:space="preserve">            141912 (Recep OC) - 72,76€</t>
  </si>
  <si>
    <t xml:space="preserve">    31199.0070 - Subproyecto - 318,86€</t>
  </si>
  <si>
    <t xml:space="preserve">            141276 (Recep OC) - 318,86€</t>
  </si>
  <si>
    <t xml:space="preserve">    31199.0070 - Subproyecto - 305,01€</t>
  </si>
  <si>
    <t xml:space="preserve">            141143 (Transfer. Stock) - 305,01€</t>
  </si>
  <si>
    <t xml:space="preserve">    31199.0070 - Subproyecto - 7,92€</t>
  </si>
  <si>
    <t xml:space="preserve">            130905 (Recep OC) - 7,92€</t>
  </si>
  <si>
    <t xml:space="preserve">    31199.0070 - Subproyecto - 6,00€</t>
  </si>
  <si>
    <t xml:space="preserve">            103123 (Estándar) - 6,00€</t>
  </si>
  <si>
    <t xml:space="preserve">    31199.0070 - Subproyecto - 24.864,00€</t>
  </si>
  <si>
    <t xml:space="preserve">            C330-00-000-1 (Recep OC) - 24.864,00€</t>
  </si>
  <si>
    <t xml:space="preserve">            99032 (Recep OC) - 53,50€</t>
  </si>
  <si>
    <t xml:space="preserve">            99028 (Recep OC) - 85,60€</t>
  </si>
  <si>
    <t xml:space="preserve">            99025 (Recep OC) - 85,60€</t>
  </si>
  <si>
    <t xml:space="preserve">    31199.0070 - Subproyecto - 1.275,44€</t>
  </si>
  <si>
    <t xml:space="preserve">            141276 (Recep OC) - 1.275,44€</t>
  </si>
  <si>
    <t xml:space="preserve">    31199.0070 - Subproyecto - 610,02€</t>
  </si>
  <si>
    <t xml:space="preserve">            141143 (Transfer. Stock) - 610,02€</t>
  </si>
  <si>
    <t xml:space="preserve">    31199.0070 - Subproyecto - 12,59€</t>
  </si>
  <si>
    <t xml:space="preserve">            103133 (Estándar) - 12,59€</t>
  </si>
  <si>
    <t xml:space="preserve">    31199.0070 - Subproyecto - 376,72€</t>
  </si>
  <si>
    <t xml:space="preserve">            99069 (Recep OC) - 376,72€</t>
  </si>
  <si>
    <t xml:space="preserve">    31199.0070 - Subproyecto - 145,52€</t>
  </si>
  <si>
    <t xml:space="preserve">            141144 (Recep OC) - 145,52€</t>
  </si>
  <si>
    <t xml:space="preserve">    31199.0070 - Subproyecto - 12.572,00€</t>
  </si>
  <si>
    <t xml:space="preserve">            C610-00-00-1 (Recep OC) - 12.572,00€</t>
  </si>
  <si>
    <t xml:space="preserve">    31199.0070 - Subproyecto - 94,76€</t>
  </si>
  <si>
    <t xml:space="preserve">            99063 (Recep OC) - 94,76€</t>
  </si>
  <si>
    <t xml:space="preserve">    31199.0070 - Subproyecto - 98,32€</t>
  </si>
  <si>
    <t xml:space="preserve">            99062 (Recep OC) - 98,32€</t>
  </si>
  <si>
    <t xml:space="preserve">    31199.0070 - Subproyecto - 329,08€</t>
  </si>
  <si>
    <t xml:space="preserve">            99061 (Recep OC) - 329,08€</t>
  </si>
  <si>
    <t xml:space="preserve">    31199.0070 - Subproyecto - 41,96€</t>
  </si>
  <si>
    <t xml:space="preserve">            99039 (Recep OC) - 41,96€</t>
  </si>
  <si>
    <t xml:space="preserve">    31199.0070 - Subproyecto - 6,88€</t>
  </si>
  <si>
    <t xml:space="preserve">            103131 (Estándar) - 6,88€</t>
  </si>
  <si>
    <t xml:space="preserve">    31199.0070 - Subproyecto - 300,56€</t>
  </si>
  <si>
    <t xml:space="preserve">            99012 (Recep OC) - 300,56€</t>
  </si>
  <si>
    <t xml:space="preserve">            99044 (Recep OC) - 42,80€</t>
  </si>
  <si>
    <t xml:space="preserve">    31199.0070 - Subproyecto - 114,76€</t>
  </si>
  <si>
    <t xml:space="preserve">            130101 (Recep OC) - 114,76€</t>
  </si>
  <si>
    <t xml:space="preserve">    31199.0070 - Subproyecto - 4.871,00€</t>
  </si>
  <si>
    <t xml:space="preserve">            C580-00-000-1 (Recep OC) - 4.871,00€</t>
  </si>
  <si>
    <t xml:space="preserve">    31199.0070 - Subproyecto - 291,04€</t>
  </si>
  <si>
    <t xml:space="preserve">            141144 (Recep OC) - 291,04€</t>
  </si>
  <si>
    <t xml:space="preserve">    31199.0070 - Subproyecto - 229,68€</t>
  </si>
  <si>
    <t xml:space="preserve">            99005 (Recep OC) - 229,68€</t>
  </si>
  <si>
    <t xml:space="preserve">    31199.0070 - Subproyecto - 448,00€</t>
  </si>
  <si>
    <t xml:space="preserve">            99003 (Recep OC) - 448,00€</t>
  </si>
  <si>
    <t xml:space="preserve">    31199.0070 - Subproyecto - 14.835,00€</t>
  </si>
  <si>
    <t xml:space="preserve">            C520-00-000-1 (Recep OC) - 14.835,00€</t>
  </si>
  <si>
    <t xml:space="preserve">    31199.0070 - Subproyecto - 70,00€</t>
  </si>
  <si>
    <t xml:space="preserve">            99051 (Recep OC) - 70,00€</t>
  </si>
  <si>
    <t xml:space="preserve">            99050 (Recep OC) - 98,32€</t>
  </si>
  <si>
    <t xml:space="preserve">    31199.0070 - Subproyecto - 300,00€</t>
  </si>
  <si>
    <t xml:space="preserve">            99049 (Recep OC) - 300,00€</t>
  </si>
  <si>
    <t xml:space="preserve">            99048 (Recep OC) - 300,00€</t>
  </si>
  <si>
    <t xml:space="preserve">    31199.0070 - Subproyecto - 152,00€</t>
  </si>
  <si>
    <t xml:space="preserve">            520-03/4-35/6 (Recep OC) - 152,00€</t>
  </si>
  <si>
    <t xml:space="preserve">    31199.0070 - Subproyecto - 5.319,00€</t>
  </si>
  <si>
    <t xml:space="preserve">            C680-00-000-1 (Recep OC) - 5.319,00€</t>
  </si>
  <si>
    <t xml:space="preserve">    31199.0070 - Subproyecto - 105,64€</t>
  </si>
  <si>
    <t xml:space="preserve">            99033 (Recep OC) - 105,64€</t>
  </si>
  <si>
    <t xml:space="preserve">            103133 (Estándar) - 0,00€</t>
  </si>
  <si>
    <t xml:space="preserve">    31199.0070 - Subproyecto - 18,16€</t>
  </si>
  <si>
    <t xml:space="preserve">            105313 (Estándar) - 18,16€</t>
  </si>
  <si>
    <t xml:space="preserve">    31199.0070 - Subproyecto - 1,00€</t>
  </si>
  <si>
    <t xml:space="preserve">            101446 (Estándar) - 1,00€</t>
  </si>
  <si>
    <t xml:space="preserve">    31199.0070 - Subproyecto - 12.389,00€</t>
  </si>
  <si>
    <t xml:space="preserve">            C310-00-000-1 (Recep OC) - 12.389,00€</t>
  </si>
  <si>
    <t xml:space="preserve">    31199.0070 - Subproyecto - 80,25€</t>
  </si>
  <si>
    <t xml:space="preserve">            99032 (Recep OC) - 80,25€</t>
  </si>
  <si>
    <t xml:space="preserve">            99028 (Recep OC) - 42,80€</t>
  </si>
  <si>
    <t xml:space="preserve">    31199.0070 - Subproyecto - 21,40€</t>
  </si>
  <si>
    <t xml:space="preserve">            99027 (Recep OC) - 21,40€</t>
  </si>
  <si>
    <t xml:space="preserve">    31199.0070 - Subproyecto - 86,64€</t>
  </si>
  <si>
    <t xml:space="preserve">            144772 (Recep OC) - 86,64€</t>
  </si>
  <si>
    <t xml:space="preserve">    31199.0070 - Subproyecto - 813,20€</t>
  </si>
  <si>
    <t xml:space="preserve">            143189 (Recep OC) - 813,20€</t>
  </si>
  <si>
    <t xml:space="preserve">    31199.0070 - Subproyecto - 797,15€</t>
  </si>
  <si>
    <t xml:space="preserve">            141276 (Recep OC) - 797,15€</t>
  </si>
  <si>
    <t xml:space="preserve">    31199.0070 - Subproyecto - 5,28€</t>
  </si>
  <si>
    <t xml:space="preserve">            138289 (Recep OC) - 5,28€</t>
  </si>
  <si>
    <t xml:space="preserve">    31199.0070 - Subproyecto - 46,32€</t>
  </si>
  <si>
    <t xml:space="preserve">            127426 (Recep OC) - 46,32€</t>
  </si>
  <si>
    <t xml:space="preserve">            99031 (Recep OC) - 80,25€</t>
  </si>
  <si>
    <t xml:space="preserve">            99025 (Recep OC) - 42,80€</t>
  </si>
  <si>
    <t xml:space="preserve">    31199.0070 - Subproyecto - 3,84€</t>
  </si>
  <si>
    <t xml:space="preserve">            103131 (Estándar) - 3,84€</t>
  </si>
  <si>
    <t xml:space="preserve">    31199.0070 - Subproyecto - 64,20€</t>
  </si>
  <si>
    <t xml:space="preserve">            99028 (Recep OC) - 64,20€</t>
  </si>
  <si>
    <t xml:space="preserve">    31199.0070 - Subproyecto - 5,85€</t>
  </si>
  <si>
    <t xml:space="preserve">            128165 (Estándar) - 5,85€</t>
  </si>
  <si>
    <t xml:space="preserve">    31199.0070 - Subproyecto - 1.019,00€</t>
  </si>
  <si>
    <t xml:space="preserve">            C596-00-000-1 (Recep OC) - 1.019,00€</t>
  </si>
  <si>
    <t xml:space="preserve">    31199.0070 - Subproyecto - 21,66€</t>
  </si>
  <si>
    <t xml:space="preserve">            144772 (Recep OC) - 21,66€</t>
  </si>
  <si>
    <t xml:space="preserve">    31199.0070 - Subproyecto - 159,43€</t>
  </si>
  <si>
    <t xml:space="preserve">            141276 (Recep OC) - 159,43€</t>
  </si>
  <si>
    <t xml:space="preserve">    31199.0070 - Subproyecto - 612,00€</t>
  </si>
  <si>
    <t xml:space="preserve">            C397-00-000-1 (Recep OC) - 612,00€</t>
  </si>
  <si>
    <t xml:space="preserve">            99068 (Recep OC) - 21,40€</t>
  </si>
  <si>
    <t xml:space="preserve">    31199.0070 - Subproyecto - 1.076,00€</t>
  </si>
  <si>
    <t xml:space="preserve">            C396-00-000-1 (Recep OC) - 1.076,00€</t>
  </si>
  <si>
    <t xml:space="preserve">            126193 (Estándar) - 0,00€</t>
  </si>
  <si>
    <t xml:space="preserve">    31199.0070 - Subproyecto - 2.444,00€</t>
  </si>
  <si>
    <t xml:space="preserve">            C300-00-000-1 (Recep OC) - 2.444,00€</t>
  </si>
  <si>
    <t xml:space="preserve">    31199.0070 - Subproyecto - 64,98€</t>
  </si>
  <si>
    <t xml:space="preserve">            144772 (Recep OC) - 64,98€</t>
  </si>
  <si>
    <t xml:space="preserve">    31199.0070 - Subproyecto - 5.839,00€</t>
  </si>
  <si>
    <t xml:space="preserve">            C780-00-000-1 (Recep OC) - 5.839,00€</t>
  </si>
  <si>
    <t xml:space="preserve">    31199.0070 - Subproyecto - 26,75€</t>
  </si>
  <si>
    <t xml:space="preserve">            145946 (Recep OC) - 26,75€</t>
  </si>
  <si>
    <t xml:space="preserve">    31199.0070 - Subproyecto - 21,20€</t>
  </si>
  <si>
    <t xml:space="preserve">            99075 (Recep OC) - 21,20€</t>
  </si>
  <si>
    <t xml:space="preserve">    31199.0070 - Subproyecto - 1,60€</t>
  </si>
  <si>
    <t xml:space="preserve">            105073 (Estándar) - 1,60€</t>
  </si>
  <si>
    <t xml:space="preserve">    31199.0070 - Subproyecto - 2.667,00€</t>
  </si>
  <si>
    <t xml:space="preserve">            C735-00-000-1 (Recep OC) - 2.667,00€</t>
  </si>
  <si>
    <t xml:space="preserve">            21006.00.001.004 (Estándar) - 15,00€</t>
  </si>
  <si>
    <t xml:space="preserve">    31199.0070 - Subproyecto - 12,09€</t>
  </si>
  <si>
    <t xml:space="preserve">            21006.00.001.002 (Estándar) - 12,09€</t>
  </si>
  <si>
    <t xml:space="preserve">            21006.00.001.001 (Compra) - 0,00€</t>
  </si>
  <si>
    <t xml:space="preserve">    31199.0070 - Subproyecto - 8,60€</t>
  </si>
  <si>
    <t xml:space="preserve">            126209 (Estándar) - 8,60€</t>
  </si>
  <si>
    <t xml:space="preserve">    31199.0070 - Subproyecto - 0,84€</t>
  </si>
  <si>
    <t xml:space="preserve">            120687 (Estándar) - 0,84€</t>
  </si>
  <si>
    <t xml:space="preserve">            104906 (Estándar) - 0,00€</t>
  </si>
  <si>
    <t xml:space="preserve">    31199.0070 - Subproyecto - 6,66€</t>
  </si>
  <si>
    <t xml:space="preserve">            103133 (Estándar) - 6,66€</t>
  </si>
  <si>
    <t xml:space="preserve">            99073 (Compra) - 0,00€</t>
  </si>
  <si>
    <t xml:space="preserve">    31199.0070 - Subproyecto - 2.300,00€</t>
  </si>
  <si>
    <t xml:space="preserve">            C685-00-000-1 (Recep OC) - 2.300,00€</t>
  </si>
  <si>
    <t xml:space="preserve">    31199.0070 - Subproyecto - 89,46€</t>
  </si>
  <si>
    <t xml:space="preserve">            99072 (Recep OC) - 89,46€</t>
  </si>
  <si>
    <t xml:space="preserve">    31199.0070 - Subproyecto - 11,54€</t>
  </si>
  <si>
    <t xml:space="preserve">            121663 (Recep OC) - 11,54€</t>
  </si>
  <si>
    <t xml:space="preserve">    31199.0070 - Subproyecto - 2.676,00€</t>
  </si>
  <si>
    <t xml:space="preserve">            C02M01-4-11 (Recep OC) - 2.676,00€</t>
  </si>
  <si>
    <t xml:space="preserve">    31199.0070 - Subproyecto - 39,00€</t>
  </si>
  <si>
    <t xml:space="preserve">            99071 (Recep OC) - 39,00€</t>
  </si>
  <si>
    <t xml:space="preserve">    31199.0070 - Subproyecto - 622,00€</t>
  </si>
  <si>
    <t xml:space="preserve">            C597-00-000-1 (Recep OC) - 622,00€</t>
  </si>
  <si>
    <t xml:space="preserve">            114743 (Estándar) - 0,00€</t>
  </si>
  <si>
    <t xml:space="preserve">    31199.0070 - Subproyecto - 594,92€</t>
  </si>
  <si>
    <t xml:space="preserve">            141139 (Recep OC) - 594,92€</t>
  </si>
  <si>
    <t xml:space="preserve">    31199.0070 - Subproyecto - 8,00€</t>
  </si>
  <si>
    <t xml:space="preserve">            121392 (Recep OC) - 8,00€</t>
  </si>
  <si>
    <t xml:space="preserve">    31199.0070 - Subproyecto - 10.232,00€</t>
  </si>
  <si>
    <t xml:space="preserve">            C620-00-00-1 (Recep OC) - 10.232,00€</t>
  </si>
  <si>
    <t xml:space="preserve">    31199.0070 - Subproyecto - 55,78€</t>
  </si>
  <si>
    <t xml:space="preserve">            99067 (Recep OC) - 55,78€</t>
  </si>
  <si>
    <t xml:space="preserve">            99066 (Recep OC) - 98,32€</t>
  </si>
  <si>
    <t xml:space="preserve">    31199.0070 - Subproyecto - 153,44€</t>
  </si>
  <si>
    <t xml:space="preserve">            99065 (Recep OC) - 153,44€</t>
  </si>
  <si>
    <t xml:space="preserve">    31199.0070 - Subproyecto - 55,40€</t>
  </si>
  <si>
    <t xml:space="preserve">            99037 (Recep OC) - 55,40€</t>
  </si>
  <si>
    <t xml:space="preserve">    31199.0070 - Subproyecto - 43,00€</t>
  </si>
  <si>
    <t xml:space="preserve">            99076 (Recep OC) - 43,00€</t>
  </si>
  <si>
    <t xml:space="preserve">    31199.0070 - Subproyecto - 52,82€</t>
  </si>
  <si>
    <t xml:space="preserve">            99033 (Recep OC) - 52,82€</t>
  </si>
  <si>
    <t xml:space="preserve">    31199.0070 - Subproyecto - 224,00€</t>
  </si>
  <si>
    <t xml:space="preserve">            99003 (Recep OC) - 224,00€</t>
  </si>
  <si>
    <t xml:space="preserve">    31199.0070 - Subproyecto - 791,80€</t>
  </si>
  <si>
    <t xml:space="preserve">            143194 (Recep OC) - 791,80€</t>
  </si>
  <si>
    <t xml:space="preserve">            142465 (Recep OC) - 26,75€</t>
  </si>
  <si>
    <t xml:space="preserve">            142464 (Recep OC) - 26,75€</t>
  </si>
  <si>
    <t xml:space="preserve">            141140 (Recep OC) - 42,80€</t>
  </si>
  <si>
    <t xml:space="preserve">    31199.0070 - Subproyecto - 7.694,00€</t>
  </si>
  <si>
    <t xml:space="preserve">            C320-00-000-1 (Recep OC) - 7.694,00€</t>
  </si>
  <si>
    <t xml:space="preserve">    31199.0070 - Subproyecto - 1,39€</t>
  </si>
  <si>
    <t xml:space="preserve">            99064 (Recep OC) - 1,39€</t>
  </si>
  <si>
    <t xml:space="preserve">    31199.0070 - Subproyecto - 485,94€</t>
  </si>
  <si>
    <t xml:space="preserve">            99011 (Recep OC) - 485,94€</t>
  </si>
  <si>
    <t xml:space="preserve">    31199.0070 - Subproyecto - 49,00€</t>
  </si>
  <si>
    <t xml:space="preserve">            99077 (Recep OC) - 49,00€</t>
  </si>
  <si>
    <t xml:space="preserve">    31199.0070 - Subproyecto - 9,44€</t>
  </si>
  <si>
    <t xml:space="preserve">            103133 (Estándar) - 9,44€</t>
  </si>
  <si>
    <t xml:space="preserve">    31199.0070 - Subproyecto - 6.481,00€</t>
  </si>
  <si>
    <t xml:space="preserve">            C380-00-000-1 (Recep OC) - 6.481,00€</t>
  </si>
  <si>
    <t xml:space="preserve">            145322 (Recep OC) - 42,80€</t>
  </si>
  <si>
    <t xml:space="preserve">            145321 (Recep OC) - 42,80€</t>
  </si>
  <si>
    <t xml:space="preserve">            144535 (Recep OC) - 64,20€</t>
  </si>
  <si>
    <t xml:space="preserve">            99027 (Recep OC) - 42,80€</t>
  </si>
  <si>
    <t xml:space="preserve">    31199.0070 - Subproyecto - 1,92€</t>
  </si>
  <si>
    <t xml:space="preserve">            99034 (Recep OC) - 1,92€</t>
  </si>
  <si>
    <t xml:space="preserve">    31199.0070 - Subproyecto - 336,00€</t>
  </si>
  <si>
    <t xml:space="preserve">            99003 (Recep OC) - 336,00€</t>
  </si>
  <si>
    <t xml:space="preserve">            99031 (Recep OC) - 26,75€</t>
  </si>
  <si>
    <t xml:space="preserve">    31199.0070 - Subproyecto - 129,96€</t>
  </si>
  <si>
    <t xml:space="preserve">            144772 (Recep OC) - 129,96€</t>
  </si>
  <si>
    <t xml:space="preserve">            99041 (Compra) - 0,00€</t>
  </si>
  <si>
    <t xml:space="preserve">    31199.0070 - Subproyecto - 582,08€</t>
  </si>
  <si>
    <t xml:space="preserve">            141144 (Recep OC) - 582,08€</t>
  </si>
  <si>
    <t xml:space="preserve">            144921 (Compra) - 0,00€</t>
  </si>
  <si>
    <t xml:space="preserve">    31199.0070 - Subproyecto - 45,26€</t>
  </si>
  <si>
    <t xml:space="preserve">            144628 (Estándar) - 45,26€</t>
  </si>
  <si>
    <t xml:space="preserve">    31199.0070 - Subproyecto - 13.892,00€</t>
  </si>
  <si>
    <t xml:space="preserve">            C110/210-00-0001 (Recep OC) - 13.892,00€</t>
  </si>
  <si>
    <t xml:space="preserve">    31199.0070 - Subproyecto - 7,32€</t>
  </si>
  <si>
    <t xml:space="preserve">            99041 (Recep OC) - 7,32€</t>
  </si>
  <si>
    <t xml:space="preserve">    31199.0070 - Subproyecto - 3,96€</t>
  </si>
  <si>
    <t xml:space="preserve">            99040 (Recep OC) - 3,96€</t>
  </si>
  <si>
    <t xml:space="preserve">    31199.0070 - Subproyecto - 83,92€</t>
  </si>
  <si>
    <t xml:space="preserve">            99039 (Recep OC) - 83,92€</t>
  </si>
  <si>
    <t xml:space="preserve">    31199.0070 - Subproyecto - 383,80€</t>
  </si>
  <si>
    <t xml:space="preserve">            99038 (Recep OC) - 383,80€</t>
  </si>
  <si>
    <t xml:space="preserve">    31199.0070 - Subproyecto - 6,14€</t>
  </si>
  <si>
    <t xml:space="preserve">            99035 (Recep OC) - 6,14€</t>
  </si>
  <si>
    <t xml:space="preserve">    31199.0070 - Subproyecto - 38,55€</t>
  </si>
  <si>
    <t xml:space="preserve">            144499 (Estándar) - 38,55€</t>
  </si>
  <si>
    <t xml:space="preserve">            99021 (Recep OC) - 21,40€</t>
  </si>
  <si>
    <t xml:space="preserve">    31199.0070 - Subproyecto - 1.067,54€</t>
  </si>
  <si>
    <t xml:space="preserve">            141143 (Transfer. Stock) - 1.067,54€</t>
  </si>
  <si>
    <t xml:space="preserve">    31199.0070 - Subproyecto - 6,54€</t>
  </si>
  <si>
    <t xml:space="preserve">            103133 (Estándar) - 6,54€</t>
  </si>
  <si>
    <t xml:space="preserve">    31199.0070 - Subproyecto - 5.474,00€</t>
  </si>
  <si>
    <t xml:space="preserve">            C420-00-000-1 (Recep OC) - 5.474,00€</t>
  </si>
  <si>
    <t xml:space="preserve">            99032 (Recep OC) - 26,75€</t>
  </si>
  <si>
    <t xml:space="preserve">            99025 (Recep OC) - 21,40€</t>
  </si>
  <si>
    <t xml:space="preserve">    31199.0070 - Subproyecto - 637,72€</t>
  </si>
  <si>
    <t xml:space="preserve">            141276 (Recep OC) - 637,72€</t>
  </si>
  <si>
    <t xml:space="preserve">    31199.0070 - Subproyecto - 152,51€</t>
  </si>
  <si>
    <t xml:space="preserve">            141143 (Transfer. Stock) - 152,51€</t>
  </si>
  <si>
    <t xml:space="preserve">    31199.0070 - Subproyecto - 13,07€</t>
  </si>
  <si>
    <t xml:space="preserve">            103133 (Estándar) - 13,07€</t>
  </si>
  <si>
    <t xml:space="preserve">    31199.0070 - Subproyecto - 4.564,00€</t>
  </si>
  <si>
    <t xml:space="preserve">            C280-00-000-1 (Recep OC) - 4.564,00€</t>
  </si>
  <si>
    <t xml:space="preserve">            C180-00-000-1 (Recep OC) - 4.564,00€</t>
  </si>
  <si>
    <t xml:space="preserve">            99022 (Recep OC) - 21,40€</t>
  </si>
  <si>
    <t xml:space="preserve">    31199.0070 - Subproyecto - -21,40€</t>
  </si>
  <si>
    <t xml:space="preserve">            99022 (Recep OC) - -21,40€</t>
  </si>
  <si>
    <t xml:space="preserve">            99021 (Recep OC) - -21,40€</t>
  </si>
  <si>
    <t xml:space="preserve">    31199.0070 - Subproyecto - 264,10€</t>
  </si>
  <si>
    <t xml:space="preserve">            99033 (Recep OC) - 264,10€</t>
  </si>
  <si>
    <t xml:space="preserve">    31199.0070 - Subproyecto - 4.386,80€</t>
  </si>
  <si>
    <t xml:space="preserve">            144921 (Recep OC) - 4.386,80€</t>
  </si>
  <si>
    <t xml:space="preserve">    31199.0070 - Subproyecto - 8.086,00€</t>
  </si>
  <si>
    <t xml:space="preserve">            C120/220-00-0001 (Recep OC) - 8.086,00€</t>
  </si>
  <si>
    <t xml:space="preserve">    31199.0070 - Subproyecto - 211,28€</t>
  </si>
  <si>
    <t xml:space="preserve">            99033 (Recep OC) - 211,28€</t>
  </si>
  <si>
    <t xml:space="preserve">    31199.0070 - Subproyecto - 1.220,04€</t>
  </si>
  <si>
    <t xml:space="preserve">            141143 (Transfer. Stock) - 1.220,04€</t>
  </si>
  <si>
    <t xml:space="preserve">            99023 (Recep OC) - 80,25€</t>
  </si>
  <si>
    <t xml:space="preserve">    31199.0070 - Subproyecto - 524,30€</t>
  </si>
  <si>
    <t xml:space="preserve">            99007 (Recep OC) - 524,30€</t>
  </si>
  <si>
    <t xml:space="preserve">            99000 (Recep OC) - 4.386,80€</t>
  </si>
  <si>
    <t xml:space="preserve">    31199.0070 - Subproyecto - 406,60€</t>
  </si>
  <si>
    <t xml:space="preserve">            143189 (Recep OC) - 406,60€</t>
  </si>
  <si>
    <t xml:space="preserve">    31199.0070 - Subproyecto - 684,80€</t>
  </si>
  <si>
    <t xml:space="preserve">            142795 (Recep OC) - 684,80€</t>
  </si>
  <si>
    <t xml:space="preserve">    31199.0070 - Subproyecto - 342,40€</t>
  </si>
  <si>
    <t xml:space="preserve">            142795 (Recep OC) - 342,40€</t>
  </si>
  <si>
    <t xml:space="preserve">    31199.0070 - Subproyecto - 107,00€</t>
  </si>
  <si>
    <t xml:space="preserve">            99024 (Recep OC) - 107,00€</t>
  </si>
  <si>
    <t xml:space="preserve">            99023 (Recep OC) - 107,00€</t>
  </si>
  <si>
    <t xml:space="preserve">    31199.0070 - Subproyecto - 108,70€</t>
  </si>
  <si>
    <t xml:space="preserve">            99016 (Recep OC) - 108,70€</t>
  </si>
  <si>
    <t xml:space="preserve">    31199.0070 - Subproyecto - 425,98€</t>
  </si>
  <si>
    <t xml:space="preserve">            99010 (Recep OC) - 425,98€</t>
  </si>
  <si>
    <t xml:space="preserve">            99000 (Compra) - 0,00€</t>
  </si>
  <si>
    <t xml:space="preserve">    31199.0070 - Subproyecto - 372,36€</t>
  </si>
  <si>
    <t xml:space="preserve">            143847 (Recep OC) - 372,36€</t>
  </si>
  <si>
    <t xml:space="preserve">            141912 (Recep OC) - 582,08€</t>
  </si>
  <si>
    <t xml:space="preserve">    31199.0070 - Subproyecto - 1.078,00€</t>
  </si>
  <si>
    <t xml:space="preserve">            C120/220-09-0001 (Recep OC) - 1.078,00€</t>
  </si>
  <si>
    <t xml:space="preserve">    31199.0070 - Subproyecto - 4.469,00€</t>
  </si>
  <si>
    <t xml:space="preserve">            C130/230-00-0001 (Recep OC) - 4.469,00€</t>
  </si>
  <si>
    <t xml:space="preserve">    31199.0070 - Subproyecto - 128,40€</t>
  </si>
  <si>
    <t xml:space="preserve">            99025 (Recep OC) - 128,40€</t>
  </si>
  <si>
    <t xml:space="preserve">            99024 (Recep OC) - 26,75€</t>
  </si>
  <si>
    <t xml:space="preserve">            99023 (Recep OC) - 26,75€</t>
  </si>
  <si>
    <t xml:space="preserve">    31199.0070 - Subproyecto - 590,00€</t>
  </si>
  <si>
    <t xml:space="preserve">            99008 (Recep OC) - 590,00€</t>
  </si>
  <si>
    <t xml:space="preserve">    31199.0070 - Subproyecto - 1.525,05€</t>
  </si>
  <si>
    <t xml:space="preserve">            141143 (Transfer. Stock) - 1.525,05€</t>
  </si>
  <si>
    <t xml:space="preserve">    31199.0070 - Subproyecto - 110,80€</t>
  </si>
  <si>
    <t xml:space="preserve">            99037 (Recep OC) - 110,80€</t>
  </si>
  <si>
    <t xml:space="preserve">    31199.0070 - Subproyecto - 12.866,00€</t>
  </si>
  <si>
    <t xml:space="preserve">            C510-01-000-1 (Recep OC) - 12.866,00€</t>
  </si>
  <si>
    <t xml:space="preserve">    31199.0070 - Subproyecto - 27,53€</t>
  </si>
  <si>
    <t xml:space="preserve">            118540 (Estándar) - 27,53€</t>
  </si>
  <si>
    <t xml:space="preserve">    31199.0070 - Subproyecto - 5.466,00€</t>
  </si>
  <si>
    <t xml:space="preserve">            C410-00-000-1 (Recep OC) - 5.466,00€</t>
  </si>
  <si>
    <t xml:space="preserve">    31199.0070 - Subproyecto - 99,92€</t>
  </si>
  <si>
    <t xml:space="preserve">            99014 (Recep OC) - 99,92€</t>
  </si>
  <si>
    <t xml:space="preserve">    31199.0070 - Subproyecto - 118,82€</t>
  </si>
  <si>
    <t xml:space="preserve">            99015 (Recep OC) - 118,82€</t>
  </si>
  <si>
    <t xml:space="preserve">            142171 (Estándar) - 0,00€</t>
  </si>
  <si>
    <t xml:space="preserve">            142170 (Recep OC) - 7,32€</t>
  </si>
  <si>
    <t xml:space="preserve">    31199.0070 - Subproyecto - 123,00€</t>
  </si>
  <si>
    <t xml:space="preserve">            101263 (Estándar) - 123,00€</t>
  </si>
  <si>
    <t xml:space="preserve">    31199.0070 - Subproyecto - 0,77€</t>
  </si>
  <si>
    <t xml:space="preserve">            105302 (Estándar) - 0,77€</t>
  </si>
  <si>
    <t xml:space="preserve">    31199.0070 - Subproyecto - 7.126,00€</t>
  </si>
  <si>
    <t xml:space="preserve">            C530-00-000-1 (Recep OC) - 7.126,00€</t>
  </si>
  <si>
    <t xml:space="preserve">    31199.0070 - Subproyecto - 30,00€</t>
  </si>
  <si>
    <t xml:space="preserve">            99047 (Recep OC) - 30,00€</t>
  </si>
  <si>
    <t xml:space="preserve">            99046 (Recep OC) - 30,00€</t>
  </si>
  <si>
    <t xml:space="preserve">    31199.0070 - Subproyecto - 956,58€</t>
  </si>
  <si>
    <t xml:space="preserve">            141276 (Recep OC) - 956,58€</t>
  </si>
  <si>
    <t xml:space="preserve">    31199.0070 - Subproyecto - 395,90€</t>
  </si>
  <si>
    <t xml:space="preserve">            143194 (Recep OC) - 395,90€</t>
  </si>
  <si>
    <t xml:space="preserve">    31199.0070 - Subproyecto - 363,80€</t>
  </si>
  <si>
    <t xml:space="preserve">            141144 (Recep OC) - 363,80€</t>
  </si>
  <si>
    <t xml:space="preserve">    31199.0070 - Subproyecto - 12.099,00€</t>
  </si>
  <si>
    <t xml:space="preserve">            C415-00-000-1 (Recep OC) - 12.099,00€</t>
  </si>
  <si>
    <t xml:space="preserve">            99026 (Compra) - 0,00€</t>
  </si>
  <si>
    <t xml:space="preserve">            99025 (Recep OC) - 64,20€</t>
  </si>
  <si>
    <t xml:space="preserve">    31199.0070 - Subproyecto - 138,04€</t>
  </si>
  <si>
    <t xml:space="preserve">            99013 (Recep OC) - 138,04€</t>
  </si>
  <si>
    <t xml:space="preserve">    31199.0070 - Subproyecto - 252,84€</t>
  </si>
  <si>
    <t xml:space="preserve">            99045 (Recep OC) - 252,84€</t>
  </si>
  <si>
    <t xml:space="preserve">            99026 (Recep OC) - 42,80€</t>
  </si>
  <si>
    <t xml:space="preserve">            99027 (Recep OC) - 64,20€</t>
  </si>
  <si>
    <t xml:space="preserve">            C480-00-000-1 (Recep OC) - 4.871,00€</t>
  </si>
  <si>
    <t xml:space="preserve">    31199.0070 - Subproyecto - 144,20€</t>
  </si>
  <si>
    <t xml:space="preserve">            99043 (Recep OC) - 144,20€</t>
  </si>
  <si>
    <t xml:space="preserve">    31199.0070 - Subproyecto - 278,40€</t>
  </si>
  <si>
    <t xml:space="preserve">            99042 (Recep OC) - 278,40€</t>
  </si>
  <si>
    <t xml:space="preserve">    31199.0070 - Subproyecto - 14.786,00€</t>
  </si>
  <si>
    <t xml:space="preserve">            C430-00-000-1 (Recep OC) - 14.786,00€</t>
  </si>
  <si>
    <t>0080</t>
  </si>
  <si>
    <t>31199.0080 -  03 - Fabricación</t>
  </si>
  <si>
    <t>Sp-31199.0080</t>
  </si>
  <si>
    <t xml:space="preserve">    31199.0080 - Subproyecto - 48,00€</t>
  </si>
  <si>
    <t xml:space="preserve">        66020 (Recep OC) - 48,00€</t>
  </si>
  <si>
    <t xml:space="preserve">    31199.0080 - Subproyecto - 247,23€</t>
  </si>
  <si>
    <t xml:space="preserve">        141663 (Recep OC) - 247,23€</t>
  </si>
  <si>
    <t xml:space="preserve">    31199.0080 - Subproyecto - 5,44€</t>
  </si>
  <si>
    <t xml:space="preserve">        123222 (Estándar) - 5,44€</t>
  </si>
  <si>
    <t xml:space="preserve">    31199.0080 - Subproyecto - 0,00€</t>
  </si>
  <si>
    <t xml:space="preserve">        123207 (Estándar) - 0,00€</t>
  </si>
  <si>
    <t xml:space="preserve">    31199.0080 - Subproyecto - 0,95€</t>
  </si>
  <si>
    <t xml:space="preserve">        123207 (Estándar) - 0,95€</t>
  </si>
  <si>
    <t xml:space="preserve">    31199.0080 - Subproyecto - 2,40€</t>
  </si>
  <si>
    <t xml:space="preserve">        123206 (Estándar) - 2,40€</t>
  </si>
  <si>
    <t xml:space="preserve">    31199.0080 - Subproyecto - 163,75€</t>
  </si>
  <si>
    <t xml:space="preserve">        66023 (Recep OC) - 163,75€</t>
  </si>
  <si>
    <t xml:space="preserve">    31199.0080 - Subproyecto - 162,40€</t>
  </si>
  <si>
    <t xml:space="preserve">        138589 (Recep OC) - 162,40€</t>
  </si>
  <si>
    <t xml:space="preserve">    31199.0080 - Subproyecto - 0,11€</t>
  </si>
  <si>
    <t xml:space="preserve">        104840 (Estándar) - 0,11€</t>
  </si>
  <si>
    <t xml:space="preserve">    31199.0080 - Subproyecto - 243,60€</t>
  </si>
  <si>
    <t xml:space="preserve">        138589 (Recep OC) - 243,60€</t>
  </si>
  <si>
    <t xml:space="preserve">    31199.0080 - Subproyecto - 22,50€</t>
  </si>
  <si>
    <t xml:space="preserve">        126225 (Estándar) - 22,50€</t>
  </si>
  <si>
    <t xml:space="preserve">    31199.0080 - Subproyecto - 60,00€</t>
  </si>
  <si>
    <t xml:space="preserve">        71254.02.210.016 (Estándar) - 60,00€</t>
  </si>
  <si>
    <t xml:space="preserve">    31199.0080 - Subproyecto - 1.520,00€</t>
  </si>
  <si>
    <t xml:space="preserve">        44007 (Recep OC) - 1.520,00€</t>
  </si>
  <si>
    <t xml:space="preserve">    31199.0080 - Subproyecto - 1,00€</t>
  </si>
  <si>
    <t xml:space="preserve">        133813 (Estándar) - 1,00€</t>
  </si>
  <si>
    <t xml:space="preserve">    31199.0080 - Subproyecto - 2,58€</t>
  </si>
  <si>
    <t xml:space="preserve">        102802 (Estándar) - 2,58€</t>
  </si>
  <si>
    <t xml:space="preserve">        00E00-1-03U (Fabricación) - 0,00€</t>
  </si>
  <si>
    <t xml:space="preserve">        00N01-0-00U (Rec.Plan. OF) - 0,00€</t>
  </si>
  <si>
    <t xml:space="preserve">    31199.0080 - Subproyecto - 20,98€</t>
  </si>
  <si>
    <t xml:space="preserve">        99039 (Recep OC) - 20,98€</t>
  </si>
  <si>
    <t xml:space="preserve">    31199.0080 - Subproyecto - 8,22€</t>
  </si>
  <si>
    <t xml:space="preserve">        116470 (Estándar) - 8,22€</t>
  </si>
  <si>
    <t xml:space="preserve">    31199.0080 - Subproyecto - 3,78€</t>
  </si>
  <si>
    <t xml:space="preserve">        123207 (Estándar) - 3,78€</t>
  </si>
  <si>
    <t xml:space="preserve">        102806 (Estándar) - 0,00€</t>
  </si>
  <si>
    <t xml:space="preserve">    31199.0080 - Subproyecto - 159,48€</t>
  </si>
  <si>
    <t xml:space="preserve">        634334.0080 (Operación) - 159,48€</t>
  </si>
  <si>
    <t xml:space="preserve">    31199.0080 - Subproyecto - 55,80€</t>
  </si>
  <si>
    <t xml:space="preserve">        138467 (Estándar) - 55,80€</t>
  </si>
  <si>
    <t xml:space="preserve">    31199.0080 - Subproyecto - 6,00€</t>
  </si>
  <si>
    <t xml:space="preserve">        141046 (Estándar) - 6,00€</t>
  </si>
  <si>
    <t xml:space="preserve">    31199.0080 - Subproyecto - 9,30€</t>
  </si>
  <si>
    <t xml:space="preserve">        141047 (Estándar) - 9,30€</t>
  </si>
  <si>
    <t xml:space="preserve">    31199.0080 - Subproyecto - 14,14€</t>
  </si>
  <si>
    <t xml:space="preserve">        141043 (Estándar) - 14,14€</t>
  </si>
  <si>
    <t xml:space="preserve">        00N09-1-00U (Rec.Plan. OF) - 0,00€</t>
  </si>
  <si>
    <t xml:space="preserve">    31199.0080 - Subproyecto - 81,00€</t>
  </si>
  <si>
    <t xml:space="preserve">        66044 (Recep OC) - 81,00€</t>
  </si>
  <si>
    <t xml:space="preserve">    31199.0080 - Subproyecto - 33,60€</t>
  </si>
  <si>
    <t xml:space="preserve">        123191 (Estándar) - 33,60€</t>
  </si>
  <si>
    <t xml:space="preserve">    31199.0080 - Subproyecto - 14,30€</t>
  </si>
  <si>
    <t xml:space="preserve">        116472 (Estándar) - 14,30€</t>
  </si>
  <si>
    <t xml:space="preserve">    31199.0080 - Subproyecto - 0,74€</t>
  </si>
  <si>
    <t xml:space="preserve">        103711 (Estándar) - 0,74€</t>
  </si>
  <si>
    <t xml:space="preserve">    31199.0080 - Subproyecto - 0,55€</t>
  </si>
  <si>
    <t xml:space="preserve">        103710 (Estándar) - 0,55€</t>
  </si>
  <si>
    <t xml:space="preserve">    31199.0080 - Subproyecto - 26,90€</t>
  </si>
  <si>
    <t xml:space="preserve">        111306 (Estándar) - 26,90€</t>
  </si>
  <si>
    <t xml:space="preserve">    31199.0080 - Subproyecto - 50,00€</t>
  </si>
  <si>
    <t xml:space="preserve">        30991.00.419.000 (Estándar) - 50,00€</t>
  </si>
  <si>
    <t xml:space="preserve">    31199.0080 - Subproyecto - 0,35€</t>
  </si>
  <si>
    <t xml:space="preserve">        101377 (Estándar) - 0,35€</t>
  </si>
  <si>
    <t xml:space="preserve">        71254.02.210.016 (Estándar) - 0,00€</t>
  </si>
  <si>
    <t xml:space="preserve">    31199.0080 - Subproyecto - 17,46€</t>
  </si>
  <si>
    <t xml:space="preserve">        104447 (Estándar) - 17,46€</t>
  </si>
  <si>
    <t xml:space="preserve">    31199.0080 - Subproyecto - 192,00€</t>
  </si>
  <si>
    <t xml:space="preserve">        66026 (Recep OC) - 192,00€</t>
  </si>
  <si>
    <t xml:space="preserve">    31199.0080 - Subproyecto - 4,80€</t>
  </si>
  <si>
    <t xml:space="preserve">        104148 (Estándar) - 4,80€</t>
  </si>
  <si>
    <t xml:space="preserve">    31199.0080 - Subproyecto - 1,30€</t>
  </si>
  <si>
    <t xml:space="preserve">        117345 (Estándar) - 1,30€</t>
  </si>
  <si>
    <t xml:space="preserve">    31199.0080 - Subproyecto - 54,50€</t>
  </si>
  <si>
    <t xml:space="preserve">        104207 (Estándar) - 54,50€</t>
  </si>
  <si>
    <t xml:space="preserve">    31199.0080 - Subproyecto - 0,72€</t>
  </si>
  <si>
    <t xml:space="preserve">        141049 (Estándar) - 0,72€</t>
  </si>
  <si>
    <t xml:space="preserve">        00N06-1-00U (Rec.Plan. OF) - 0,00€</t>
  </si>
  <si>
    <t xml:space="preserve">        00N05-1-00U (Rec.Plan. OF) - 0,00€</t>
  </si>
  <si>
    <t xml:space="preserve">        00E00-0-00I (Rec.Plan. OF) - 0,00€</t>
  </si>
  <si>
    <t xml:space="preserve">        00E00-0-00F (Rec.Plan. OF) - 0,00€</t>
  </si>
  <si>
    <t xml:space="preserve">        00N04-1-00 (Rec.Plan. OF) - 0,00€</t>
  </si>
  <si>
    <t xml:space="preserve">        00N03-1-00U (Rec.Plan. OF) - 0,00€</t>
  </si>
  <si>
    <t xml:space="preserve">        00N02-1-00 (Rec.Plan. OF) - 0,00€</t>
  </si>
  <si>
    <t xml:space="preserve">        00N07-1-00U (Rec.Plan. OF) - 0,00€</t>
  </si>
  <si>
    <t xml:space="preserve">        00E00-1-03U (Rec.Plan. OF) - 0,00€</t>
  </si>
  <si>
    <t xml:space="preserve">        00E00-1-02U (Rec.Plan. OF) - 0,00€</t>
  </si>
  <si>
    <t xml:space="preserve">    31199.0080 - Subproyecto - 6.200,00€</t>
  </si>
  <si>
    <t xml:space="preserve">        66004 (Recep OC) - 6.200,00€</t>
  </si>
  <si>
    <t xml:space="preserve">    31199.0080 - Subproyecto - 12.400,00€</t>
  </si>
  <si>
    <t xml:space="preserve">        66004 (Recep OC) - 12.400,00€</t>
  </si>
  <si>
    <t xml:space="preserve">    31199.0080 - Subproyecto - 11.919,00€</t>
  </si>
  <si>
    <t xml:space="preserve">        139454 (Recep OC) - 11.919,00€</t>
  </si>
  <si>
    <t xml:space="preserve">    31199.0080 - Subproyecto - 411,00€</t>
  </si>
  <si>
    <t xml:space="preserve">        139454 (Recep OC) - 411,00€</t>
  </si>
  <si>
    <t xml:space="preserve">    31199.0080 - Subproyecto - 2,78€</t>
  </si>
  <si>
    <t xml:space="preserve">        101601 (Estándar) - 2,78€</t>
  </si>
  <si>
    <t xml:space="preserve">        00N01-1-00U (Rec.Plan. OF) - 0,00€</t>
  </si>
  <si>
    <t xml:space="preserve">        00E01-0-00 (Rec.Plan. OF) - 0,00€</t>
  </si>
  <si>
    <t xml:space="preserve">    31199.0080 - Subproyecto - 3.900,00€</t>
  </si>
  <si>
    <t xml:space="preserve">        66005 (Recep OC) - 3.900,00€</t>
  </si>
  <si>
    <t xml:space="preserve">    31199.0080 - Subproyecto - 8,52€</t>
  </si>
  <si>
    <t xml:space="preserve">        104010 (Estándar) - 8,52€</t>
  </si>
  <si>
    <t xml:space="preserve">    31199.0080 - Subproyecto - 0,09€</t>
  </si>
  <si>
    <t xml:space="preserve">        105244 (Estándar) - 0,09€</t>
  </si>
  <si>
    <t xml:space="preserve">    31199.0080 - Subproyecto - 60,45€</t>
  </si>
  <si>
    <t xml:space="preserve">        21020.00.400.011 (Estándar) - 60,45€</t>
  </si>
  <si>
    <t xml:space="preserve">    31199.0080 - Subproyecto - 12,12€</t>
  </si>
  <si>
    <t xml:space="preserve">        100979 (Estándar) - 12,12€</t>
  </si>
  <si>
    <t xml:space="preserve">    31199.0080 - Subproyecto - 4,50€</t>
  </si>
  <si>
    <t xml:space="preserve">        105436 (Estándar) - 4,50€</t>
  </si>
  <si>
    <t xml:space="preserve">        101345 (Estándar) - 0,00€</t>
  </si>
  <si>
    <t xml:space="preserve">        101344 (Estándar) - 0,00€</t>
  </si>
  <si>
    <t xml:space="preserve">    31199.0080 - Subproyecto - 27,31€</t>
  </si>
  <si>
    <t xml:space="preserve">        101343 (Estándar) - 27,31€</t>
  </si>
  <si>
    <t xml:space="preserve">    31199.0080 - Subproyecto - 20,00€</t>
  </si>
  <si>
    <t xml:space="preserve">        105279 (Estándar) - 20,00€</t>
  </si>
  <si>
    <t xml:space="preserve">        101338 (Estándar) - 0,00€</t>
  </si>
  <si>
    <t xml:space="preserve">    31199.0080 - Subproyecto - 1.340,00€</t>
  </si>
  <si>
    <t xml:space="preserve">        44002 (Recep OC) - 1.340,00€</t>
  </si>
  <si>
    <t xml:space="preserve">    31199.0080 - Subproyecto - 6.840,00€</t>
  </si>
  <si>
    <t xml:space="preserve">        44001 (Recep OC) - 6.840,00€</t>
  </si>
  <si>
    <t xml:space="preserve">    31199.0080 - Subproyecto - 20,94€</t>
  </si>
  <si>
    <t xml:space="preserve">        104249 (Estándar) - 20,94€</t>
  </si>
  <si>
    <t xml:space="preserve">        00N08-1-00 (Rec.Plan. OF) - 0,00€</t>
  </si>
  <si>
    <t xml:space="preserve">    31199.0080 - Subproyecto - 36,90€</t>
  </si>
  <si>
    <t xml:space="preserve">        117354 (Estándar) - 36,90€</t>
  </si>
  <si>
    <t xml:space="preserve">        125853 (Estándar) - 0,00€</t>
  </si>
  <si>
    <t xml:space="preserve">    31199.0080 - Subproyecto - 35,04€</t>
  </si>
  <si>
    <t xml:space="preserve">        104204 (Estándar) - 35,04€</t>
  </si>
  <si>
    <t xml:space="preserve">            138467 (Estándar) - 55,80€</t>
  </si>
  <si>
    <t xml:space="preserve">    31199.0080 - Subproyecto - 1,10€</t>
  </si>
  <si>
    <t xml:space="preserve">            109117 (Estándar) - 1,10€</t>
  </si>
  <si>
    <t xml:space="preserve">    31199.0080 - Subproyecto - 52,38€</t>
  </si>
  <si>
    <t xml:space="preserve">            104447 (Estándar) - 52,38€</t>
  </si>
  <si>
    <t xml:space="preserve">            71254.02.210.016 (Estándar) - 0,00€</t>
  </si>
  <si>
    <t xml:space="preserve">    31199.0080 - Subproyecto - 91,85€</t>
  </si>
  <si>
    <t xml:space="preserve">            138466 (Estándar) - 91,85€</t>
  </si>
  <si>
    <t xml:space="preserve">            105279 (Estándar) - 20,00€</t>
  </si>
  <si>
    <t xml:space="preserve">    31199.0080 - Subproyecto - 38,88€</t>
  </si>
  <si>
    <t xml:space="preserve">            138502 (Estándar) - 38,88€</t>
  </si>
  <si>
    <t xml:space="preserve">    31199.0080 - Subproyecto - 27,90€</t>
  </si>
  <si>
    <t xml:space="preserve">            138467 (Estándar) - 27,90€</t>
  </si>
  <si>
    <t xml:space="preserve">    31199.0080 - Subproyecto - 105,00€</t>
  </si>
  <si>
    <t xml:space="preserve">            140939 (Estándar) - 105,00€</t>
  </si>
  <si>
    <t xml:space="preserve">    31199.0080 - Subproyecto - 52,49€</t>
  </si>
  <si>
    <t xml:space="preserve">            138466 (Estándar) - 52,49€</t>
  </si>
  <si>
    <t xml:space="preserve">    31199.0080 - Subproyecto - 287,80€</t>
  </si>
  <si>
    <t xml:space="preserve">            139412 (Recep OC) - 287,80€</t>
  </si>
  <si>
    <t xml:space="preserve">            123191 (Estándar) - 33,60€</t>
  </si>
  <si>
    <t xml:space="preserve">    31199.0080 - Subproyecto - 274,00€</t>
  </si>
  <si>
    <t xml:space="preserve">            141736 (Recep OC) - 274,00€</t>
  </si>
  <si>
    <t xml:space="preserve">    31199.0080 - Subproyecto - 10,00€</t>
  </si>
  <si>
    <t xml:space="preserve">            105280 (Estándar) - 10,00€</t>
  </si>
  <si>
    <t xml:space="preserve">    31199.0080 - Subproyecto - 185,00€</t>
  </si>
  <si>
    <t xml:space="preserve">            143898 (Recep OC) - 185,00€</t>
  </si>
  <si>
    <t xml:space="preserve">    31199.0080 - Subproyecto - 52,80€</t>
  </si>
  <si>
    <t xml:space="preserve">            141584 (Recep OC) - 52,80€</t>
  </si>
  <si>
    <t xml:space="preserve">    31199.0080 - Subproyecto - 204,48€</t>
  </si>
  <si>
    <t xml:space="preserve">            139443 (Recep OC) - 204,48€</t>
  </si>
  <si>
    <t xml:space="preserve">    31199.0080 - Subproyecto - 118,72€</t>
  </si>
  <si>
    <t xml:space="preserve">            139413 (Recep OC) - 118,72€</t>
  </si>
  <si>
    <t xml:space="preserve">            139410 (Recep OC) - 204,48€</t>
  </si>
  <si>
    <t xml:space="preserve">    31199.0080 - Subproyecto - 484,34€</t>
  </si>
  <si>
    <t xml:space="preserve">            99059 (Recep OC) - 484,34€</t>
  </si>
  <si>
    <t xml:space="preserve">    31199.0080 - Subproyecto - 496,92€</t>
  </si>
  <si>
    <t xml:space="preserve">            99058 (Recep OC) - 496,92€</t>
  </si>
  <si>
    <t xml:space="preserve">    31199.0080 - Subproyecto - 684,15€</t>
  </si>
  <si>
    <t xml:space="preserve">            99056 (Recep OC) - 684,15€</t>
  </si>
  <si>
    <t xml:space="preserve">    31199.0080 - Subproyecto - 32,70€</t>
  </si>
  <si>
    <t xml:space="preserve">            101344 (Estándar) - 32,70€</t>
  </si>
  <si>
    <t xml:space="preserve">    31199.0080 - Subproyecto - 7,02€</t>
  </si>
  <si>
    <t xml:space="preserve">            123207 (Estándar) - 7,02€</t>
  </si>
  <si>
    <t xml:space="preserve">    31199.0080 - Subproyecto - 4,90€</t>
  </si>
  <si>
    <t xml:space="preserve">            100980 (Estándar) - 4,90€</t>
  </si>
  <si>
    <t xml:space="preserve">    31199.0080 - Subproyecto - 3,00€</t>
  </si>
  <si>
    <t xml:space="preserve">            101331 (Estándar) - 3,00€</t>
  </si>
  <si>
    <t xml:space="preserve">    31199.0080 - Subproyecto - 966,42€</t>
  </si>
  <si>
    <t xml:space="preserve">            143948 (Recep OC) - 966,42€</t>
  </si>
  <si>
    <t xml:space="preserve">    31199.0080 - Subproyecto - 25,92€</t>
  </si>
  <si>
    <t xml:space="preserve">            117347 (Recep OC) - 25,92€</t>
  </si>
  <si>
    <t xml:space="preserve">    31199.0080 - Subproyecto - 28,50€</t>
  </si>
  <si>
    <t xml:space="preserve">            104009 (Recep OC) - 28,50€</t>
  </si>
  <si>
    <t xml:space="preserve">    31199.0080 - Subproyecto - -22,80€</t>
  </si>
  <si>
    <t xml:space="preserve">            104009 (Recep OC) - -22,80€</t>
  </si>
  <si>
    <t xml:space="preserve">    31199.0080 - Subproyecto - 22,80€</t>
  </si>
  <si>
    <t xml:space="preserve">            104009 (Recep OC) - 22,80€</t>
  </si>
  <si>
    <t xml:space="preserve">    31199.0080 - Subproyecto - 6,03€</t>
  </si>
  <si>
    <t xml:space="preserve">            104014 (Estándar) - 6,03€</t>
  </si>
  <si>
    <t xml:space="preserve">    31199.0080 - Subproyecto - 12,46€</t>
  </si>
  <si>
    <t xml:space="preserve">            103959 (Estándar) - 12,46€</t>
  </si>
  <si>
    <t xml:space="preserve">    31199.0080 - Subproyecto - 637,72€</t>
  </si>
  <si>
    <t xml:space="preserve">            99055 (Recep OC) - 637,72€</t>
  </si>
  <si>
    <t xml:space="preserve">    31199.0080 - Subproyecto - 4,97€</t>
  </si>
  <si>
    <t xml:space="preserve">            100980 (Estándar) - 4,97€</t>
  </si>
  <si>
    <t xml:space="preserve">    31199.0080 - Subproyecto - 3,08€</t>
  </si>
  <si>
    <t xml:space="preserve">            100979 (Estándar) - 3,08€</t>
  </si>
  <si>
    <t xml:space="preserve">    31199.0080 - Subproyecto - 43,39€</t>
  </si>
  <si>
    <t xml:space="preserve">            123067 (Estándar) - 43,39€</t>
  </si>
  <si>
    <t xml:space="preserve">            123067 (Estándar) - 0,00€</t>
  </si>
  <si>
    <t xml:space="preserve">            104010 (Estándar) - 0,00€</t>
  </si>
  <si>
    <t xml:space="preserve">            21020.00.401.810 (Estándar) - 0,00€</t>
  </si>
  <si>
    <t xml:space="preserve">    31199.0080 - Subproyecto - 41,06€</t>
  </si>
  <si>
    <t xml:space="preserve">            139457 (Transfer. Stock) - 41,06€</t>
  </si>
  <si>
    <t xml:space="preserve">    31199.0080 - Subproyecto - 206,50€</t>
  </si>
  <si>
    <t xml:space="preserve">            143066 (Recep OC) - 206,50€</t>
  </si>
  <si>
    <t xml:space="preserve">    31199.0080 - Subproyecto - 99,00€</t>
  </si>
  <si>
    <t xml:space="preserve">            110843 (Recep OC) - 99,00€</t>
  </si>
  <si>
    <t xml:space="preserve">    31199.0080 - Subproyecto - 377,57€</t>
  </si>
  <si>
    <t xml:space="preserve">            99057 (Recep OC) - 377,57€</t>
  </si>
  <si>
    <t xml:space="preserve">    31199.0080 - Subproyecto - 447,35€</t>
  </si>
  <si>
    <t xml:space="preserve">            99053 (Recep OC) - 447,35€</t>
  </si>
  <si>
    <t xml:space="preserve">    31199.0080 - Subproyecto - 45,09€</t>
  </si>
  <si>
    <t xml:space="preserve">            145518 (Recep OC) - 45,09€</t>
  </si>
  <si>
    <t xml:space="preserve">    31199.0080 - Subproyecto - 32,27€</t>
  </si>
  <si>
    <t xml:space="preserve">            104205 (Estándar) - 32,27€</t>
  </si>
  <si>
    <t xml:space="preserve">    31199.0080 - Subproyecto - 16,01€</t>
  </si>
  <si>
    <t xml:space="preserve">            104288 (Estándar) - 16,01€</t>
  </si>
  <si>
    <t xml:space="preserve">    31199.0080 - Subproyecto - 172,80€</t>
  </si>
  <si>
    <t xml:space="preserve">            143837 (Recep OC) - 172,80€</t>
  </si>
  <si>
    <t xml:space="preserve">    31199.0080 - Subproyecto - 64,80€</t>
  </si>
  <si>
    <t xml:space="preserve">            138502 (Estándar) - 64,80€</t>
  </si>
  <si>
    <t xml:space="preserve">    31199.0080 - Subproyecto - 383,89€</t>
  </si>
  <si>
    <t xml:space="preserve">            99052 (Recep OC) - 383,89€</t>
  </si>
  <si>
    <t xml:space="preserve">    31199.0080 - Subproyecto - 109,30€</t>
  </si>
  <si>
    <t xml:space="preserve">            139486 (Recep OC) - 109,30€</t>
  </si>
  <si>
    <t xml:space="preserve">    31199.0080 - Subproyecto - 135,27€</t>
  </si>
  <si>
    <t xml:space="preserve">            145518 (Recep OC) - 135,27€</t>
  </si>
  <si>
    <t xml:space="preserve">    31199.0080 - Subproyecto - 117,90€</t>
  </si>
  <si>
    <t xml:space="preserve">            145513 (Recep OC) - 117,90€</t>
  </si>
  <si>
    <t xml:space="preserve">    31199.0080 - Subproyecto - 113,60€</t>
  </si>
  <si>
    <t xml:space="preserve">            145512 (Recep OC) - 113,60€</t>
  </si>
  <si>
    <t xml:space="preserve">    31199.0080 - Subproyecto - 406,56€</t>
  </si>
  <si>
    <t xml:space="preserve">            140294 (Recep OC) - 406,56€</t>
  </si>
  <si>
    <t xml:space="preserve">    31199.0080 - Subproyecto - 392,00€</t>
  </si>
  <si>
    <t xml:space="preserve">            140293 (Recep OC) - 392,00€</t>
  </si>
  <si>
    <t xml:space="preserve">    31199.0080 - Subproyecto - 273,03€</t>
  </si>
  <si>
    <t xml:space="preserve">            139487 (Recep OC) - 273,03€</t>
  </si>
  <si>
    <t xml:space="preserve">    31199.0080 - Subproyecto - 303,37€</t>
  </si>
  <si>
    <t xml:space="preserve">            139487 (Recep OC) - 303,37€</t>
  </si>
  <si>
    <t xml:space="preserve">    31199.0080 - Subproyecto - -303,37€</t>
  </si>
  <si>
    <t xml:space="preserve">            139487 (Recep OC) - -303,37€</t>
  </si>
  <si>
    <t xml:space="preserve">    31199.0080 - Subproyecto - 163,95€</t>
  </si>
  <si>
    <t xml:space="preserve">            139486 (Recep OC) - 163,95€</t>
  </si>
  <si>
    <t xml:space="preserve">    31199.0080 - Subproyecto - -109,30€</t>
  </si>
  <si>
    <t xml:space="preserve">            139486 (Recep OC) - -109,30€</t>
  </si>
  <si>
    <t xml:space="preserve">    31199.0080 - Subproyecto - 4.200,37€</t>
  </si>
  <si>
    <t xml:space="preserve">            139485 (Recep OC) - 4.200,37€</t>
  </si>
  <si>
    <t xml:space="preserve">    31199.0080 - Subproyecto - 10,11€</t>
  </si>
  <si>
    <t xml:space="preserve">            139484 (Recep OC) - 10,11€</t>
  </si>
  <si>
    <t xml:space="preserve">    31199.0080 - Subproyecto - 50,54€</t>
  </si>
  <si>
    <t xml:space="preserve">            139484 (Recep OC) - 50,54€</t>
  </si>
  <si>
    <t xml:space="preserve">    31199.0080 - Subproyecto - -50,54€</t>
  </si>
  <si>
    <t xml:space="preserve">            139484 (Recep OC) - -50,54€</t>
  </si>
  <si>
    <t xml:space="preserve">    31199.0080 - Subproyecto - 137,00€</t>
  </si>
  <si>
    <t xml:space="preserve">            139127 (Recep OC) - 137,00€</t>
  </si>
  <si>
    <t xml:space="preserve">    31199.0080 - Subproyecto - 147,74€</t>
  </si>
  <si>
    <t xml:space="preserve">            100749 (Estándar) - 147,74€</t>
  </si>
  <si>
    <t xml:space="preserve">    31199.0080 - Subproyecto - 1.453,02€</t>
  </si>
  <si>
    <t xml:space="preserve">            99059 (Recep OC) - 1.453,02€</t>
  </si>
  <si>
    <t xml:space="preserve">    31199.0080 - Subproyecto - 1.275,44€</t>
  </si>
  <si>
    <t xml:space="preserve">            99055 (Recep OC) - 1.275,44€</t>
  </si>
  <si>
    <t xml:space="preserve">    31199.0080 - Subproyecto - 755,14€</t>
  </si>
  <si>
    <t xml:space="preserve">            99057 (Recep OC) - 755,14€</t>
  </si>
  <si>
    <t xml:space="preserve">    31199.0080 - Subproyecto - 2.871,30€</t>
  </si>
  <si>
    <t xml:space="preserve">            99054 (Recep OC) - 2.871,30€</t>
  </si>
  <si>
    <t xml:space="preserve">    31199.0080 - Subproyecto - 767,78€</t>
  </si>
  <si>
    <t xml:space="preserve">            99052 (Recep OC) - 767,78€</t>
  </si>
  <si>
    <t xml:space="preserve">            139454 (Compra) - 0,00€</t>
  </si>
  <si>
    <t xml:space="preserve">    31199.0080 - Subproyecto - 1.368,30€</t>
  </si>
  <si>
    <t xml:space="preserve">            99056 (Recep OC) - 1.368,30€</t>
  </si>
  <si>
    <t xml:space="preserve">    31199.0080 - Subproyecto - 169,40€</t>
  </si>
  <si>
    <t xml:space="preserve">            139486 (Recep OC) - 169,40€</t>
  </si>
  <si>
    <t xml:space="preserve">    31199.0080 - Subproyecto - -273,03€</t>
  </si>
  <si>
    <t xml:space="preserve">            139487 (Recep OC) - -273,03€</t>
  </si>
  <si>
    <t xml:space="preserve">    31199.0080 - Subproyecto - 112,93€</t>
  </si>
  <si>
    <t xml:space="preserve">            139486 (Recep OC) - 112,93€</t>
  </si>
  <si>
    <t xml:space="preserve">    31199.0080 - Subproyecto - -163,95€</t>
  </si>
  <si>
    <t xml:space="preserve">            139486 (Recep OC) - -163,95€</t>
  </si>
  <si>
    <t xml:space="preserve">    31199.0080 - Subproyecto - 31,35€</t>
  </si>
  <si>
    <t xml:space="preserve">            139487 (Recep OC) - 31,35€</t>
  </si>
  <si>
    <t>0090</t>
  </si>
  <si>
    <t>31199.0090 -  03 - Fabricación</t>
  </si>
  <si>
    <t>Sp-31199.0090</t>
  </si>
  <si>
    <t xml:space="preserve">    31199.0090 - Subproyecto - 0,42€</t>
  </si>
  <si>
    <t xml:space="preserve">        105047 (Estándar) - 0,42€</t>
  </si>
  <si>
    <t xml:space="preserve">    31199.0090 - Subproyecto - 96,00€</t>
  </si>
  <si>
    <t xml:space="preserve">        66040 (Recep OC) - 96,00€</t>
  </si>
  <si>
    <t xml:space="preserve">    31199.0090 - Subproyecto - 450,03€</t>
  </si>
  <si>
    <t xml:space="preserve">        66042 (Recep OC) - 450,03€</t>
  </si>
  <si>
    <t xml:space="preserve">    31199.0090 - Subproyecto - 256,28€</t>
  </si>
  <si>
    <t xml:space="preserve">        66041 (Recep OC) - 256,28€</t>
  </si>
  <si>
    <t xml:space="preserve">    31199.0090 - Subproyecto - 1.219,75€</t>
  </si>
  <si>
    <t xml:space="preserve">        66038 (Recep OC) - 1.219,75€</t>
  </si>
  <si>
    <t xml:space="preserve">    31199.0090 - Subproyecto - 446,75€</t>
  </si>
  <si>
    <t xml:space="preserve">        66033 (Recep OC) - 446,75€</t>
  </si>
  <si>
    <t xml:space="preserve">    31199.0090 - Subproyecto - 1.081,00€</t>
  </si>
  <si>
    <t xml:space="preserve">        66036 (Recep OC) - 1.081,00€</t>
  </si>
  <si>
    <t xml:space="preserve">    31199.0090 - Subproyecto - 228,00€</t>
  </si>
  <si>
    <t xml:space="preserve">        66035 (Recep OC) - 228,00€</t>
  </si>
  <si>
    <t xml:space="preserve">    31199.0090 - Subproyecto - 524,25€</t>
  </si>
  <si>
    <t xml:space="preserve">        66034 (Recep OC) - 524,25€</t>
  </si>
  <si>
    <t xml:space="preserve">    31199.0090 - Subproyecto - 240,00€</t>
  </si>
  <si>
    <t xml:space="preserve">        66027 (Recep OC) - 240,00€</t>
  </si>
  <si>
    <t xml:space="preserve">    31199.0090 - Subproyecto - 200,00€</t>
  </si>
  <si>
    <t xml:space="preserve">        66043 (Recep OC) - 200,00€</t>
  </si>
  <si>
    <t xml:space="preserve">    31199.0090 - Subproyecto - 386,25€</t>
  </si>
  <si>
    <t xml:space="preserve">        66037 (Recep OC) - 386,25€</t>
  </si>
  <si>
    <t xml:space="preserve">    31199.0090 - Subproyecto - 437,50€</t>
  </si>
  <si>
    <t xml:space="preserve">        66045 (Recep OC) - 437,50€</t>
  </si>
  <si>
    <t xml:space="preserve">    31199.0090 - Subproyecto - 198,25€</t>
  </si>
  <si>
    <t xml:space="preserve">        66063 (Recep OC) - 198,25€</t>
  </si>
  <si>
    <t xml:space="preserve">    31199.0090 - Subproyecto - 793,00€</t>
  </si>
  <si>
    <t xml:space="preserve">        66049 (Recep OC) - 793,00€</t>
  </si>
  <si>
    <t xml:space="preserve">    31199.0090 - Subproyecto - 192,00€</t>
  </si>
  <si>
    <t xml:space="preserve">        66050 (Recep OC) - 192,00€</t>
  </si>
  <si>
    <t xml:space="preserve">        66051 (Recep OC) - 192,00€</t>
  </si>
  <si>
    <t xml:space="preserve">    31199.0090 - Subproyecto - 212,50€</t>
  </si>
  <si>
    <t xml:space="preserve">        66052 (Recep OC) - 212,50€</t>
  </si>
  <si>
    <t xml:space="preserve">    31199.0090 - Subproyecto - 125,39€</t>
  </si>
  <si>
    <t xml:space="preserve">        66053 (Recep OC) - 125,39€</t>
  </si>
  <si>
    <t xml:space="preserve">    31199.0090 - Subproyecto - 1.087,50€</t>
  </si>
  <si>
    <t xml:space="preserve">        66054 (Recep OC) - 1.087,50€</t>
  </si>
  <si>
    <t xml:space="preserve">    31199.0090 - Subproyecto - 1.112,50€</t>
  </si>
  <si>
    <t xml:space="preserve">        66058 (Recep OC) - 1.112,50€</t>
  </si>
  <si>
    <t xml:space="preserve">    31199.0090 - Subproyecto - 562,50€</t>
  </si>
  <si>
    <t xml:space="preserve">        66059 (Recep OC) - 562,50€</t>
  </si>
  <si>
    <t xml:space="preserve">    31199.0090 - Subproyecto - 594,75€</t>
  </si>
  <si>
    <t xml:space="preserve">        66060 (Recep OC) - 594,75€</t>
  </si>
  <si>
    <t xml:space="preserve">    31199.0090 - Subproyecto - 354,75€</t>
  </si>
  <si>
    <t xml:space="preserve">        66062 (Recep OC) - 354,75€</t>
  </si>
  <si>
    <t xml:space="preserve">    31199.0090 - Subproyecto - 26,62€</t>
  </si>
  <si>
    <t xml:space="preserve">        103133 (Estándar) - 26,62€</t>
  </si>
  <si>
    <t xml:space="preserve">    31199.0090 - Subproyecto - 10.136,18€</t>
  </si>
  <si>
    <t xml:space="preserve">        634335.0090 (Operación) - 10.136,18€</t>
  </si>
  <si>
    <t xml:space="preserve">    31199.0090 - Subproyecto - 8,00€</t>
  </si>
  <si>
    <t xml:space="preserve">        105974 (Estándar) - 8,00€</t>
  </si>
  <si>
    <t xml:space="preserve">    31199.0090 - Subproyecto - 150,00€</t>
  </si>
  <si>
    <t xml:space="preserve">        66048 (Recep OC) - 150,00€</t>
  </si>
  <si>
    <t xml:space="preserve">    31199.0090 - Subproyecto - 2,70€</t>
  </si>
  <si>
    <t xml:space="preserve">        101378 (Estándar) - 2,70€</t>
  </si>
  <si>
    <t xml:space="preserve">    31199.0090 - Subproyecto - 342,25€</t>
  </si>
  <si>
    <t xml:space="preserve">        66011 (Recep OC) - 342,25€</t>
  </si>
  <si>
    <t xml:space="preserve">    31199.0090 - Subproyecto - 17,10€</t>
  </si>
  <si>
    <t xml:space="preserve">        103148 (Estándar) - 17,10€</t>
  </si>
  <si>
    <t xml:space="preserve">    31199.0090 - Subproyecto - 0,53€</t>
  </si>
  <si>
    <t xml:space="preserve">        134545 (Estándar) - 0,53€</t>
  </si>
  <si>
    <t xml:space="preserve">    31199.0090 - Subproyecto - 4,00€</t>
  </si>
  <si>
    <t xml:space="preserve">        132975 (Estándar) - 4,00€</t>
  </si>
  <si>
    <t xml:space="preserve">    31199.0090 - Subproyecto - 0,00€</t>
  </si>
  <si>
    <t xml:space="preserve">        132638 (Estándar) - 0,00€</t>
  </si>
  <si>
    <t xml:space="preserve">    31199.0090 - Subproyecto - 0,61€</t>
  </si>
  <si>
    <t xml:space="preserve">        104613 (Estándar) - 0,61€</t>
  </si>
  <si>
    <t xml:space="preserve">    31199.0090 - Subproyecto - 0,70€</t>
  </si>
  <si>
    <t xml:space="preserve">        104614 (Estándar) - 0,70€</t>
  </si>
  <si>
    <t xml:space="preserve">    31199.0090 - Subproyecto - 19,06€</t>
  </si>
  <si>
    <t xml:space="preserve">        104673 (Estándar) - 19,06€</t>
  </si>
  <si>
    <t xml:space="preserve">    31199.0090 - Subproyecto - 6,02€</t>
  </si>
  <si>
    <t xml:space="preserve">        126193 (Estándar) - 6,02€</t>
  </si>
  <si>
    <t xml:space="preserve">    31199.0090 - Subproyecto - 1,60€</t>
  </si>
  <si>
    <t xml:space="preserve">        133813 (Estándar) - 1,60€</t>
  </si>
  <si>
    <t xml:space="preserve">        66012 (Recep OC) - 96,00€</t>
  </si>
  <si>
    <t xml:space="preserve">    31199.0090 - Subproyecto - 144,00€</t>
  </si>
  <si>
    <t xml:space="preserve">        66013 (Recep OC) - 144,00€</t>
  </si>
  <si>
    <t xml:space="preserve">        66014 (Recep OC) - 144,00€</t>
  </si>
  <si>
    <t xml:space="preserve">    31199.0090 - Subproyecto - 1,93€</t>
  </si>
  <si>
    <t xml:space="preserve">        104840 (Estándar) - 1,93€</t>
  </si>
  <si>
    <t xml:space="preserve">    31199.0090 - Subproyecto - 216,00€</t>
  </si>
  <si>
    <t xml:space="preserve">        66006 (Recep OC) - 216,00€</t>
  </si>
  <si>
    <t xml:space="preserve">    31199.0090 - Subproyecto - 4,45€</t>
  </si>
  <si>
    <t xml:space="preserve">        128166 (Estándar) - 4,45€</t>
  </si>
  <si>
    <t xml:space="preserve">    31199.0090 - Subproyecto - 1,80€</t>
  </si>
  <si>
    <t xml:space="preserve">        101405 (Estándar) - 1,80€</t>
  </si>
  <si>
    <t xml:space="preserve">    31199.0090 - Subproyecto - 772,00€</t>
  </si>
  <si>
    <t xml:space="preserve">        66024 (Recep OC) - 772,00€</t>
  </si>
  <si>
    <t xml:space="preserve">    31199.0090 - Subproyecto - 611,25€</t>
  </si>
  <si>
    <t xml:space="preserve">        66022 (Recep OC) - 611,25€</t>
  </si>
  <si>
    <t xml:space="preserve">    31199.0090 - Subproyecto - 0,03€</t>
  </si>
  <si>
    <t xml:space="preserve">        105336 (Estándar) - 0,03€</t>
  </si>
  <si>
    <t xml:space="preserve">    31199.0090 - Subproyecto - 0,04€</t>
  </si>
  <si>
    <t xml:space="preserve">        105335 (Estándar) - 0,04€</t>
  </si>
  <si>
    <t xml:space="preserve">    31199.0090 - Subproyecto - 0,39€</t>
  </si>
  <si>
    <t xml:space="preserve">        105335 (Estándar) - 0,39€</t>
  </si>
  <si>
    <t xml:space="preserve">    31199.0090 - Subproyecto - 972,25€</t>
  </si>
  <si>
    <t xml:space="preserve">        66018 (Recep OC) - 972,25€</t>
  </si>
  <si>
    <t xml:space="preserve">    31199.0090 - Subproyecto - 396,50€</t>
  </si>
  <si>
    <t xml:space="preserve">        66017 (Recep OC) - 396,50€</t>
  </si>
  <si>
    <t xml:space="preserve">        66016 (Recep OC) - 144,00€</t>
  </si>
  <si>
    <t xml:space="preserve">        66015 (Recep OC) - 96,00€</t>
  </si>
  <si>
    <t xml:space="preserve">    31199.0090 - Subproyecto - 33,85€</t>
  </si>
  <si>
    <t xml:space="preserve">        103146 (Estándar) - 33,85€</t>
  </si>
  <si>
    <t xml:space="preserve">        66019 (Recep OC) - 96,00€</t>
  </si>
  <si>
    <t>0100</t>
  </si>
  <si>
    <t>31199.0100 -  03 - Fabricación</t>
  </si>
  <si>
    <t>Sp-31199.0100</t>
  </si>
  <si>
    <t xml:space="preserve">    31199.0100 - Subproyecto - 75,00€</t>
  </si>
  <si>
    <t xml:space="preserve">        66057 (Recep OC) - 75,00€</t>
  </si>
  <si>
    <t xml:space="preserve">    31199.0100 - Subproyecto - 493,20€</t>
  </si>
  <si>
    <t xml:space="preserve">        44023 (Recep OC) - 493,20€</t>
  </si>
  <si>
    <t xml:space="preserve">    31199.0100 - Subproyecto - 190,00€</t>
  </si>
  <si>
    <t xml:space="preserve">        44024 (Recep OC) - 190,00€</t>
  </si>
  <si>
    <t xml:space="preserve">    31199.0100 - Subproyecto - 68,00€</t>
  </si>
  <si>
    <t xml:space="preserve">        44027 (Recep OC) - 68,00€</t>
  </si>
  <si>
    <t xml:space="preserve">        66055 (Recep OC) - 75,00€</t>
  </si>
  <si>
    <t xml:space="preserve">    31199.0100 - Subproyecto - 168,00€</t>
  </si>
  <si>
    <t xml:space="preserve">        66061 (Recep OC) - 168,00€</t>
  </si>
  <si>
    <t xml:space="preserve">    31199.0100 - Subproyecto - 604,48€</t>
  </si>
  <si>
    <t xml:space="preserve">        651835.0100 (Operación) - 604,48€</t>
  </si>
  <si>
    <t xml:space="preserve">    31199.0100 - Subproyecto - 72,00€</t>
  </si>
  <si>
    <t xml:space="preserve">        66065 (Recep OC) - 72,00€</t>
  </si>
  <si>
    <t xml:space="preserve">        66068 (Recep OC) - 72,00€</t>
  </si>
  <si>
    <t xml:space="preserve">    31199.0100 - Subproyecto - 1.510,18€</t>
  </si>
  <si>
    <t xml:space="preserve">        651835.0100 (Operación) - 1.510,18€</t>
  </si>
  <si>
    <t xml:space="preserve">    31199.0100 - Subproyecto - 54,25€</t>
  </si>
  <si>
    <t xml:space="preserve">        66039 (Recep OC) - 54,25€</t>
  </si>
  <si>
    <t xml:space="preserve">    31199.0100 - Subproyecto - 78,55€</t>
  </si>
  <si>
    <t xml:space="preserve">        651835.0100 (Operación) - 78,55€</t>
  </si>
  <si>
    <t xml:space="preserve">        66064 (Recep OC) - 54,25€</t>
  </si>
  <si>
    <t xml:space="preserve">    31199.0100 - Subproyecto - 110,00€</t>
  </si>
  <si>
    <t xml:space="preserve">        44021 (Recep OC) - 110,00€</t>
  </si>
  <si>
    <t xml:space="preserve">    31199.0100 - Subproyecto - 2.495,80€</t>
  </si>
  <si>
    <t xml:space="preserve">        44034 (Recep OC) - 2.495,80€</t>
  </si>
  <si>
    <t xml:space="preserve">    31199.0100 - Subproyecto - 136,00€</t>
  </si>
  <si>
    <t xml:space="preserve">        44017 (Recep OC) - 136,00€</t>
  </si>
  <si>
    <t xml:space="preserve">    31199.0100 - Subproyecto - 1.044,00€</t>
  </si>
  <si>
    <t xml:space="preserve">        110/210-00-0001A (Recep OC) - 1.044,00€</t>
  </si>
  <si>
    <t xml:space="preserve">    31199.0100 - Subproyecto - 108,00€</t>
  </si>
  <si>
    <t xml:space="preserve">        44003 (Recep OC) - 108,00€</t>
  </si>
  <si>
    <t xml:space="preserve">    31199.0100 - Subproyecto - 36,00€</t>
  </si>
  <si>
    <t xml:space="preserve">        44004 (Recep OC) - 36,00€</t>
  </si>
  <si>
    <t xml:space="preserve">    31199.0100 - Subproyecto - 310,00€</t>
  </si>
  <si>
    <t xml:space="preserve">        44005 (Recep OC) - 310,00€</t>
  </si>
  <si>
    <t xml:space="preserve">    31199.0100 - Subproyecto - 280,00€</t>
  </si>
  <si>
    <t xml:space="preserve">        44006 (Recep OC) - 280,00€</t>
  </si>
  <si>
    <t xml:space="preserve">    31199.0100 - Subproyecto - 96,00€</t>
  </si>
  <si>
    <t xml:space="preserve">        66021 (Recep OC) - 96,00€</t>
  </si>
  <si>
    <t xml:space="preserve">    31199.0100 - Subproyecto - 48,00€</t>
  </si>
  <si>
    <t xml:space="preserve">        44008 (Recep OC) - 48,00€</t>
  </si>
  <si>
    <t xml:space="preserve">    31199.0100 - Subproyecto - 40,00€</t>
  </si>
  <si>
    <t xml:space="preserve">        44011 (Recep OC) - 40,00€</t>
  </si>
  <si>
    <t xml:space="preserve">    31199.0100 - Subproyecto - 74,00€</t>
  </si>
  <si>
    <t xml:space="preserve">        44012 (Recep OC) - 74,00€</t>
  </si>
  <si>
    <t xml:space="preserve">    31199.0100 - Subproyecto - 506,00€</t>
  </si>
  <si>
    <t xml:space="preserve">        44013 (Recep OC) - 506,00€</t>
  </si>
  <si>
    <t xml:space="preserve">    31199.0100 - Subproyecto - 259,75€</t>
  </si>
  <si>
    <t xml:space="preserve">        66010 (Recep OC) - 259,75€</t>
  </si>
  <si>
    <t>0110</t>
  </si>
  <si>
    <t>31199.0110 -  03 - Fabricación</t>
  </si>
  <si>
    <t>Sp-31199.0110</t>
  </si>
  <si>
    <t xml:space="preserve">    31199.0110 - Subproyecto - 302,24€</t>
  </si>
  <si>
    <t xml:space="preserve">        651836.0110 (Operación) - 302,24€</t>
  </si>
  <si>
    <t xml:space="preserve">    31199.0110 - Subproyecto - 137,46€</t>
  </si>
  <si>
    <t xml:space="preserve">        651836.0110 (Operación) - 137,46€</t>
  </si>
  <si>
    <t>0120</t>
  </si>
  <si>
    <t>31199.0120 -  03 - Fabricación</t>
  </si>
  <si>
    <t>Sp-31199.0120</t>
  </si>
  <si>
    <t>0130</t>
  </si>
  <si>
    <t>31199.0130 -  03 - Fabricación</t>
  </si>
  <si>
    <t>Sp-31199.0130</t>
  </si>
  <si>
    <t>31200.0010 -  03 - Fabricación</t>
  </si>
  <si>
    <t>Sp-31200.0010</t>
  </si>
  <si>
    <t xml:space="preserve">    31200.0010 - Subproyecto - 166,20€</t>
  </si>
  <si>
    <t xml:space="preserve">        624323.0010 (Operación) - 166,20€</t>
  </si>
  <si>
    <t xml:space="preserve">    31200.0010 - Subproyecto - 10.179,68€</t>
  </si>
  <si>
    <t xml:space="preserve">        624323.0010 (Operación) - 10.179,68€</t>
  </si>
  <si>
    <t xml:space="preserve">    31200.0010 - Subproyecto - 18.321,84€</t>
  </si>
  <si>
    <t xml:space="preserve">        624323.0010 (Operación) - 18.321,84€</t>
  </si>
  <si>
    <t xml:space="preserve">    31200.0010 - Subproyecto - 23.665,50€</t>
  </si>
  <si>
    <t xml:space="preserve">        624323.0010 (Operación) - 23.665,50€</t>
  </si>
  <si>
    <t xml:space="preserve">    31200.0010 - Subproyecto - 94.236,36€</t>
  </si>
  <si>
    <t xml:space="preserve">        624323.0010 (Operación) - 94.236,36€</t>
  </si>
  <si>
    <t xml:space="preserve">    31200.0010 - Subproyecto - 74.664,24€</t>
  </si>
  <si>
    <t xml:space="preserve">        624323.0010 (Operación) - 74.664,24€</t>
  </si>
  <si>
    <t xml:space="preserve">    31200.0010 - Subproyecto - 8.614,05€</t>
  </si>
  <si>
    <t xml:space="preserve">        624323.0010 (Operación) - 8.614,05€</t>
  </si>
  <si>
    <t>31200.0020 -  03 - Fabricación</t>
  </si>
  <si>
    <t>Sp-31200.0020</t>
  </si>
  <si>
    <t xml:space="preserve">    31200.0020 - Subproyecto - 3,30€</t>
  </si>
  <si>
    <t xml:space="preserve">        109117 (Estándar) - 3,30€</t>
  </si>
  <si>
    <t xml:space="preserve">    31200.0020 - Subproyecto - 11.020,56€</t>
  </si>
  <si>
    <t xml:space="preserve">        624324.0020 (Operación) - 11.020,56€</t>
  </si>
  <si>
    <t xml:space="preserve">    31200.0020 - Subproyecto - 17.961,34€</t>
  </si>
  <si>
    <t xml:space="preserve">        624324.0020 (Operación) - 17.961,34€</t>
  </si>
  <si>
    <t xml:space="preserve">    31200.0020 - Subproyecto - 22,06€</t>
  </si>
  <si>
    <t xml:space="preserve">        101306 (Estándar) - 22,06€</t>
  </si>
  <si>
    <t xml:space="preserve">    31200.0020 - Subproyecto - 4,17€</t>
  </si>
  <si>
    <t xml:space="preserve">        101601 (Estándar) - 4,17€</t>
  </si>
  <si>
    <t xml:space="preserve">    31200.0020 - Subproyecto - 17,50€</t>
  </si>
  <si>
    <t xml:space="preserve">        101448 (Estándar) - 17,50€</t>
  </si>
  <si>
    <t xml:space="preserve">    31200.0020 - Subproyecto - 2.550,00€</t>
  </si>
  <si>
    <t xml:space="preserve">        66021 (Recep OC) - 2.550,00€</t>
  </si>
  <si>
    <t xml:space="preserve">    31200.0020 - Subproyecto - 4.200,00€</t>
  </si>
  <si>
    <t xml:space="preserve">        66021 (Recep OC) - 4.200,00€</t>
  </si>
  <si>
    <t xml:space="preserve">    31200.0020 - Subproyecto - 5.100,00€</t>
  </si>
  <si>
    <t xml:space="preserve">        66021 (Recep OC) - 5.100,00€</t>
  </si>
  <si>
    <t xml:space="preserve">    31200.0020 - Subproyecto - 3.150,00€</t>
  </si>
  <si>
    <t xml:space="preserve">        66021 (Recep OC) - 3.150,00€</t>
  </si>
  <si>
    <t>31200.0030 -  03 - Fabricación</t>
  </si>
  <si>
    <t>Sp-31200.0030</t>
  </si>
  <si>
    <t xml:space="preserve">    31200.0030 - Subproyecto - 0,00€</t>
  </si>
  <si>
    <t xml:space="preserve">        66016 (Compra) - 0,00€</t>
  </si>
  <si>
    <t xml:space="preserve">    31200.0030 - Subproyecto - 12.758,48€</t>
  </si>
  <si>
    <t xml:space="preserve">        624325.0030 (Operación) - 12.758,48€</t>
  </si>
  <si>
    <t xml:space="preserve">    31200.0030 - Subproyecto - 47.993,68€</t>
  </si>
  <si>
    <t xml:space="preserve">        624325.0030 (Operación) - 47.993,68€</t>
  </si>
  <si>
    <t>31200.0040 -  03 - Fabricación</t>
  </si>
  <si>
    <t>Sp-31200.0040</t>
  </si>
  <si>
    <t xml:space="preserve">    31200.0040 - Subproyecto - 46.262,93€</t>
  </si>
  <si>
    <t xml:space="preserve">        624326.0040 (Operación) - 46.262,93€</t>
  </si>
  <si>
    <t>31200.0050 -  03 - Fabricación</t>
  </si>
  <si>
    <t>Sp-31200.0050</t>
  </si>
  <si>
    <t xml:space="preserve">    31200.0050 - Subproyecto - 0,00€</t>
  </si>
  <si>
    <t xml:space="preserve">        66017 (Compra) - 0,00€</t>
  </si>
  <si>
    <t xml:space="preserve">    31200.0050 - Subproyecto - 19.352,30€</t>
  </si>
  <si>
    <t xml:space="preserve">        624327.0050 (Operación) - 19.352,30€</t>
  </si>
  <si>
    <t xml:space="preserve">    31200.0050 - Subproyecto - 22.061,36€</t>
  </si>
  <si>
    <t xml:space="preserve">        624327.0050 (Operación) - 22.061,36€</t>
  </si>
  <si>
    <t xml:space="preserve">        624327.0050 (Operación) - 0,00€</t>
  </si>
  <si>
    <t xml:space="preserve">    31200.0050 - Subproyecto - 1.425,00€</t>
  </si>
  <si>
    <t xml:space="preserve">        44072 (Recep OC) - 1.425,00€</t>
  </si>
  <si>
    <t xml:space="preserve">    31200.0050 - Subproyecto - 105,00€</t>
  </si>
  <si>
    <t xml:space="preserve">        44071 (Recep OC) - 105,00€</t>
  </si>
  <si>
    <t xml:space="preserve">    31200.0050 - Subproyecto - 49.475,35€</t>
  </si>
  <si>
    <t xml:space="preserve">        624327.0050 (Operación) - 49.475,35€</t>
  </si>
  <si>
    <t xml:space="preserve">    31200.0050 - Subproyecto - 856,25€</t>
  </si>
  <si>
    <t xml:space="preserve">        44041 (Recep OC) - 856,25€</t>
  </si>
  <si>
    <t xml:space="preserve">    31200.0050 - Subproyecto - 2.700,00€</t>
  </si>
  <si>
    <t xml:space="preserve">        66045 (Rec.Plan. OC) - 2.700,00€</t>
  </si>
  <si>
    <t xml:space="preserve">    31200.0050 - Subproyecto - 6.300,00€</t>
  </si>
  <si>
    <t xml:space="preserve">        66045 (Recep OC) - 6.300,00€</t>
  </si>
  <si>
    <t xml:space="preserve">    31200.0050 - Subproyecto - 9.000,00€</t>
  </si>
  <si>
    <t xml:space="preserve">        66045 (Recep OC) - 9.000,00€</t>
  </si>
  <si>
    <t xml:space="preserve">        66018 (Compra) - 0,00€</t>
  </si>
  <si>
    <t xml:space="preserve">    31200.0050 - Subproyecto - 285,00€</t>
  </si>
  <si>
    <t xml:space="preserve">        44052 (Recep OC) - 285,00€</t>
  </si>
  <si>
    <t>31200.0060 -  03 - Fabricación</t>
  </si>
  <si>
    <t>Sp-31200.0060</t>
  </si>
  <si>
    <t xml:space="preserve">    31200.0060 - Subproyecto - 1.980,00€</t>
  </si>
  <si>
    <t xml:space="preserve">        66026 (Recep OC) - 1.980,00€</t>
  </si>
  <si>
    <t xml:space="preserve">    31200.0060 - Subproyecto - 3.294,00€</t>
  </si>
  <si>
    <t xml:space="preserve">        66027 (Recep OC) - 3.294,00€</t>
  </si>
  <si>
    <t xml:space="preserve">    31200.0060 - Subproyecto - 1.985,44€</t>
  </si>
  <si>
    <t xml:space="preserve">        624328.0060 (Operación) - 1.985,44€</t>
  </si>
  <si>
    <t>31200.0070 -  03 - Fabricación</t>
  </si>
  <si>
    <t>Sp-31200.0070</t>
  </si>
  <si>
    <t xml:space="preserve">    31200.0070 - Subproyecto - 575,74€</t>
  </si>
  <si>
    <t xml:space="preserve">        624329.0070 (Operación) - 575,74€</t>
  </si>
  <si>
    <t xml:space="preserve">    31200.0070 - Subproyecto - 437,16€</t>
  </si>
  <si>
    <t xml:space="preserve">        624329.0070 (Operación) - 437,16€</t>
  </si>
  <si>
    <t xml:space="preserve">    31200.0070 - Subproyecto - 219,72€</t>
  </si>
  <si>
    <t xml:space="preserve">        624329.0070 (Operación) - 219,72€</t>
  </si>
  <si>
    <t xml:space="preserve">    31200.0070 - Subproyecto - 0,00€</t>
  </si>
  <si>
    <t xml:space="preserve">        66019 (Compra) - 0,00€</t>
  </si>
  <si>
    <t xml:space="preserve">        66020 (Compra) - 0,00€</t>
  </si>
  <si>
    <t xml:space="preserve">    31200.0070 - Subproyecto - 10.394,80€</t>
  </si>
  <si>
    <t xml:space="preserve">        66050 (Rec.Plan. OC) - 10.394,80€</t>
  </si>
  <si>
    <t>31200.0080 -  03 - Fabricación</t>
  </si>
  <si>
    <t>Sp-31200.0080</t>
  </si>
  <si>
    <t xml:space="preserve">    31200.0080 - Subproyecto - 3.168,00€</t>
  </si>
  <si>
    <t xml:space="preserve">        55000 (Recep OC) - 3.168,00€</t>
  </si>
  <si>
    <t xml:space="preserve">    31200.0080 - Subproyecto - 1.303,50€</t>
  </si>
  <si>
    <t xml:space="preserve">        55000 (Recep OC) - 1.303,50€</t>
  </si>
  <si>
    <t xml:space="preserve">    31200.0080 - Subproyecto - 25,00€</t>
  </si>
  <si>
    <t xml:space="preserve">        30991.00.419.000 (Estándar) - 25,00€</t>
  </si>
  <si>
    <t xml:space="preserve">    31200.0080 - Subproyecto - 33,60€</t>
  </si>
  <si>
    <t xml:space="preserve">    31200.0080 - Subproyecto - 3,78€</t>
  </si>
  <si>
    <t xml:space="preserve">    31200.0080 - Subproyecto - 0,00€</t>
  </si>
  <si>
    <t xml:space="preserve">        111306 (Estándar) - 0,00€</t>
  </si>
  <si>
    <t xml:space="preserve">        126225 (Compra) - 0,00€</t>
  </si>
  <si>
    <t xml:space="preserve">    31200.0080 - Subproyecto - 22,50€</t>
  </si>
  <si>
    <t xml:space="preserve">    31200.0080 - Subproyecto - 26,90€</t>
  </si>
  <si>
    <t xml:space="preserve">    31200.0080 - Subproyecto - 627,00€</t>
  </si>
  <si>
    <t xml:space="preserve">        55000 (Recep OC) - 627,00€</t>
  </si>
  <si>
    <t xml:space="preserve">    31200.0080 - Subproyecto - 1.732,50€</t>
  </si>
  <si>
    <t xml:space="preserve">        55000 (Recep OC) - 1.732,50€</t>
  </si>
  <si>
    <t xml:space="preserve">    31200.0080 - Subproyecto - 209.051,59€</t>
  </si>
  <si>
    <t xml:space="preserve">        634341.0080 (Operación) - 209.051,59€</t>
  </si>
  <si>
    <t xml:space="preserve">    31200.0080 - Subproyecto - 478,50€</t>
  </si>
  <si>
    <t xml:space="preserve">        55000 (Recep OC) - 478,50€</t>
  </si>
  <si>
    <t xml:space="preserve">    31200.0080 - Subproyecto - 1.402,50€</t>
  </si>
  <si>
    <t xml:space="preserve">        55000 (Recep OC) - 1.402,50€</t>
  </si>
  <si>
    <t xml:space="preserve">    31200.0080 - Subproyecto - 2.475,00€</t>
  </si>
  <si>
    <t xml:space="preserve">        55000 (Recep OC) - 2.475,00€</t>
  </si>
  <si>
    <t xml:space="preserve">    31200.0080 - Subproyecto - 5.164,50€</t>
  </si>
  <si>
    <t xml:space="preserve">        55000 (Recep OC) - 5.164,50€</t>
  </si>
  <si>
    <t>31200.0090 -  03 - Fabricación</t>
  </si>
  <si>
    <t>Sp-31200.0090</t>
  </si>
  <si>
    <t xml:space="preserve">    31200.0090 - Subproyecto - 18.005,06€</t>
  </si>
  <si>
    <t xml:space="preserve">        634342.0090 (Operación) - 18.005,06€</t>
  </si>
  <si>
    <t xml:space="preserve">    31200.0090 - Subproyecto - 3.694,55€</t>
  </si>
  <si>
    <t xml:space="preserve">        66015 (Recep OC) - 3.694,55€</t>
  </si>
  <si>
    <t>31200.0100 -  03 - Fabricación</t>
  </si>
  <si>
    <t>Sp-31200.0100</t>
  </si>
  <si>
    <t xml:space="preserve">    31200.0100 - Subproyecto - 13,00€</t>
  </si>
  <si>
    <t xml:space="preserve">        142078 (Estándar) - 13,00€</t>
  </si>
  <si>
    <t xml:space="preserve">    31200.0100 - Subproyecto - 80,00€</t>
  </si>
  <si>
    <t xml:space="preserve">        21001.00.901.030 (Estándar) - 80,00€</t>
  </si>
  <si>
    <t xml:space="preserve">    31200.0100 - Subproyecto - 60,00€</t>
  </si>
  <si>
    <t xml:space="preserve">        21001.00.901.029 (Estándar) - 60,00€</t>
  </si>
  <si>
    <t xml:space="preserve">    31200.0100 - Subproyecto - 55,00€</t>
  </si>
  <si>
    <t xml:space="preserve">        21001.00.901.028 (Estándar) - 55,00€</t>
  </si>
  <si>
    <t xml:space="preserve">    31200.0100 - Subproyecto - 2,28€</t>
  </si>
  <si>
    <t xml:space="preserve">        126192 (Estándar) - 2,28€</t>
  </si>
  <si>
    <t xml:space="preserve">    31200.0100 - Subproyecto - 2,61€</t>
  </si>
  <si>
    <t xml:space="preserve">        21020.00.201.201 (Estándar) - 2,61€</t>
  </si>
  <si>
    <t xml:space="preserve">    31200.0100 - Subproyecto - 13,60€</t>
  </si>
  <si>
    <t xml:space="preserve">        109064 (Estándar) - 13,60€</t>
  </si>
  <si>
    <t xml:space="preserve">    31200.0100 - Subproyecto - 6,44€</t>
  </si>
  <si>
    <t xml:space="preserve">        118970 (Estándar) - 6,44€</t>
  </si>
  <si>
    <t xml:space="preserve">    31200.0100 - Subproyecto - 9,90€</t>
  </si>
  <si>
    <t xml:space="preserve">        105978 (Estándar) - 9,90€</t>
  </si>
  <si>
    <t xml:space="preserve">    31200.0100 - Subproyecto - 1,44€</t>
  </si>
  <si>
    <t xml:space="preserve">        101376 (Estándar) - 1,44€</t>
  </si>
  <si>
    <t xml:space="preserve">    31200.0100 - Subproyecto - 3,60€</t>
  </si>
  <si>
    <t xml:space="preserve">        104815 (Estándar) - 3,60€</t>
  </si>
  <si>
    <t xml:space="preserve">        21001.00.901.027 (Estándar) - 80,00€</t>
  </si>
  <si>
    <t xml:space="preserve">    31200.0100 - Subproyecto - 12,31€</t>
  </si>
  <si>
    <t xml:space="preserve">        103152 (Estándar) - 12,31€</t>
  </si>
  <si>
    <t xml:space="preserve">    31200.0100 - Subproyecto - 12,23€</t>
  </si>
  <si>
    <t xml:space="preserve">        103147 (Estándar) - 12,23€</t>
  </si>
  <si>
    <t xml:space="preserve">    31200.0100 - Subproyecto - 42,50€</t>
  </si>
  <si>
    <t xml:space="preserve">        66069 (Recep OC) - 42,50€</t>
  </si>
  <si>
    <t xml:space="preserve">    31200.0100 - Subproyecto - 7,20€</t>
  </si>
  <si>
    <t xml:space="preserve">        132975 (Estándar) - 7,20€</t>
  </si>
  <si>
    <t xml:space="preserve">    31200.0100 - Subproyecto - 9,02€</t>
  </si>
  <si>
    <t xml:space="preserve">        66070 (Recep OC) - 9,02€</t>
  </si>
  <si>
    <t xml:space="preserve">    31200.0100 - Subproyecto - 5,53€</t>
  </si>
  <si>
    <t xml:space="preserve">        105101 (Estándar) - 5,53€</t>
  </si>
  <si>
    <t xml:space="preserve">    31200.0100 - Subproyecto - 0,50€</t>
  </si>
  <si>
    <t xml:space="preserve">        105246 (Estándar) - 0,50€</t>
  </si>
  <si>
    <t xml:space="preserve">    31200.0100 - Subproyecto - 0,45€</t>
  </si>
  <si>
    <t xml:space="preserve">        114404 (Estándar) - 0,45€</t>
  </si>
  <si>
    <t xml:space="preserve">    31200.0100 - Subproyecto - 7,90€</t>
  </si>
  <si>
    <t xml:space="preserve">        116375 (Estándar) - 7,90€</t>
  </si>
  <si>
    <t xml:space="preserve">    31200.0100 - Subproyecto - 0,18€</t>
  </si>
  <si>
    <t xml:space="preserve">        105202 (Estándar) - 0,18€</t>
  </si>
  <si>
    <t xml:space="preserve">    31200.0100 - Subproyecto - 4,87€</t>
  </si>
  <si>
    <t xml:space="preserve">        102804 (Estándar) - 4,87€</t>
  </si>
  <si>
    <t xml:space="preserve">    31200.0100 - Subproyecto - 12,00€</t>
  </si>
  <si>
    <t xml:space="preserve">        101608 (Estándar) - 12,00€</t>
  </si>
  <si>
    <t xml:space="preserve">    31200.0100 - Subproyecto - 11,60€</t>
  </si>
  <si>
    <t xml:space="preserve">        105098 (Estándar) - 11,60€</t>
  </si>
  <si>
    <t xml:space="preserve">    31200.0100 - Subproyecto - 19,75€</t>
  </si>
  <si>
    <t xml:space="preserve">        21020.01.403.040 (Estándar) - 19,75€</t>
  </si>
  <si>
    <t xml:space="preserve">    31200.0100 - Subproyecto - 34.933,00€</t>
  </si>
  <si>
    <t xml:space="preserve">        634343.0100 (Operación) - 34.933,00€</t>
  </si>
  <si>
    <t xml:space="preserve">    31200.0100 - Subproyecto - 238,48€</t>
  </si>
  <si>
    <t xml:space="preserve">        634343.0100 (Operación) - 238,48€</t>
  </si>
  <si>
    <t xml:space="preserve">    31200.0100 - Subproyecto - 12,45€</t>
  </si>
  <si>
    <t xml:space="preserve">        105311 (Estándar) - 12,45€</t>
  </si>
  <si>
    <t xml:space="preserve">    31200.0100 - Subproyecto - 3,96€</t>
  </si>
  <si>
    <t xml:space="preserve">        105977 (Estándar) - 3,96€</t>
  </si>
  <si>
    <t xml:space="preserve">    31200.0100 - Subproyecto - 0,39€</t>
  </si>
  <si>
    <t xml:space="preserve">        101458 (Estándar) - 0,39€</t>
  </si>
  <si>
    <t xml:space="preserve">    31200.0100 - Subproyecto - 283,52€</t>
  </si>
  <si>
    <t xml:space="preserve">        66043 (Recep OC) - 283,52€</t>
  </si>
  <si>
    <t xml:space="preserve">    31200.0100 - Subproyecto - 6,50€</t>
  </si>
  <si>
    <t xml:space="preserve">        132970 (Estándar) - 6,50€</t>
  </si>
  <si>
    <t xml:space="preserve">    31200.0100 - Subproyecto - 0,86€</t>
  </si>
  <si>
    <t xml:space="preserve">        101376 (Estándar) - 0,86€</t>
  </si>
  <si>
    <t xml:space="preserve">    31200.0100 - Subproyecto - 2,00€</t>
  </si>
  <si>
    <t xml:space="preserve">        133813 (Estándar) - 2,00€</t>
  </si>
  <si>
    <t xml:space="preserve">    31200.0100 - Subproyecto - 1,35€</t>
  </si>
  <si>
    <t xml:space="preserve">        142076 (Estándar) - 1,35€</t>
  </si>
  <si>
    <t xml:space="preserve">    31200.0100 - Subproyecto - 1,20€</t>
  </si>
  <si>
    <t xml:space="preserve">        132975 (Estándar) - 1,20€</t>
  </si>
  <si>
    <t xml:space="preserve">    31200.0100 - Subproyecto - 1,50€</t>
  </si>
  <si>
    <t xml:space="preserve">        131368 (Estándar) - 1,50€</t>
  </si>
  <si>
    <t xml:space="preserve">        101404 (Estándar) - 12,00€</t>
  </si>
  <si>
    <t xml:space="preserve">        105280 (Estándar) - 80,00€</t>
  </si>
  <si>
    <t xml:space="preserve">    31200.0100 - Subproyecto - 1,75€</t>
  </si>
  <si>
    <t xml:space="preserve">        134545 (Estándar) - 1,75€</t>
  </si>
  <si>
    <t xml:space="preserve">    31200.0100 - Subproyecto - 135,00€</t>
  </si>
  <si>
    <t xml:space="preserve">        105284 (Estándar) - 135,00€</t>
  </si>
  <si>
    <t xml:space="preserve">    31200.0100 - Subproyecto - 1.620,55€</t>
  </si>
  <si>
    <t xml:space="preserve">        66034 (Recep OC) - 1.620,55€</t>
  </si>
  <si>
    <t xml:space="preserve">    31200.0100 - Subproyecto - 637,90€</t>
  </si>
  <si>
    <t xml:space="preserve">        66035 (Recep OC) - 637,90€</t>
  </si>
  <si>
    <t xml:space="preserve">    31200.0100 - Subproyecto - 23,20€</t>
  </si>
  <si>
    <t xml:space="preserve">        66036 (Recep OC) - 23,20€</t>
  </si>
  <si>
    <t xml:space="preserve">    31200.0100 - Subproyecto - 141,60€</t>
  </si>
  <si>
    <t xml:space="preserve">        66041 (Recep OC) - 141,60€</t>
  </si>
  <si>
    <t xml:space="preserve">    31200.0100 - Subproyecto - 0,90€</t>
  </si>
  <si>
    <t xml:space="preserve">        104662 (Estándar) - 0,90€</t>
  </si>
  <si>
    <t xml:space="preserve">    31200.0100 - Subproyecto - 23,30€</t>
  </si>
  <si>
    <t xml:space="preserve">        103133 (Estándar) - 23,30€</t>
  </si>
  <si>
    <t>31200.0110 -  03 - Fabricación</t>
  </si>
  <si>
    <t>Sp-31200.0110</t>
  </si>
  <si>
    <t xml:space="preserve">    31200.0110 - Subproyecto - 0,00€</t>
  </si>
  <si>
    <t xml:space="preserve">        00E04-0-00 (Rec.Plan. OF) - 0,00€</t>
  </si>
  <si>
    <t xml:space="preserve">    31200.0110 - Subproyecto - 67,10€</t>
  </si>
  <si>
    <t xml:space="preserve">        99115 (Recep OC) - 67,10€</t>
  </si>
  <si>
    <t xml:space="preserve">    31200.0110 - Subproyecto - 377,64€</t>
  </si>
  <si>
    <t xml:space="preserve">        142909 (Recep OC) - 377,64€</t>
  </si>
  <si>
    <t xml:space="preserve">        04E02-1-00A (Rec.Plan. OF) - 0,00€</t>
  </si>
  <si>
    <t xml:space="preserve">    31200.0110 - Subproyecto - 0,33€</t>
  </si>
  <si>
    <t xml:space="preserve">        109118 (Estándar) - 0,33€</t>
  </si>
  <si>
    <t xml:space="preserve">        00E06-0-00A (Rec.Plan. OF) - 0,00€</t>
  </si>
  <si>
    <t xml:space="preserve">        00E03-0-00A (Rec.Plan. OF) - 0,00€</t>
  </si>
  <si>
    <t xml:space="preserve">        01E17-1-00A (Rec.Plan. OF) - 0,00€</t>
  </si>
  <si>
    <t xml:space="preserve">    31200.0110 - Subproyecto - 253,50€</t>
  </si>
  <si>
    <t xml:space="preserve">        139929 (Recep OC) - 253,50€</t>
  </si>
  <si>
    <t xml:space="preserve">    31200.0110 - Subproyecto - 507,00€</t>
  </si>
  <si>
    <t xml:space="preserve">        139929 (Recep OC) - 507,00€</t>
  </si>
  <si>
    <t xml:space="preserve">    31200.0110 - Subproyecto - 1.370,00€</t>
  </si>
  <si>
    <t xml:space="preserve">        99166 (Recep OC) - 1.370,00€</t>
  </si>
  <si>
    <t xml:space="preserve">        04E03-1-00 (Rec.Plan. OF) - 0,00€</t>
  </si>
  <si>
    <t xml:space="preserve">        109117 (Estándar) - 0,33€</t>
  </si>
  <si>
    <t xml:space="preserve">        00E09-0-00A (Rec.Plan. OF) - 0,00€</t>
  </si>
  <si>
    <t xml:space="preserve">        01E13-1-00A (Rec.Plan. OF) - 0,00€</t>
  </si>
  <si>
    <t xml:space="preserve">        00E21-1-00A (Rec.Plan. OF) - 0,00€</t>
  </si>
  <si>
    <t xml:space="preserve">        01E22-1-00A (Rec.Plan. OF) - 0,00€</t>
  </si>
  <si>
    <t xml:space="preserve">    31200.0110 - Subproyecto - 8.210,24€</t>
  </si>
  <si>
    <t xml:space="preserve">        634344.0110 (Operación) - 8.210,24€</t>
  </si>
  <si>
    <t xml:space="preserve">        01E27-1-00A (Rec.Plan. OF) - 0,00€</t>
  </si>
  <si>
    <t xml:space="preserve">    31200.0110 - Subproyecto - 29,00€</t>
  </si>
  <si>
    <t xml:space="preserve">        141433 (Estándar) - 29,00€</t>
  </si>
  <si>
    <t xml:space="preserve">    31200.0110 - Subproyecto - 29,50€</t>
  </si>
  <si>
    <t xml:space="preserve">        141319 (Estándar) - 29,50€</t>
  </si>
  <si>
    <t xml:space="preserve">        01E26-1-00A (Rec.Plan. OF) - 0,00€</t>
  </si>
  <si>
    <t xml:space="preserve">    31200.0110 - Subproyecto - 2.649,84€</t>
  </si>
  <si>
    <t xml:space="preserve">        66063 (Recep OC) - 2.649,84€</t>
  </si>
  <si>
    <t xml:space="preserve">        01E25-1-00 (Rec.Plan. OF) - 0,00€</t>
  </si>
  <si>
    <t xml:space="preserve">    31200.0110 - Subproyecto - 180,85€</t>
  </si>
  <si>
    <t xml:space="preserve">        110967 (Recep OC) - 180,85€</t>
  </si>
  <si>
    <t xml:space="preserve">    31200.0110 - Subproyecto - 62,32€</t>
  </si>
  <si>
    <t xml:space="preserve">        120948 (Recep OC) - 62,32€</t>
  </si>
  <si>
    <t xml:space="preserve">    31200.0110 - Subproyecto - 27,29€</t>
  </si>
  <si>
    <t xml:space="preserve">        141835 (Recep OC) - 27,29€</t>
  </si>
  <si>
    <t xml:space="preserve">    31200.0110 - Subproyecto - 133,93€</t>
  </si>
  <si>
    <t xml:space="preserve">        120945 (Recep OC) - 133,93€</t>
  </si>
  <si>
    <t xml:space="preserve">        01E24-1-00A (Rec.Plan. OF) - 0,00€</t>
  </si>
  <si>
    <t xml:space="preserve">        00E20-1-00A (Rec.Plan. OF) - 0,00€</t>
  </si>
  <si>
    <t xml:space="preserve">    31200.0110 - Subproyecto - 345,00€</t>
  </si>
  <si>
    <t xml:space="preserve">        140703 (Recep OC) - 345,00€</t>
  </si>
  <si>
    <t xml:space="preserve">    31200.0110 - Subproyecto - 1.303,70€</t>
  </si>
  <si>
    <t xml:space="preserve">        66029 (Recep OC) - 1.303,70€</t>
  </si>
  <si>
    <t xml:space="preserve">        01E00-0-00A (Rec.Plan. OF) - 0,00€</t>
  </si>
  <si>
    <t xml:space="preserve">        00N15-1-00A (Rec.Plan. OF) - 0,00€</t>
  </si>
  <si>
    <t xml:space="preserve">        01E02-1-00A (Rec.Plan. OF) - 0,00€</t>
  </si>
  <si>
    <t xml:space="preserve">        01E05-1-00A (Rec.Plan. OF) - 0,00€</t>
  </si>
  <si>
    <t xml:space="preserve">    31200.0110 - Subproyecto - 5.704,75€</t>
  </si>
  <si>
    <t xml:space="preserve">        66010 (Recep OC) - 5.704,75€</t>
  </si>
  <si>
    <t xml:space="preserve">        04E01-1-00 (Rec.Plan. OF) - 0,00€</t>
  </si>
  <si>
    <t xml:space="preserve">    31200.0110 - Subproyecto - 43,28€</t>
  </si>
  <si>
    <t xml:space="preserve">        101609 (Estándar) - 43,28€</t>
  </si>
  <si>
    <t xml:space="preserve">    31200.0110 - Subproyecto - 4.138,71€</t>
  </si>
  <si>
    <t xml:space="preserve">        66012 (Recep OC) - 4.138,71€</t>
  </si>
  <si>
    <t xml:space="preserve">        01E06-1-00A (Rec.Plan. OF) - 0,00€</t>
  </si>
  <si>
    <t xml:space="preserve">    31200.0110 - Subproyecto - 8.277,42€</t>
  </si>
  <si>
    <t xml:space="preserve">        66012 (Recep OC) - 8.277,42€</t>
  </si>
  <si>
    <t xml:space="preserve">    31200.0110 - Subproyecto - 2.069,36€</t>
  </si>
  <si>
    <t xml:space="preserve">        66012 (Recep OC) - 2.069,36€</t>
  </si>
  <si>
    <t xml:space="preserve">    31200.0110 - Subproyecto - 2.131,05€</t>
  </si>
  <si>
    <t xml:space="preserve">        66014 (Recep OC) - 2.131,05€</t>
  </si>
  <si>
    <t xml:space="preserve">    31200.0110 - Subproyecto - 4.262,10€</t>
  </si>
  <si>
    <t xml:space="preserve">        66014 (Recep OC) - 4.262,10€</t>
  </si>
  <si>
    <t xml:space="preserve">    31200.0110 - Subproyecto - 1.065,53€</t>
  </si>
  <si>
    <t xml:space="preserve">        66014 (Recep OC) - 1.065,53€</t>
  </si>
  <si>
    <t xml:space="preserve">    31200.0110 - Subproyecto - 194,27€</t>
  </si>
  <si>
    <t xml:space="preserve">            141329 (Recep OC) - 194,27€</t>
  </si>
  <si>
    <t xml:space="preserve">    31200.0110 - Subproyecto - 0,45€</t>
  </si>
  <si>
    <t xml:space="preserve">            105416 (Estándar) - 0,45€</t>
  </si>
  <si>
    <t xml:space="preserve">    31200.0110 - Subproyecto - 0,15€</t>
  </si>
  <si>
    <t xml:space="preserve">            105415 (Estándar) - 0,15€</t>
  </si>
  <si>
    <t xml:space="preserve">    31200.0110 - Subproyecto - 13,36€</t>
  </si>
  <si>
    <t xml:space="preserve">            126030 (Estándar) - 13,36€</t>
  </si>
  <si>
    <t xml:space="preserve">    31200.0110 - Subproyecto - 9,78€</t>
  </si>
  <si>
    <t xml:space="preserve">            103125 (Estándar) - 9,78€</t>
  </si>
  <si>
    <t xml:space="preserve">    31200.0110 - Subproyecto - 0,50€</t>
  </si>
  <si>
    <t xml:space="preserve">            131368 (Estándar) - 0,50€</t>
  </si>
  <si>
    <t xml:space="preserve">            128165 (Estándar) - 0,00€</t>
  </si>
  <si>
    <t xml:space="preserve">    31200.0110 - Subproyecto - 0,75€</t>
  </si>
  <si>
    <t xml:space="preserve">            128165 (Estándar) - 0,75€</t>
  </si>
  <si>
    <t xml:space="preserve">            142076 (Estándar) - 0,45€</t>
  </si>
  <si>
    <t xml:space="preserve">    31200.0110 - Subproyecto - 634,58€</t>
  </si>
  <si>
    <t xml:space="preserve">            141727 (Recep OC) - 634,58€</t>
  </si>
  <si>
    <t xml:space="preserve">    31200.0110 - Subproyecto - 0,40€</t>
  </si>
  <si>
    <t xml:space="preserve">            132975 (Estándar) - 0,40€</t>
  </si>
  <si>
    <t xml:space="preserve">    31200.0110 - Subproyecto - 1,70€</t>
  </si>
  <si>
    <t xml:space="preserve">            104884 (Estándar) - 1,70€</t>
  </si>
  <si>
    <t xml:space="preserve">    31200.0110 - Subproyecto - 1.586,44€</t>
  </si>
  <si>
    <t xml:space="preserve">            141727 (Recep OC) - 1.586,44€</t>
  </si>
  <si>
    <t xml:space="preserve">    31200.0110 - Subproyecto - 77,90€</t>
  </si>
  <si>
    <t xml:space="preserve">            120948 (Estándar) - 77,90€</t>
  </si>
  <si>
    <t xml:space="preserve">    31200.0110 - Subproyecto - 314,58€</t>
  </si>
  <si>
    <t xml:space="preserve">            141728 (Transfer. Stock) - 314,58€</t>
  </si>
  <si>
    <t xml:space="preserve">    31200.0110 - Subproyecto - 6.292,00€</t>
  </si>
  <si>
    <t xml:space="preserve">            99014 (Recep OC) - 6.292,00€</t>
  </si>
  <si>
    <t xml:space="preserve">    31200.0110 - Subproyecto - 90,81€</t>
  </si>
  <si>
    <t xml:space="preserve">            141728 (Recep OC) - 90,81€</t>
  </si>
  <si>
    <t xml:space="preserve">    31200.0110 - Subproyecto - 28,60€</t>
  </si>
  <si>
    <t xml:space="preserve">            141728 (Transfer. Stock) - 28,60€</t>
  </si>
  <si>
    <t xml:space="preserve">    31200.0110 - Subproyecto - 3,84€</t>
  </si>
  <si>
    <t xml:space="preserve">            21020.00.401.430 (Estándar) - 3,84€</t>
  </si>
  <si>
    <t xml:space="preserve">            21020.00.401.430 (Estándar) - 0,00€</t>
  </si>
  <si>
    <t xml:space="preserve">            132972 (Estándar) - 0,00€</t>
  </si>
  <si>
    <t xml:space="preserve">    31200.0110 - Subproyecto - 23,58€</t>
  </si>
  <si>
    <t xml:space="preserve">            111610 (Recep OC) - 23,58€</t>
  </si>
  <si>
    <t xml:space="preserve">    31200.0110 - Subproyecto - 18,29€</t>
  </si>
  <si>
    <t xml:space="preserve">            122379 (Recep OC) - 18,29€</t>
  </si>
  <si>
    <t xml:space="preserve">    31200.0110 - Subproyecto - 1,36€</t>
  </si>
  <si>
    <t xml:space="preserve">            122390 (Recep OC) - 1,36€</t>
  </si>
  <si>
    <t xml:space="preserve">    31200.0110 - Subproyecto - 6,06€</t>
  </si>
  <si>
    <t xml:space="preserve">            122394 (Recep OC) - 6,06€</t>
  </si>
  <si>
    <t xml:space="preserve">    31200.0110 - Subproyecto - 26,23€</t>
  </si>
  <si>
    <t xml:space="preserve">            128808 (Recep OC) - 26,23€</t>
  </si>
  <si>
    <t xml:space="preserve">    31200.0110 - Subproyecto - 53,10€</t>
  </si>
  <si>
    <t xml:space="preserve">            104229 (Estándar) - 53,10€</t>
  </si>
  <si>
    <t xml:space="preserve">    31200.0110 - Subproyecto - 25,80€</t>
  </si>
  <si>
    <t xml:space="preserve">            116471 (Estándar) - 25,80€</t>
  </si>
  <si>
    <t xml:space="preserve">            21020.00.402.020 (Estándar) - 0,00€</t>
  </si>
  <si>
    <t xml:space="preserve">    31200.0110 - Subproyecto - 21,19€</t>
  </si>
  <si>
    <t xml:space="preserve">            21020.00.401.420 (Estándar) - 21,19€</t>
  </si>
  <si>
    <t xml:space="preserve">    31200.0110 - Subproyecto - 1,60€</t>
  </si>
  <si>
    <t xml:space="preserve">            21020.00.401.430 (Estándar) - 1,60€</t>
  </si>
  <si>
    <t xml:space="preserve">    31200.0110 - Subproyecto - 6,86€</t>
  </si>
  <si>
    <t xml:space="preserve">            21020.00.401.810 (Estándar) - 6,86€</t>
  </si>
  <si>
    <t xml:space="preserve">    31200.0110 - Subproyecto - 0,35€</t>
  </si>
  <si>
    <t xml:space="preserve">            105422 (Estándar) - 0,35€</t>
  </si>
  <si>
    <t xml:space="preserve">            117360 (Estándar) - 0,00€</t>
  </si>
  <si>
    <t xml:space="preserve">    31200.0110 - Subproyecto - 4,70€</t>
  </si>
  <si>
    <t xml:space="preserve">            117356 (Estándar) - 4,70€</t>
  </si>
  <si>
    <t xml:space="preserve">    31200.0110 - Subproyecto - 5,19€</t>
  </si>
  <si>
    <t xml:space="preserve">            104149 (Estándar) - 5,19€</t>
  </si>
  <si>
    <t xml:space="preserve">    31200.0110 - Subproyecto - 4,95€</t>
  </si>
  <si>
    <t xml:space="preserve">            104283 (Estándar) - 4,95€</t>
  </si>
  <si>
    <t xml:space="preserve">    31200.0110 - Subproyecto - 2,88€</t>
  </si>
  <si>
    <t xml:space="preserve">            123185 (Estándar) - 2,88€</t>
  </si>
  <si>
    <t xml:space="preserve">    31200.0110 - Subproyecto - 10,38€</t>
  </si>
  <si>
    <t xml:space="preserve">            104149 (Estándar) - 10,38€</t>
  </si>
  <si>
    <t xml:space="preserve">    31200.0110 - Subproyecto - 51,60€</t>
  </si>
  <si>
    <t xml:space="preserve">            116471 (Estándar) - 51,60€</t>
  </si>
  <si>
    <t xml:space="preserve">    31200.0110 - Subproyecto - 11,85€</t>
  </si>
  <si>
    <t xml:space="preserve">            21020.01.403.040 (Estándar) - 11,85€</t>
  </si>
  <si>
    <t xml:space="preserve">    31200.0110 - Subproyecto - 13,65€</t>
  </si>
  <si>
    <t xml:space="preserve">            138466 (Estándar) - 13,65€</t>
  </si>
  <si>
    <t xml:space="preserve">    31200.0110 - Subproyecto - 8,93€</t>
  </si>
  <si>
    <t xml:space="preserve">            138467 (Estándar) - 8,93€</t>
  </si>
  <si>
    <t xml:space="preserve">    31200.0110 - Subproyecto - 7,90€</t>
  </si>
  <si>
    <t xml:space="preserve">            21020.01.403.040 (Estándar) - 7,90€</t>
  </si>
  <si>
    <t xml:space="preserve">            125212 (Estándar) - 0,00€</t>
  </si>
  <si>
    <t xml:space="preserve">    31200.0110 - Subproyecto - 6,13€</t>
  </si>
  <si>
    <t xml:space="preserve">            100749 (Estándar) - 6,13€</t>
  </si>
  <si>
    <t xml:space="preserve">    31200.0110 - Subproyecto - 15,24€</t>
  </si>
  <si>
    <t xml:space="preserve">            104226 (Estándar) - 15,24€</t>
  </si>
  <si>
    <t xml:space="preserve">    31200.0110 - Subproyecto - 3,49€</t>
  </si>
  <si>
    <t xml:space="preserve">            117349 (Estándar) - 3,49€</t>
  </si>
  <si>
    <t xml:space="preserve">    31200.0110 - Subproyecto - 1,75€</t>
  </si>
  <si>
    <t xml:space="preserve">            104188 (Estándar) - 1,75€</t>
  </si>
  <si>
    <t xml:space="preserve">    31200.0110 - Subproyecto - 35,07€</t>
  </si>
  <si>
    <t xml:space="preserve">            139609 (Transfer. Stock) - 35,07€</t>
  </si>
  <si>
    <t xml:space="preserve">            116472 (Estándar) - 28,60€</t>
  </si>
  <si>
    <t xml:space="preserve">    31200.0110 - Subproyecto - 31,86€</t>
  </si>
  <si>
    <t xml:space="preserve">            102806 (Estándar) - 31,86€</t>
  </si>
  <si>
    <t xml:space="preserve">    31200.0110 - Subproyecto - 44,08€</t>
  </si>
  <si>
    <t xml:space="preserve">            141045 (Estándar) - 44,08€</t>
  </si>
  <si>
    <t xml:space="preserve">    31200.0110 - Subproyecto - 7,12€</t>
  </si>
  <si>
    <t xml:space="preserve">            104292 (Estándar) - 7,12€</t>
  </si>
  <si>
    <t xml:space="preserve">    31200.0110 - Subproyecto - 1,80€</t>
  </si>
  <si>
    <t xml:space="preserve">            141049 (Estándar) - 1,80€</t>
  </si>
  <si>
    <t xml:space="preserve">    31200.0110 - Subproyecto - 33,00€</t>
  </si>
  <si>
    <t xml:space="preserve">            116240 (Estándar) - 33,00€</t>
  </si>
  <si>
    <t xml:space="preserve">    31200.0110 - Subproyecto - 33,36€</t>
  </si>
  <si>
    <t xml:space="preserve">            140276 (Recep OC) - 33,36€</t>
  </si>
  <si>
    <t xml:space="preserve">    31200.0110 - Subproyecto - 32,41€</t>
  </si>
  <si>
    <t xml:space="preserve">            142314 (Transfer. Stock) - 32,41€</t>
  </si>
  <si>
    <t xml:space="preserve">    31200.0110 - Subproyecto - 65,25€</t>
  </si>
  <si>
    <t xml:space="preserve">            140752 (Recep OC) - 65,25€</t>
  </si>
  <si>
    <t xml:space="preserve">    31200.0110 - Subproyecto - 1.573,00€</t>
  </si>
  <si>
    <t xml:space="preserve">            145013 (Recep OC) - 1.573,00€</t>
  </si>
  <si>
    <t xml:space="preserve">    31200.0110 - Subproyecto - 110,42€</t>
  </si>
  <si>
    <t xml:space="preserve">            142149 (Recep OC) - 110,42€</t>
  </si>
  <si>
    <t xml:space="preserve">    31200.0110 - Subproyecto - 27,59€</t>
  </si>
  <si>
    <t xml:space="preserve">            142150 (Recep OC) - 27,59€</t>
  </si>
  <si>
    <t xml:space="preserve">    31200.0110 - Subproyecto - 38,34€</t>
  </si>
  <si>
    <t xml:space="preserve">            145337 (Recep OC) - 38,34€</t>
  </si>
  <si>
    <t xml:space="preserve">    31200.0110 - Subproyecto - 63,90€</t>
  </si>
  <si>
    <t xml:space="preserve">            145338 (Recep OC) - 63,90€</t>
  </si>
  <si>
    <t xml:space="preserve">    31200.0110 - Subproyecto - 19,89€</t>
  </si>
  <si>
    <t xml:space="preserve">            99149 (Recep OC) - 19,89€</t>
  </si>
  <si>
    <t xml:space="preserve">    31200.0110 - Subproyecto - 23,34€</t>
  </si>
  <si>
    <t xml:space="preserve">            119770 (Recep OC) - 23,34€</t>
  </si>
  <si>
    <t xml:space="preserve">    31200.0110 - Subproyecto - 13,55€</t>
  </si>
  <si>
    <t xml:space="preserve">            122390 (Recep OC) - 13,55€</t>
  </si>
  <si>
    <t xml:space="preserve">    31200.0110 - Subproyecto - 18,93€</t>
  </si>
  <si>
    <t xml:space="preserve">            140216 (Recep OC) - 18,93€</t>
  </si>
  <si>
    <t xml:space="preserve">    31200.0110 - Subproyecto - 49,14€</t>
  </si>
  <si>
    <t xml:space="preserve">            144814 (Recep OC) - 49,14€</t>
  </si>
  <si>
    <t xml:space="preserve">    31200.0110 - Subproyecto - 12,58€</t>
  </si>
  <si>
    <t xml:space="preserve">            99039 (Recep OC) - 12,58€</t>
  </si>
  <si>
    <t xml:space="preserve">    31200.0110 - Subproyecto - 14,22€</t>
  </si>
  <si>
    <t xml:space="preserve">            99167 (Recep OC) - 14,22€</t>
  </si>
  <si>
    <t xml:space="preserve">    31200.0110 - Subproyecto - 182,27€</t>
  </si>
  <si>
    <t xml:space="preserve">            145974 (Recep OC) - 182,27€</t>
  </si>
  <si>
    <t xml:space="preserve">    31200.0110 - Subproyecto - 100,80€</t>
  </si>
  <si>
    <t xml:space="preserve">            120613 (Recep OC) - 100,80€</t>
  </si>
  <si>
    <t xml:space="preserve">    31200.0110 - Subproyecto - 122,82€</t>
  </si>
  <si>
    <t xml:space="preserve">            140194 (Recep OC) - 122,82€</t>
  </si>
  <si>
    <t xml:space="preserve">    31200.0110 - Subproyecto - 28,45€</t>
  </si>
  <si>
    <t xml:space="preserve">            99167 (Recep OC) - 28,45€</t>
  </si>
  <si>
    <t xml:space="preserve">    31200.0110 - Subproyecto - 475,94€</t>
  </si>
  <si>
    <t xml:space="preserve">            141727 (Recep OC) - 475,94€</t>
  </si>
  <si>
    <t xml:space="preserve">    31200.0110 - Subproyecto - 3.222,45€</t>
  </si>
  <si>
    <t xml:space="preserve">            145060 (Recep OC) - 3.222,45€</t>
  </si>
  <si>
    <t xml:space="preserve">    31200.0110 - Subproyecto - 264,15€</t>
  </si>
  <si>
    <t xml:space="preserve">            99202 (Recep OC) - 264,15€</t>
  </si>
  <si>
    <t xml:space="preserve">    31200.0110 - Subproyecto - 25,53€</t>
  </si>
  <si>
    <t xml:space="preserve">            112381 (Recep OC) - 25,53€</t>
  </si>
  <si>
    <t xml:space="preserve">    31200.0110 - Subproyecto - 8,39€</t>
  </si>
  <si>
    <t xml:space="preserve">            106918 (Recep OC) - 8,39€</t>
  </si>
  <si>
    <t xml:space="preserve">    31200.0110 - Subproyecto - 78,54€</t>
  </si>
  <si>
    <t xml:space="preserve">            141286 (Recep OC) - 78,54€</t>
  </si>
  <si>
    <t xml:space="preserve">    31200.0110 - Subproyecto - 38,16€</t>
  </si>
  <si>
    <t xml:space="preserve">            136290 (Recep OC) - 38,16€</t>
  </si>
  <si>
    <t xml:space="preserve">    31200.0110 - Subproyecto - 16,35€</t>
  </si>
  <si>
    <t xml:space="preserve">            136289 (Recep OC) - 16,35€</t>
  </si>
  <si>
    <t xml:space="preserve">    31200.0110 - Subproyecto - 212,66€</t>
  </si>
  <si>
    <t xml:space="preserve">            144387 (Recep OC) - 212,66€</t>
  </si>
  <si>
    <t xml:space="preserve">            21020.00.401.440 (Estándar) - 6,86€</t>
  </si>
  <si>
    <t xml:space="preserve">    31200.0110 - Subproyecto - 47,07€</t>
  </si>
  <si>
    <t xml:space="preserve">            144238 (Recep OC) - 47,07€</t>
  </si>
  <si>
    <t xml:space="preserve">    31200.0110 - Subproyecto - 43,20€</t>
  </si>
  <si>
    <t xml:space="preserve">            120612 (Recep OC) - 43,20€</t>
  </si>
  <si>
    <t xml:space="preserve">    31200.0110 - Subproyecto - 304,08€</t>
  </si>
  <si>
    <t xml:space="preserve">            111037 (Recep OC) - 304,08€</t>
  </si>
  <si>
    <t xml:space="preserve">    31200.0110 - Subproyecto - 17,01€</t>
  </si>
  <si>
    <t xml:space="preserve">            140753 (Recep OC) - 17,01€</t>
  </si>
  <si>
    <t xml:space="preserve">    31200.0110 - Subproyecto - 1,83€</t>
  </si>
  <si>
    <t xml:space="preserve">            141614 (Transfer. Stock) - 1,83€</t>
  </si>
  <si>
    <t xml:space="preserve">    31200.0110 - Subproyecto - 4,34€</t>
  </si>
  <si>
    <t xml:space="preserve">            141620 (Recep OC) - 4,34€</t>
  </si>
  <si>
    <t xml:space="preserve">    31200.0110 - Subproyecto - 35,13€</t>
  </si>
  <si>
    <t xml:space="preserve">            141685 (Recep OC) - 35,13€</t>
  </si>
  <si>
    <t xml:space="preserve">    31200.0110 - Subproyecto - 55,71€</t>
  </si>
  <si>
    <t xml:space="preserve">            141722 (Recep OC) - 55,71€</t>
  </si>
  <si>
    <t xml:space="preserve">    31200.0110 - Subproyecto - 93,15€</t>
  </si>
  <si>
    <t xml:space="preserve">            141984 (Recep OC) - 93,15€</t>
  </si>
  <si>
    <t xml:space="preserve">    31200.0110 - Subproyecto - 25,02€</t>
  </si>
  <si>
    <t xml:space="preserve">            142247 (Recep OC) - 25,02€</t>
  </si>
  <si>
    <t xml:space="preserve">    31200.0110 - Subproyecto - 13,59€</t>
  </si>
  <si>
    <t xml:space="preserve">            142333 (Transfer. Stock) - 13,59€</t>
  </si>
  <si>
    <t xml:space="preserve">    31200.0110 - Subproyecto - 37,78€</t>
  </si>
  <si>
    <t xml:space="preserve">            142510 (Recep OC) - 37,78€</t>
  </si>
  <si>
    <t xml:space="preserve">    31200.0110 - Subproyecto - 4,20€</t>
  </si>
  <si>
    <t xml:space="preserve">            142592 (Recep OC) - 4,20€</t>
  </si>
  <si>
    <t xml:space="preserve">    31200.0110 - Subproyecto - 289,99€</t>
  </si>
  <si>
    <t xml:space="preserve">            143030 (Transfer. Stock) - 289,99€</t>
  </si>
  <si>
    <t xml:space="preserve">    31200.0110 - Subproyecto - 7,84€</t>
  </si>
  <si>
    <t xml:space="preserve">            144327 (Recep OC) - 7,84€</t>
  </si>
  <si>
    <t xml:space="preserve">    31200.0110 - Subproyecto - 72,90€</t>
  </si>
  <si>
    <t xml:space="preserve">            144383 (Recep OC) - 72,90€</t>
  </si>
  <si>
    <t xml:space="preserve">    31200.0110 - Subproyecto - 364,50€</t>
  </si>
  <si>
    <t xml:space="preserve">            144566 (Recep OC) - 364,50€</t>
  </si>
  <si>
    <t xml:space="preserve">            144567 (Recep OC) - 19,89€</t>
  </si>
  <si>
    <t xml:space="preserve">    31200.0110 - Subproyecto - 173,70€</t>
  </si>
  <si>
    <t xml:space="preserve">            144953 (Recep OC) - 173,70€</t>
  </si>
  <si>
    <t xml:space="preserve">    31200.0110 - Subproyecto - 4.833,68€</t>
  </si>
  <si>
    <t xml:space="preserve">            145060 (Recep OC) - 4.833,68€</t>
  </si>
  <si>
    <t xml:space="preserve">    31200.0110 - Subproyecto - 10.690,35€</t>
  </si>
  <si>
    <t xml:space="preserve">            145294 (Recep OC) - 10.690,35€</t>
  </si>
  <si>
    <t xml:space="preserve">    31200.0110 - Subproyecto - 4,51€</t>
  </si>
  <si>
    <t xml:space="preserve">            145339 (Recep OC) - 4,51€</t>
  </si>
  <si>
    <t xml:space="preserve">    31200.0110 - Subproyecto - 18,37€</t>
  </si>
  <si>
    <t xml:space="preserve">            138808 (Recep OC) - 18,37€</t>
  </si>
  <si>
    <t xml:space="preserve">            99037 (Recep OC) - 0,00€</t>
  </si>
  <si>
    <t xml:space="preserve">    31200.0110 - Subproyecto - 15,08€</t>
  </si>
  <si>
    <t xml:space="preserve">            99038 (Recep OC) - 15,08€</t>
  </si>
  <si>
    <t xml:space="preserve">    31200.0110 - Subproyecto - 93,28€</t>
  </si>
  <si>
    <t xml:space="preserve">            102087 (Recep OC) - 93,28€</t>
  </si>
  <si>
    <t xml:space="preserve">    31200.0110 - Subproyecto - 100,45€</t>
  </si>
  <si>
    <t xml:space="preserve">            102087 (Recep OC) - 100,45€</t>
  </si>
  <si>
    <t xml:space="preserve">    31200.0110 - Subproyecto - 21,53€</t>
  </si>
  <si>
    <t xml:space="preserve">            102087 (Recep OC) - 21,53€</t>
  </si>
  <si>
    <t xml:space="preserve">    31200.0110 - Subproyecto - 189,46€</t>
  </si>
  <si>
    <t xml:space="preserve">            110851 (Recep OC) - 189,46€</t>
  </si>
  <si>
    <t xml:space="preserve">    31200.0110 - Subproyecto - 121,07€</t>
  </si>
  <si>
    <t xml:space="preserve">            110866 (Recep OC) - 121,07€</t>
  </si>
  <si>
    <t xml:space="preserve">    31200.0110 - Subproyecto - 158,32€</t>
  </si>
  <si>
    <t xml:space="preserve">            110866 (Recep OC) - 158,32€</t>
  </si>
  <si>
    <t xml:space="preserve">    31200.0110 - Subproyecto - 19,12€</t>
  </si>
  <si>
    <t xml:space="preserve">            140472 (Recep OC) - 19,12€</t>
  </si>
  <si>
    <t xml:space="preserve">    31200.0110 - Subproyecto - 27,30€</t>
  </si>
  <si>
    <t xml:space="preserve">            138466 (Estándar) - 27,30€</t>
  </si>
  <si>
    <t xml:space="preserve">    31200.0110 - Subproyecto - 3.292,20€</t>
  </si>
  <si>
    <t xml:space="preserve">            99036 (Recep OC) - 3.292,20€</t>
  </si>
  <si>
    <t xml:space="preserve">    31200.0110 - Subproyecto - 66,12€</t>
  </si>
  <si>
    <t xml:space="preserve">            141045 (Estándar) - 66,12€</t>
  </si>
  <si>
    <t xml:space="preserve">    31200.0110 - Subproyecto - 144,00€</t>
  </si>
  <si>
    <t xml:space="preserve">            120613 (Recep OC) - 144,00€</t>
  </si>
  <si>
    <t xml:space="preserve">    31200.0110 - Subproyecto - 158,40€</t>
  </si>
  <si>
    <t xml:space="preserve">            123070 (Recep OC) - 158,40€</t>
  </si>
  <si>
    <t xml:space="preserve">    31200.0110 - Subproyecto - 776,88€</t>
  </si>
  <si>
    <t xml:space="preserve">            123497 (Recep OC) - 776,88€</t>
  </si>
  <si>
    <t xml:space="preserve">    31200.0110 - Subproyecto - 172,08€</t>
  </si>
  <si>
    <t xml:space="preserve">            123931 (Recep OC) - 172,08€</t>
  </si>
  <si>
    <t xml:space="preserve">    31200.0110 - Subproyecto - 51,38€</t>
  </si>
  <si>
    <t xml:space="preserve">            124155 (Recep OC) - 51,38€</t>
  </si>
  <si>
    <t xml:space="preserve">    31200.0110 - Subproyecto - 30,98€</t>
  </si>
  <si>
    <t xml:space="preserve">            124268 (Recep OC) - 30,98€</t>
  </si>
  <si>
    <t xml:space="preserve">    31200.0110 - Subproyecto - 28,16€</t>
  </si>
  <si>
    <t xml:space="preserve">            124268 (Recep OC) - 28,16€</t>
  </si>
  <si>
    <t xml:space="preserve">    31200.0110 - Subproyecto - 25,35€</t>
  </si>
  <si>
    <t xml:space="preserve">            124268 (Recep OC) - 25,35€</t>
  </si>
  <si>
    <t xml:space="preserve">    31200.0110 - Subproyecto - 14,59€</t>
  </si>
  <si>
    <t xml:space="preserve">            129094 (Recep OC) - 14,59€</t>
  </si>
  <si>
    <t xml:space="preserve">    31200.0110 - Subproyecto - 27,04€</t>
  </si>
  <si>
    <t xml:space="preserve">            129452 (Recep OC) - 27,04€</t>
  </si>
  <si>
    <t xml:space="preserve">    31200.0110 - Subproyecto - 457,80€</t>
  </si>
  <si>
    <t xml:space="preserve">            132456 (Recep OC) - 457,80€</t>
  </si>
  <si>
    <t xml:space="preserve">    31200.0110 - Subproyecto - 57,23€</t>
  </si>
  <si>
    <t xml:space="preserve">            132456 (Transfer. Stock) - 57,23€</t>
  </si>
  <si>
    <t xml:space="preserve">    31200.0110 - Subproyecto - 205,68€</t>
  </si>
  <si>
    <t xml:space="preserve">            132459 (Recep OC) - 205,68€</t>
  </si>
  <si>
    <t xml:space="preserve">    31200.0110 - Subproyecto - 457,12€</t>
  </si>
  <si>
    <t xml:space="preserve">            132521 (Recep OC) - 457,12€</t>
  </si>
  <si>
    <t xml:space="preserve">    31200.0110 - Subproyecto - 436,13€</t>
  </si>
  <si>
    <t xml:space="preserve">            136289 (Recep OC) - 436,13€</t>
  </si>
  <si>
    <t xml:space="preserve">    31200.0110 - Subproyecto - 218,06€</t>
  </si>
  <si>
    <t xml:space="preserve">            136290 (Recep OC) - 218,06€</t>
  </si>
  <si>
    <t xml:space="preserve">    31200.0110 - Subproyecto - 65,20€</t>
  </si>
  <si>
    <t xml:space="preserve">            137459 (Recep OC) - 65,20€</t>
  </si>
  <si>
    <t xml:space="preserve">    31200.0110 - Subproyecto - 42,24€</t>
  </si>
  <si>
    <t xml:space="preserve">            137500 (Recep OC) - 42,24€</t>
  </si>
  <si>
    <t xml:space="preserve">    31200.0110 - Subproyecto - 399,66€</t>
  </si>
  <si>
    <t xml:space="preserve">            137574 (Recep OC) - 399,66€</t>
  </si>
  <si>
    <t xml:space="preserve">    31200.0110 - Subproyecto - 101,40€</t>
  </si>
  <si>
    <t xml:space="preserve">            138598 (Recep OC) - 101,40€</t>
  </si>
  <si>
    <t xml:space="preserve">    31200.0110 - Subproyecto - 146,40€</t>
  </si>
  <si>
    <t xml:space="preserve">            138599 (Recep OC) - 146,40€</t>
  </si>
  <si>
    <t xml:space="preserve">    31200.0110 - Subproyecto - 38,05€</t>
  </si>
  <si>
    <t xml:space="preserve">            138978 (Recep OC) - 38,05€</t>
  </si>
  <si>
    <t xml:space="preserve">    31200.0110 - Subproyecto - 378,22€</t>
  </si>
  <si>
    <t xml:space="preserve">            138979 (Recep OC) - 378,22€</t>
  </si>
  <si>
    <t xml:space="preserve">    31200.0110 - Subproyecto - 70,02€</t>
  </si>
  <si>
    <t xml:space="preserve">            140216 (Recep OC) - 70,02€</t>
  </si>
  <si>
    <t xml:space="preserve">    31200.0110 - Subproyecto - 186,72€</t>
  </si>
  <si>
    <t xml:space="preserve">            119770 (Recep OC) - 186,72€</t>
  </si>
  <si>
    <t xml:space="preserve">    31200.0110 - Subproyecto - 115,56€</t>
  </si>
  <si>
    <t xml:space="preserve">            113394 (Recep OC) - 115,56€</t>
  </si>
  <si>
    <t xml:space="preserve">    31200.0110 - Subproyecto - 302,54€</t>
  </si>
  <si>
    <t xml:space="preserve">            112944 (Recep OC) - 302,54€</t>
  </si>
  <si>
    <t xml:space="preserve">    31200.0110 - Subproyecto - 4,50€</t>
  </si>
  <si>
    <t xml:space="preserve">            141049 (Estándar) - 4,50€</t>
  </si>
  <si>
    <t xml:space="preserve">            101263 (Estándar) - 0,00€</t>
  </si>
  <si>
    <t xml:space="preserve">    31200.0110 - Subproyecto - 1.563,25€</t>
  </si>
  <si>
    <t xml:space="preserve">            127249 (Recep OC) - 1.563,25€</t>
  </si>
  <si>
    <t xml:space="preserve">    31200.0110 - Subproyecto - 392,48€</t>
  </si>
  <si>
    <t xml:space="preserve">            142355 (Recep OC) - 392,48€</t>
  </si>
  <si>
    <t xml:space="preserve">    31200.0110 - Subproyecto - 196,24€</t>
  </si>
  <si>
    <t xml:space="preserve">            142355 (Recep OC) - 196,24€</t>
  </si>
  <si>
    <t xml:space="preserve">    31200.0110 - Subproyecto - 3.574,08€</t>
  </si>
  <si>
    <t xml:space="preserve">            142356 (Recep OC) - 3.574,08€</t>
  </si>
  <si>
    <t xml:space="preserve">    31200.0110 - Subproyecto - 198,99€</t>
  </si>
  <si>
    <t xml:space="preserve">            142908 (Recep OC) - 198,99€</t>
  </si>
  <si>
    <t xml:space="preserve">    31200.0110 - Subproyecto - 3.870,81€</t>
  </si>
  <si>
    <t xml:space="preserve">            142909 (Recep OC) - 3.870,81€</t>
  </si>
  <si>
    <t xml:space="preserve">    31200.0110 - Subproyecto - 7.849,92€</t>
  </si>
  <si>
    <t xml:space="preserve">            142910 (Recep OC) - 7.849,92€</t>
  </si>
  <si>
    <t xml:space="preserve">    31200.0110 - Subproyecto - 865,80€</t>
  </si>
  <si>
    <t xml:space="preserve">            142911 (Recep OC) - 865,80€</t>
  </si>
  <si>
    <t xml:space="preserve">    31200.0110 - Subproyecto - 4.012,44€</t>
  </si>
  <si>
    <t xml:space="preserve">            142913 (Recep OC) - 4.012,44€</t>
  </si>
  <si>
    <t xml:space="preserve">    31200.0110 - Subproyecto - 95,40€</t>
  </si>
  <si>
    <t xml:space="preserve">            142915 (Recep OC) - 95,40€</t>
  </si>
  <si>
    <t xml:space="preserve">    31200.0110 - Subproyecto - 398,97€</t>
  </si>
  <si>
    <t xml:space="preserve">            140367 (Recep OC) - 398,97€</t>
  </si>
  <si>
    <t xml:space="preserve">    31200.0110 - Subproyecto - 611,55€</t>
  </si>
  <si>
    <t xml:space="preserve">            143037 (Recep OC) - 611,55€</t>
  </si>
  <si>
    <t xml:space="preserve">    31200.0110 - Subproyecto - 16,40€</t>
  </si>
  <si>
    <t xml:space="preserve">            101263 (Estándar) - 16,40€</t>
  </si>
  <si>
    <t xml:space="preserve">    31200.0110 - Subproyecto - 218,11€</t>
  </si>
  <si>
    <t xml:space="preserve">            106004 (Recep OC) - 218,11€</t>
  </si>
  <si>
    <t xml:space="preserve">    31200.0110 - Subproyecto - 33,57€</t>
  </si>
  <si>
    <t xml:space="preserve">            106918 (Recep OC) - 33,57€</t>
  </si>
  <si>
    <t xml:space="preserve">    31200.0110 - Subproyecto - 151,92€</t>
  </si>
  <si>
    <t xml:space="preserve">            110055 (Recep OC) - 151,92€</t>
  </si>
  <si>
    <t xml:space="preserve">    31200.0110 - Subproyecto - 249,00€</t>
  </si>
  <si>
    <t xml:space="preserve">            110851 (Recep OC) - 249,00€</t>
  </si>
  <si>
    <t xml:space="preserve">    31200.0110 - Subproyecto - 301,22€</t>
  </si>
  <si>
    <t xml:space="preserve">            110860 (Recep OC) - 301,22€</t>
  </si>
  <si>
    <t xml:space="preserve">    31200.0110 - Subproyecto - 399,65€</t>
  </si>
  <si>
    <t xml:space="preserve">            111037 (Recep OC) - 399,65€</t>
  </si>
  <si>
    <t xml:space="preserve">    31200.0110 - Subproyecto - 153,16€</t>
  </si>
  <si>
    <t xml:space="preserve">            112381 (Recep OC) - 153,16€</t>
  </si>
  <si>
    <t xml:space="preserve">    31200.0110 - Subproyecto - 161,36€</t>
  </si>
  <si>
    <t xml:space="preserve">            112810 (Recep OC) - 161,36€</t>
  </si>
  <si>
    <t xml:space="preserve">    31200.0110 - Subproyecto - 676,00€</t>
  </si>
  <si>
    <t xml:space="preserve">            142355 (Estándar) - 676,00€</t>
  </si>
  <si>
    <t xml:space="preserve">    31200.0110 - Subproyecto - 152,93€</t>
  </si>
  <si>
    <t xml:space="preserve">            140472 (Recep OC) - 152,93€</t>
  </si>
  <si>
    <t xml:space="preserve">    31200.0110 - Subproyecto - 36,14€</t>
  </si>
  <si>
    <t xml:space="preserve">            122390 (Recep OC) - 36,14€</t>
  </si>
  <si>
    <t xml:space="preserve">    31200.0110 - Subproyecto - 246,80€</t>
  </si>
  <si>
    <t xml:space="preserve">            140492 (Recep OC) - 246,80€</t>
  </si>
  <si>
    <t xml:space="preserve">    31200.0110 - Subproyecto - 0,81€</t>
  </si>
  <si>
    <t xml:space="preserve">            104824 (Estándar) - 0,81€</t>
  </si>
  <si>
    <t xml:space="preserve">    31200.0110 - Subproyecto - 0,95€</t>
  </si>
  <si>
    <t xml:space="preserve">            101442 (Estándar) - 0,95€</t>
  </si>
  <si>
    <t xml:space="preserve">    31200.0110 - Subproyecto - 0,90€</t>
  </si>
  <si>
    <t xml:space="preserve">            116021 (Estándar) - 0,90€</t>
  </si>
  <si>
    <t xml:space="preserve">    31200.0110 - Subproyecto - 4,60€</t>
  </si>
  <si>
    <t xml:space="preserve">            118970 (Estándar) - 4,60€</t>
  </si>
  <si>
    <t xml:space="preserve">            131638 (Estándar) - 0,00€</t>
  </si>
  <si>
    <t xml:space="preserve">    31200.0110 - Subproyecto - 0,74€</t>
  </si>
  <si>
    <t xml:space="preserve">            105411 (Estándar) - 0,74€</t>
  </si>
  <si>
    <t xml:space="preserve">    31200.0110 - Subproyecto - 3,10€</t>
  </si>
  <si>
    <t xml:space="preserve">            105301 (Estándar) - 3,10€</t>
  </si>
  <si>
    <t xml:space="preserve">    31200.0110 - Subproyecto - 3,08€</t>
  </si>
  <si>
    <t xml:space="preserve">            105302 (Estándar) - 3,08€</t>
  </si>
  <si>
    <t xml:space="preserve">    31200.0110 - Subproyecto - 0,91€</t>
  </si>
  <si>
    <t xml:space="preserve">            128872 (Estándar) - 0,91€</t>
  </si>
  <si>
    <t xml:space="preserve">    31200.0110 - Subproyecto - 2,51€</t>
  </si>
  <si>
    <t xml:space="preserve">            128874 (Estándar) - 2,51€</t>
  </si>
  <si>
    <t xml:space="preserve">            104841 (Estándar) - 4,50€</t>
  </si>
  <si>
    <t xml:space="preserve">    31200.0110 - Subproyecto - 3,95€</t>
  </si>
  <si>
    <t xml:space="preserve">            104842 (Estándar) - 3,95€</t>
  </si>
  <si>
    <t xml:space="preserve">    31200.0110 - Subproyecto - 0,99€</t>
  </si>
  <si>
    <t xml:space="preserve">            101455 (Estándar) - 0,99€</t>
  </si>
  <si>
    <t xml:space="preserve">    31200.0110 - Subproyecto - 5,50€</t>
  </si>
  <si>
    <t xml:space="preserve">            128871 (Estándar) - 5,50€</t>
  </si>
  <si>
    <t xml:space="preserve">    31200.0110 - Subproyecto - 0,43€</t>
  </si>
  <si>
    <t xml:space="preserve">            101405 (Estándar) - 0,43€</t>
  </si>
  <si>
    <t xml:space="preserve">    31200.0110 - Subproyecto - 3,90€</t>
  </si>
  <si>
    <t xml:space="preserve">            104150 (Estándar) - 3,90€</t>
  </si>
  <si>
    <t xml:space="preserve">    31200.0110 - Subproyecto - 7,20€</t>
  </si>
  <si>
    <t xml:space="preserve">            104148 (Estándar) - 7,20€</t>
  </si>
  <si>
    <t xml:space="preserve">    31200.0110 - Subproyecto - 21,88€</t>
  </si>
  <si>
    <t xml:space="preserve">            30991.00.419.000 (Estándar) - 21,88€</t>
  </si>
  <si>
    <t xml:space="preserve">    31200.0110 - Subproyecto - 14,58€</t>
  </si>
  <si>
    <t xml:space="preserve">            21020.00.300.411 (Estándar) - 14,58€</t>
  </si>
  <si>
    <t xml:space="preserve">    31200.0110 - Subproyecto - 15,60€</t>
  </si>
  <si>
    <t xml:space="preserve">            21020.00.300.410 (Estándar) - 15,60€</t>
  </si>
  <si>
    <t xml:space="preserve">    31200.0110 - Subproyecto - 0,41€</t>
  </si>
  <si>
    <t xml:space="preserve">            105337 (Estándar) - 0,41€</t>
  </si>
  <si>
    <t xml:space="preserve">    31200.0110 - Subproyecto - 23,20€</t>
  </si>
  <si>
    <t xml:space="preserve">            94500.10.671.002 (Estándar) - 23,20€</t>
  </si>
  <si>
    <t xml:space="preserve">    31200.0110 - Subproyecto - 0,27€</t>
  </si>
  <si>
    <t xml:space="preserve">            105200 (Estándar) - 0,27€</t>
  </si>
  <si>
    <t xml:space="preserve">    31200.0110 - Subproyecto - 161,92€</t>
  </si>
  <si>
    <t xml:space="preserve">            140491 (Recep OC) - 161,92€</t>
  </si>
  <si>
    <t xml:space="preserve">            101452 (Estándar) - 3,08€</t>
  </si>
  <si>
    <t xml:space="preserve">    31200.0110 - Subproyecto - 2,00€</t>
  </si>
  <si>
    <t xml:space="preserve">            132975 (Estándar) - 2,00€</t>
  </si>
  <si>
    <t xml:space="preserve">    31200.0110 - Subproyecto - 11,54€</t>
  </si>
  <si>
    <t xml:space="preserve">            101404 (Estándar) - 11,54€</t>
  </si>
  <si>
    <t xml:space="preserve">    31200.0110 - Subproyecto - 0,79€</t>
  </si>
  <si>
    <t xml:space="preserve">            101450 (Estándar) - 0,79€</t>
  </si>
  <si>
    <t xml:space="preserve">            132962 (Estándar) - 1,80€</t>
  </si>
  <si>
    <t xml:space="preserve">    31200.0110 - Subproyecto - 0,78€</t>
  </si>
  <si>
    <t xml:space="preserve">            126192 (Estándar) - 0,78€</t>
  </si>
  <si>
    <t xml:space="preserve">    31200.0110 - Subproyecto - 522,00€</t>
  </si>
  <si>
    <t xml:space="preserve">            140752 (Recep OC) - 522,00€</t>
  </si>
  <si>
    <t xml:space="preserve">    31200.0110 - Subproyecto - 136,08€</t>
  </si>
  <si>
    <t xml:space="preserve">            140753 (Recep OC) - 136,08€</t>
  </si>
  <si>
    <t xml:space="preserve">    31200.0110 - Subproyecto - 132,43€</t>
  </si>
  <si>
    <t xml:space="preserve">            141070 (Recep OC) - 132,43€</t>
  </si>
  <si>
    <t xml:space="preserve">    31200.0110 - Subproyecto - 157,08€</t>
  </si>
  <si>
    <t xml:space="preserve">            141286 (Recep OC) - 157,08€</t>
  </si>
  <si>
    <t xml:space="preserve">    31200.0110 - Subproyecto - 141,60€</t>
  </si>
  <si>
    <t xml:space="preserve">            141673 (Recep OC) - 141,60€</t>
  </si>
  <si>
    <t xml:space="preserve">    31200.0110 - Subproyecto - 26,37€</t>
  </si>
  <si>
    <t xml:space="preserve">            141983 (Recep OC) - 26,37€</t>
  </si>
  <si>
    <t xml:space="preserve">    31200.0110 - Subproyecto - 21,10€</t>
  </si>
  <si>
    <t xml:space="preserve">            141983 (Transfer. Stock) - 21,10€</t>
  </si>
  <si>
    <t xml:space="preserve">    31200.0110 - Subproyecto - 372,60€</t>
  </si>
  <si>
    <t xml:space="preserve">            141984 (Recep OC) - 372,60€</t>
  </si>
  <si>
    <t xml:space="preserve">    31200.0110 - Subproyecto - 279,45€</t>
  </si>
  <si>
    <t xml:space="preserve">            141984 (Transfer. Stock) - 279,45€</t>
  </si>
  <si>
    <t xml:space="preserve">    31200.0110 - Subproyecto - 100,08€</t>
  </si>
  <si>
    <t xml:space="preserve">            142247 (Recep OC) - 100,08€</t>
  </si>
  <si>
    <t xml:space="preserve">            140703 (Recep OC) - 345,00€</t>
  </si>
  <si>
    <t xml:space="preserve">    31200.0110 - Subproyecto - 260,64€</t>
  </si>
  <si>
    <t xml:space="preserve">            143766 (Recep OC) - 260,64€</t>
  </si>
  <si>
    <t xml:space="preserve">    31200.0110 - Subproyecto - 709,20€</t>
  </si>
  <si>
    <t xml:space="preserve">            143787 (Recep OC) - 709,20€</t>
  </si>
  <si>
    <t xml:space="preserve">    31200.0110 - Subproyecto - 2.494,80€</t>
  </si>
  <si>
    <t xml:space="preserve">            143788 (Recep OC) - 2.494,80€</t>
  </si>
  <si>
    <t xml:space="preserve">    31200.0110 - Subproyecto - 644,40€</t>
  </si>
  <si>
    <t xml:space="preserve">            144384 (Recep OC) - 644,40€</t>
  </si>
  <si>
    <t xml:space="preserve">    31200.0110 - Subproyecto - 171,36€</t>
  </si>
  <si>
    <t xml:space="preserve">            144529 (Recep OC) - 171,36€</t>
  </si>
  <si>
    <t xml:space="preserve">    31200.0110 - Subproyecto - 236,48€</t>
  </si>
  <si>
    <t xml:space="preserve">            99001 (Recep OC) - 236,48€</t>
  </si>
  <si>
    <t xml:space="preserve">    31200.0110 - Subproyecto - 79,76€</t>
  </si>
  <si>
    <t xml:space="preserve">            99046 (Recep OC) - 79,76€</t>
  </si>
  <si>
    <t xml:space="preserve">    31200.0110 - Subproyecto - 2,10€</t>
  </si>
  <si>
    <t xml:space="preserve">            101377 (Estándar) - 2,10€</t>
  </si>
  <si>
    <t xml:space="preserve">    31200.0110 - Subproyecto - 9,90€</t>
  </si>
  <si>
    <t xml:space="preserve">            105978 (Estándar) - 9,90€</t>
  </si>
  <si>
    <t xml:space="preserve">    31200.0110 - Subproyecto - 75,06€</t>
  </si>
  <si>
    <t xml:space="preserve">            142247 (Transfer. Stock) - 75,06€</t>
  </si>
  <si>
    <t xml:space="preserve">    31200.0110 - Subproyecto - 15,96€</t>
  </si>
  <si>
    <t xml:space="preserve">            103147 (Estándar) - 15,96€</t>
  </si>
  <si>
    <t>31200.0120 -  03 - Fabricación</t>
  </si>
  <si>
    <t>Sp-31200.0120</t>
  </si>
  <si>
    <t xml:space="preserve">    31200.0120 - Subproyecto - 400,00€</t>
  </si>
  <si>
    <t xml:space="preserve">        44049 (Recep OC) - 400,00€</t>
  </si>
  <si>
    <t xml:space="preserve">    31200.0120 - Subproyecto - 894,00€</t>
  </si>
  <si>
    <t xml:space="preserve">        C00M20-0-02 (Recep OC) - 894,00€</t>
  </si>
  <si>
    <t xml:space="preserve">    31200.0120 - Subproyecto - 13.780,00€</t>
  </si>
  <si>
    <t xml:space="preserve">        C00M20-0-01 (Recep OC) - 13.780,00€</t>
  </si>
  <si>
    <t xml:space="preserve">    31200.0120 - Subproyecto - 160,00€</t>
  </si>
  <si>
    <t xml:space="preserve">        44046 (Recep OC) - 160,00€</t>
  </si>
  <si>
    <t xml:space="preserve">    31200.0120 - Subproyecto - 792,00€</t>
  </si>
  <si>
    <t xml:space="preserve">        44045 (Recep OC) - 792,00€</t>
  </si>
  <si>
    <t xml:space="preserve">    31200.0120 - Subproyecto - 1.140,00€</t>
  </si>
  <si>
    <t xml:space="preserve">        00M25-1-00-001 (Recep OC) - 1.140,00€</t>
  </si>
  <si>
    <t xml:space="preserve">    31200.0120 - Subproyecto - 1.330,00€</t>
  </si>
  <si>
    <t xml:space="preserve">        44044 (Recep OC) - 1.330,00€</t>
  </si>
  <si>
    <t xml:space="preserve">    31200.0120 - Subproyecto - 104,00€</t>
  </si>
  <si>
    <t xml:space="preserve">        44043 (Recep OC) - 104,00€</t>
  </si>
  <si>
    <t xml:space="preserve">    31200.0120 - Subproyecto - 0,00€</t>
  </si>
  <si>
    <t xml:space="preserve">        840-01-000-1 (Rec.Plan. OF) - 0,00€</t>
  </si>
  <si>
    <t xml:space="preserve">    31200.0120 - Subproyecto - 3.903,00€</t>
  </si>
  <si>
    <t xml:space="preserve">        66061 (Recep OC) - 3.903,00€</t>
  </si>
  <si>
    <t xml:space="preserve">        00M06-0-00 (Rec.Plan. OF) - 0,00€</t>
  </si>
  <si>
    <t xml:space="preserve">    31200.0120 - Subproyecto - 196,35€</t>
  </si>
  <si>
    <t xml:space="preserve">        146440 (Recep OC) - 196,35€</t>
  </si>
  <si>
    <t xml:space="preserve">    31200.0120 - Subproyecto - 85,00€</t>
  </si>
  <si>
    <t xml:space="preserve">        44038 (Recep OC) - 85,00€</t>
  </si>
  <si>
    <t xml:space="preserve">    31200.0120 - Subproyecto - 997,00€</t>
  </si>
  <si>
    <t xml:space="preserve">        44037 (Recep OC) - 997,00€</t>
  </si>
  <si>
    <t xml:space="preserve">        00M23-0-01 (Rec.Plan. OF) - 0,00€</t>
  </si>
  <si>
    <t xml:space="preserve">    31200.0120 - Subproyecto - 88,00€</t>
  </si>
  <si>
    <t xml:space="preserve">        44028 (Recep OC) - 88,00€</t>
  </si>
  <si>
    <t xml:space="preserve">        605-00-000-1 (Rec.Plan. OF) - 0,00€</t>
  </si>
  <si>
    <t xml:space="preserve">        316-00-000-1 (Rec.Plan. OF) - 0,00€</t>
  </si>
  <si>
    <t xml:space="preserve">        216-00-000-1 (Rec.Plan. OF) - 0,00€</t>
  </si>
  <si>
    <t xml:space="preserve">    31200.0120 - Subproyecto - 340,00€</t>
  </si>
  <si>
    <t xml:space="preserve">        44024 (Recep OC) - 340,00€</t>
  </si>
  <si>
    <t xml:space="preserve">    31200.0120 - Subproyecto - 740,00€</t>
  </si>
  <si>
    <t xml:space="preserve">        44023 (Recep OC) - 740,00€</t>
  </si>
  <si>
    <t xml:space="preserve">    31200.0120 - Subproyecto - 742,00€</t>
  </si>
  <si>
    <t xml:space="preserve">        00M25-3-00-001 (Recep OC) - 742,00€</t>
  </si>
  <si>
    <t xml:space="preserve">    31200.0120 - Subproyecto - 342,00€</t>
  </si>
  <si>
    <t xml:space="preserve">        44015 (Recep OC) - 342,00€</t>
  </si>
  <si>
    <t xml:space="preserve">        00M02-0-01 (Rec.Plan. OF) - 0,00€</t>
  </si>
  <si>
    <t xml:space="preserve">    31200.0120 - Subproyecto - 924,00€</t>
  </si>
  <si>
    <t xml:space="preserve">        00M25-3-00-002 (Recep OC) - 924,00€</t>
  </si>
  <si>
    <t xml:space="preserve">    31200.0120 - Subproyecto - 3,70€</t>
  </si>
  <si>
    <t xml:space="preserve">        99209 (Recep OC) - 3,70€</t>
  </si>
  <si>
    <t xml:space="preserve">    31200.0120 - Subproyecto - 5.901,33€</t>
  </si>
  <si>
    <t xml:space="preserve">        99207 (Rec.Plan. OC) - 5.901,33€</t>
  </si>
  <si>
    <t xml:space="preserve">    31200.0120 - Subproyecto - 364,00€</t>
  </si>
  <si>
    <t xml:space="preserve">        44014 (Recep OC) - 364,00€</t>
  </si>
  <si>
    <t xml:space="preserve">    31200.0120 - Subproyecto - 324,00€</t>
  </si>
  <si>
    <t xml:space="preserve">        00M06-0-05A (Rec.Plan. OC) - 324,00€</t>
  </si>
  <si>
    <t xml:space="preserve">    31200.0120 - Subproyecto - 2.120,00€</t>
  </si>
  <si>
    <t xml:space="preserve">        C00M38-0-01 (Rec.Plan. OC) - 2.120,00€</t>
  </si>
  <si>
    <t xml:space="preserve">    31200.0120 - Subproyecto - 380,00€</t>
  </si>
  <si>
    <t xml:space="preserve">        00M12-0-00-013 (Rec.Plan. OC) - 380,00€</t>
  </si>
  <si>
    <t xml:space="preserve">    31200.0120 - Subproyecto - 235,00€</t>
  </si>
  <si>
    <t xml:space="preserve">        00M37-0-01-001 (Rec.Plan. OC) - 235,00€</t>
  </si>
  <si>
    <t xml:space="preserve">    31200.0120 - Subproyecto - 96,00€</t>
  </si>
  <si>
    <t xml:space="preserve">        00M36-0-01-001 (Recep OC) - 96,00€</t>
  </si>
  <si>
    <t xml:space="preserve">    31200.0120 - Subproyecto - 2.930,00€</t>
  </si>
  <si>
    <t xml:space="preserve">        66080 (Rec.Plan. OC) - 2.930,00€</t>
  </si>
  <si>
    <t xml:space="preserve">    31200.0120 - Subproyecto - 553,00€</t>
  </si>
  <si>
    <t xml:space="preserve">        44073 (Recep OC) - 553,00€</t>
  </si>
  <si>
    <t xml:space="preserve">    31200.0120 - Subproyecto - 1.220,00€</t>
  </si>
  <si>
    <t xml:space="preserve">        C00M29-0-01 (Recep OC) - 1.220,00€</t>
  </si>
  <si>
    <t xml:space="preserve">    31200.0120 - Subproyecto - 1.334,00€</t>
  </si>
  <si>
    <t xml:space="preserve">        C00M35-0-01 (Recep OC) - 1.334,00€</t>
  </si>
  <si>
    <t xml:space="preserve">    31200.0120 - Subproyecto - 764,00€</t>
  </si>
  <si>
    <t xml:space="preserve">        00M15-0-00-001 (Recep OC) - 764,00€</t>
  </si>
  <si>
    <t xml:space="preserve">    31200.0120 - Subproyecto - 2.529,14€</t>
  </si>
  <si>
    <t xml:space="preserve">        99207 (Recep OC) - 2.529,14€</t>
  </si>
  <si>
    <t xml:space="preserve">    31200.0120 - Subproyecto - 26,75€</t>
  </si>
  <si>
    <t xml:space="preserve">        99054 (Recep OC) - 26,75€</t>
  </si>
  <si>
    <t xml:space="preserve">    31200.0120 - Subproyecto - 350,00€</t>
  </si>
  <si>
    <t xml:space="preserve">        00M33-0-01-001 (Recep OC) - 350,00€</t>
  </si>
  <si>
    <t xml:space="preserve">    31200.0120 - Subproyecto - 246,00€</t>
  </si>
  <si>
    <t xml:space="preserve">        44064 (Recep OC) - 246,00€</t>
  </si>
  <si>
    <t xml:space="preserve">    31200.0120 - Subproyecto - 95,00€</t>
  </si>
  <si>
    <t xml:space="preserve">        44063 (Recep OC) - 95,00€</t>
  </si>
  <si>
    <t xml:space="preserve">    31200.0120 - Subproyecto - 4.060,00€</t>
  </si>
  <si>
    <t xml:space="preserve">        44060 (Recep OC) - 4.060,00€</t>
  </si>
  <si>
    <t xml:space="preserve">    31200.0120 - Subproyecto - 478,00€</t>
  </si>
  <si>
    <t xml:space="preserve">        44059 (Recep OC) - 478,00€</t>
  </si>
  <si>
    <t xml:space="preserve">    31200.0120 - Subproyecto - 448,00€</t>
  </si>
  <si>
    <t xml:space="preserve">        00M30-0-01-001_1 (Recep OC) - 448,00€</t>
  </si>
  <si>
    <t xml:space="preserve">    31200.0120 - Subproyecto - 672,00€</t>
  </si>
  <si>
    <t xml:space="preserve">        00M22-0-00-023 (Recep OC) - 672,00€</t>
  </si>
  <si>
    <t xml:space="preserve">    31200.0120 - Subproyecto - 652,00€</t>
  </si>
  <si>
    <t xml:space="preserve">        00M20-0-01-023 (Recep OC) - 652,00€</t>
  </si>
  <si>
    <t xml:space="preserve">    31200.0120 - Subproyecto - 192,00€</t>
  </si>
  <si>
    <t xml:space="preserve">        00M24-0-00-002 (Recep OC) - 192,00€</t>
  </si>
  <si>
    <t xml:space="preserve">    31200.0120 - Subproyecto - 700,00€</t>
  </si>
  <si>
    <t xml:space="preserve">        00M24-0-00-001 (Recep OC) - 700,00€</t>
  </si>
  <si>
    <t xml:space="preserve">    31200.0120 - Subproyecto - 1.476,00€</t>
  </si>
  <si>
    <t xml:space="preserve">        44056 (Recep OC) - 1.476,00€</t>
  </si>
  <si>
    <t xml:space="preserve">    31200.0120 - Subproyecto - 153,00€</t>
  </si>
  <si>
    <t xml:space="preserve">        00M19-0-01-010 (Recep OC) - 153,00€</t>
  </si>
  <si>
    <t xml:space="preserve">    31200.0120 - Subproyecto - 307,50€</t>
  </si>
  <si>
    <t xml:space="preserve">        44012 (Recep OC) - 307,50€</t>
  </si>
  <si>
    <t xml:space="preserve">    31200.0120 - Subproyecto - 10.879,37€</t>
  </si>
  <si>
    <t xml:space="preserve">        99087 (Recep OC) - 10.879,37€</t>
  </si>
  <si>
    <t xml:space="preserve">    31200.0120 - Subproyecto - 736,00€</t>
  </si>
  <si>
    <t xml:space="preserve">        C00M12-0-00+1 (Recep OC) - 736,00€</t>
  </si>
  <si>
    <t xml:space="preserve">    31200.0120 - Subproyecto - 2.250,00€</t>
  </si>
  <si>
    <t xml:space="preserve">        C00M02-0-00 (Recep OC) - 2.250,00€</t>
  </si>
  <si>
    <t xml:space="preserve">    31200.0120 - Subproyecto - 10.680,00€</t>
  </si>
  <si>
    <t xml:space="preserve">        C290-00-000-1 (Recep OC) - 10.680,00€</t>
  </si>
  <si>
    <t xml:space="preserve">    31200.0120 - Subproyecto - 570,02€</t>
  </si>
  <si>
    <t xml:space="preserve">        144317 (Recep OC) - 570,02€</t>
  </si>
  <si>
    <t xml:space="preserve">    31200.0120 - Subproyecto - 4.184,37€</t>
  </si>
  <si>
    <t xml:space="preserve">        99088 (Recep OC) - 4.184,37€</t>
  </si>
  <si>
    <t xml:space="preserve">        06M06-0-14 (Rec.Plan. OF) - 0,00€</t>
  </si>
  <si>
    <t xml:space="preserve">        06M06-0-13 (Rec.Plan. OF) - 0,00€</t>
  </si>
  <si>
    <t xml:space="preserve">    31200.0120 - Subproyecto - 26.100,00€</t>
  </si>
  <si>
    <t xml:space="preserve">        99077 (Recep OC) - 26.100,00€</t>
  </si>
  <si>
    <t xml:space="preserve">    31200.0120 - Subproyecto - 52.200,00€</t>
  </si>
  <si>
    <t xml:space="preserve">        99077 (Recep OC) - 52.200,00€</t>
  </si>
  <si>
    <t xml:space="preserve">        06M03-0-00 (Rec.Plan. OF) - 0,00€</t>
  </si>
  <si>
    <t xml:space="preserve">        06M02-0-00 (Rec.Plan. OF) - 0,00€</t>
  </si>
  <si>
    <t xml:space="preserve">    31200.0120 - Subproyecto - 94,50€</t>
  </si>
  <si>
    <t xml:space="preserve">        66011 (Recep OC) - 94,50€</t>
  </si>
  <si>
    <t xml:space="preserve">        C06M04-8-00 (Recep OC) - 700,00€</t>
  </si>
  <si>
    <t xml:space="preserve">    31200.0120 - Subproyecto - 4.815,00€</t>
  </si>
  <si>
    <t xml:space="preserve">        C06M04-5-00 (Recep OC) - 4.815,00€</t>
  </si>
  <si>
    <t xml:space="preserve">    31200.0120 - Subproyecto - 12.840,00€</t>
  </si>
  <si>
    <t xml:space="preserve">        C06M04-5-00 (Recep OC) - 12.840,00€</t>
  </si>
  <si>
    <t xml:space="preserve">        02M01-4-06 (Rec.Plan. OF) - 0,00€</t>
  </si>
  <si>
    <t xml:space="preserve">        02M01-4-01 (Rec.Plan. OF) - 0,00€</t>
  </si>
  <si>
    <t xml:space="preserve">        740-00-000-1 (Rec.Plan. OF) - 0,00€</t>
  </si>
  <si>
    <t xml:space="preserve">    31200.0120 - Subproyecto - 1.110,00€</t>
  </si>
  <si>
    <t xml:space="preserve">        C00M04-0-00 (Recep OC) - 1.110,00€</t>
  </si>
  <si>
    <t xml:space="preserve">    31200.0120 - Subproyecto - 1.428,05€</t>
  </si>
  <si>
    <t xml:space="preserve">        C00M08-1-00 (Recep OC) - 1.428,05€</t>
  </si>
  <si>
    <t xml:space="preserve">        06M01-0-00 (Rec.Plan. OF) - 0,00€</t>
  </si>
  <si>
    <t xml:space="preserve">    31200.0120 - Subproyecto - 16.152,00€</t>
  </si>
  <si>
    <t xml:space="preserve">        C490-00-000-1 (Recep OC) - 16.152,00€</t>
  </si>
  <si>
    <t xml:space="preserve">    31200.0120 - Subproyecto - 10.500,00€</t>
  </si>
  <si>
    <t xml:space="preserve">        C00M01-0-00 (Recep OC) - 10.500,00€</t>
  </si>
  <si>
    <t xml:space="preserve">    31200.0120 - Subproyecto - 170,00€</t>
  </si>
  <si>
    <t xml:space="preserve">        44011 (Recep OC) - 170,00€</t>
  </si>
  <si>
    <t xml:space="preserve">    31200.0120 - Subproyecto - 430,00€</t>
  </si>
  <si>
    <t xml:space="preserve">        44010 (Recep OC) - 430,00€</t>
  </si>
  <si>
    <t xml:space="preserve">    31200.0120 - Subproyecto - 3.456,00€</t>
  </si>
  <si>
    <t xml:space="preserve">        44009 (Recep OC) - 3.456,00€</t>
  </si>
  <si>
    <t xml:space="preserve">        44007 (Recep OC) - 672,00€</t>
  </si>
  <si>
    <t xml:space="preserve">    31200.0120 - Subproyecto - 6.329,00€</t>
  </si>
  <si>
    <t xml:space="preserve">        44006 (Recep OC) - 6.329,00€</t>
  </si>
  <si>
    <t xml:space="preserve">        00M17-0-00 (Rec.Plan. OF) - 0,00€</t>
  </si>
  <si>
    <t xml:space="preserve">        00M15-0-00 (Rec.Plan. OF) - 0,00€</t>
  </si>
  <si>
    <t xml:space="preserve">        00M14-0-00 (Rec.Plan. OF) - 0,00€</t>
  </si>
  <si>
    <t xml:space="preserve">        00M19-0-01 (Rec.Plan. OF) - 0,00€</t>
  </si>
  <si>
    <t xml:space="preserve">        00M10-0-00 (Rec.Plan. OF) - 0,00€</t>
  </si>
  <si>
    <t xml:space="preserve">        00M07-1-00 (Rec.Plan. OF) - 0,00€</t>
  </si>
  <si>
    <t xml:space="preserve">        00M13-0-01 (Rec.Plan. OF) - 0,00€</t>
  </si>
  <si>
    <t xml:space="preserve">        395-00-000-1 (Rec.Plan. OF) - 0,00€</t>
  </si>
  <si>
    <t xml:space="preserve">        00M09-0-01 (Rec.Plan. OF) - 0,00€</t>
  </si>
  <si>
    <t xml:space="preserve">    31200.0120 - Subproyecto - 1.017,00€</t>
  </si>
  <si>
    <t xml:space="preserve">        C00M11-0-00+1 (Recep OC) - 1.017,00€</t>
  </si>
  <si>
    <t xml:space="preserve">    31200.0120 - Subproyecto - 57,80€</t>
  </si>
  <si>
    <t xml:space="preserve">        C00M11-0-00 (Recep OC) - 57,80€</t>
  </si>
  <si>
    <t xml:space="preserve">        00M05-0-00 (Rec.Plan. OF) - 0,00€</t>
  </si>
  <si>
    <t xml:space="preserve">    31200.0120 - Subproyecto - 38,53€</t>
  </si>
  <si>
    <t xml:space="preserve">        C00M12-0-00 (Recep OC) - 38,53€</t>
  </si>
  <si>
    <t xml:space="preserve">    31200.0120 - Subproyecto - 109,90€</t>
  </si>
  <si>
    <t xml:space="preserve">            99187 (Recep OC) - 109,90€</t>
  </si>
  <si>
    <t xml:space="preserve">    31200.0120 - Subproyecto - 1.831,00€</t>
  </si>
  <si>
    <t xml:space="preserve">            C216-00-000-1 (Recep OC) - 1.831,00€</t>
  </si>
  <si>
    <t xml:space="preserve">    31200.0120 - Subproyecto - 105,64€</t>
  </si>
  <si>
    <t xml:space="preserve">            137081 (Recep OC) - 105,64€</t>
  </si>
  <si>
    <t xml:space="preserve">    31200.0120 - Subproyecto - 961,00€</t>
  </si>
  <si>
    <t xml:space="preserve">            C316-00-000-1 (Recep OC) - 961,00€</t>
  </si>
  <si>
    <t xml:space="preserve">    31200.0120 - Subproyecto - 291,10€</t>
  </si>
  <si>
    <t xml:space="preserve">            137082 (Recep OC) - 291,10€</t>
  </si>
  <si>
    <t xml:space="preserve">    31200.0120 - Subproyecto - 1.153,00€</t>
  </si>
  <si>
    <t xml:space="preserve">            C605-00-000-1 (Recep OC) - 1.153,00€</t>
  </si>
  <si>
    <t xml:space="preserve">    31200.0120 - Subproyecto - 109,20€</t>
  </si>
  <si>
    <t xml:space="preserve">            109238 (Recep OC) - 109,20€</t>
  </si>
  <si>
    <t xml:space="preserve">    31200.0120 - Subproyecto - 29,36€</t>
  </si>
  <si>
    <t xml:space="preserve">            113696 (Estándar) - 29,36€</t>
  </si>
  <si>
    <t xml:space="preserve">    31200.0120 - Subproyecto - 156,57€</t>
  </si>
  <si>
    <t xml:space="preserve">            141322 (Recep OC) - 156,57€</t>
  </si>
  <si>
    <t xml:space="preserve">    31200.0120 - Subproyecto - 8,00€</t>
  </si>
  <si>
    <t xml:space="preserve">            99188 (Rec.Plan. OC) - 8,00€</t>
  </si>
  <si>
    <t xml:space="preserve">            99143 (Recep OC) - 104,00€</t>
  </si>
  <si>
    <t xml:space="preserve">    31200.0120 - Subproyecto - 136,00€</t>
  </si>
  <si>
    <t xml:space="preserve">            99144 (Recep OC) - 136,00€</t>
  </si>
  <si>
    <t xml:space="preserve">    31200.0120 - Subproyecto - 85,44€</t>
  </si>
  <si>
    <t xml:space="preserve">            99186 (Recep OC) - 85,44€</t>
  </si>
  <si>
    <t xml:space="preserve">    31200.0120 - Subproyecto - 116,44€</t>
  </si>
  <si>
    <t xml:space="preserve">            137082 (Recep OC) - 116,44€</t>
  </si>
  <si>
    <t xml:space="preserve">    31200.0120 - Subproyecto - 5,28€</t>
  </si>
  <si>
    <t xml:space="preserve">    31200.0120 - Subproyecto - 95,44€</t>
  </si>
  <si>
    <t xml:space="preserve">            144274 (Recep OC) - 95,44€</t>
  </si>
  <si>
    <t xml:space="preserve">    31200.0120 - Subproyecto - 53,50€</t>
  </si>
  <si>
    <t xml:space="preserve">            145948 (Recep OC) - 53,50€</t>
  </si>
  <si>
    <t xml:space="preserve">    31200.0120 - Subproyecto - 85,46€</t>
  </si>
  <si>
    <t xml:space="preserve">            99164 (Recep OC) - 85,46€</t>
  </si>
  <si>
    <t xml:space="preserve">    31200.0120 - Subproyecto - 19,27€</t>
  </si>
  <si>
    <t xml:space="preserve">            C00M15-0-00 (Recep OC) - 19,27€</t>
  </si>
  <si>
    <t xml:space="preserve">    31200.0120 - Subproyecto - 93,96€</t>
  </si>
  <si>
    <t xml:space="preserve">            99189 (Recep OC) - 93,96€</t>
  </si>
  <si>
    <t xml:space="preserve">    31200.0120 - Subproyecto - 11,88€</t>
  </si>
  <si>
    <t xml:space="preserve">            99147 (Recep OC) - 11,88€</t>
  </si>
  <si>
    <t xml:space="preserve">    31200.0120 - Subproyecto - 5,99€</t>
  </si>
  <si>
    <t xml:space="preserve">            99148 (Recep OC) - 5,99€</t>
  </si>
  <si>
    <t xml:space="preserve">    31200.0120 - Subproyecto - 76,00€</t>
  </si>
  <si>
    <t xml:space="preserve">            99155 (Recep OC) - 76,00€</t>
  </si>
  <si>
    <t xml:space="preserve">    31200.0120 - Subproyecto - 90,00€</t>
  </si>
  <si>
    <t xml:space="preserve">            99156 (Recep OC) - 90,00€</t>
  </si>
  <si>
    <t xml:space="preserve">    31200.0120 - Subproyecto - 147,00€</t>
  </si>
  <si>
    <t xml:space="preserve">            99157 (Recep OC) - 147,00€</t>
  </si>
  <si>
    <t xml:space="preserve">    31200.0120 - Subproyecto - 58,22€</t>
  </si>
  <si>
    <t xml:space="preserve">            137082 (Recep OC) - 58,22€</t>
  </si>
  <si>
    <t xml:space="preserve">    31200.0120 - Subproyecto - 616,32€</t>
  </si>
  <si>
    <t xml:space="preserve">            141143 (Recep OC) - 616,32€</t>
  </si>
  <si>
    <t xml:space="preserve">            145949 (Recep OC) - 53,50€</t>
  </si>
  <si>
    <t xml:space="preserve">    31200.0120 - Subproyecto - 63,12€</t>
  </si>
  <si>
    <t xml:space="preserve">            99040 (Recep OC) - 63,12€</t>
  </si>
  <si>
    <t xml:space="preserve">    31200.0120 - Subproyecto - 79,90€</t>
  </si>
  <si>
    <t xml:space="preserve">            99043 (Recep OC) - 79,90€</t>
  </si>
  <si>
    <t xml:space="preserve">    31200.0120 - Subproyecto - 142,80€</t>
  </si>
  <si>
    <t xml:space="preserve">            99044 (Recep OC) - 142,80€</t>
  </si>
  <si>
    <t xml:space="preserve">    31200.0120 - Subproyecto - 201,29€</t>
  </si>
  <si>
    <t xml:space="preserve">            99121 (Recep OC) - 201,29€</t>
  </si>
  <si>
    <t xml:space="preserve">    31200.0120 - Subproyecto - 42,40€</t>
  </si>
  <si>
    <t xml:space="preserve">            99163 (Recep OC) - 42,40€</t>
  </si>
  <si>
    <t xml:space="preserve">    31200.0120 - Subproyecto - 7.805,00€</t>
  </si>
  <si>
    <t xml:space="preserve">            C740-00-000-1 (Recep OC) - 7.805,00€</t>
  </si>
  <si>
    <t xml:space="preserve">    31200.0120 - Subproyecto - 415,40€</t>
  </si>
  <si>
    <t xml:space="preserve">            99190 (Recep OC) - 415,40€</t>
  </si>
  <si>
    <t xml:space="preserve">    31200.0120 - Subproyecto - 826,00€</t>
  </si>
  <si>
    <t xml:space="preserve">            99193 (Recep OC) - 826,00€</t>
  </si>
  <si>
    <t xml:space="preserve">    31200.0120 - Subproyecto - 106,52€</t>
  </si>
  <si>
    <t xml:space="preserve">            99191 (Recep OC) - 106,52€</t>
  </si>
  <si>
    <t xml:space="preserve">    31200.0120 - Subproyecto - 30,00€</t>
  </si>
  <si>
    <t xml:space="preserve">            99156 (Recep OC) - 30,00€</t>
  </si>
  <si>
    <t xml:space="preserve">    31200.0120 - Subproyecto - 19,00€</t>
  </si>
  <si>
    <t xml:space="preserve">            132152 (Estándar) - 19,00€</t>
  </si>
  <si>
    <t xml:space="preserve">    31200.0120 - Subproyecto - 4.191,00€</t>
  </si>
  <si>
    <t xml:space="preserve">            C840-01-000-1 (Recep OC) - 4.191,00€</t>
  </si>
  <si>
    <t xml:space="preserve">    31200.0120 - Subproyecto - 193,00€</t>
  </si>
  <si>
    <t xml:space="preserve">            146467 (Recep OC) - 193,00€</t>
  </si>
  <si>
    <t xml:space="preserve">            145946 (Recep OC) - 53,50€</t>
  </si>
  <si>
    <t xml:space="preserve">    31200.0120 - Subproyecto - 252,00€</t>
  </si>
  <si>
    <t xml:space="preserve">            145237 (Recep OC) - 252,00€</t>
  </si>
  <si>
    <t xml:space="preserve">    31200.0120 - Subproyecto - 2.781,00€</t>
  </si>
  <si>
    <t xml:space="preserve">            145234 (Recep OC) - 2.781,00€</t>
  </si>
  <si>
    <t xml:space="preserve">    31200.0120 - Subproyecto - 318,86€</t>
  </si>
  <si>
    <t xml:space="preserve">            141765 (Recep OC) - 318,86€</t>
  </si>
  <si>
    <t xml:space="preserve">    31200.0120 - Subproyecto - 507,02€</t>
  </si>
  <si>
    <t xml:space="preserve">            132153 (Recep OC) - 507,02€</t>
  </si>
  <si>
    <t xml:space="preserve">    31200.0120 - Subproyecto - 43,68€</t>
  </si>
  <si>
    <t xml:space="preserve">            132152 (Recep OC) - 43,68€</t>
  </si>
  <si>
    <t xml:space="preserve">    31200.0120 - Subproyecto - 49,00€</t>
  </si>
  <si>
    <t xml:space="preserve">            99157 (Recep OC) - 49,00€</t>
  </si>
  <si>
    <t xml:space="preserve">            145945 (Recep OC) - 53,50€</t>
  </si>
  <si>
    <t xml:space="preserve">    31200.0120 - Subproyecto - 38,00€</t>
  </si>
  <si>
    <t xml:space="preserve">            99155 (Recep OC) - 38,00€</t>
  </si>
  <si>
    <t xml:space="preserve">    31200.0120 - Subproyecto - 185,00€</t>
  </si>
  <si>
    <t xml:space="preserve">            132153 (Estándar) - 185,00€</t>
  </si>
  <si>
    <t xml:space="preserve">    31200.0120 - Subproyecto - 68,00€</t>
  </si>
  <si>
    <t xml:space="preserve">            99144 (Recep OC) - 68,00€</t>
  </si>
  <si>
    <t xml:space="preserve">            99192 (Recep OC) - 63,12€</t>
  </si>
  <si>
    <t xml:space="preserve">    31200.0120 - Subproyecto - 930,00€</t>
  </si>
  <si>
    <t xml:space="preserve">            99194 (Recep OC) - 930,00€</t>
  </si>
  <si>
    <t xml:space="preserve">    31200.0120 - Subproyecto - 696,24€</t>
  </si>
  <si>
    <t xml:space="preserve">            99195 (Recep OC) - 696,24€</t>
  </si>
  <si>
    <t xml:space="preserve">    31200.0120 - Subproyecto - 80,72€</t>
  </si>
  <si>
    <t xml:space="preserve">            99196 (Recep OC) - 80,72€</t>
  </si>
  <si>
    <t xml:space="preserve">    31200.0120 - Subproyecto - 20.639,00€</t>
  </si>
  <si>
    <t xml:space="preserve">            C00M06-0-00 (Recep OC) - 20.639,00€</t>
  </si>
  <si>
    <t xml:space="preserve">    31200.0120 - Subproyecto - 10,98€</t>
  </si>
  <si>
    <t xml:space="preserve">            21006.00.001.002 (Estándar) - 10,98€</t>
  </si>
  <si>
    <t xml:space="preserve">    31200.0120 - Subproyecto - 15,00€</t>
  </si>
  <si>
    <t xml:space="preserve">    31200.0120 - Subproyecto - 8,60€</t>
  </si>
  <si>
    <t xml:space="preserve">    31200.0120 - Subproyecto - 0,84€</t>
  </si>
  <si>
    <t xml:space="preserve">    31200.0120 - Subproyecto - 1,60€</t>
  </si>
  <si>
    <t xml:space="preserve">    31200.0120 - Subproyecto - 52,00€</t>
  </si>
  <si>
    <t xml:space="preserve">            99143 (Recep OC) - 52,00€</t>
  </si>
  <si>
    <t xml:space="preserve">    31200.0120 - Subproyecto - 5.758,00€</t>
  </si>
  <si>
    <t xml:space="preserve">            C06M03-0-00 (Recep OC) - 5.758,00€</t>
  </si>
  <si>
    <t xml:space="preserve">            C00M14-0-00 (Recep OC) - 38,53€</t>
  </si>
  <si>
    <t xml:space="preserve">    31200.0120 - Subproyecto - 56,45€</t>
  </si>
  <si>
    <t xml:space="preserve">            99078 (Recep OC) - 56,45€</t>
  </si>
  <si>
    <t xml:space="preserve">    31200.0120 - Subproyecto - 2,52€</t>
  </si>
  <si>
    <t xml:space="preserve">            120687 (Estándar) - 2,52€</t>
  </si>
  <si>
    <t xml:space="preserve">    31200.0120 - Subproyecto - 25,80€</t>
  </si>
  <si>
    <t xml:space="preserve">            126209 (Estándar) - 25,80€</t>
  </si>
  <si>
    <t xml:space="preserve">    31200.0120 - Subproyecto - 4,80€</t>
  </si>
  <si>
    <t xml:space="preserve">            105073 (Estándar) - 4,80€</t>
  </si>
  <si>
    <t xml:space="preserve">    31200.0120 - Subproyecto - 44,88€</t>
  </si>
  <si>
    <t xml:space="preserve">            21006.00.001.004 (Estándar) - 44,88€</t>
  </si>
  <si>
    <t xml:space="preserve">    31200.0120 - Subproyecto - 120,40€</t>
  </si>
  <si>
    <t xml:space="preserve">            126209 (Estándar) - 120,40€</t>
  </si>
  <si>
    <t xml:space="preserve">    31200.0120 - Subproyecto - 11,76€</t>
  </si>
  <si>
    <t xml:space="preserve">            120687 (Estándar) - 11,76€</t>
  </si>
  <si>
    <t xml:space="preserve">            126208 (Estándar) - 0,00€</t>
  </si>
  <si>
    <t xml:space="preserve">    31200.0120 - Subproyecto - 22,40€</t>
  </si>
  <si>
    <t xml:space="preserve">            105073 (Estándar) - 22,40€</t>
  </si>
  <si>
    <t xml:space="preserve">    31200.0120 - Subproyecto - 27.864,00€</t>
  </si>
  <si>
    <t xml:space="preserve">            C06M02-0-00 (Recep OC) - 27.864,00€</t>
  </si>
  <si>
    <t xml:space="preserve">    31200.0120 - Subproyecto - 205,70€</t>
  </si>
  <si>
    <t xml:space="preserve">            21006.00.001.004 (Estándar) - 205,70€</t>
  </si>
  <si>
    <t xml:space="preserve">    31200.0120 - Subproyecto - 33,60€</t>
  </si>
  <si>
    <t xml:space="preserve">            120687 (Estándar) - 33,60€</t>
  </si>
  <si>
    <t xml:space="preserve">    31200.0120 - Subproyecto - 64,00€</t>
  </si>
  <si>
    <t xml:space="preserve">            105073 (Estándar) - 64,00€</t>
  </si>
  <si>
    <t xml:space="preserve">    31200.0120 - Subproyecto - 24.232,00€</t>
  </si>
  <si>
    <t xml:space="preserve">            C06M01-0-00 (Recep OC) - 24.232,00€</t>
  </si>
  <si>
    <t xml:space="preserve">    31200.0120 - Subproyecto - 5.472,00€</t>
  </si>
  <si>
    <t xml:space="preserve">            99032 (Recep OC) - 5.472,00€</t>
  </si>
  <si>
    <t xml:space="preserve">    31200.0120 - Subproyecto - 598,40€</t>
  </si>
  <si>
    <t xml:space="preserve">            21006.00.001.004 (Estándar) - 598,40€</t>
  </si>
  <si>
    <t xml:space="preserve">    31200.0120 - Subproyecto - 416,00€</t>
  </si>
  <si>
    <t xml:space="preserve">            145358 (Recep OC) - 416,00€</t>
  </si>
  <si>
    <t xml:space="preserve">    31200.0120 - Subproyecto - 617,56€</t>
  </si>
  <si>
    <t xml:space="preserve">            144928 (Recep OC) - 617,56€</t>
  </si>
  <si>
    <t xml:space="preserve">    31200.0120 - Subproyecto - 13.074,00€</t>
  </si>
  <si>
    <t xml:space="preserve">            C02M01-4-06 (Recep OC) - 13.074,00€</t>
  </si>
  <si>
    <t xml:space="preserve">    31200.0120 - Subproyecto - 108,80€</t>
  </si>
  <si>
    <t xml:space="preserve">            133258 (Recep OC) - 108,80€</t>
  </si>
  <si>
    <t xml:space="preserve">            133258 (Recep OC) - 136,00€</t>
  </si>
  <si>
    <t xml:space="preserve">    31200.0120 - Subproyecto - 3.572,00€</t>
  </si>
  <si>
    <t xml:space="preserve">            C02M01-4-01 (Recep OC) - 3.572,00€</t>
  </si>
  <si>
    <t xml:space="preserve">    31200.0120 - Subproyecto - 81,60€</t>
  </si>
  <si>
    <t xml:space="preserve">            133258 (Recep OC) - 81,60€</t>
  </si>
  <si>
    <t xml:space="preserve">    31200.0120 - Subproyecto - 1.016,00€</t>
  </si>
  <si>
    <t xml:space="preserve">            C00M14-0-00+1 (Recep OC) - 1.016,00€</t>
  </si>
  <si>
    <t xml:space="preserve">    31200.0120 - Subproyecto - 4.320,00€</t>
  </si>
  <si>
    <t xml:space="preserve">            C06M06-0-13 (Recep OC) - 4.320,00€</t>
  </si>
  <si>
    <t xml:space="preserve">    31200.0120 - Subproyecto - 24,70€</t>
  </si>
  <si>
    <t xml:space="preserve">            99078 (Recep OC) - 24,70€</t>
  </si>
  <si>
    <t xml:space="preserve">    31200.0120 - Subproyecto - 344,00€</t>
  </si>
  <si>
    <t xml:space="preserve">            126209 (Estándar) - 344,00€</t>
  </si>
  <si>
    <t xml:space="preserve">    31200.0120 - Subproyecto - 5.940,00€</t>
  </si>
  <si>
    <t xml:space="preserve">            145753 (Recep OC) - 5.940,00€</t>
  </si>
  <si>
    <t xml:space="preserve">    31200.0120 - Subproyecto - 2.478,00€</t>
  </si>
  <si>
    <t xml:space="preserve">            C06M06-0-14 (Recep OC) - 2.478,00€</t>
  </si>
  <si>
    <t xml:space="preserve">            145749 (Recep OC) - 52,00€</t>
  </si>
  <si>
    <t xml:space="preserve">    31200.0120 - Subproyecto - 144,00€</t>
  </si>
  <si>
    <t xml:space="preserve">            C00M13-0-01+1 (Recep OC) - 144,00€</t>
  </si>
  <si>
    <t xml:space="preserve">    31200.0120 - Subproyecto - 115,60€</t>
  </si>
  <si>
    <t xml:space="preserve">            C00M13-0-01 (Recep OC) - 115,60€</t>
  </si>
  <si>
    <t xml:space="preserve">    31200.0120 - Subproyecto - 17.820,00€</t>
  </si>
  <si>
    <t xml:space="preserve">            145753 (Recep OC) - 17.820,00€</t>
  </si>
  <si>
    <t xml:space="preserve">    31200.0120 - Subproyecto - 156,00€</t>
  </si>
  <si>
    <t xml:space="preserve">            145749 (Recep OC) - 156,00€</t>
  </si>
  <si>
    <t xml:space="preserve">    31200.0120 - Subproyecto - 279,00€</t>
  </si>
  <si>
    <t xml:space="preserve">            C00M10-0-00+1 (Recep OC) - 279,00€</t>
  </si>
  <si>
    <t xml:space="preserve">    31200.0120 - Subproyecto - 2.970,00€</t>
  </si>
  <si>
    <t xml:space="preserve">            145753 (Recep OC) - 2.970,00€</t>
  </si>
  <si>
    <t xml:space="preserve">    31200.0120 - Subproyecto - 26,00€</t>
  </si>
  <si>
    <t xml:space="preserve">            145749 (Recep OC) - 26,00€</t>
  </si>
  <si>
    <t xml:space="preserve">    31200.0120 - Subproyecto - 8,99€</t>
  </si>
  <si>
    <t xml:space="preserve">            99148 (Recep OC) - 8,99€</t>
  </si>
  <si>
    <t xml:space="preserve">    31200.0120 - Subproyecto - 17,82€</t>
  </si>
  <si>
    <t xml:space="preserve">            99147 (Recep OC) - 17,82€</t>
  </si>
  <si>
    <t xml:space="preserve">    31200.0120 - Subproyecto - 6.220,00€</t>
  </si>
  <si>
    <t xml:space="preserve">            C00M05-0-00 (Recep OC) - 6.220,00€</t>
  </si>
  <si>
    <t xml:space="preserve">    31200.0120 - Subproyecto - 10.981,00€</t>
  </si>
  <si>
    <t xml:space="preserve">            C00M09-0-01+1 (Recep OC) - 10.981,00€</t>
  </si>
  <si>
    <t xml:space="preserve">            C00M10-0-00 (Recep OC) - 19,27€</t>
  </si>
  <si>
    <t xml:space="preserve">    31200.0120 - Subproyecto - 2.515,68€</t>
  </si>
  <si>
    <t xml:space="preserve">            99127 (Recep OC) - 2.515,68€</t>
  </si>
  <si>
    <t xml:space="preserve">    31200.0120 - Subproyecto - 204,00€</t>
  </si>
  <si>
    <t xml:space="preserve">            99144 (Recep OC) - 204,00€</t>
  </si>
  <si>
    <t xml:space="preserve">    31200.0120 - Subproyecto - 312,00€</t>
  </si>
  <si>
    <t xml:space="preserve">            99143 (Recep OC) - 312,00€</t>
  </si>
  <si>
    <t xml:space="preserve">    31200.0120 - Subproyecto - 4.728,00€</t>
  </si>
  <si>
    <t xml:space="preserve">            99142 (Recep OC) - 4.728,00€</t>
  </si>
  <si>
    <t xml:space="preserve">            111997 (Estándar) - 2,52€</t>
  </si>
  <si>
    <t xml:space="preserve">    31200.0120 - Subproyecto - 77.328,00€</t>
  </si>
  <si>
    <t xml:space="preserve">            C395-00-000-1 (Recep OC) - 77.328,00€</t>
  </si>
  <si>
    <t xml:space="preserve">    31200.0120 - Subproyecto - 104,40€</t>
  </si>
  <si>
    <t xml:space="preserve">            99130 (Recep OC) - 104,40€</t>
  </si>
  <si>
    <t xml:space="preserve">    31200.0120 - Subproyecto - 92,00€</t>
  </si>
  <si>
    <t xml:space="preserve">            99129 (Recep OC) - 92,00€</t>
  </si>
  <si>
    <t xml:space="preserve">    31200.0120 - Subproyecto - 338,40€</t>
  </si>
  <si>
    <t xml:space="preserve">            99128 (Recep OC) - 338,40€</t>
  </si>
  <si>
    <t xml:space="preserve">    31200.0120 - Subproyecto - 7.986,00€</t>
  </si>
  <si>
    <t xml:space="preserve">            C00M07-1-00 (Recep OC) - 7.986,00€</t>
  </si>
  <si>
    <t xml:space="preserve">    31200.0120 - Subproyecto - 1.085,04€</t>
  </si>
  <si>
    <t xml:space="preserve">            99126 (Recep OC) - 1.085,04€</t>
  </si>
  <si>
    <t xml:space="preserve">    31200.0120 - Subproyecto - 16,80€</t>
  </si>
  <si>
    <t xml:space="preserve">            143073 (Estándar) - 16,80€</t>
  </si>
  <si>
    <t xml:space="preserve">    31200.0120 - Subproyecto - 1.168,00€</t>
  </si>
  <si>
    <t xml:space="preserve">            C00M09-0-01 (Recep OC) - 1.168,00€</t>
  </si>
  <si>
    <t xml:space="preserve">    31200.0120 - Subproyecto - 195,84€</t>
  </si>
  <si>
    <t xml:space="preserve">            109064 (Estándar) - 195,84€</t>
  </si>
  <si>
    <t>31200.0130 -  03 - Fabricación</t>
  </si>
  <si>
    <t>Sp-31200.0130</t>
  </si>
  <si>
    <t xml:space="preserve">    31200.0130 - Subproyecto - 887,23€</t>
  </si>
  <si>
    <t xml:space="preserve">        100749 (Recep OC) - 887,23€</t>
  </si>
  <si>
    <t xml:space="preserve">    31200.0130 - Subproyecto - 0,00€</t>
  </si>
  <si>
    <t xml:space="preserve">        01E22-1-00I (Rec.Plan. OF) - 0,00€</t>
  </si>
  <si>
    <t xml:space="preserve">    31200.0130 - Subproyecto - 124,83€</t>
  </si>
  <si>
    <t xml:space="preserve">        100749 (Recep OC) - 124,83€</t>
  </si>
  <si>
    <t xml:space="preserve">    31200.0130 - Subproyecto - 7,00€</t>
  </si>
  <si>
    <t xml:space="preserve">        105045 (Estándar) - 7,00€</t>
  </si>
  <si>
    <t xml:space="preserve">        01E23-1-00I (Rec.Plan. OF) - 0,00€</t>
  </si>
  <si>
    <t xml:space="preserve">    31200.0130 - Subproyecto - 5,65€</t>
  </si>
  <si>
    <t xml:space="preserve">        104662 (Estándar) - 5,65€</t>
  </si>
  <si>
    <t xml:space="preserve">    31200.0130 - Subproyecto - 6,45€</t>
  </si>
  <si>
    <t xml:space="preserve">        104844 (Estándar) - 6,45€</t>
  </si>
  <si>
    <t xml:space="preserve">    31200.0130 - Subproyecto - 1,80€</t>
  </si>
  <si>
    <t xml:space="preserve">        105202 (Estándar) - 1,80€</t>
  </si>
  <si>
    <t xml:space="preserve">    31200.0130 - Subproyecto - 623,40€</t>
  </si>
  <si>
    <t xml:space="preserve">        133476 (Recep OC) - 623,40€</t>
  </si>
  <si>
    <t xml:space="preserve">    31200.0130 - Subproyecto - 870,90€</t>
  </si>
  <si>
    <t xml:space="preserve">        133476 (Recep OC) - 870,90€</t>
  </si>
  <si>
    <t xml:space="preserve">    31200.0130 - Subproyecto - 44,40€</t>
  </si>
  <si>
    <t xml:space="preserve">        99159 (Recep OC) - 44,40€</t>
  </si>
  <si>
    <t xml:space="preserve">    31200.0130 - Subproyecto - 7,74€</t>
  </si>
  <si>
    <t xml:space="preserve">        104844 (Estándar) - 7,74€</t>
  </si>
  <si>
    <t xml:space="preserve">    31200.0130 - Subproyecto - 7,55€</t>
  </si>
  <si>
    <t xml:space="preserve">        104660 (Estándar) - 7,55€</t>
  </si>
  <si>
    <t xml:space="preserve">    31200.0130 - Subproyecto - 589,50€</t>
  </si>
  <si>
    <t xml:space="preserve">        145513 (Recep OC) - 589,50€</t>
  </si>
  <si>
    <t xml:space="preserve">        00E13-0-00I (Rec.Plan. OF) - 0,00€</t>
  </si>
  <si>
    <t xml:space="preserve">    31200.0130 - Subproyecto - 1.418,63€</t>
  </si>
  <si>
    <t xml:space="preserve">        139485 (Recep OC) - 1.418,63€</t>
  </si>
  <si>
    <t xml:space="preserve">        66056 (Recep OC) - 0,00€</t>
  </si>
  <si>
    <t xml:space="preserve">    31200.0130 - Subproyecto - 105,00€</t>
  </si>
  <si>
    <t xml:space="preserve">        99204 (Recep OC) - 105,00€</t>
  </si>
  <si>
    <t xml:space="preserve">        00E14-0-00F (Rec.Plan. OF) - 0,00€</t>
  </si>
  <si>
    <t xml:space="preserve">        00E14-0-00I (Rec.Plan. OF) - 0,00€</t>
  </si>
  <si>
    <t xml:space="preserve">        00E13-0-00F (Rec.Plan. OF) - 0,00€</t>
  </si>
  <si>
    <t xml:space="preserve">    31200.0130 - Subproyecto - 215,80€</t>
  </si>
  <si>
    <t xml:space="preserve">        66060 (Recep OC) - 215,80€</t>
  </si>
  <si>
    <t xml:space="preserve">        00E12-0-00F (Rec.Plan. OF) - 0,00€</t>
  </si>
  <si>
    <t xml:space="preserve">        00E12-0-00I (Rec.Plan. OF) - 0,00€</t>
  </si>
  <si>
    <t xml:space="preserve">    31200.0130 - Subproyecto - 63,00€</t>
  </si>
  <si>
    <t xml:space="preserve">        135294 (Recep OC) - 63,00€</t>
  </si>
  <si>
    <t xml:space="preserve">        00E11-0-00I (Rec.Plan. OF) - 0,00€</t>
  </si>
  <si>
    <t xml:space="preserve">    31200.0130 - Subproyecto - 37,50€</t>
  </si>
  <si>
    <t xml:space="preserve">        116416 (Estándar) - 37,50€</t>
  </si>
  <si>
    <t xml:space="preserve">    31200.0130 - Subproyecto - 1.188,60€</t>
  </si>
  <si>
    <t xml:space="preserve">        146452 (Recep OC) - 1.188,60€</t>
  </si>
  <si>
    <t xml:space="preserve">        01E24-1-00I (Rec.Plan. OF) - 0,00€</t>
  </si>
  <si>
    <t xml:space="preserve">    31200.0130 - Subproyecto - 2.510,00€</t>
  </si>
  <si>
    <t xml:space="preserve">        66059 (Recep OC) - 2.510,00€</t>
  </si>
  <si>
    <t xml:space="preserve">    31200.0130 - Subproyecto - 2.150,00€</t>
  </si>
  <si>
    <t xml:space="preserve">        66058 (Recep OC) - 2.150,00€</t>
  </si>
  <si>
    <t xml:space="preserve">    31200.0130 - Subproyecto - 601,25€</t>
  </si>
  <si>
    <t xml:space="preserve">        145513 (Recep OC) - 601,25€</t>
  </si>
  <si>
    <t xml:space="preserve">    31200.0130 - Subproyecto - 1.345,46€</t>
  </si>
  <si>
    <t xml:space="preserve">        66055 (Recep OC) - 1.345,46€</t>
  </si>
  <si>
    <t xml:space="preserve">    31200.0130 - Subproyecto - 3,91€</t>
  </si>
  <si>
    <t xml:space="preserve">        101473 (Estándar) - 3,91€</t>
  </si>
  <si>
    <t xml:space="preserve">    31200.0130 - Subproyecto - 3.514,00€</t>
  </si>
  <si>
    <t xml:space="preserve">        66053 (Recep OC) - 3.514,00€</t>
  </si>
  <si>
    <t xml:space="preserve">    31200.0130 - Subproyecto - 24,00€</t>
  </si>
  <si>
    <t xml:space="preserve">        101376 (Estándar) - 24,00€</t>
  </si>
  <si>
    <t xml:space="preserve">    31200.0130 - Subproyecto - 15,00€</t>
  </si>
  <si>
    <t xml:space="preserve">        101445 (Estándar) - 15,00€</t>
  </si>
  <si>
    <t xml:space="preserve">    31200.0130 - Subproyecto - 11,10€</t>
  </si>
  <si>
    <t xml:space="preserve">        101447 (Estándar) - 11,10€</t>
  </si>
  <si>
    <t xml:space="preserve">        01E19-1-00 (Rec.Plan. OF) - 0,00€</t>
  </si>
  <si>
    <t xml:space="preserve">    31200.0130 - Subproyecto - 3,95€</t>
  </si>
  <si>
    <t xml:space="preserve">        101450 (Estándar) - 3,95€</t>
  </si>
  <si>
    <t xml:space="preserve">    31200.0130 - Subproyecto - 6,40€</t>
  </si>
  <si>
    <t xml:space="preserve">        101451 (Estándar) - 6,40€</t>
  </si>
  <si>
    <t xml:space="preserve">    31200.0130 - Subproyecto - 7,40€</t>
  </si>
  <si>
    <t xml:space="preserve">        101447 (Estándar) - 7,40€</t>
  </si>
  <si>
    <t xml:space="preserve">    31200.0130 - Subproyecto - 14,04€</t>
  </si>
  <si>
    <t xml:space="preserve">        104637 (Estándar) - 14,04€</t>
  </si>
  <si>
    <t xml:space="preserve">        99204 (Rec.Plan. OC) - 105,00€</t>
  </si>
  <si>
    <t xml:space="preserve">    31200.0130 - Subproyecto - 5,00€</t>
  </si>
  <si>
    <t xml:space="preserve">        105144 (Estándar) - 5,00€</t>
  </si>
  <si>
    <t xml:space="preserve">    31200.0130 - Subproyecto - 5,06€</t>
  </si>
  <si>
    <t xml:space="preserve">        101472 (Estándar) - 5,06€</t>
  </si>
  <si>
    <t xml:space="preserve">    31200.0130 - Subproyecto - 16,50€</t>
  </si>
  <si>
    <t xml:space="preserve">        105978 (Estándar) - 16,50€</t>
  </si>
  <si>
    <t xml:space="preserve">        105242 (Estándar) - 5,00€</t>
  </si>
  <si>
    <t xml:space="preserve">    31200.0130 - Subproyecto - 8,10€</t>
  </si>
  <si>
    <t xml:space="preserve">        101378 (Estándar) - 8,10€</t>
  </si>
  <si>
    <t xml:space="preserve">        101377 (Estándar) - 7,00€</t>
  </si>
  <si>
    <t xml:space="preserve">    31200.0130 - Subproyecto - 10,50€</t>
  </si>
  <si>
    <t xml:space="preserve">        104652 (Estándar) - 10,50€</t>
  </si>
  <si>
    <t xml:space="preserve">    31200.0130 - Subproyecto - 3.564,00€</t>
  </si>
  <si>
    <t xml:space="preserve">        66054 (Recep OC) - 3.564,00€</t>
  </si>
  <si>
    <t xml:space="preserve">    31200.0130 - Subproyecto - 20,00€</t>
  </si>
  <si>
    <t xml:space="preserve">        105974 (Estándar) - 20,00€</t>
  </si>
  <si>
    <t xml:space="preserve">    31200.0130 - Subproyecto - 12,60€</t>
  </si>
  <si>
    <t xml:space="preserve">        120687 (Estándar) - 12,60€</t>
  </si>
  <si>
    <t xml:space="preserve">    31200.0130 - Subproyecto - 4,96€</t>
  </si>
  <si>
    <t xml:space="preserve">        104639 (Estándar) - 4,96€</t>
  </si>
  <si>
    <t xml:space="preserve">    31200.0130 - Subproyecto - 4,60€</t>
  </si>
  <si>
    <t xml:space="preserve">        101444 (Estándar) - 4,60€</t>
  </si>
  <si>
    <t xml:space="preserve">    31200.0130 - Subproyecto - 4,92€</t>
  </si>
  <si>
    <t xml:space="preserve">        104607 (Estándar) - 4,92€</t>
  </si>
  <si>
    <t xml:space="preserve">        101445 (Estándar) - 5,00€</t>
  </si>
  <si>
    <t xml:space="preserve">        00E20-1-00I (Rec.Plan. OF) - 0,00€</t>
  </si>
  <si>
    <t xml:space="preserve">    31200.0130 - Subproyecto - 535,04€</t>
  </si>
  <si>
    <t xml:space="preserve">        99185 (Recep OC) - 535,04€</t>
  </si>
  <si>
    <t xml:space="preserve">    31200.0130 - Subproyecto - 571,74€</t>
  </si>
  <si>
    <t xml:space="preserve">        66051 (Rec.Plan. OC) - 571,74€</t>
  </si>
  <si>
    <t xml:space="preserve">    31200.0130 - Subproyecto - 1.334,06€</t>
  </si>
  <si>
    <t xml:space="preserve">        66051 (Recep OC) - 1.334,06€</t>
  </si>
  <si>
    <t xml:space="preserve">    31200.0130 - Subproyecto - 876,67€</t>
  </si>
  <si>
    <t xml:space="preserve">        66051 (Recep OC) - 876,67€</t>
  </si>
  <si>
    <t xml:space="preserve">    31200.0130 - Subproyecto - 1.029,13€</t>
  </si>
  <si>
    <t xml:space="preserve">        66051 (Recep OC) - 1.029,13€</t>
  </si>
  <si>
    <t xml:space="preserve">    31200.0130 - Subproyecto - 14.551,29€</t>
  </si>
  <si>
    <t xml:space="preserve">        66049 (Rec.Plan. OC) - 14.551,29€</t>
  </si>
  <si>
    <t xml:space="preserve">    31200.0130 - Subproyecto - 33.953,01€</t>
  </si>
  <si>
    <t xml:space="preserve">        66049 (Recep OC) - 33.953,01€</t>
  </si>
  <si>
    <t xml:space="preserve">    31200.0130 - Subproyecto - 22.311,98€</t>
  </si>
  <si>
    <t xml:space="preserve">        66049 (Recep OC) - 22.311,98€</t>
  </si>
  <si>
    <t xml:space="preserve">    31200.0130 - Subproyecto - 26.192,32€</t>
  </si>
  <si>
    <t xml:space="preserve">        66049 (Recep OC) - 26.192,32€</t>
  </si>
  <si>
    <t xml:space="preserve">        00E09-0-00F (Rec.Plan. OF) - 0,00€</t>
  </si>
  <si>
    <t xml:space="preserve">    31200.0130 - Subproyecto - 2.700,00€</t>
  </si>
  <si>
    <t xml:space="preserve">        66062 (Recep OC) - 2.700,00€</t>
  </si>
  <si>
    <t xml:space="preserve">    31200.0130 - Subproyecto - 6,78€</t>
  </si>
  <si>
    <t xml:space="preserve">        104662 (Estándar) - 6,78€</t>
  </si>
  <si>
    <t xml:space="preserve">    31200.0130 - Subproyecto - 21,00€</t>
  </si>
  <si>
    <t xml:space="preserve">        104610 (Estándar) - 21,00€</t>
  </si>
  <si>
    <t xml:space="preserve">    31200.0130 - Subproyecto - 5,08€</t>
  </si>
  <si>
    <t xml:space="preserve">        104609 (Estándar) - 5,08€</t>
  </si>
  <si>
    <t xml:space="preserve">    31200.0130 - Subproyecto - 0,77€</t>
  </si>
  <si>
    <t xml:space="preserve">        104698 (Estándar) - 0,77€</t>
  </si>
  <si>
    <t xml:space="preserve">    31200.0130 - Subproyecto - 0,33€</t>
  </si>
  <si>
    <t xml:space="preserve">        109030 (Estándar) - 0,33€</t>
  </si>
  <si>
    <t xml:space="preserve">    31200.0130 - Subproyecto - 2.542,00€</t>
  </si>
  <si>
    <t xml:space="preserve">        66075 (Recep OC) - 2.542,00€</t>
  </si>
  <si>
    <t xml:space="preserve">    31200.0130 - Subproyecto - 1.944,00€</t>
  </si>
  <si>
    <t xml:space="preserve">        66074 (Recep OC) - 1.944,00€</t>
  </si>
  <si>
    <t xml:space="preserve">        01E27-1-00F (Rec.Plan. OF) - 0,00€</t>
  </si>
  <si>
    <t xml:space="preserve">    31200.0130 - Subproyecto - 9,73€</t>
  </si>
  <si>
    <t xml:space="preserve">        141286 (Estándar) - 9,73€</t>
  </si>
  <si>
    <t xml:space="preserve">    31200.0130 - Subproyecto - 1,32€</t>
  </si>
  <si>
    <t xml:space="preserve">        104654 (Estándar) - 1,32€</t>
  </si>
  <si>
    <t xml:space="preserve">    31200.0130 - Subproyecto - 0,35€</t>
  </si>
  <si>
    <t xml:space="preserve">    31200.0130 - Subproyecto - 4,00€</t>
  </si>
  <si>
    <t xml:space="preserve">        104653 (Estándar) - 4,00€</t>
  </si>
  <si>
    <t xml:space="preserve">    31200.0130 - Subproyecto - 9,60€</t>
  </si>
  <si>
    <t xml:space="preserve">        104653 (Estándar) - 9,60€</t>
  </si>
  <si>
    <t xml:space="preserve">    31200.0130 - Subproyecto - 10,23€</t>
  </si>
  <si>
    <t xml:space="preserve">        123208 (Estándar) - 10,23€</t>
  </si>
  <si>
    <t xml:space="preserve">    31200.0130 - Subproyecto - 36,72€</t>
  </si>
  <si>
    <t xml:space="preserve">        123240 (Estándar) - 36,72€</t>
  </si>
  <si>
    <t xml:space="preserve">        123183 (Estándar) - 0,00€</t>
  </si>
  <si>
    <t xml:space="preserve">        01E27-1-00I (Rec.Plan. OF) - 0,00€</t>
  </si>
  <si>
    <t xml:space="preserve">    31200.0130 - Subproyecto - 1.334,00€</t>
  </si>
  <si>
    <t xml:space="preserve">        66076 (Recep OC) - 1.334,00€</t>
  </si>
  <si>
    <t xml:space="preserve">    31200.0130 - Subproyecto - 1.450,00€</t>
  </si>
  <si>
    <t xml:space="preserve">        66078 (Recep OC) - 1.450,00€</t>
  </si>
  <si>
    <t xml:space="preserve">    31200.0130 - Subproyecto - 1,90€</t>
  </si>
  <si>
    <t xml:space="preserve">        101375 (Estándar) - 1,90€</t>
  </si>
  <si>
    <t xml:space="preserve">    31200.0130 - Subproyecto - 15.650,33€</t>
  </si>
  <si>
    <t xml:space="preserve">        634346.0130 (Operación) - 15.650,33€</t>
  </si>
  <si>
    <t xml:space="preserve">    31200.0130 - Subproyecto - 30.908,40€</t>
  </si>
  <si>
    <t xml:space="preserve">        634346.0130 (Operación) - 30.908,40€</t>
  </si>
  <si>
    <t xml:space="preserve">        66083 (Compra) - 0,00€</t>
  </si>
  <si>
    <t xml:space="preserve">        66082 (Compra) - 0,00€</t>
  </si>
  <si>
    <t xml:space="preserve">        66081 (Compra) - 0,00€</t>
  </si>
  <si>
    <t xml:space="preserve">    31200.0130 - Subproyecto - 1,50€</t>
  </si>
  <si>
    <t xml:space="preserve">        101608 (Estándar) - 1,50€</t>
  </si>
  <si>
    <t xml:space="preserve">        101448 (Estándar) - 10,50€</t>
  </si>
  <si>
    <t xml:space="preserve">    31200.0130 - Subproyecto - 3,50€</t>
  </si>
  <si>
    <t xml:space="preserve">        101445 (Estándar) - 3,50€</t>
  </si>
  <si>
    <t xml:space="preserve">    31200.0130 - Subproyecto - 2,10€</t>
  </si>
  <si>
    <t xml:space="preserve">        101377 (Estándar) - 2,10€</t>
  </si>
  <si>
    <t xml:space="preserve">        101471 (Estándar) - 2,10€</t>
  </si>
  <si>
    <t xml:space="preserve">    31200.0130 - Subproyecto - 729,60€</t>
  </si>
  <si>
    <t xml:space="preserve">        99002 (Recep OC) - 729,60€</t>
  </si>
  <si>
    <t xml:space="preserve">    31200.0130 - Subproyecto - 1.392,00€</t>
  </si>
  <si>
    <t xml:space="preserve">        66079 (Recep OC) - 1.392,00€</t>
  </si>
  <si>
    <t xml:space="preserve">        00E16-0-00 (Rec.Plan. OF) - 0,00€</t>
  </si>
  <si>
    <t xml:space="preserve">    31200.0130 - Subproyecto - 5,74€</t>
  </si>
  <si>
    <t xml:space="preserve">        104660 (Estándar) - 5,74€</t>
  </si>
  <si>
    <t xml:space="preserve">    31200.0130 - Subproyecto - 972,00€</t>
  </si>
  <si>
    <t xml:space="preserve">        66073 (Recep OC) - 972,00€</t>
  </si>
  <si>
    <t xml:space="preserve">    31200.0130 - Subproyecto - 800,00€</t>
  </si>
  <si>
    <t xml:space="preserve">        66071 (Recep OC) - 800,00€</t>
  </si>
  <si>
    <t xml:space="preserve">    31200.0130 - Subproyecto - 0,07€</t>
  </si>
  <si>
    <t xml:space="preserve">        105199 (Estándar) - 0,07€</t>
  </si>
  <si>
    <t xml:space="preserve">    31200.0130 - Subproyecto - 0,09€</t>
  </si>
  <si>
    <t xml:space="preserve">        105200 (Estándar) - 0,09€</t>
  </si>
  <si>
    <t xml:space="preserve">    31200.0130 - Subproyecto - 0,54€</t>
  </si>
  <si>
    <t xml:space="preserve">        105202 (Estándar) - 0,54€</t>
  </si>
  <si>
    <t xml:space="preserve">    31200.0130 - Subproyecto - 3,39€</t>
  </si>
  <si>
    <t xml:space="preserve">        104662 (Estándar) - 3,39€</t>
  </si>
  <si>
    <t xml:space="preserve">        01E26-1-00I (Rec.Plan. OF) - 0,00€</t>
  </si>
  <si>
    <t xml:space="preserve">    31200.0130 - Subproyecto - 9,66€</t>
  </si>
  <si>
    <t xml:space="preserve">        104303 (Estándar) - 9,66€</t>
  </si>
  <si>
    <t xml:space="preserve">    31200.0130 - Subproyecto - 0,02€</t>
  </si>
  <si>
    <t xml:space="preserve">        105200 (Estándar) - 0,02€</t>
  </si>
  <si>
    <t xml:space="preserve">    31200.0130 - Subproyecto - 2,26€</t>
  </si>
  <si>
    <t xml:space="preserve">        104662 (Estándar) - 2,26€</t>
  </si>
  <si>
    <t xml:space="preserve">    31200.0130 - Subproyecto - 12,24€</t>
  </si>
  <si>
    <t xml:space="preserve">        123240 (Estándar) - 12,24€</t>
  </si>
  <si>
    <t xml:space="preserve">        99206 (Recep OC) - 4,00€</t>
  </si>
  <si>
    <t xml:space="preserve">        99205 (Recep OC) - 4,00€</t>
  </si>
  <si>
    <t xml:space="preserve">    31200.0130 - Subproyecto - 2,16€</t>
  </si>
  <si>
    <t xml:space="preserve">        105202 (Estándar) - 2,16€</t>
  </si>
  <si>
    <t xml:space="preserve">    31200.0130 - Subproyecto - 3,41€</t>
  </si>
  <si>
    <t xml:space="preserve">        123208 (Estándar) - 3,41€</t>
  </si>
  <si>
    <t xml:space="preserve">    31200.0130 - Subproyecto - 59,20€</t>
  </si>
  <si>
    <t xml:space="preserve">        110647 (Estándar) - 59,20€</t>
  </si>
  <si>
    <t xml:space="preserve">    31200.0130 - Subproyecto - 3.825,00€</t>
  </si>
  <si>
    <t xml:space="preserve">        66064 (Recep OC) - 3.825,00€</t>
  </si>
  <si>
    <t xml:space="preserve">    31200.0130 - Subproyecto - 9,90€</t>
  </si>
  <si>
    <t xml:space="preserve">        105974 (Estándar) - 4,00€</t>
  </si>
  <si>
    <t xml:space="preserve">    31200.0130 - Subproyecto - 0,70€</t>
  </si>
  <si>
    <t xml:space="preserve">        101377 (Estándar) - 0,70€</t>
  </si>
  <si>
    <t xml:space="preserve">    31200.0130 - Subproyecto - 2,70€</t>
  </si>
  <si>
    <t xml:space="preserve">        101448 (Estándar) - 7,00€</t>
  </si>
  <si>
    <t xml:space="preserve">    31200.0130 - Subproyecto - 7,89€</t>
  </si>
  <si>
    <t xml:space="preserve">        101450 (Estándar) - 7,89€</t>
  </si>
  <si>
    <t xml:space="preserve">    31200.0130 - Subproyecto - 5,26€</t>
  </si>
  <si>
    <t xml:space="preserve">        104634 (Estándar) - 5,26€</t>
  </si>
  <si>
    <t xml:space="preserve">    31200.0130 - Subproyecto - 1.048,00€</t>
  </si>
  <si>
    <t xml:space="preserve">        112110 (Recep OC) - 1.048,00€</t>
  </si>
  <si>
    <t xml:space="preserve">        00E15-0-00I (Rec.Plan. OF) - 0,00€</t>
  </si>
  <si>
    <t xml:space="preserve">    31200.0130 - Subproyecto - 950,00€</t>
  </si>
  <si>
    <t xml:space="preserve">        66068 (Recep OC) - 950,00€</t>
  </si>
  <si>
    <t xml:space="preserve">    31200.0130 - Subproyecto - 1.102,00€</t>
  </si>
  <si>
    <t xml:space="preserve">        66066 (Recep OC) - 1.102,00€</t>
  </si>
  <si>
    <t xml:space="preserve">    31200.0130 - Subproyecto - 4.379,00€</t>
  </si>
  <si>
    <t xml:space="preserve">        66065 (Recep OC) - 4.379,00€</t>
  </si>
  <si>
    <t xml:space="preserve">    31200.0130 - Subproyecto - 2.190,00€</t>
  </si>
  <si>
    <t xml:space="preserve">        66072 (Recep OC) - 2.190,00€</t>
  </si>
  <si>
    <t xml:space="preserve">    31200.0130 - Subproyecto - 10,00€</t>
  </si>
  <si>
    <t xml:space="preserve">        104659 (Estándar) - 10,00€</t>
  </si>
  <si>
    <t xml:space="preserve">    31200.0130 - Subproyecto - 1,10€</t>
  </si>
  <si>
    <t xml:space="preserve">        109117 (Estándar) - 1,10€</t>
  </si>
  <si>
    <t xml:space="preserve">        104608 (Estándar) - 11,10€</t>
  </si>
  <si>
    <t xml:space="preserve">    31200.0130 - Subproyecto - 7,50€</t>
  </si>
  <si>
    <t xml:space="preserve">        101445 (Estándar) - 7,50€</t>
  </si>
  <si>
    <t xml:space="preserve">    31200.0130 - Subproyecto - 6,06€</t>
  </si>
  <si>
    <t xml:space="preserve">        104606 (Estándar) - 6,06€</t>
  </si>
  <si>
    <t xml:space="preserve">    31200.0130 - Subproyecto - 9,21€</t>
  </si>
  <si>
    <t xml:space="preserve">        101450 (Estándar) - 9,21€</t>
  </si>
  <si>
    <t xml:space="preserve">    31200.0130 - Subproyecto - 4,32€</t>
  </si>
  <si>
    <t xml:space="preserve">        101378 (Estándar) - 4,32€</t>
  </si>
  <si>
    <t xml:space="preserve">    31200.0130 - Subproyecto - 6,25€</t>
  </si>
  <si>
    <t xml:space="preserve">        105242 (Estándar) - 6,25€</t>
  </si>
  <si>
    <t xml:space="preserve">    31200.0130 - Subproyecto - 40,71€</t>
  </si>
  <si>
    <t xml:space="preserve">        101444 (Estándar) - 40,71€</t>
  </si>
  <si>
    <t xml:space="preserve">    31200.0130 - Subproyecto - 4,50€</t>
  </si>
  <si>
    <t xml:space="preserve">        104620 (Estándar) - 4,50€</t>
  </si>
  <si>
    <t xml:space="preserve">    31200.0130 - Subproyecto - 20,70€</t>
  </si>
  <si>
    <t xml:space="preserve">        105976 (Estándar) - 20,70€</t>
  </si>
  <si>
    <t xml:space="preserve">        105280 (Estándar) - 9,60€</t>
  </si>
  <si>
    <t xml:space="preserve">    31200.0130 - Subproyecto - 1,54€</t>
  </si>
  <si>
    <t xml:space="preserve">        101451 (Estándar) - 1,54€</t>
  </si>
  <si>
    <t xml:space="preserve">    31200.0130 - Subproyecto - 0,23€</t>
  </si>
  <si>
    <t xml:space="preserve">        101376 (Estándar) - 0,23€</t>
  </si>
  <si>
    <t xml:space="preserve">    31200.0130 - Subproyecto - 1,06€</t>
  </si>
  <si>
    <t xml:space="preserve">        105977 (Estándar) - 1,06€</t>
  </si>
  <si>
    <t xml:space="preserve">    31200.0130 - Subproyecto - 5,82€</t>
  </si>
  <si>
    <t xml:space="preserve">        101452 (Estándar) - 5,82€</t>
  </si>
  <si>
    <t xml:space="preserve">        101377 (Estándar) - 1,06€</t>
  </si>
  <si>
    <t xml:space="preserve">    31200.0130 - Subproyecto - 3,36€</t>
  </si>
  <si>
    <t xml:space="preserve">        104652 (Estándar) - 3,36€</t>
  </si>
  <si>
    <t xml:space="preserve">        104670 (Estándar) - 0,00€</t>
  </si>
  <si>
    <t xml:space="preserve">    31200.0130 - Subproyecto - 0,11€</t>
  </si>
  <si>
    <t xml:space="preserve">        101378 (Estándar) - 0,11€</t>
  </si>
  <si>
    <t xml:space="preserve">    31200.0130 - Subproyecto - 0,32€</t>
  </si>
  <si>
    <t xml:space="preserve">        105974 (Estándar) - 0,32€</t>
  </si>
  <si>
    <t xml:space="preserve">    31200.0130 - Subproyecto - 4,33€</t>
  </si>
  <si>
    <t xml:space="preserve">        104690 (Estándar) - 4,33€</t>
  </si>
  <si>
    <t xml:space="preserve">    31200.0130 - Subproyecto - 0,60€</t>
  </si>
  <si>
    <t xml:space="preserve">        105242 (Estándar) - 0,60€</t>
  </si>
  <si>
    <t xml:space="preserve">    31200.0130 - Subproyecto - 1,58€</t>
  </si>
  <si>
    <t xml:space="preserve">        110595 (Estándar) - 1,58€</t>
  </si>
  <si>
    <t xml:space="preserve">    31200.0130 - Subproyecto - 9,88€</t>
  </si>
  <si>
    <t xml:space="preserve">        104724 (Estándar) - 9,88€</t>
  </si>
  <si>
    <t xml:space="preserve">        105244 (Estándar) - 0,00€</t>
  </si>
  <si>
    <t xml:space="preserve">    31200.0130 - Subproyecto - 2,88€</t>
  </si>
  <si>
    <t xml:space="preserve">        110597 (Estándar) - 2,88€</t>
  </si>
  <si>
    <t xml:space="preserve">    31200.0130 - Subproyecto - 13,47€</t>
  </si>
  <si>
    <t xml:space="preserve">        105050 (Estándar) - 13,47€</t>
  </si>
  <si>
    <t xml:space="preserve">    31200.0130 - Subproyecto - 19,60€</t>
  </si>
  <si>
    <t xml:space="preserve">        105049 (Estándar) - 19,60€</t>
  </si>
  <si>
    <t xml:space="preserve">    31200.0130 - Subproyecto - 27,39€</t>
  </si>
  <si>
    <t xml:space="preserve">        105978 (Estándar) - 27,39€</t>
  </si>
  <si>
    <t xml:space="preserve">    31200.0130 - Subproyecto - 5,02€</t>
  </si>
  <si>
    <t xml:space="preserve">        105978 (Estándar) - 5,02€</t>
  </si>
  <si>
    <t xml:space="preserve">    31200.0130 - Subproyecto - 3,01€</t>
  </si>
  <si>
    <t xml:space="preserve">        101471 (Estándar) - 3,01€</t>
  </si>
  <si>
    <t xml:space="preserve">    31200.0130 - Subproyecto - 7,20€</t>
  </si>
  <si>
    <t xml:space="preserve">        101376 (Estándar) - 7,20€</t>
  </si>
  <si>
    <t xml:space="preserve">    31200.0130 - Subproyecto - 1,02€</t>
  </si>
  <si>
    <t xml:space="preserve">        104832 (Estándar) - 1,02€</t>
  </si>
  <si>
    <t xml:space="preserve">    31200.0130 - Subproyecto - 2.030,39€</t>
  </si>
  <si>
    <t xml:space="preserve">        66013 (Recep OC) - 2.030,39€</t>
  </si>
  <si>
    <t xml:space="preserve">    31200.0130 - Subproyecto - 4.060,78€</t>
  </si>
  <si>
    <t xml:space="preserve">        66013 (Recep OC) - 4.060,78€</t>
  </si>
  <si>
    <t xml:space="preserve">    31200.0130 - Subproyecto - 1.015,20€</t>
  </si>
  <si>
    <t xml:space="preserve">        66013 (Recep OC) - 1.015,20€</t>
  </si>
  <si>
    <t xml:space="preserve">        01E09-1-00I (Rec.Plan. OF) - 0,00€</t>
  </si>
  <si>
    <t xml:space="preserve">    31200.0130 - Subproyecto - 2.604,44€</t>
  </si>
  <si>
    <t xml:space="preserve">        138727 (Recep OC) - 2.604,44€</t>
  </si>
  <si>
    <t xml:space="preserve">    31200.0130 - Subproyecto - 2.407,78€</t>
  </si>
  <si>
    <t xml:space="preserve">        143477 (Recep OC) - 2.407,78€</t>
  </si>
  <si>
    <t xml:space="preserve">        00E01-0-00I (Rec.Plan. OF) - 0,00€</t>
  </si>
  <si>
    <t xml:space="preserve">        66022 (Compra) - 0,00€</t>
  </si>
  <si>
    <t xml:space="preserve">        66023 (Compra) - 0,00€</t>
  </si>
  <si>
    <t xml:space="preserve">        66024 (Compra) - 0,00€</t>
  </si>
  <si>
    <t xml:space="preserve">    31200.0130 - Subproyecto - 8.910,00€</t>
  </si>
  <si>
    <t xml:space="preserve">        66025 (Recep OC) - 8.910,00€</t>
  </si>
  <si>
    <t xml:space="preserve">    31200.0130 - Subproyecto - 4,75€</t>
  </si>
  <si>
    <t xml:space="preserve">        101374 (Estándar) - 4,75€</t>
  </si>
  <si>
    <t xml:space="preserve">    31200.0130 - Subproyecto - 316,00€</t>
  </si>
  <si>
    <t xml:space="preserve">        66028 (Recep OC) - 316,00€</t>
  </si>
  <si>
    <t xml:space="preserve">        00E02-0-00I (Rec.Plan. OF) - 0,00€</t>
  </si>
  <si>
    <t xml:space="preserve">    31200.0130 - Subproyecto - 1.217,74€</t>
  </si>
  <si>
    <t xml:space="preserve">        99112 (Recep OC) - 1.217,74€</t>
  </si>
  <si>
    <t xml:space="preserve">    31200.0130 - Subproyecto - 32,71€</t>
  </si>
  <si>
    <t xml:space="preserve">        136290 (Recep OC) - 32,71€</t>
  </si>
  <si>
    <t xml:space="preserve">    31200.0130 - Subproyecto - 58,91€</t>
  </si>
  <si>
    <t xml:space="preserve">        141286 (Recep OC) - 58,91€</t>
  </si>
  <si>
    <t xml:space="preserve">    31200.0130 - Subproyecto - 118.000,00€</t>
  </si>
  <si>
    <t xml:space="preserve">        66030 (Recep OC) - 118.000,00€</t>
  </si>
  <si>
    <t xml:space="preserve">        01E14-1-00 (Rec.Plan. OF) - 0,00€</t>
  </si>
  <si>
    <t xml:space="preserve">    31200.0130 - Subproyecto - 321,62€</t>
  </si>
  <si>
    <t xml:space="preserve">        145589 (Recep OC) - 321,62€</t>
  </si>
  <si>
    <t xml:space="preserve">    31200.0130 - Subproyecto - 45,95€</t>
  </si>
  <si>
    <t xml:space="preserve">        145589 (Recep OC) - 45,95€</t>
  </si>
  <si>
    <t xml:space="preserve">    31200.0130 - Subproyecto - 54,00€</t>
  </si>
  <si>
    <t xml:space="preserve">        99125 (Recep OC) - 54,00€</t>
  </si>
  <si>
    <t xml:space="preserve">        01E15-1-00I (Rec.Plan. OF) - 0,00€</t>
  </si>
  <si>
    <t xml:space="preserve">    31200.0130 - Subproyecto - 11,88€</t>
  </si>
  <si>
    <t xml:space="preserve">        132508 (Recep OC) - 11,88€</t>
  </si>
  <si>
    <t xml:space="preserve">    31200.0130 - Subproyecto - 10,72€</t>
  </si>
  <si>
    <t xml:space="preserve">        104744 (Estándar) - 10,72€</t>
  </si>
  <si>
    <t xml:space="preserve">    31200.0130 - Subproyecto - 0,75€</t>
  </si>
  <si>
    <t xml:space="preserve">        104839 (Estándar) - 0,75€</t>
  </si>
  <si>
    <t xml:space="preserve">    31200.0130 - Subproyecto - 16,65€</t>
  </si>
  <si>
    <t xml:space="preserve">        101447 (Estándar) - 16,65€</t>
  </si>
  <si>
    <t xml:space="preserve">    31200.0130 - Subproyecto - 8,08€</t>
  </si>
  <si>
    <t xml:space="preserve">        104606 (Estándar) - 8,08€</t>
  </si>
  <si>
    <t xml:space="preserve">    31200.0130 - Subproyecto - 6,16€</t>
  </si>
  <si>
    <t xml:space="preserve">        101452 (Estándar) - 6,16€</t>
  </si>
  <si>
    <t xml:space="preserve">        01E18-1-00 (Rec.Plan. OF) - 0,00€</t>
  </si>
  <si>
    <t xml:space="preserve">        00E06-0-00I (Rec.Plan. OF) - 0,00€</t>
  </si>
  <si>
    <t xml:space="preserve">        00E07-0-00F (Rec.Plan. OF) - 0,00€</t>
  </si>
  <si>
    <t xml:space="preserve">        00E07-0-00I (Rec.Plan. OF) - 0,00€</t>
  </si>
  <si>
    <t xml:space="preserve">    31200.0130 - Subproyecto - 40,98€</t>
  </si>
  <si>
    <t xml:space="preserve">        104253 (Estándar) - 40,98€</t>
  </si>
  <si>
    <t xml:space="preserve">    31200.0130 - Subproyecto - 39,00€</t>
  </si>
  <si>
    <t xml:space="preserve">        104150 (Estándar) - 39,00€</t>
  </si>
  <si>
    <t xml:space="preserve">    31200.0130 - Subproyecto - 100,98€</t>
  </si>
  <si>
    <t xml:space="preserve">        104227 (Estándar) - 100,98€</t>
  </si>
  <si>
    <t xml:space="preserve">    31200.0130 - Subproyecto - 11,34€</t>
  </si>
  <si>
    <t xml:space="preserve">        104189 (Estándar) - 11,34€</t>
  </si>
  <si>
    <t xml:space="preserve">        109118 (Estándar) - 1,10€</t>
  </si>
  <si>
    <t xml:space="preserve">    31200.0130 - Subproyecto - 10,88€</t>
  </si>
  <si>
    <t xml:space="preserve">        105281 (Estándar) - 10,88€</t>
  </si>
  <si>
    <t xml:space="preserve">    31200.0130 - Subproyecto - 210,24€</t>
  </si>
  <si>
    <t xml:space="preserve">        141630 (Recep OC) - 210,24€</t>
  </si>
  <si>
    <t xml:space="preserve">    31200.0130 - Subproyecto - 11,72€</t>
  </si>
  <si>
    <t xml:space="preserve">        104242 (Estándar) - 11,72€</t>
  </si>
  <si>
    <t xml:space="preserve">    31200.0130 - Subproyecto - 15,52€</t>
  </si>
  <si>
    <t xml:space="preserve">        104202 (Estándar) - 15,52€</t>
  </si>
  <si>
    <t xml:space="preserve">    31200.0130 - Subproyecto - 24,96€</t>
  </si>
  <si>
    <t xml:space="preserve">        99165 (Recep OC) - 24,96€</t>
  </si>
  <si>
    <t xml:space="preserve">    31200.0130 - Subproyecto - 0,52€</t>
  </si>
  <si>
    <t xml:space="preserve">        105051 (Estándar) - 0,52€</t>
  </si>
  <si>
    <t xml:space="preserve">    31200.0130 - Subproyecto - 215,56€</t>
  </si>
  <si>
    <t xml:space="preserve">        143948 (Recep OC) - 215,56€</t>
  </si>
  <si>
    <t xml:space="preserve">    31200.0130 - Subproyecto - 143,00€</t>
  </si>
  <si>
    <t xml:space="preserve">        116472 (Estándar) - 143,00€</t>
  </si>
  <si>
    <t xml:space="preserve">    31200.0130 - Subproyecto - 6,75€</t>
  </si>
  <si>
    <t xml:space="preserve">        138502 (Estándar) - 6,75€</t>
  </si>
  <si>
    <t xml:space="preserve">        00N01-0-00 (Rec.Plan. OF) - 0,00€</t>
  </si>
  <si>
    <t xml:space="preserve">        00E08-0-00 (Rec.Plan. OF) - 0,00€</t>
  </si>
  <si>
    <t xml:space="preserve">    31200.0130 - Subproyecto - 44,04€</t>
  </si>
  <si>
    <t xml:space="preserve">        66042 (Recep OC) - 44,04€</t>
  </si>
  <si>
    <t xml:space="preserve">    31200.0130 - Subproyecto - 4.569,20€</t>
  </si>
  <si>
    <t xml:space="preserve">        130675 (Recep OC) - 4.569,20€</t>
  </si>
  <si>
    <t xml:space="preserve">    31200.0130 - Subproyecto - 17,50€</t>
  </si>
  <si>
    <t xml:space="preserve">    31200.0130 - Subproyecto - 12,50€</t>
  </si>
  <si>
    <t xml:space="preserve">        101446 (Estándar) - 12,50€</t>
  </si>
  <si>
    <t xml:space="preserve">    31200.0130 - Subproyecto - 12,90€</t>
  </si>
  <si>
    <t xml:space="preserve">        104619 (Estándar) - 12,90€</t>
  </si>
  <si>
    <t xml:space="preserve">    31200.0130 - Subproyecto - 5,60€</t>
  </si>
  <si>
    <t xml:space="preserve">        101452 (Estándar) - 5,60€</t>
  </si>
  <si>
    <t xml:space="preserve">    31200.0130 - Subproyecto - 9,59€</t>
  </si>
  <si>
    <t xml:space="preserve">        104639 (Estándar) - 9,59€</t>
  </si>
  <si>
    <t xml:space="preserve">        104636 (Estándar) - 12,50€</t>
  </si>
  <si>
    <t xml:space="preserve">    31200.0130 - Subproyecto - 5,21€</t>
  </si>
  <si>
    <t xml:space="preserve">        104635 (Estándar) - 5,21€</t>
  </si>
  <si>
    <t xml:space="preserve">    31200.0130 - Subproyecto - 536,90€</t>
  </si>
  <si>
    <t xml:space="preserve">        143948 (Recep OC) - 536,90€</t>
  </si>
  <si>
    <t xml:space="preserve">    31200.0130 - Subproyecto - 0,36€</t>
  </si>
  <si>
    <t xml:space="preserve">        105050 (Estándar) - 0,36€</t>
  </si>
  <si>
    <t xml:space="preserve">    31200.0130 - Subproyecto - 16,56€</t>
  </si>
  <si>
    <t xml:space="preserve">        104675 (Estándar) - 16,56€</t>
  </si>
  <si>
    <t xml:space="preserve">    31200.0130 - Subproyecto - 16,00€</t>
  </si>
  <si>
    <t xml:space="preserve">        104674 (Estándar) - 16,00€</t>
  </si>
  <si>
    <t xml:space="preserve">        104654 (Estándar) - 0,00€</t>
  </si>
  <si>
    <t xml:space="preserve">    31200.0130 - Subproyecto - 6,30€</t>
  </si>
  <si>
    <t xml:space="preserve">        104656 (Estándar) - 6,30€</t>
  </si>
  <si>
    <t xml:space="preserve">    31200.0130 - Subproyecto - 68,22€</t>
  </si>
  <si>
    <t xml:space="preserve">        105976 (Estándar) - 68,22€</t>
  </si>
  <si>
    <t xml:space="preserve">    31200.0130 - Subproyecto - 4,12€</t>
  </si>
  <si>
    <t xml:space="preserve">        104724 (Estándar) - 4,12€</t>
  </si>
  <si>
    <t xml:space="preserve">    31200.0130 - Subproyecto - 1,92€</t>
  </si>
  <si>
    <t xml:space="preserve">        110597 (Estándar) - 1,92€</t>
  </si>
  <si>
    <t xml:space="preserve">        105040 (Estándar) - 0,00€</t>
  </si>
  <si>
    <t xml:space="preserve">    31200.0130 - Subproyecto - 18,81€</t>
  </si>
  <si>
    <t xml:space="preserve">        105039 (Estándar) - 18,81€</t>
  </si>
  <si>
    <t xml:space="preserve">        105041 (Estándar) - 0,00€</t>
  </si>
  <si>
    <t xml:space="preserve">    31200.0130 - Subproyecto - 198,62€</t>
  </si>
  <si>
    <t xml:space="preserve">        99150 (Recep OC) - 198,62€</t>
  </si>
  <si>
    <t xml:space="preserve">    31200.0130 - Subproyecto - 3,42€</t>
  </si>
  <si>
    <t xml:space="preserve">        105052 (Estándar) - 3,42€</t>
  </si>
  <si>
    <t xml:space="preserve">    31200.0130 - Subproyecto - 0,49€</t>
  </si>
  <si>
    <t xml:space="preserve">        101378 (Estándar) - 0,49€</t>
  </si>
  <si>
    <t xml:space="preserve">        104725 (Estándar) - 2,10€</t>
  </si>
  <si>
    <t xml:space="preserve">    31200.0130 - Subproyecto - 2.100,00€</t>
  </si>
  <si>
    <t xml:space="preserve">        99151 (Recep OC) - 2.100,00€</t>
  </si>
  <si>
    <t xml:space="preserve">        00E05-0-00F (Rec.Plan. OF) - 0,00€</t>
  </si>
  <si>
    <t xml:space="preserve">    31200.0130 - Subproyecto - 20,52€</t>
  </si>
  <si>
    <t xml:space="preserve">        123208 (Recep OC) - 20,52€</t>
  </si>
  <si>
    <t xml:space="preserve">    31200.0130 - Subproyecto - 60,00€</t>
  </si>
  <si>
    <t xml:space="preserve">        66038 (Recep OC) - 60,00€</t>
  </si>
  <si>
    <t xml:space="preserve">    31200.0130 - Subproyecto - 73,44€</t>
  </si>
  <si>
    <t xml:space="preserve">        123240 (Recep OC) - 73,44€</t>
  </si>
  <si>
    <t xml:space="preserve">        01E16-1-00I (Rec.Plan. OF) - 0,00€</t>
  </si>
  <si>
    <t xml:space="preserve">        00E03-0-00I (Rec.Plan. OF) - 0,00€</t>
  </si>
  <si>
    <t xml:space="preserve">        00E03-0-00F (Rec.Plan. OF) - 0,00€</t>
  </si>
  <si>
    <t xml:space="preserve">        00N00-0-00 (Rec.Plan. OF) - 0,00€</t>
  </si>
  <si>
    <t xml:space="preserve">    31200.0130 - Subproyecto - 45,12€</t>
  </si>
  <si>
    <t xml:space="preserve">        104250 (Estándar) - 45,12€</t>
  </si>
  <si>
    <t xml:space="preserve">        104652 (Estándar) - 1,54€</t>
  </si>
  <si>
    <t xml:space="preserve">    31200.0130 - Subproyecto - 26,00€</t>
  </si>
  <si>
    <t xml:space="preserve">        104672 (Estándar) - 26,00€</t>
  </si>
  <si>
    <t xml:space="preserve">    31200.0130 - Subproyecto - 195,00€</t>
  </si>
  <si>
    <t xml:space="preserve">        66037 (Recep OC) - 195,00€</t>
  </si>
  <si>
    <t xml:space="preserve">    31200.0130 - Subproyecto - 16,10€</t>
  </si>
  <si>
    <t xml:space="preserve">        110646 (Estándar) - 16,10€</t>
  </si>
  <si>
    <t xml:space="preserve">    31200.0130 - Subproyecto - 13,20€</t>
  </si>
  <si>
    <t xml:space="preserve">        123183 (Recep OC) - 13,20€</t>
  </si>
  <si>
    <t xml:space="preserve">    31200.0130 - Subproyecto - 59,98€</t>
  </si>
  <si>
    <t xml:space="preserve">        21006.00.001.004 (Estándar) - 59,98€</t>
  </si>
  <si>
    <t xml:space="preserve">    31200.0130 - Subproyecto - 52,10€</t>
  </si>
  <si>
    <t xml:space="preserve">        99152 (Recep OC) - 52,10€</t>
  </si>
  <si>
    <t xml:space="preserve">    31200.0130 - Subproyecto - 204,77€</t>
  </si>
  <si>
    <t xml:space="preserve">            100755 (Recep OC) - 204,77€</t>
  </si>
  <si>
    <t xml:space="preserve">    31200.0130 - Subproyecto - 867,04€</t>
  </si>
  <si>
    <t xml:space="preserve">            100755 (Recep OC) - 867,04€</t>
  </si>
  <si>
    <t xml:space="preserve">    31200.0130 - Subproyecto - 571,52€</t>
  </si>
  <si>
    <t xml:space="preserve">            140606 (Recep OC) - 571,52€</t>
  </si>
  <si>
    <t xml:space="preserve">    31200.0130 - Subproyecto - 39,28€</t>
  </si>
  <si>
    <t xml:space="preserve">            123191 (Estándar) - 39,28€</t>
  </si>
  <si>
    <t xml:space="preserve">    31200.0130 - Subproyecto - 358,32€</t>
  </si>
  <si>
    <t xml:space="preserve">            99154 (Recep OC) - 358,32€</t>
  </si>
  <si>
    <t xml:space="preserve">            144814 (Estándar) - 0,00€</t>
  </si>
  <si>
    <t xml:space="preserve">    31200.0130 - Subproyecto - 1.291,05€</t>
  </si>
  <si>
    <t xml:space="preserve">            146117 (Recep OC) - 1.291,05€</t>
  </si>
  <si>
    <t xml:space="preserve">            99150 (Recep OC) - 198,62€</t>
  </si>
  <si>
    <t xml:space="preserve">            99153 (Recep OC) - 358,32€</t>
  </si>
  <si>
    <t xml:space="preserve">            99159 (Recep OC) - 44,40€</t>
  </si>
  <si>
    <t xml:space="preserve">    31200.0130 - Subproyecto - 30,90€</t>
  </si>
  <si>
    <t xml:space="preserve">            138584 (Recep OC) - 30,90€</t>
  </si>
  <si>
    <t xml:space="preserve">    31200.0130 - Subproyecto - 173,52€</t>
  </si>
  <si>
    <t xml:space="preserve">            140936 (Recep OC) - 173,52€</t>
  </si>
  <si>
    <t xml:space="preserve">    31200.0130 - Subproyecto - 52,00€</t>
  </si>
  <si>
    <t xml:space="preserve">            133628 (Recep OC) - 52,00€</t>
  </si>
  <si>
    <t xml:space="preserve">    31200.0130 - Subproyecto - 40,00€</t>
  </si>
  <si>
    <t xml:space="preserve">            133628 (Recep OC) - 40,00€</t>
  </si>
  <si>
    <t xml:space="preserve">    31200.0130 - Subproyecto - 142,40€</t>
  </si>
  <si>
    <t xml:space="preserve">            146016 (Recep OC) - 142,40€</t>
  </si>
  <si>
    <t xml:space="preserve">    31200.0130 - Subproyecto - 35,50€</t>
  </si>
  <si>
    <t xml:space="preserve">            142261 (Recep OC) - 35,50€</t>
  </si>
  <si>
    <t xml:space="preserve">    31200.0130 - Subproyecto - 4,73€</t>
  </si>
  <si>
    <t xml:space="preserve">            123207 (Estándar) - 4,73€</t>
  </si>
  <si>
    <t xml:space="preserve">    31200.0130 - Subproyecto - 66,88€</t>
  </si>
  <si>
    <t xml:space="preserve">            116245 (Recep OC) - 66,88€</t>
  </si>
  <si>
    <t xml:space="preserve">    31200.0130 - Subproyecto - 15,45€</t>
  </si>
  <si>
    <t xml:space="preserve">            138584 (Recep OC) - 15,45€</t>
  </si>
  <si>
    <t xml:space="preserve">    31200.0130 - Subproyecto - 108,15€</t>
  </si>
  <si>
    <t xml:space="preserve">            138584 (Recep OC) - 108,15€</t>
  </si>
  <si>
    <t xml:space="preserve">            123065 (Estándar) - 0,00€</t>
  </si>
  <si>
    <t xml:space="preserve">    31200.0130 - Subproyecto - 101,40€</t>
  </si>
  <si>
    <t xml:space="preserve">            99158 (Recep OC) - 101,40€</t>
  </si>
  <si>
    <t xml:space="preserve">    31200.0130 - Subproyecto - 43,90€</t>
  </si>
  <si>
    <t xml:space="preserve">            123191 (Estándar) - 43,90€</t>
  </si>
  <si>
    <t xml:space="preserve">    31200.0130 - Subproyecto - 1.234,70€</t>
  </si>
  <si>
    <t xml:space="preserve">            144470 (Recep OC) - 1.234,70€</t>
  </si>
  <si>
    <t xml:space="preserve">    31200.0130 - Subproyecto - 520,80€</t>
  </si>
  <si>
    <t xml:space="preserve">            145139 (Recep OC) - 520,80€</t>
  </si>
  <si>
    <t xml:space="preserve">    31200.0130 - Subproyecto - 52,65€</t>
  </si>
  <si>
    <t xml:space="preserve">            117356 (Estándar) - 52,65€</t>
  </si>
  <si>
    <t xml:space="preserve">    31200.0130 - Subproyecto - 92,50€</t>
  </si>
  <si>
    <t xml:space="preserve">            146049 (Recep OC) - 92,50€</t>
  </si>
  <si>
    <t xml:space="preserve">    31200.0130 - Subproyecto - 32,50€</t>
  </si>
  <si>
    <t xml:space="preserve">            104153 (Estándar) - 32,50€</t>
  </si>
  <si>
    <t xml:space="preserve">    31200.0130 - Subproyecto - 27,24€</t>
  </si>
  <si>
    <t xml:space="preserve">            21020.00.401.420 (Estándar) - 27,24€</t>
  </si>
  <si>
    <t xml:space="preserve">    31200.0130 - Subproyecto - 3,20€</t>
  </si>
  <si>
    <t xml:space="preserve">            21020.00.401.430 (Estándar) - 3,20€</t>
  </si>
  <si>
    <t xml:space="preserve">    31200.0130 - Subproyecto - 9,00€</t>
  </si>
  <si>
    <t xml:space="preserve">            101282 (Estándar) - 9,00€</t>
  </si>
  <si>
    <t xml:space="preserve">    31200.0130 - Subproyecto - 6,24€</t>
  </si>
  <si>
    <t xml:space="preserve">            101287 (Estándar) - 6,24€</t>
  </si>
  <si>
    <t xml:space="preserve">    31200.0130 - Subproyecto - 5,13€</t>
  </si>
  <si>
    <t xml:space="preserve">            101289 (Estándar) - 5,13€</t>
  </si>
  <si>
    <t xml:space="preserve">    31200.0130 - Subproyecto - 7,44€</t>
  </si>
  <si>
    <t xml:space="preserve">            101290 (Estándar) - 7,44€</t>
  </si>
  <si>
    <t xml:space="preserve">    31200.0130 - Subproyecto - 8,16€</t>
  </si>
  <si>
    <t xml:space="preserve">            101291 (Estándar) - 8,16€</t>
  </si>
  <si>
    <t xml:space="preserve">    31200.0130 - Subproyecto - 1.248,78€</t>
  </si>
  <si>
    <t xml:space="preserve">            138104 (Recep OC) - 1.248,78€</t>
  </si>
  <si>
    <t xml:space="preserve">            144470 (Compra) - 0,00€</t>
  </si>
  <si>
    <t xml:space="preserve">    31200.0130 - Subproyecto - 247,80€</t>
  </si>
  <si>
    <t xml:space="preserve">            143066 (Recep OC) - 247,80€</t>
  </si>
  <si>
    <t xml:space="preserve">            141630 (Recep OC) - 210,24€</t>
  </si>
  <si>
    <t xml:space="preserve">    31200.0130 - Subproyecto - 153,40€</t>
  </si>
  <si>
    <t xml:space="preserve">            141631 (Recep OC) - 153,40€</t>
  </si>
  <si>
    <t xml:space="preserve">    31200.0130 - Subproyecto - 216,76€</t>
  </si>
  <si>
    <t xml:space="preserve">            100755 (Recep OC) - 216,76€</t>
  </si>
  <si>
    <t xml:space="preserve">    31200.0130 - Subproyecto - 165,60€</t>
  </si>
  <si>
    <t xml:space="preserve">            141272 (Recep OC) - 165,60€</t>
  </si>
  <si>
    <t xml:space="preserve">    31200.0130 - Subproyecto - 386,40€</t>
  </si>
  <si>
    <t xml:space="preserve">            141272 (Recep OC) - 386,40€</t>
  </si>
  <si>
    <t xml:space="preserve">    31200.0130 - Subproyecto - 37,20€</t>
  </si>
  <si>
    <t xml:space="preserve">            145139 (Recep OC) - 37,20€</t>
  </si>
  <si>
    <t xml:space="preserve">    31200.0130 - Subproyecto - 35,04€</t>
  </si>
  <si>
    <t xml:space="preserve">            123065 (Estándar) - 35,04€</t>
  </si>
  <si>
    <t xml:space="preserve">    31200.0130 - Subproyecto - 20,47€</t>
  </si>
  <si>
    <t xml:space="preserve">            126344 (Recep OC) - 20,47€</t>
  </si>
  <si>
    <t xml:space="preserve">    31200.0130 - Subproyecto - 346,68€</t>
  </si>
  <si>
    <t xml:space="preserve">            141091 (Recep OC) - 346,68€</t>
  </si>
  <si>
    <t xml:space="preserve">            104832 (Estándar) - 0,77€</t>
  </si>
  <si>
    <t xml:space="preserve">    31200.0130 - Subproyecto - 355,86€</t>
  </si>
  <si>
    <t xml:space="preserve">            142113 (Recep OC) - 355,86€</t>
  </si>
  <si>
    <t xml:space="preserve">    31200.0130 - Subproyecto - 296,00€</t>
  </si>
  <si>
    <t xml:space="preserve">            100706 (Recep OC) - 296,00€</t>
  </si>
  <si>
    <t xml:space="preserve">    31200.0130 - Subproyecto - 933,00€</t>
  </si>
  <si>
    <t xml:space="preserve">            100712 (Recep OC) - 933,00€</t>
  </si>
  <si>
    <t xml:space="preserve">    31200.0130 - Subproyecto - 35,00€</t>
  </si>
  <si>
    <t xml:space="preserve">            126224 (Recep OC) - 35,00€</t>
  </si>
  <si>
    <t xml:space="preserve">            126224 (Recep OC) - 17,50€</t>
  </si>
  <si>
    <t xml:space="preserve">    31200.0130 - Subproyecto - 45,00€</t>
  </si>
  <si>
    <t xml:space="preserve">            126225 (Recep OC) - 45,00€</t>
  </si>
  <si>
    <t xml:space="preserve">    31200.0130 - Subproyecto - 22,50€</t>
  </si>
  <si>
    <t xml:space="preserve">            126225 (Recep OC) - 22,50€</t>
  </si>
  <si>
    <t xml:space="preserve">            140833 (Recep OC) - 16,10€</t>
  </si>
  <si>
    <t xml:space="preserve">    31200.0130 - Subproyecto - 55,00€</t>
  </si>
  <si>
    <t xml:space="preserve">            143850 (Recep OC) - 55,00€</t>
  </si>
  <si>
    <t xml:space="preserve">    31200.0130 - Subproyecto - 46,55€</t>
  </si>
  <si>
    <t xml:space="preserve">            144374 (Recep OC) - 46,55€</t>
  </si>
  <si>
    <t xml:space="preserve">    31200.0130 - Subproyecto - 188,64€</t>
  </si>
  <si>
    <t xml:space="preserve">            145513 (Recep OC) - 188,64€</t>
  </si>
  <si>
    <t xml:space="preserve">    31200.0130 - Subproyecto - 189,90€</t>
  </si>
  <si>
    <t xml:space="preserve">            139197 (Recep OC) - 189,90€</t>
  </si>
  <si>
    <t xml:space="preserve">    31200.0130 - Subproyecto - 1.250,00€</t>
  </si>
  <si>
    <t xml:space="preserve">            140831 (Recep OC) - 1.250,00€</t>
  </si>
  <si>
    <t xml:space="preserve">    31200.0130 - Subproyecto - 0,90€</t>
  </si>
  <si>
    <t xml:space="preserve">            122390 (Recep OC) - 0,90€</t>
  </si>
  <si>
    <t xml:space="preserve">    31200.0130 - Subproyecto - 54,90€</t>
  </si>
  <si>
    <t xml:space="preserve">            144641 (Recep OC) - 54,90€</t>
  </si>
  <si>
    <t xml:space="preserve">    31200.0130 - Subproyecto - 74,25€</t>
  </si>
  <si>
    <t xml:space="preserve">            131690 (Recep OC) - 74,25€</t>
  </si>
  <si>
    <t xml:space="preserve">    31200.0130 - Subproyecto - 191,90€</t>
  </si>
  <si>
    <t xml:space="preserve">            133477 (Recep OC) - 191,90€</t>
  </si>
  <si>
    <t xml:space="preserve">    31200.0130 - Subproyecto - 75,33€</t>
  </si>
  <si>
    <t xml:space="preserve">            137924 (Recep OC) - 75,33€</t>
  </si>
  <si>
    <t xml:space="preserve">    31200.0130 - Subproyecto - 234,75€</t>
  </si>
  <si>
    <t xml:space="preserve">            141090 (Recep OC) - 234,75€</t>
  </si>
  <si>
    <t xml:space="preserve">    31200.0130 - Subproyecto - 115,56€</t>
  </si>
  <si>
    <t xml:space="preserve">            141091 (Recep OC) - 115,56€</t>
  </si>
  <si>
    <t xml:space="preserve">    31200.0130 - Subproyecto - 244,95€</t>
  </si>
  <si>
    <t xml:space="preserve">            142028 (Recep OC) - 244,95€</t>
  </si>
  <si>
    <t xml:space="preserve">    31200.0130 - Subproyecto - 118,62€</t>
  </si>
  <si>
    <t xml:space="preserve">            142113 (Recep OC) - 118,62€</t>
  </si>
  <si>
    <t xml:space="preserve">    31200.0130 - Subproyecto - 253,50€</t>
  </si>
  <si>
    <t xml:space="preserve">            139196 (Recep OC) - 253,50€</t>
  </si>
  <si>
    <t xml:space="preserve">    31200.0130 - Subproyecto - 15,60€</t>
  </si>
  <si>
    <t xml:space="preserve">            141447 (Recep OC) - 15,60€</t>
  </si>
  <si>
    <t xml:space="preserve">            141049 (Recep OC) - 9,00€</t>
  </si>
  <si>
    <t xml:space="preserve">    31200.0130 - Subproyecto - 125,31€</t>
  </si>
  <si>
    <t xml:space="preserve">            126344 (Recep OC) - 125,31€</t>
  </si>
  <si>
    <t xml:space="preserve">    31200.0130 - Subproyecto - 62,97€</t>
  </si>
  <si>
    <t xml:space="preserve">            143900 (Recep OC) - 62,97€</t>
  </si>
  <si>
    <t xml:space="preserve">    31200.0130 - Subproyecto - 530,00€</t>
  </si>
  <si>
    <t xml:space="preserve">            139410 (Recep OC) - 530,00€</t>
  </si>
  <si>
    <t xml:space="preserve">    31200.0130 - Subproyecto - 225,00€</t>
  </si>
  <si>
    <t xml:space="preserve">            139412 (Recep OC) - 225,00€</t>
  </si>
  <si>
    <t xml:space="preserve">            139443 (Recep OC) - 530,00€</t>
  </si>
  <si>
    <t xml:space="preserve">    31200.0130 - Subproyecto - 169,51€</t>
  </si>
  <si>
    <t xml:space="preserve">            124544 (Recep OC) - 169,51€</t>
  </si>
  <si>
    <t xml:space="preserve">            140584 (Estándar) - 0,00€</t>
  </si>
  <si>
    <t xml:space="preserve">    31200.0130 - Subproyecto - 118,24€</t>
  </si>
  <si>
    <t xml:space="preserve">            99000 (Recep OC) - 118,24€</t>
  </si>
  <si>
    <t xml:space="preserve">    31200.0130 - Subproyecto - -118,24€</t>
  </si>
  <si>
    <t xml:space="preserve">            99000 (Recep OC) - -118,24€</t>
  </si>
  <si>
    <t xml:space="preserve">    31200.0130 - Subproyecto - 31,14€</t>
  </si>
  <si>
    <t xml:space="preserve">            99000 (Recep OC) - 31,14€</t>
  </si>
  <si>
    <t xml:space="preserve">            111037 (Estándar) - 8,16€</t>
  </si>
  <si>
    <t xml:space="preserve">    31200.0130 - Subproyecto - 156,57€</t>
  </si>
  <si>
    <t xml:space="preserve">    31200.0130 - Subproyecto - 62,00€</t>
  </si>
  <si>
    <t xml:space="preserve">            99198 (Recep OC) - 62,00€</t>
  </si>
  <si>
    <t xml:space="preserve">    31200.0130 - Subproyecto - 336,00€</t>
  </si>
  <si>
    <t xml:space="preserve">            99199 (Recep OC) - 336,00€</t>
  </si>
  <si>
    <t xml:space="preserve">    31200.0130 - Subproyecto - 104,00€</t>
  </si>
  <si>
    <t xml:space="preserve">            145749 (Recep OC) - 104,00€</t>
  </si>
  <si>
    <t xml:space="preserve">    31200.0130 - Subproyecto - 11.880,00€</t>
  </si>
  <si>
    <t xml:space="preserve">            145753 (Recep OC) - 11.880,00€</t>
  </si>
  <si>
    <t xml:space="preserve">    31200.0130 - Subproyecto - 400,00€</t>
  </si>
  <si>
    <t xml:space="preserve">            99086 (Recep OC) - 400,00€</t>
  </si>
  <si>
    <t xml:space="preserve">    31200.0130 - Subproyecto - 74,28€</t>
  </si>
  <si>
    <t xml:space="preserve">            141089 (Recep OC) - 74,28€</t>
  </si>
  <si>
    <t xml:space="preserve">    31200.0130 - Subproyecto - 64,50€</t>
  </si>
  <si>
    <t xml:space="preserve">            142027 (Recep OC) - 64,50€</t>
  </si>
  <si>
    <t xml:space="preserve">    31200.0130 - Subproyecto - 148,80€</t>
  </si>
  <si>
    <t xml:space="preserve">            145139 (Recep OC) - 148,80€</t>
  </si>
  <si>
    <t xml:space="preserve">    31200.0130 - Subproyecto - 43,20€</t>
  </si>
  <si>
    <t xml:space="preserve">            141049 (Recep OC) - 43,20€</t>
  </si>
  <si>
    <t xml:space="preserve">    31200.0130 - Subproyecto - 3,60€</t>
  </si>
  <si>
    <t xml:space="preserve">            141049 (Recep OC) - 3,60€</t>
  </si>
  <si>
    <t xml:space="preserve">    31200.0130 - Subproyecto - -20,47€</t>
  </si>
  <si>
    <t xml:space="preserve">            126344 (Recep OC) - -20,47€</t>
  </si>
  <si>
    <t xml:space="preserve">    31200.0130 - Subproyecto - 0,26€</t>
  </si>
  <si>
    <t xml:space="preserve">            101457 (Estándar) - 0,26€</t>
  </si>
  <si>
    <t xml:space="preserve">    31200.0130 - Subproyecto - 0,13€</t>
  </si>
  <si>
    <t xml:space="preserve">            104825 (Estándar) - 0,13€</t>
  </si>
  <si>
    <t xml:space="preserve">    31200.0130 - Subproyecto - 4,90€</t>
  </si>
  <si>
    <t xml:space="preserve">    31200.0130 - Subproyecto - 2.873,70€</t>
  </si>
  <si>
    <t xml:space="preserve">            141110 (Recep OC) - 2.873,70€</t>
  </si>
  <si>
    <t xml:space="preserve">    31200.0130 - Subproyecto - 2.385,00€</t>
  </si>
  <si>
    <t xml:space="preserve">            141115 (Recep OC) - 2.385,00€</t>
  </si>
  <si>
    <t xml:space="preserve">    31200.0130 - Subproyecto - 90,00€</t>
  </si>
  <si>
    <t xml:space="preserve">            142026 (Recep OC) - 90,00€</t>
  </si>
  <si>
    <t xml:space="preserve">    31200.0130 - Subproyecto - 1.290,00€</t>
  </si>
  <si>
    <t xml:space="preserve">            142027 (Recep OC) - 1.290,00€</t>
  </si>
  <si>
    <t xml:space="preserve">    31200.0130 - Subproyecto - 1.861,62€</t>
  </si>
  <si>
    <t xml:space="preserve">            142028 (Recep OC) - 1.861,62€</t>
  </si>
  <si>
    <t xml:space="preserve">    31200.0130 - Subproyecto - 2.010,84€</t>
  </si>
  <si>
    <t xml:space="preserve">            142029 (Recep OC) - 2.010,84€</t>
  </si>
  <si>
    <t xml:space="preserve">    31200.0130 - Subproyecto - 303,90€</t>
  </si>
  <si>
    <t xml:space="preserve">            142108 (Recep OC) - 303,90€</t>
  </si>
  <si>
    <t xml:space="preserve">    31200.0130 - Subproyecto - 225,80€</t>
  </si>
  <si>
    <t xml:space="preserve">            142112 (Recep OC) - 225,80€</t>
  </si>
  <si>
    <t xml:space="preserve">    31200.0130 - Subproyecto - 3.084,12€</t>
  </si>
  <si>
    <t xml:space="preserve">            142113 (Recep OC) - 3.084,12€</t>
  </si>
  <si>
    <t xml:space="preserve">    31200.0130 - Subproyecto - 63,60€</t>
  </si>
  <si>
    <t xml:space="preserve">            99108 (Recep OC) - 63,60€</t>
  </si>
  <si>
    <t xml:space="preserve">    31200.0130 - Subproyecto - 110,40€</t>
  </si>
  <si>
    <t xml:space="preserve">            141272 (Recep OC) - 110,40€</t>
  </si>
  <si>
    <t xml:space="preserve">    31200.0130 - Subproyecto - 45,34€</t>
  </si>
  <si>
    <t xml:space="preserve">            21020.00.400.011 (Estándar) - 45,34€</t>
  </si>
  <si>
    <t xml:space="preserve">    31200.0130 - Subproyecto - 740,00€</t>
  </si>
  <si>
    <t xml:space="preserve">            100706 (Recep OC) - 740,00€</t>
  </si>
  <si>
    <t xml:space="preserve">    31200.0130 - Subproyecto - 0,31€</t>
  </si>
  <si>
    <t xml:space="preserve">            105065 (Estándar) - 0,31€</t>
  </si>
  <si>
    <t xml:space="preserve">    31200.0130 - Subproyecto - 124,00€</t>
  </si>
  <si>
    <t xml:space="preserve">            100709 (Recep OC) - 124,00€</t>
  </si>
  <si>
    <t xml:space="preserve">    31200.0130 - Subproyecto - 663,00€</t>
  </si>
  <si>
    <t xml:space="preserve">            100711 (Recep OC) - 663,00€</t>
  </si>
  <si>
    <t xml:space="preserve">    31200.0130 - Subproyecto - 71,86€</t>
  </si>
  <si>
    <t xml:space="preserve">            141666 (Recep OC) - 71,86€</t>
  </si>
  <si>
    <t xml:space="preserve">    31200.0130 - Subproyecto - 496,52€</t>
  </si>
  <si>
    <t xml:space="preserve">            99114 (Recep OC) - 496,52€</t>
  </si>
  <si>
    <t xml:space="preserve">    31200.0130 - Subproyecto - 190,35€</t>
  </si>
  <si>
    <t xml:space="preserve">            102086 (Recep OC) - 190,35€</t>
  </si>
  <si>
    <t xml:space="preserve">    31200.0130 - Subproyecto - 82,09€</t>
  </si>
  <si>
    <t xml:space="preserve">            102086 (Recep OC) - 82,09€</t>
  </si>
  <si>
    <t xml:space="preserve">    31200.0130 - Subproyecto - 57,40€</t>
  </si>
  <si>
    <t xml:space="preserve">            102087 (Recep OC) - 57,40€</t>
  </si>
  <si>
    <t xml:space="preserve">    31200.0130 - Subproyecto - 343,44€</t>
  </si>
  <si>
    <t xml:space="preserve">            141097 (Recep OC) - 343,44€</t>
  </si>
  <si>
    <t xml:space="preserve">    31200.0130 - Subproyecto - 57,75€</t>
  </si>
  <si>
    <t xml:space="preserve">            110850 (Recep OC) - 57,75€</t>
  </si>
  <si>
    <t xml:space="preserve">    31200.0130 - Subproyecto - 67,80€</t>
  </si>
  <si>
    <t xml:space="preserve">            141095 (Recep OC) - 67,80€</t>
  </si>
  <si>
    <t xml:space="preserve">    31200.0130 - Subproyecto - 3.004,56€</t>
  </si>
  <si>
    <t xml:space="preserve">            141091 (Recep OC) - 3.004,56€</t>
  </si>
  <si>
    <t xml:space="preserve">    31200.0130 - Subproyecto - 78,00€</t>
  </si>
  <si>
    <t xml:space="preserve">            145749 (Recep OC) - 78,00€</t>
  </si>
  <si>
    <t xml:space="preserve">            145753 (Recep OC) - 8.910,00€</t>
  </si>
  <si>
    <t xml:space="preserve">    31200.0130 - Subproyecto - 165,41€</t>
  </si>
  <si>
    <t xml:space="preserve">            145781 (Recep OC) - 165,41€</t>
  </si>
  <si>
    <t xml:space="preserve">    31200.0130 - Subproyecto - 1.212,30€</t>
  </si>
  <si>
    <t xml:space="preserve">            145782 (Recep OC) - 1.212,30€</t>
  </si>
  <si>
    <t xml:space="preserve">    31200.0130 - Subproyecto - 1.500,00€</t>
  </si>
  <si>
    <t xml:space="preserve">            99086 (Recep OC) - 1.500,00€</t>
  </si>
  <si>
    <t xml:space="preserve">    31200.0130 - Subproyecto - 4,40€</t>
  </si>
  <si>
    <t xml:space="preserve">            123183 (Estándar) - 4,40€</t>
  </si>
  <si>
    <t xml:space="preserve">    31200.0130 - Subproyecto - 1.076,00€</t>
  </si>
  <si>
    <t xml:space="preserve">            111306 (Recep OC) - 1.076,00€</t>
  </si>
  <si>
    <t xml:space="preserve">    31200.0130 - Subproyecto - 64,04€</t>
  </si>
  <si>
    <t xml:space="preserve">            111307 (Recep OC) - 64,04€</t>
  </si>
  <si>
    <t xml:space="preserve">    31200.0130 - Subproyecto - 69,42€</t>
  </si>
  <si>
    <t xml:space="preserve">            133629 (Recep OC) - 69,42€</t>
  </si>
  <si>
    <t xml:space="preserve">    31200.0130 - Subproyecto - 190,44€</t>
  </si>
  <si>
    <t xml:space="preserve">            133635 (Recep OC) - 190,44€</t>
  </si>
  <si>
    <t xml:space="preserve">    31200.0130 - Subproyecto - 346,14€</t>
  </si>
  <si>
    <t xml:space="preserve">            133805 (Recep OC) - 346,14€</t>
  </si>
  <si>
    <t xml:space="preserve">    31200.0130 - Subproyecto - 173,07€</t>
  </si>
  <si>
    <t xml:space="preserve">            133805 (Recep OC) - 173,07€</t>
  </si>
  <si>
    <t xml:space="preserve">    31200.0130 - Subproyecto - 168,11€</t>
  </si>
  <si>
    <t xml:space="preserve">            134352 (Recep OC) - 168,11€</t>
  </si>
  <si>
    <t xml:space="preserve">    31200.0130 - Subproyecto - 1.889,57€</t>
  </si>
  <si>
    <t xml:space="preserve">            138466 (Recep OC) - 1.889,57€</t>
  </si>
  <si>
    <t xml:space="preserve">    31200.0130 - Subproyecto - 669,60€</t>
  </si>
  <si>
    <t xml:space="preserve">            138467 (Recep OC) - 669,60€</t>
  </si>
  <si>
    <t xml:space="preserve">    31200.0130 - Subproyecto - 388,80€</t>
  </si>
  <si>
    <t xml:space="preserve">            138502 (Recep OC) - 388,80€</t>
  </si>
  <si>
    <t xml:space="preserve">    31200.0130 - Subproyecto - 111,60€</t>
  </si>
  <si>
    <t xml:space="preserve">            138975 (Recep OC) - 111,60€</t>
  </si>
  <si>
    <t xml:space="preserve">    31200.0130 - Subproyecto - 50,70€</t>
  </si>
  <si>
    <t xml:space="preserve">            139196 (Recep OC) - 50,70€</t>
  </si>
  <si>
    <t xml:space="preserve">    31200.0130 - Subproyecto - 1.485,60€</t>
  </si>
  <si>
    <t xml:space="preserve">            141089 (Recep OC) - 1.485,60€</t>
  </si>
  <si>
    <t xml:space="preserve">    31200.0130 - Subproyecto - 1.784,10€</t>
  </si>
  <si>
    <t xml:space="preserve">            141090 (Recep OC) - 1.784,10€</t>
  </si>
  <si>
    <t xml:space="preserve">    31200.0130 - Subproyecto - 2.094,36€</t>
  </si>
  <si>
    <t xml:space="preserve">            141092 (Recep OC) - 2.094,36€</t>
  </si>
  <si>
    <t xml:space="preserve">    31200.0130 - Subproyecto - -57,75€</t>
  </si>
  <si>
    <t xml:space="preserve">            110850 (Recep OC) - -57,75€</t>
  </si>
  <si>
    <t xml:space="preserve">    31200.0130 - Subproyecto - 620,00€</t>
  </si>
  <si>
    <t xml:space="preserve">            100709 (Recep OC) - 620,00€</t>
  </si>
  <si>
    <t xml:space="preserve">    31200.0130 - Subproyecto - 202,13€</t>
  </si>
  <si>
    <t xml:space="preserve">            110850 (Recep OC) - 202,13€</t>
  </si>
  <si>
    <t xml:space="preserve">    31200.0130 - Subproyecto - 2,55€</t>
  </si>
  <si>
    <t xml:space="preserve">            123200 (Estándar) - 2,55€</t>
  </si>
  <si>
    <t xml:space="preserve">    31200.0130 - Subproyecto - 2,20€</t>
  </si>
  <si>
    <t xml:space="preserve">            123183 (Estándar) - 2,20€</t>
  </si>
  <si>
    <t xml:space="preserve">            123199 (Estándar) - 1,50€</t>
  </si>
  <si>
    <t xml:space="preserve">    31200.0130 - Subproyecto - 18,87€</t>
  </si>
  <si>
    <t xml:space="preserve">            21020.00.300.610 (Estándar) - 18,87€</t>
  </si>
  <si>
    <t xml:space="preserve">    31200.0130 - Subproyecto - 3,00€</t>
  </si>
  <si>
    <t xml:space="preserve">            145139 (Estándar) - 0,00€</t>
  </si>
  <si>
    <t xml:space="preserve">            125853 (Estándar) - 0,00€</t>
  </si>
  <si>
    <t xml:space="preserve">    31200.0130 - Subproyecto - 75,46€</t>
  </si>
  <si>
    <t xml:space="preserve">            21020.00.300.210 (Estándar) - 75,46€</t>
  </si>
  <si>
    <t xml:space="preserve">            104831 (Estándar) - 0,60€</t>
  </si>
  <si>
    <t xml:space="preserve">    31200.0130 - Subproyecto - 3,30€</t>
  </si>
  <si>
    <t xml:space="preserve">            123184 (Estándar) - 3,30€</t>
  </si>
  <si>
    <t xml:space="preserve">    31200.0130 - Subproyecto - 1,67€</t>
  </si>
  <si>
    <t xml:space="preserve">            123200 (Estándar) - 1,67€</t>
  </si>
  <si>
    <t xml:space="preserve">    31200.0130 - Subproyecto - 38,64€</t>
  </si>
  <si>
    <t xml:space="preserve">            104303 (Estándar) - 38,64€</t>
  </si>
  <si>
    <t xml:space="preserve">    31200.0130 - Subproyecto - 2,25€</t>
  </si>
  <si>
    <t xml:space="preserve">            123199 (Estándar) - 2,25€</t>
  </si>
  <si>
    <t xml:space="preserve">    31200.0130 - Subproyecto - 35,58€</t>
  </si>
  <si>
    <t xml:space="preserve">            104292 (Estándar) - 35,58€</t>
  </si>
  <si>
    <t xml:space="preserve">    31200.0130 - Subproyecto - 2,48€</t>
  </si>
  <si>
    <t xml:space="preserve">            125853 (Estándar) - 2,48€</t>
  </si>
  <si>
    <t xml:space="preserve">    31200.0130 - Subproyecto - 32,20€</t>
  </si>
  <si>
    <t xml:space="preserve">            125211 (Estándar) - 32,20€</t>
  </si>
  <si>
    <t xml:space="preserve">    31200.0130 - Subproyecto - 4,27€</t>
  </si>
  <si>
    <t xml:space="preserve">            100977 (Estándar) - 4,27€</t>
  </si>
  <si>
    <t xml:space="preserve">    31200.0130 - Subproyecto - 3,08€</t>
  </si>
  <si>
    <t xml:space="preserve">    31200.0130 - Subproyecto - 39,58€</t>
  </si>
  <si>
    <t xml:space="preserve">            113104 (Estándar) - 39,58€</t>
  </si>
  <si>
    <t xml:space="preserve">    31200.0130 - Subproyecto - 54,13€</t>
  </si>
  <si>
    <t xml:space="preserve">            110851 (Recep OC) - 54,13€</t>
  </si>
  <si>
    <t xml:space="preserve">    31200.0130 - Subproyecto - 161,20€</t>
  </si>
  <si>
    <t xml:space="preserve">            126350 (Recep OC) - 161,20€</t>
  </si>
  <si>
    <t xml:space="preserve">    31200.0130 - Subproyecto - 12,42€</t>
  </si>
  <si>
    <t xml:space="preserve">            104304 (Estándar) - 12,42€</t>
  </si>
  <si>
    <t xml:space="preserve">    31200.0130 - Subproyecto - 67,65€</t>
  </si>
  <si>
    <t xml:space="preserve">            126351 (Recep OC) - 67,65€</t>
  </si>
  <si>
    <t xml:space="preserve">    31200.0130 - Subproyecto - 55,13€</t>
  </si>
  <si>
    <t xml:space="preserve">            126979 (Recep OC) - 55,13€</t>
  </si>
  <si>
    <t xml:space="preserve">    31200.0130 - Subproyecto - -55,13€</t>
  </si>
  <si>
    <t xml:space="preserve">            126979 (Recep OC) - -55,13€</t>
  </si>
  <si>
    <t xml:space="preserve">    31200.0130 - Subproyecto - 192,95€</t>
  </si>
  <si>
    <t xml:space="preserve">            126979 (Recep OC) - 192,95€</t>
  </si>
  <si>
    <t xml:space="preserve">    31200.0130 - Subproyecto - 101,90€</t>
  </si>
  <si>
    <t xml:space="preserve">            131776 (Recep OC) - 101,90€</t>
  </si>
  <si>
    <t xml:space="preserve">    31200.0130 - Subproyecto - 67,60€</t>
  </si>
  <si>
    <t xml:space="preserve">            138598 (Recep OC) - 67,60€</t>
  </si>
  <si>
    <t xml:space="preserve">    31200.0130 - Subproyecto - 97,60€</t>
  </si>
  <si>
    <t xml:space="preserve">            138599 (Recep OC) - 97,60€</t>
  </si>
  <si>
    <t xml:space="preserve">    31200.0130 - Subproyecto - 155,93€</t>
  </si>
  <si>
    <t xml:space="preserve">            126351 (Recep OC) - 155,93€</t>
  </si>
  <si>
    <t xml:space="preserve">    31200.0130 - Subproyecto - 115,19€</t>
  </si>
  <si>
    <t xml:space="preserve">            139486 (Recep OC) - 115,19€</t>
  </si>
  <si>
    <t xml:space="preserve">            101472 (Estándar) - 1,10€</t>
  </si>
  <si>
    <t xml:space="preserve">    31200.0130 - Subproyecto - 9,40€</t>
  </si>
  <si>
    <t xml:space="preserve">            105058 (Estándar) - 9,40€</t>
  </si>
  <si>
    <t xml:space="preserve">    31200.0130 - Subproyecto - 4,64€</t>
  </si>
  <si>
    <t xml:space="preserve">            94500.10.671.002 (Estándar) - 4,64€</t>
  </si>
  <si>
    <t xml:space="preserve">    31200.0130 - Subproyecto - 17,46€</t>
  </si>
  <si>
    <t xml:space="preserve">            104447 (Estándar) - 17,46€</t>
  </si>
  <si>
    <t xml:space="preserve">    31200.0130 - Subproyecto - 208,33€</t>
  </si>
  <si>
    <t xml:space="preserve">            21020.00.400.010 (Estándar) - 208,33€</t>
  </si>
  <si>
    <t xml:space="preserve">    31200.0130 - Subproyecto - 223,80€</t>
  </si>
  <si>
    <t xml:space="preserve">            139487 (Recep OC) - 223,80€</t>
  </si>
  <si>
    <t xml:space="preserve">    31200.0130 - Subproyecto - 313,45€</t>
  </si>
  <si>
    <t xml:space="preserve">            139487 (Recep OC) - 313,45€</t>
  </si>
  <si>
    <t xml:space="preserve">    31200.0130 - Subproyecto - 374,37€</t>
  </si>
  <si>
    <t xml:space="preserve">            139486 (Recep OC) - 374,37€</t>
  </si>
  <si>
    <t xml:space="preserve">            123172 (Estándar) - 5,13€</t>
  </si>
  <si>
    <t>0140</t>
  </si>
  <si>
    <t>31200.0140 -  03 - Fabricación</t>
  </si>
  <si>
    <t>Sp-31200.0140</t>
  </si>
  <si>
    <t xml:space="preserve">    31200.0140 - Subproyecto - 1.191,00€</t>
  </si>
  <si>
    <t xml:space="preserve">        44020 (Recep OC) - 1.191,00€</t>
  </si>
  <si>
    <t xml:space="preserve">        44022 (Recep OC) - 1.191,00€</t>
  </si>
  <si>
    <t xml:space="preserve">    31200.0140 - Subproyecto - 548,00€</t>
  </si>
  <si>
    <t xml:space="preserve">        44047 (Recep OC) - 548,00€</t>
  </si>
  <si>
    <t xml:space="preserve">    31200.0140 - Subproyecto - 942,00€</t>
  </si>
  <si>
    <t xml:space="preserve">        44048 (Recep OC) - 942,00€</t>
  </si>
  <si>
    <t xml:space="preserve">    31200.0140 - Subproyecto - 69,10€</t>
  </si>
  <si>
    <t xml:space="preserve">        651843.0140 (Operación) - 69,10€</t>
  </si>
  <si>
    <t xml:space="preserve">    31200.0140 - Subproyecto - 1.895,08€</t>
  </si>
  <si>
    <t xml:space="preserve">        651843.0140 (Operación) - 1.895,08€</t>
  </si>
  <si>
    <t xml:space="preserve">    31200.0140 - Subproyecto - 400,00€</t>
  </si>
  <si>
    <t xml:space="preserve">        66067 (Recep OC) - 400,00€</t>
  </si>
  <si>
    <t xml:space="preserve">    31200.0140 - Subproyecto - 204,00€</t>
  </si>
  <si>
    <t xml:space="preserve">        44055 (Recep OC) - 204,00€</t>
  </si>
  <si>
    <t xml:space="preserve">    31200.0140 - Subproyecto - 80,00€</t>
  </si>
  <si>
    <t xml:space="preserve">        44054 (Recep OC) - 80,00€</t>
  </si>
  <si>
    <t xml:space="preserve">    31200.0140 - Subproyecto - 90,00€</t>
  </si>
  <si>
    <t xml:space="preserve">        44053 (Recep OC) - 90,00€</t>
  </si>
  <si>
    <t xml:space="preserve">    31200.0140 - Subproyecto - 2.222,23€</t>
  </si>
  <si>
    <t xml:space="preserve">        651843.0140 (Operación) - 2.222,23€</t>
  </si>
  <si>
    <t xml:space="preserve">    31200.0140 - Subproyecto - 157,80€</t>
  </si>
  <si>
    <t xml:space="preserve">        99040 (Recep OC) - 157,80€</t>
  </si>
  <si>
    <t>0150</t>
  </si>
  <si>
    <t>31200.0150 -  03 - Fabricación</t>
  </si>
  <si>
    <t>Sp-31200.0150</t>
  </si>
  <si>
    <t xml:space="preserve">    31200.0150 - Subproyecto - 30,00€</t>
  </si>
  <si>
    <t xml:space="preserve">        44065 (Recep OC) - 30,00€</t>
  </si>
  <si>
    <t xml:space="preserve">    31200.0150 - Subproyecto - 550,00€</t>
  </si>
  <si>
    <t xml:space="preserve">        44070 (Recep OC) - 550,00€</t>
  </si>
  <si>
    <t xml:space="preserve">    31200.0150 - Subproyecto - 98,49€</t>
  </si>
  <si>
    <t xml:space="preserve">        651844.0150 (Operación) - 98,49€</t>
  </si>
  <si>
    <t xml:space="preserve">    31200.0150 - Subproyecto - 1.781,95€</t>
  </si>
  <si>
    <t xml:space="preserve">        651844.0150 (Operación) - 1.781,95€</t>
  </si>
  <si>
    <t xml:space="preserve">    31200.0150 - Subproyecto - 78,55€</t>
  </si>
  <si>
    <t xml:space="preserve">        651844.0150 (Operación) - 78,55€</t>
  </si>
  <si>
    <t xml:space="preserve">    31200.0150 - Subproyecto - 1.020,04€</t>
  </si>
  <si>
    <t xml:space="preserve">        651844.0150 (Operación) - 1.020,04€</t>
  </si>
  <si>
    <t>0160</t>
  </si>
  <si>
    <t>31200.0160 -  03 - Fabricación</t>
  </si>
  <si>
    <t>Sp-31200.0160</t>
  </si>
  <si>
    <t xml:space="preserve">    31200.0160 - Subproyecto - 464,00€</t>
  </si>
  <si>
    <t xml:space="preserve">        44051 (Recep OC) - 464,00€</t>
  </si>
  <si>
    <t xml:space="preserve">    31200.0160 - Subproyecto - 112,50€</t>
  </si>
  <si>
    <t xml:space="preserve">        44050 (Recep OC) - 112,50€</t>
  </si>
  <si>
    <t xml:space="preserve">    31200.0160 - Subproyecto - 0,00€</t>
  </si>
  <si>
    <t xml:space="preserve">        880-00-000-1 (Rec.Plan. OF) - 0,00€</t>
  </si>
  <si>
    <t xml:space="preserve">    31200.0160 - Subproyecto - 150,00€</t>
  </si>
  <si>
    <t xml:space="preserve">        44042 (Recep OC) - 150,00€</t>
  </si>
  <si>
    <t xml:space="preserve">    31200.0160 - Subproyecto - 280,00€</t>
  </si>
  <si>
    <t xml:space="preserve">        44040 (Recep OC) - 280,00€</t>
  </si>
  <si>
    <t xml:space="preserve">        830-00-000-1 (Rec.Plan. OF) - 0,00€</t>
  </si>
  <si>
    <t xml:space="preserve">    31200.0160 - Subproyecto - 1.250,00€</t>
  </si>
  <si>
    <t xml:space="preserve">        44036 (Recep OC) - 1.250,00€</t>
  </si>
  <si>
    <t xml:space="preserve">        620-00-000-1 (Rec.Plan. OF) - 0,00€</t>
  </si>
  <si>
    <t xml:space="preserve">    31200.0160 - Subproyecto - 387,00€</t>
  </si>
  <si>
    <t xml:space="preserve">        44035 (Recep OC) - 387,00€</t>
  </si>
  <si>
    <t xml:space="preserve">        44034 (Recep OC) - 150,00€</t>
  </si>
  <si>
    <t xml:space="preserve">    31200.0160 - Subproyecto - 10.815,00€</t>
  </si>
  <si>
    <t xml:space="preserve">        44033 (Recep OC) - 10.815,00€</t>
  </si>
  <si>
    <t xml:space="preserve">    31200.0160 - Subproyecto - 3.330,00€</t>
  </si>
  <si>
    <t xml:space="preserve">        44032 (Recep OC) - 3.330,00€</t>
  </si>
  <si>
    <t xml:space="preserve">    31200.0160 - Subproyecto - 6.203,75€</t>
  </si>
  <si>
    <t xml:space="preserve">        44031 (Recep OC) - 6.203,75€</t>
  </si>
  <si>
    <t xml:space="preserve">    31200.0160 - Subproyecto - 370,00€</t>
  </si>
  <si>
    <t xml:space="preserve">        44030 (Recep OC) - 370,00€</t>
  </si>
  <si>
    <t xml:space="preserve">    31200.0160 - Subproyecto - 476,00€</t>
  </si>
  <si>
    <t xml:space="preserve">        44058 (Recep OC) - 476,00€</t>
  </si>
  <si>
    <t xml:space="preserve">    31200.0160 - Subproyecto - 156,00€</t>
  </si>
  <si>
    <t xml:space="preserve">        44061 (Recep OC) - 156,00€</t>
  </si>
  <si>
    <t xml:space="preserve">    31200.0160 - Subproyecto - 605,00€</t>
  </si>
  <si>
    <t xml:space="preserve">        44062 (Recep OC) - 605,00€</t>
  </si>
  <si>
    <t xml:space="preserve">    31200.0160 - Subproyecto - 462,00€</t>
  </si>
  <si>
    <t xml:space="preserve">        66077 (Recep OC) - 462,00€</t>
  </si>
  <si>
    <t xml:space="preserve">    31200.0160 - Subproyecto - 220,00€</t>
  </si>
  <si>
    <t xml:space="preserve">        44066 (Recep OC) - 220,00€</t>
  </si>
  <si>
    <t xml:space="preserve">    31200.0160 - Subproyecto - 244,00€</t>
  </si>
  <si>
    <t xml:space="preserve">        44067 (Recep OC) - 244,00€</t>
  </si>
  <si>
    <t xml:space="preserve">    31200.0160 - Subproyecto - 373,00€</t>
  </si>
  <si>
    <t xml:space="preserve">        44068 (Recep OC) - 373,00€</t>
  </si>
  <si>
    <t xml:space="preserve">    31200.0160 - Subproyecto - 100,20€</t>
  </si>
  <si>
    <t xml:space="preserve">        44069 (Recep OC) - 100,20€</t>
  </si>
  <si>
    <t xml:space="preserve">    31200.0160 - Subproyecto - 6.921,42€</t>
  </si>
  <si>
    <t xml:space="preserve">        634347.0160 (Operación) - 6.921,42€</t>
  </si>
  <si>
    <t xml:space="preserve">    31200.0160 - Subproyecto - 15.383,88€</t>
  </si>
  <si>
    <t xml:space="preserve">        634347.0160 (Operación) - 15.383,88€</t>
  </si>
  <si>
    <t xml:space="preserve">    31200.0160 - Subproyecto - 3.670,80€</t>
  </si>
  <si>
    <t xml:space="preserve">        06M05-1-00A (Recep OC) - 3.670,80€</t>
  </si>
  <si>
    <t xml:space="preserve">        220-00-000-1 (Rec.Plan. OF) - 0,00€</t>
  </si>
  <si>
    <t xml:space="preserve">    31200.0160 - Subproyecto - 140,00€</t>
  </si>
  <si>
    <t xml:space="preserve">        44029 (Recep OC) - 140,00€</t>
  </si>
  <si>
    <t xml:space="preserve">    31200.0160 - Subproyecto - 1.100,00€</t>
  </si>
  <si>
    <t xml:space="preserve">        44027 (Recep OC) - 1.100,00€</t>
  </si>
  <si>
    <t xml:space="preserve">    31200.0160 - Subproyecto - 378,00€</t>
  </si>
  <si>
    <t xml:space="preserve">        44074 (Recep OC) - 378,00€</t>
  </si>
  <si>
    <t xml:space="preserve">        405/6-00-000 (Rec.Plan. OF) - 0,00€</t>
  </si>
  <si>
    <t xml:space="preserve">    31200.0160 - Subproyecto - 0,60€</t>
  </si>
  <si>
    <t xml:space="preserve">        116021 (Estándar) - 0,60€</t>
  </si>
  <si>
    <t xml:space="preserve">    31200.0160 - Subproyecto - 0,02€</t>
  </si>
  <si>
    <t xml:space="preserve">        101373 (Estándar) - 0,02€</t>
  </si>
  <si>
    <t xml:space="preserve">    31200.0160 - Subproyecto - 3,41€</t>
  </si>
  <si>
    <t xml:space="preserve">        105437 (Estándar) - 3,41€</t>
  </si>
  <si>
    <t xml:space="preserve">        104666 (Estándar) - 0,00€</t>
  </si>
  <si>
    <t xml:space="preserve">        280-00-000-1 (Rec.Plan. OF) - 0,00€</t>
  </si>
  <si>
    <t xml:space="preserve">    31200.0160 - Subproyecto - 1,09€</t>
  </si>
  <si>
    <t xml:space="preserve">        105307 (Estándar) - 1,09€</t>
  </si>
  <si>
    <t xml:space="preserve">    31200.0160 - Subproyecto - 0,63€</t>
  </si>
  <si>
    <t xml:space="preserve">        104600 (Estándar) - 0,63€</t>
  </si>
  <si>
    <t xml:space="preserve">    31200.0160 - Subproyecto - 1,54€</t>
  </si>
  <si>
    <t xml:space="preserve">        104693 (Estándar) - 1,54€</t>
  </si>
  <si>
    <t xml:space="preserve">    31200.0160 - Subproyecto - 412,50€</t>
  </si>
  <si>
    <t xml:space="preserve">        44000 (Recep OC) - 412,50€</t>
  </si>
  <si>
    <t xml:space="preserve">        510-00-000-1 (Rec.Plan. OF) - 0,00€</t>
  </si>
  <si>
    <t xml:space="preserve">        410-00-000-1+1 (Rec.Plan. OF) - 0,00€</t>
  </si>
  <si>
    <t xml:space="preserve">        610-00-000-1 (Rec.Plan. OF) - 0,00€</t>
  </si>
  <si>
    <t xml:space="preserve">        710-00-000-1 (Rec.Plan. OF) - 0,00€</t>
  </si>
  <si>
    <t xml:space="preserve">    31200.0160 - Subproyecto - 4,00€</t>
  </si>
  <si>
    <t xml:space="preserve">        116571 (Estándar) - 4,00€</t>
  </si>
  <si>
    <t xml:space="preserve">    31200.0160 - Subproyecto - 1,96€</t>
  </si>
  <si>
    <t xml:space="preserve">        111988 (Estándar) - 1,96€</t>
  </si>
  <si>
    <t xml:space="preserve">    31200.0160 - Subproyecto - 247,00€</t>
  </si>
  <si>
    <t xml:space="preserve">        44025 (Recep OC) - 247,00€</t>
  </si>
  <si>
    <t xml:space="preserve">    31200.0160 - Subproyecto - 2,40€</t>
  </si>
  <si>
    <t xml:space="preserve">        110597 (Estándar) - 2,40€</t>
  </si>
  <si>
    <t xml:space="preserve">    31200.0160 - Subproyecto - 9.709,00€</t>
  </si>
  <si>
    <t xml:space="preserve">        66044 (Recep OC) - 9.709,00€</t>
  </si>
  <si>
    <t xml:space="preserve">    31200.0160 - Subproyecto - 2.561,00€</t>
  </si>
  <si>
    <t xml:space="preserve">        44021 (Recep OC) - 2.561,00€</t>
  </si>
  <si>
    <t xml:space="preserve">        205-00-000-1+1 (Rec.Plan. OF) - 0,00€</t>
  </si>
  <si>
    <t xml:space="preserve">        230-00-000-1 (Rec.Plan. OF) - 0,00€</t>
  </si>
  <si>
    <t xml:space="preserve">    31200.0160 - Subproyecto - 30,75€</t>
  </si>
  <si>
    <t xml:space="preserve">        100979 (Estándar) - 30,75€</t>
  </si>
  <si>
    <t xml:space="preserve">    31200.0160 - Subproyecto - 1,23€</t>
  </si>
  <si>
    <t xml:space="preserve">        128588 (Estándar) - 1,23€</t>
  </si>
  <si>
    <t xml:space="preserve">    31200.0160 - Subproyecto - 6,38€</t>
  </si>
  <si>
    <t xml:space="preserve">        100954 (Estándar) - 6,38€</t>
  </si>
  <si>
    <t xml:space="preserve">        210-00-000-1 (Rec.Plan. OF) - 0,00€</t>
  </si>
  <si>
    <t xml:space="preserve">        128588 (Estándar) - 0,00€</t>
  </si>
  <si>
    <t xml:space="preserve">    31200.0160 - Subproyecto - 54,25€</t>
  </si>
  <si>
    <t xml:space="preserve">        104203 (Estándar) - 54,25€</t>
  </si>
  <si>
    <t xml:space="preserve">    31200.0160 - Subproyecto - 138,96€</t>
  </si>
  <si>
    <t xml:space="preserve">        104267 (Estándar) - 138,96€</t>
  </si>
  <si>
    <t xml:space="preserve">    31200.0160 - Subproyecto - 2,13€</t>
  </si>
  <si>
    <t xml:space="preserve">        100977 (Estándar) - 2,13€</t>
  </si>
  <si>
    <t xml:space="preserve">    31200.0160 - Subproyecto - 9,30€</t>
  </si>
  <si>
    <t xml:space="preserve">        145139 (Estándar) - 9,30€</t>
  </si>
  <si>
    <t xml:space="preserve">    31200.0160 - Subproyecto - 478,29€</t>
  </si>
  <si>
    <t xml:space="preserve">            99122 (Recep OC) - 478,29€</t>
  </si>
  <si>
    <t xml:space="preserve">    31200.0160 - Subproyecto - 29,75€</t>
  </si>
  <si>
    <t xml:space="preserve">            99123 (Recep OC) - 29,75€</t>
  </si>
  <si>
    <t xml:space="preserve">    31200.0160 - Subproyecto - 26,75€</t>
  </si>
  <si>
    <t xml:space="preserve">            99124 (Recep OC) - 26,75€</t>
  </si>
  <si>
    <t xml:space="preserve">    31200.0160 - Subproyecto - 37,95€</t>
  </si>
  <si>
    <t xml:space="preserve">            99161 (Recep OC) - 37,95€</t>
  </si>
  <si>
    <t xml:space="preserve">    31200.0160 - Subproyecto - 113,85€</t>
  </si>
  <si>
    <t xml:space="preserve">            99161 (Recep OC) - 113,85€</t>
  </si>
  <si>
    <t xml:space="preserve">    31200.0160 - Subproyecto - 181,90€</t>
  </si>
  <si>
    <t xml:space="preserve">            99162 (Recep OC) - 181,90€</t>
  </si>
  <si>
    <t xml:space="preserve">    31200.0160 - Subproyecto - 9,08€</t>
  </si>
  <si>
    <t xml:space="preserve">            129997 (Estándar) - 9,08€</t>
  </si>
  <si>
    <t xml:space="preserve">    31200.0160 - Subproyecto - 27.339,00€</t>
  </si>
  <si>
    <t xml:space="preserve">            C210-00-000-1 (Recep OC) - 27.339,00€</t>
  </si>
  <si>
    <t xml:space="preserve">    31200.0160 - Subproyecto - 252,60€</t>
  </si>
  <si>
    <t xml:space="preserve">            99160 (Recep OC) - 252,60€</t>
  </si>
  <si>
    <t xml:space="preserve">    31200.0160 - Subproyecto - 402,58€</t>
  </si>
  <si>
    <t xml:space="preserve">            99121 (Recep OC) - 402,58€</t>
  </si>
  <si>
    <t xml:space="preserve">    31200.0160 - Subproyecto - 285,60€</t>
  </si>
  <si>
    <t xml:space="preserve">            99044 (Recep OC) - 285,60€</t>
  </si>
  <si>
    <t xml:space="preserve">    31200.0160 - Subproyecto - 0,96€</t>
  </si>
  <si>
    <t xml:space="preserve">            99081 (Recep OC) - 0,96€</t>
  </si>
  <si>
    <t xml:space="preserve">    31200.0160 - Subproyecto - 448,00€</t>
  </si>
  <si>
    <t xml:space="preserve">            99074 (Recep OC) - 448,00€</t>
  </si>
  <si>
    <t xml:space="preserve">    31200.0160 - Subproyecto - 117,04€</t>
  </si>
  <si>
    <t xml:space="preserve">            99139 (Recep OC) - 117,04€</t>
  </si>
  <si>
    <t xml:space="preserve">    31200.0160 - Subproyecto - 55,78€</t>
  </si>
  <si>
    <t xml:space="preserve">            99059 (Recep OC) - 55,78€</t>
  </si>
  <si>
    <t xml:space="preserve">    31200.0160 - Subproyecto - 159,80€</t>
  </si>
  <si>
    <t xml:space="preserve">            99043 (Recep OC) - 159,80€</t>
  </si>
  <si>
    <t xml:space="preserve">    31200.0160 - Subproyecto - 138,50€</t>
  </si>
  <si>
    <t xml:space="preserve">            99041 (Recep OC) - 138,50€</t>
  </si>
  <si>
    <t xml:space="preserve">    31200.0160 - Subproyecto - 53,50€</t>
  </si>
  <si>
    <t xml:space="preserve">    31200.0160 - Subproyecto - 29,11€</t>
  </si>
  <si>
    <t xml:space="preserve">            137082 (Recep OC) - 29,11€</t>
  </si>
  <si>
    <t xml:space="preserve">            145947 (Recep OC) - 53,50€</t>
  </si>
  <si>
    <t xml:space="preserve">    31200.0160 - Subproyecto - 212,12€</t>
  </si>
  <si>
    <t xml:space="preserve">            99120 (Recep OC) - 212,12€</t>
  </si>
  <si>
    <t xml:space="preserve">    31200.0160 - Subproyecto - 6.421,00€</t>
  </si>
  <si>
    <t xml:space="preserve">            MOD-12397 (Recep OC) - 6.421,00€</t>
  </si>
  <si>
    <t xml:space="preserve">    31200.0160 - Subproyecto - 11.170,00€</t>
  </si>
  <si>
    <t xml:space="preserve">            C230-00-000-1 (Recep OC) - 11.170,00€</t>
  </si>
  <si>
    <t xml:space="preserve">    31200.0160 - Subproyecto - 318,86€</t>
  </si>
  <si>
    <t xml:space="preserve">    31200.0160 - Subproyecto - 133,75€</t>
  </si>
  <si>
    <t xml:space="preserve">            145946 (Recep OC) - 133,75€</t>
  </si>
  <si>
    <t xml:space="preserve">    31200.0160 - Subproyecto - 252,48€</t>
  </si>
  <si>
    <t xml:space="preserve">            99040 (Recep OC) - 252,48€</t>
  </si>
  <si>
    <t xml:space="preserve">            205-00-000-1 (Rec.Plan. OF) - 0,00€</t>
  </si>
  <si>
    <t xml:space="preserve">    31200.0160 - Subproyecto - 460,10€</t>
  </si>
  <si>
    <t xml:space="preserve">            145542 (Recep OC) - 460,10€</t>
  </si>
  <si>
    <t xml:space="preserve">    31200.0160 - Subproyecto - 5,28€</t>
  </si>
  <si>
    <t xml:space="preserve">    31200.0160 - Subproyecto - 145,55€</t>
  </si>
  <si>
    <t xml:space="preserve">            137082 (Recep OC) - 145,55€</t>
  </si>
  <si>
    <t xml:space="preserve">    31200.0160 - Subproyecto - 52,82€</t>
  </si>
  <si>
    <t xml:space="preserve">            137081 (Recep OC) - 52,82€</t>
  </si>
  <si>
    <t xml:space="preserve">    31200.0160 - Subproyecto - 23,16€</t>
  </si>
  <si>
    <t xml:space="preserve">            127426 (Recep OC) - 23,16€</t>
  </si>
  <si>
    <t xml:space="preserve">    31200.0160 - Subproyecto - 5,40€</t>
  </si>
  <si>
    <t xml:space="preserve">            103133 (Estándar) - 5,40€</t>
  </si>
  <si>
    <t xml:space="preserve">    31200.0160 - Subproyecto - 1,35€</t>
  </si>
  <si>
    <t xml:space="preserve">            99110 (Recep OC) - 1,35€</t>
  </si>
  <si>
    <t xml:space="preserve">    31200.0160 - Subproyecto - 997,00€</t>
  </si>
  <si>
    <t xml:space="preserve">            99061 (Recep OC) - 997,00€</t>
  </si>
  <si>
    <t xml:space="preserve">            99060 (Recep OC) - 997,00€</t>
  </si>
  <si>
    <t xml:space="preserve">    31200.0160 - Subproyecto - 203,30€</t>
  </si>
  <si>
    <t xml:space="preserve">            143189 (Recep OC) - 203,30€</t>
  </si>
  <si>
    <t xml:space="preserve">    31200.0160 - Subproyecto - 637,72€</t>
  </si>
  <si>
    <t xml:space="preserve">    31200.0160 - Subproyecto - 87,33€</t>
  </si>
  <si>
    <t xml:space="preserve">            137082 (Recep OC) - 87,33€</t>
  </si>
  <si>
    <t xml:space="preserve">    31200.0160 - Subproyecto - 34,96€</t>
  </si>
  <si>
    <t xml:space="preserve">            114669 (Recep OC) - 34,96€</t>
  </si>
  <si>
    <t xml:space="preserve">    31200.0160 - Subproyecto - 5,88€</t>
  </si>
  <si>
    <t xml:space="preserve">            103133 (Estándar) - 5,88€</t>
  </si>
  <si>
    <t xml:space="preserve">    31200.0160 - Subproyecto - 174,00€</t>
  </si>
  <si>
    <t xml:space="preserve">            143744 (Recep OC) - 174,00€</t>
  </si>
  <si>
    <t xml:space="preserve">    31200.0160 - Subproyecto - 348,00€</t>
  </si>
  <si>
    <t xml:space="preserve">            143744 (Recep OC) - 348,00€</t>
  </si>
  <si>
    <t xml:space="preserve">    31200.0160 - Subproyecto - 9,64€</t>
  </si>
  <si>
    <t xml:space="preserve">            142006 (Recep OC) - 9,64€</t>
  </si>
  <si>
    <t xml:space="preserve">    31200.0160 - Subproyecto - 145,52€</t>
  </si>
  <si>
    <t xml:space="preserve">            141144 (Transfer. Stock) - 145,52€</t>
  </si>
  <si>
    <t xml:space="preserve">            99071 (Compra) - 0,00€</t>
  </si>
  <si>
    <t xml:space="preserve">            99052 (Recep OC) - 53,50€</t>
  </si>
  <si>
    <t xml:space="preserve">            99051 (Recep OC) - 53,50€</t>
  </si>
  <si>
    <t xml:space="preserve">    31200.0160 - Subproyecto - 892,38€</t>
  </si>
  <si>
    <t xml:space="preserve">    31200.0160 - Subproyecto - 116,44€</t>
  </si>
  <si>
    <t xml:space="preserve">    31200.0160 - Subproyecto - 63,36€</t>
  </si>
  <si>
    <t xml:space="preserve">            118960 (Recep OC) - 63,36€</t>
  </si>
  <si>
    <t xml:space="preserve">    31200.0160 - Subproyecto - 378,72€</t>
  </si>
  <si>
    <t xml:space="preserve">            99040 (Recep OC) - 378,72€</t>
  </si>
  <si>
    <t xml:space="preserve">    31200.0160 - Subproyecto - 497,16€</t>
  </si>
  <si>
    <t xml:space="preserve">            99141 (Recep OC) - 497,16€</t>
  </si>
  <si>
    <t xml:space="preserve">    31200.0160 - Subproyecto - 4.395,00€</t>
  </si>
  <si>
    <t xml:space="preserve">            C480-00-000-1 (Recep OC) - 4.395,00€</t>
  </si>
  <si>
    <t xml:space="preserve">    31200.0160 - Subproyecto - 6.251,00€</t>
  </si>
  <si>
    <t xml:space="preserve">            C580-00-000-1 (Recep OC) - 6.251,00€</t>
  </si>
  <si>
    <t xml:space="preserve">    31200.0160 - Subproyecto - 374,50€</t>
  </si>
  <si>
    <t xml:space="preserve">            145947 (Recep OC) - 374,50€</t>
  </si>
  <si>
    <t xml:space="preserve">    31200.0160 - Subproyecto - 107,00€</t>
  </si>
  <si>
    <t xml:space="preserve">            145947 (Recep OC) - 107,00€</t>
  </si>
  <si>
    <t xml:space="preserve">    31200.0160 - Subproyecto - 28,92€</t>
  </si>
  <si>
    <t xml:space="preserve">            142006 (Recep OC) - 28,92€</t>
  </si>
  <si>
    <t xml:space="preserve">    31200.0160 - Subproyecto - 2.677,14€</t>
  </si>
  <si>
    <t xml:space="preserve">            141139 (Recep OC) - 2.677,14€</t>
  </si>
  <si>
    <t xml:space="preserve">    31200.0160 - Subproyecto - 349,32€</t>
  </si>
  <si>
    <t xml:space="preserve">            137082 (Recep OC) - 349,32€</t>
  </si>
  <si>
    <t xml:space="preserve">    31200.0160 - Subproyecto - 190,08€</t>
  </si>
  <si>
    <t xml:space="preserve">            118960 (Recep OC) - 190,08€</t>
  </si>
  <si>
    <t xml:space="preserve">    31200.0160 - Subproyecto - 63,12€</t>
  </si>
  <si>
    <t xml:space="preserve">    31200.0160 - Subproyecto - 108,24€</t>
  </si>
  <si>
    <t xml:space="preserve">            99138 (Recep OC) - 108,24€</t>
  </si>
  <si>
    <t xml:space="preserve">    31200.0160 - Subproyecto - 10.486,00€</t>
  </si>
  <si>
    <t xml:space="preserve">            C380-00-000-1 (Recep OC) - 10.486,00€</t>
  </si>
  <si>
    <t xml:space="preserve">    31200.0160 - Subproyecto - 12.502,00€</t>
  </si>
  <si>
    <t xml:space="preserve">            C580-00-000-1 (Recep OC) - 12.502,00€</t>
  </si>
  <si>
    <t xml:space="preserve">    31200.0160 - Subproyecto - 165,72€</t>
  </si>
  <si>
    <t xml:space="preserve">            99141 (Recep OC) - 165,72€</t>
  </si>
  <si>
    <t xml:space="preserve">    31200.0160 - Subproyecto - 126,24€</t>
  </si>
  <si>
    <t xml:space="preserve">            99040 (Recep OC) - 126,24€</t>
  </si>
  <si>
    <t xml:space="preserve">    31200.0160 - Subproyecto - 58,22€</t>
  </si>
  <si>
    <t xml:space="preserve">    31200.0160 - Subproyecto - 616,32€</t>
  </si>
  <si>
    <t xml:space="preserve">    31200.0160 - Subproyecto - 12,40€</t>
  </si>
  <si>
    <t xml:space="preserve">            138291 (Recep OC) - 12,40€</t>
  </si>
  <si>
    <t xml:space="preserve">    31200.0160 - Subproyecto - 10,56€</t>
  </si>
  <si>
    <t xml:space="preserve">            138289 (Recep OC) - 10,56€</t>
  </si>
  <si>
    <t xml:space="preserve">    31200.0160 - Subproyecto - 105,64€</t>
  </si>
  <si>
    <t xml:space="preserve">    31200.0160 - Subproyecto - 15,04€</t>
  </si>
  <si>
    <t xml:space="preserve">            129997 (Recep OC) - 15,04€</t>
  </si>
  <si>
    <t xml:space="preserve">    31200.0160 - Subproyecto - 30,36€</t>
  </si>
  <si>
    <t xml:space="preserve">            119812 (Recep OC) - 30,36€</t>
  </si>
  <si>
    <t xml:space="preserve">    31200.0160 - Subproyecto - 8.966,00€</t>
  </si>
  <si>
    <t xml:space="preserve">            C280-00-000-1 (Recep OC) - 8.966,00€</t>
  </si>
  <si>
    <t xml:space="preserve">    31200.0160 - Subproyecto - 247,80€</t>
  </si>
  <si>
    <t xml:space="preserve">            99132 (Recep OC) - 247,80€</t>
  </si>
  <si>
    <t xml:space="preserve">    31200.0160 - Subproyecto - 594,92€</t>
  </si>
  <si>
    <t xml:space="preserve">    31200.0160 - Subproyecto - 46,32€</t>
  </si>
  <si>
    <t xml:space="preserve">    31200.0160 - Subproyecto - 1.750,00€</t>
  </si>
  <si>
    <t xml:space="preserve">            C710-00-000-1MOD (Recep OC) - 1.750,00€</t>
  </si>
  <si>
    <t xml:space="preserve">    31200.0160 - Subproyecto - 7.222,00€</t>
  </si>
  <si>
    <t xml:space="preserve">            C710-00-000-1 (Recep OC) - 7.222,00€</t>
  </si>
  <si>
    <t xml:space="preserve">    31200.0160 - Subproyecto - 160,50€</t>
  </si>
  <si>
    <t xml:space="preserve">            99050 (Recep OC) - 160,50€</t>
  </si>
  <si>
    <t xml:space="preserve">    31200.0160 - Subproyecto - 214,00€</t>
  </si>
  <si>
    <t xml:space="preserve">            145946 (Recep OC) - 214,00€</t>
  </si>
  <si>
    <t xml:space="preserve">    31200.0160 - Subproyecto - 1.275,44€</t>
  </si>
  <si>
    <t xml:space="preserve">    31200.0160 - Subproyecto - 924,48€</t>
  </si>
  <si>
    <t xml:space="preserve">            141143 (Recep OC) - 924,48€</t>
  </si>
  <si>
    <t xml:space="preserve">    31200.0160 - Subproyecto - 395,90€</t>
  </si>
  <si>
    <t xml:space="preserve">    31200.0160 - Subproyecto - 123,90€</t>
  </si>
  <si>
    <t xml:space="preserve">            99132 (Recep OC) - 123,90€</t>
  </si>
  <si>
    <t xml:space="preserve">    31200.0160 - Subproyecto - 18,16€</t>
  </si>
  <si>
    <t xml:space="preserve">            129997 (Recep OC) - 18,16€</t>
  </si>
  <si>
    <t xml:space="preserve">    31200.0160 - Subproyecto - 18.299,00€</t>
  </si>
  <si>
    <t xml:space="preserve">            C205-00-000-1+1 (Recep OC) - 18.299,00€</t>
  </si>
  <si>
    <t xml:space="preserve">    31200.0160 - Subproyecto - 242,56€</t>
  </si>
  <si>
    <t xml:space="preserve">            99181 (Recep OC) - 242,56€</t>
  </si>
  <si>
    <t xml:space="preserve">    31200.0160 - Subproyecto - 318,00€</t>
  </si>
  <si>
    <t xml:space="preserve">            99180 (Recep OC) - 318,00€</t>
  </si>
  <si>
    <t xml:space="preserve">    31200.0160 - Subproyecto - 337,20€</t>
  </si>
  <si>
    <t xml:space="preserve">            99179 (Recep OC) - 337,20€</t>
  </si>
  <si>
    <t xml:space="preserve">    31200.0160 - Subproyecto - 82,00€</t>
  </si>
  <si>
    <t xml:space="preserve">            99178 (Recep OC) - 82,00€</t>
  </si>
  <si>
    <t xml:space="preserve">    31200.0160 - Subproyecto - 92,80€</t>
  </si>
  <si>
    <t xml:space="preserve">            99177 (Recep OC) - 92,80€</t>
  </si>
  <si>
    <t xml:space="preserve">    31200.0160 - Subproyecto - 358,16€</t>
  </si>
  <si>
    <t xml:space="preserve">            99176 (Recep OC) - 358,16€</t>
  </si>
  <si>
    <t xml:space="preserve">    31200.0160 - Subproyecto - 269,76€</t>
  </si>
  <si>
    <t xml:space="preserve">            99140 (Recep OC) - 269,76€</t>
  </si>
  <si>
    <t xml:space="preserve">    31200.0160 - Subproyecto - 216,48€</t>
  </si>
  <si>
    <t xml:space="preserve">            99138 (Recep OC) - 216,48€</t>
  </si>
  <si>
    <t xml:space="preserve">    31200.0160 - Subproyecto - 42,84€</t>
  </si>
  <si>
    <t xml:space="preserve">            99090 (Recep OC) - 42,84€</t>
  </si>
  <si>
    <t xml:space="preserve">    31200.0160 - Subproyecto - 281,00€</t>
  </si>
  <si>
    <t xml:space="preserve">            99182 (Recep OC) - 281,00€</t>
  </si>
  <si>
    <t xml:space="preserve">    31200.0160 - Subproyecto - 880,92€</t>
  </si>
  <si>
    <t xml:space="preserve">            99089 (Recep OC) - 880,92€</t>
  </si>
  <si>
    <t xml:space="preserve">    31200.0160 - Subproyecto - 1.344,00€</t>
  </si>
  <si>
    <t xml:space="preserve">            99074 (Recep OC) - 1.344,00€</t>
  </si>
  <si>
    <t xml:space="preserve">    31200.0160 - Subproyecto - 446,24€</t>
  </si>
  <si>
    <t xml:space="preserve">            99059 (Recep OC) - 446,24€</t>
  </si>
  <si>
    <t xml:space="preserve">    31200.0160 - Subproyecto - 21,40€</t>
  </si>
  <si>
    <t xml:space="preserve">            99057 (Recep OC) - 21,40€</t>
  </si>
  <si>
    <t xml:space="preserve">    31200.0160 - Subproyecto - 128,40€</t>
  </si>
  <si>
    <t xml:space="preserve">            99057 (Recep OC) - 128,40€</t>
  </si>
  <si>
    <t xml:space="preserve">            99056 (Recep OC) - 53,50€</t>
  </si>
  <si>
    <t xml:space="preserve">            99055 (Recep OC) - 53,50€</t>
  </si>
  <si>
    <t xml:space="preserve">    31200.0160 - Subproyecto - 720,20€</t>
  </si>
  <si>
    <t xml:space="preserve">            99041 (Recep OC) - 720,20€</t>
  </si>
  <si>
    <t xml:space="preserve">    31200.0160 - Subproyecto - 166,20€</t>
  </si>
  <si>
    <t xml:space="preserve">            99041 (Recep OC) - 166,20€</t>
  </si>
  <si>
    <t xml:space="preserve">    31200.0160 - Subproyecto - 219,16€</t>
  </si>
  <si>
    <t xml:space="preserve">            99085 (Recep OC) - 219,16€</t>
  </si>
  <si>
    <t xml:space="preserve">    31200.0160 - Subproyecto - -166,20€</t>
  </si>
  <si>
    <t xml:space="preserve">            99041 (Recep OC) - -166,20€</t>
  </si>
  <si>
    <t xml:space="preserve">    31200.0160 - Subproyecto - 73.580,00€</t>
  </si>
  <si>
    <t xml:space="preserve">            C410-00-000-1+1 (Recep OC) - 73.580,00€</t>
  </si>
  <si>
    <t xml:space="preserve">    31200.0160 - Subproyecto - 3.450,00€</t>
  </si>
  <si>
    <t xml:space="preserve">            780-00-000-1A (Rec.Plan. OC) - 3.450,00€</t>
  </si>
  <si>
    <t xml:space="preserve">    31200.0160 - Subproyecto - 4.263,00€</t>
  </si>
  <si>
    <t xml:space="preserve">            C880-00-000-1 (Recep OC) - 4.263,00€</t>
  </si>
  <si>
    <t xml:space="preserve">    31200.0160 - Subproyecto - 82,86€</t>
  </si>
  <si>
    <t xml:space="preserve">            99141 (Recep OC) - 82,86€</t>
  </si>
  <si>
    <t xml:space="preserve">    31200.0160 - Subproyecto - 80,25€</t>
  </si>
  <si>
    <t xml:space="preserve">            145947 (Recep OC) - 80,25€</t>
  </si>
  <si>
    <t xml:space="preserve">    31200.0160 - Subproyecto - 4,82€</t>
  </si>
  <si>
    <t xml:space="preserve">            142006 (Recep OC) - 4,82€</t>
  </si>
  <si>
    <t xml:space="preserve">    31200.0160 - Subproyecto - 446,19€</t>
  </si>
  <si>
    <t xml:space="preserve">            141139 (Recep OC) - 446,19€</t>
  </si>
  <si>
    <t xml:space="preserve">    31200.0160 - Subproyecto - 31,68€</t>
  </si>
  <si>
    <t xml:space="preserve">            118960 (Recep OC) - 31,68€</t>
  </si>
  <si>
    <t xml:space="preserve">    31200.0160 - Subproyecto - 42,00€</t>
  </si>
  <si>
    <t xml:space="preserve">            146438 (Recep OC) - 42,00€</t>
  </si>
  <si>
    <t xml:space="preserve">    31200.0160 - Subproyecto - 1.232,64€</t>
  </si>
  <si>
    <t xml:space="preserve">            141143 (Recep OC) - 1.232,64€</t>
  </si>
  <si>
    <t xml:space="preserve">    31200.0160 - Subproyecto - 10,81€</t>
  </si>
  <si>
    <t xml:space="preserve">            103133 (Estándar) - 10,81€</t>
  </si>
  <si>
    <t xml:space="preserve">    31200.0160 - Subproyecto - 268,72€</t>
  </si>
  <si>
    <t xml:space="preserve">            99197 (Recep OC) - 268,72€</t>
  </si>
  <si>
    <t xml:space="preserve">    31200.0160 - Subproyecto - 8.528,00€</t>
  </si>
  <si>
    <t xml:space="preserve">            C830-00-000-1 (Recep OC) - 8.528,00€</t>
  </si>
  <si>
    <t xml:space="preserve">    31200.0160 - Subproyecto - 568,08€</t>
  </si>
  <si>
    <t xml:space="preserve">            99040 (Recep OC) - 568,08€</t>
  </si>
  <si>
    <t xml:space="preserve">            145947 (Recep OC) - 214,00€</t>
  </si>
  <si>
    <t xml:space="preserve">            99054 (Recep OC) - 107,00€</t>
  </si>
  <si>
    <t xml:space="preserve">            99049 (Recep OC) - 26,75€</t>
  </si>
  <si>
    <t xml:space="preserve">            99048 (Recep OC) - 26,75€</t>
  </si>
  <si>
    <t xml:space="preserve">    31200.0160 - Subproyecto - 189,36€</t>
  </si>
  <si>
    <t xml:space="preserve">            99040 (Recep OC) - 189,36€</t>
  </si>
  <si>
    <t xml:space="preserve">    31200.0160 - Subproyecto - 2.234,16€</t>
  </si>
  <si>
    <t xml:space="preserve">            143847 (Recep OC) - 2.234,16€</t>
  </si>
  <si>
    <t xml:space="preserve">    31200.0160 - Subproyecto - 422,56€</t>
  </si>
  <si>
    <t xml:space="preserve">            137081 (Recep OC) - 422,56€</t>
  </si>
  <si>
    <t xml:space="preserve">    31200.0160 - Subproyecto - 3,68€</t>
  </si>
  <si>
    <t xml:space="preserve">            135397 (Recep OC) - 3,68€</t>
  </si>
  <si>
    <t xml:space="preserve">    31200.0160 - Subproyecto - 7,92€</t>
  </si>
  <si>
    <t xml:space="preserve">            132508 (Recep OC) - 7,92€</t>
  </si>
  <si>
    <t xml:space="preserve">    31200.0160 - Subproyecto - 7,52€</t>
  </si>
  <si>
    <t xml:space="preserve">            129997 (Recep OC) - 7,52€</t>
  </si>
  <si>
    <t xml:space="preserve">    31200.0160 - Subproyecto - 259,62€</t>
  </si>
  <si>
    <t xml:space="preserve">            99171 (Recep OC) - 259,62€</t>
  </si>
  <si>
    <t xml:space="preserve">    31200.0160 - Subproyecto - 240,66€</t>
  </si>
  <si>
    <t xml:space="preserve">            99170 (Recep OC) - 240,66€</t>
  </si>
  <si>
    <t xml:space="preserve">    31200.0160 - Subproyecto - 3,96€</t>
  </si>
  <si>
    <t xml:space="preserve">            132508 (Recep OC) - 3,96€</t>
  </si>
  <si>
    <t xml:space="preserve">    31200.0160 - Subproyecto - 413,10€</t>
  </si>
  <si>
    <t xml:space="preserve">            99173 (Recep OC) - 413,10€</t>
  </si>
  <si>
    <t xml:space="preserve">    31200.0160 - Subproyecto - 65,04€</t>
  </si>
  <si>
    <t xml:space="preserve">            99071 (Recep OC) - 65,04€</t>
  </si>
  <si>
    <t xml:space="preserve">    31200.0160 - Subproyecto - 380,02€</t>
  </si>
  <si>
    <t xml:space="preserve">            99174 (Recep OC) - 380,02€</t>
  </si>
  <si>
    <t xml:space="preserve">    31200.0160 - Subproyecto - 321,00€</t>
  </si>
  <si>
    <t xml:space="preserve">            145946 (Recep OC) - 321,00€</t>
  </si>
  <si>
    <t xml:space="preserve">    31200.0160 - Subproyecto - 1.489,44€</t>
  </si>
  <si>
    <t xml:space="preserve">            143847 (Recep OC) - 1.489,44€</t>
  </si>
  <si>
    <t xml:space="preserve">    31200.0160 - Subproyecto - 2.610,00€</t>
  </si>
  <si>
    <t xml:space="preserve">            143744 (Recep OC) - 2.610,00€</t>
  </si>
  <si>
    <t xml:space="preserve">    31200.0160 - Subproyecto - 64,20€</t>
  </si>
  <si>
    <t xml:space="preserve">            142180 (Recep OC) - 64,20€</t>
  </si>
  <si>
    <t xml:space="preserve">    31200.0160 - Subproyecto - 1.913,16€</t>
  </si>
  <si>
    <t xml:space="preserve">            141765 (Recep OC) - 1.913,16€</t>
  </si>
  <si>
    <t xml:space="preserve">    31200.0160 - Subproyecto - 316,92€</t>
  </si>
  <si>
    <t xml:space="preserve">            137081 (Recep OC) - 316,92€</t>
  </si>
  <si>
    <t xml:space="preserve">    31200.0160 - Subproyecto - 68,10€</t>
  </si>
  <si>
    <t xml:space="preserve">            129997 (Recep OC) - 68,10€</t>
  </si>
  <si>
    <t xml:space="preserve">    31200.0160 - Subproyecto - -9,08€</t>
  </si>
  <si>
    <t xml:space="preserve">            129997 (Recep OC) - -9,08€</t>
  </si>
  <si>
    <t xml:space="preserve">            129997 (Recep OC) - 9,08€</t>
  </si>
  <si>
    <t xml:space="preserve">    31200.0160 - Subproyecto - 13,62€</t>
  </si>
  <si>
    <t xml:space="preserve">            129997 (Recep OC) - 13,62€</t>
  </si>
  <si>
    <t xml:space="preserve">    31200.0160 - Subproyecto - 30,08€</t>
  </si>
  <si>
    <t xml:space="preserve">            129997 (Recep OC) - 30,08€</t>
  </si>
  <si>
    <t xml:space="preserve">    31200.0160 - Subproyecto - 69,92€</t>
  </si>
  <si>
    <t xml:space="preserve">            114669 (Recep OC) - 69,92€</t>
  </si>
  <si>
    <t xml:space="preserve">    31200.0160 - Subproyecto - 9,46€</t>
  </si>
  <si>
    <t xml:space="preserve">            103133 (Estándar) - 9,46€</t>
  </si>
  <si>
    <t xml:space="preserve">    31200.0160 - Subproyecto - 22.638,00€</t>
  </si>
  <si>
    <t xml:space="preserve">            C405/6-00-000 (Recep OC) - 22.638,00€</t>
  </si>
  <si>
    <t xml:space="preserve">    31200.0160 - Subproyecto - 440,10€</t>
  </si>
  <si>
    <t xml:space="preserve">            99175 (Recep OC) - 440,10€</t>
  </si>
  <si>
    <t xml:space="preserve">    31200.0160 - Subproyecto - 230,05€</t>
  </si>
  <si>
    <t xml:space="preserve">            145334 (Recep OC) - 230,05€</t>
  </si>
  <si>
    <t xml:space="preserve">            99068 (Compra) - 0,00€</t>
  </si>
  <si>
    <t xml:space="preserve">    31200.0160 - Subproyecto - 537,44€</t>
  </si>
  <si>
    <t xml:space="preserve">            99076 (Recep OC) - 537,44€</t>
  </si>
  <si>
    <t xml:space="preserve">    31200.0160 - Subproyecto - 2,70€</t>
  </si>
  <si>
    <t xml:space="preserve">            99075 (Recep OC) - 2,70€</t>
  </si>
  <si>
    <t xml:space="preserve">    31200.0160 - Subproyecto - 210,60€</t>
  </si>
  <si>
    <t xml:space="preserve">            99073 (Recep OC) - 210,60€</t>
  </si>
  <si>
    <t xml:space="preserve">            99062 (Compra) - 0,00€</t>
  </si>
  <si>
    <t xml:space="preserve">            99050 (Recep OC) - 107,00€</t>
  </si>
  <si>
    <t xml:space="preserve">            99042 (Compra) - 0,00€</t>
  </si>
  <si>
    <t xml:space="preserve">    31200.0160 - Subproyecto - 441,84€</t>
  </si>
  <si>
    <t xml:space="preserve">            99040 (Recep OC) - 441,84€</t>
  </si>
  <si>
    <t xml:space="preserve">    31200.0160 - Subproyecto - 1.219,80€</t>
  </si>
  <si>
    <t xml:space="preserve">            143189 (Recep OC) - 1.219,80€</t>
  </si>
  <si>
    <t xml:space="preserve">    31200.0160 - Subproyecto - 406,60€</t>
  </si>
  <si>
    <t xml:space="preserve">    31200.0160 - Subproyecto - 1.784,76€</t>
  </si>
  <si>
    <t xml:space="preserve">            141139 (Recep OC) - 1.784,76€</t>
  </si>
  <si>
    <t xml:space="preserve">    31200.0160 - Subproyecto - 523,98€</t>
  </si>
  <si>
    <t xml:space="preserve">            137082 (Recep OC) - 523,98€</t>
  </si>
  <si>
    <t xml:space="preserve">    31200.0160 - Subproyecto - 13,31€</t>
  </si>
  <si>
    <t xml:space="preserve">            103133 (Estándar) - 13,31€</t>
  </si>
  <si>
    <t xml:space="preserve">    31200.0160 - Subproyecto - 43.802,00€</t>
  </si>
  <si>
    <t xml:space="preserve">            C220-00-000-1 (Recep OC) - 43.802,00€</t>
  </si>
  <si>
    <t xml:space="preserve">    31200.0160 - Subproyecto - 170,92€</t>
  </si>
  <si>
    <t xml:space="preserve">            99137 (Recep OC) - 170,92€</t>
  </si>
  <si>
    <t xml:space="preserve">    31200.0160 - Subproyecto - 158,68€</t>
  </si>
  <si>
    <t xml:space="preserve">            99131 (Recep OC) - 158,68€</t>
  </si>
  <si>
    <t xml:space="preserve">    31200.0160 - Subproyecto - 7.636,00€</t>
  </si>
  <si>
    <t xml:space="preserve">            C410-00-000-1 (Recep OC) - 7.636,00€</t>
  </si>
  <si>
    <t xml:space="preserve">    31200.0160 - Subproyecto - 6.890,00€</t>
  </si>
  <si>
    <t xml:space="preserve">            C520-00-000-1 (Recep OC) - 6.890,00€</t>
  </si>
  <si>
    <t xml:space="preserve">            145946 (Recep OC) - 107,00€</t>
  </si>
  <si>
    <t xml:space="preserve">            141766 (Recep OC) - 616,32€</t>
  </si>
  <si>
    <t xml:space="preserve">    31200.0160 - Subproyecto - 438,70€</t>
  </si>
  <si>
    <t xml:space="preserve">            144570 (Recep OC) - 438,70€</t>
  </si>
  <si>
    <t xml:space="preserve">            145947 (Compra) - 0,00€</t>
  </si>
  <si>
    <t xml:space="preserve">            141139 (Compra) - 0,00€</t>
  </si>
  <si>
    <t xml:space="preserve">            99058 (Recep OC) - 145,52€</t>
  </si>
  <si>
    <t xml:space="preserve">    31200.0160 - Subproyecto - 11,28€</t>
  </si>
  <si>
    <t xml:space="preserve">            129997 (Recep OC) - 11,28€</t>
  </si>
  <si>
    <t xml:space="preserve">    31200.0160 - Subproyecto - 7,59€</t>
  </si>
  <si>
    <t xml:space="preserve">            119812 (Recep OC) - 7,59€</t>
  </si>
  <si>
    <t xml:space="preserve">    31200.0160 - Subproyecto - 317,36€</t>
  </si>
  <si>
    <t xml:space="preserve">            99136 (Recep OC) - 317,36€</t>
  </si>
  <si>
    <t xml:space="preserve">    31200.0160 - Subproyecto - 291,32€</t>
  </si>
  <si>
    <t xml:space="preserve">            99135 (Recep OC) - 291,32€</t>
  </si>
  <si>
    <t xml:space="preserve">    31200.0160 - Subproyecto - 21,12€</t>
  </si>
  <si>
    <t xml:space="preserve">            138289 (Recep OC) - 21,12€</t>
  </si>
  <si>
    <t xml:space="preserve">    31200.0160 - Subproyecto - 33.094,00€</t>
  </si>
  <si>
    <t xml:space="preserve">            C310-00-000-1 (Recep OC) - 33.094,00€</t>
  </si>
  <si>
    <t xml:space="preserve">    31200.0160 - Subproyecto - 1.022,04€</t>
  </si>
  <si>
    <t xml:space="preserve">            99045 (Recep OC) - 1.022,04€</t>
  </si>
  <si>
    <t xml:space="preserve">    31200.0160 - Subproyecto - 55,40€</t>
  </si>
  <si>
    <t xml:space="preserve">            99041 (Recep OC) - 55,40€</t>
  </si>
  <si>
    <t xml:space="preserve">            145945 (Recep OC) - 107,00€</t>
  </si>
  <si>
    <t xml:space="preserve">            145944 (Recep OC) - 53,50€</t>
  </si>
  <si>
    <t xml:space="preserve">            145943 (Recep OC) - 53,50€</t>
  </si>
  <si>
    <t xml:space="preserve">    31200.0160 - Subproyecto - 224,00€</t>
  </si>
  <si>
    <t xml:space="preserve">            99074 (Recep OC) - 224,00€</t>
  </si>
  <si>
    <t xml:space="preserve">    31200.0160 - Subproyecto - 465,76€</t>
  </si>
  <si>
    <t xml:space="preserve">            137082 (Recep OC) - 465,76€</t>
  </si>
  <si>
    <t xml:space="preserve">    31200.0160 - Subproyecto - 2.033,00€</t>
  </si>
  <si>
    <t xml:space="preserve">            143189 (Recep OC) - 2.033,00€</t>
  </si>
  <si>
    <t xml:space="preserve">    31200.0160 - Subproyecto - 291,04€</t>
  </si>
  <si>
    <t xml:space="preserve">            141912 (Recep OC) - 291,04€</t>
  </si>
  <si>
    <t xml:space="preserve">    31200.0160 - Subproyecto - 297,46€</t>
  </si>
  <si>
    <t xml:space="preserve">    31200.0160 - Subproyecto - 26,40€</t>
  </si>
  <si>
    <t xml:space="preserve">            126030 (Estándar) - 26,40€</t>
  </si>
  <si>
    <t xml:space="preserve">    31200.0160 - Subproyecto - 931,52€</t>
  </si>
  <si>
    <t xml:space="preserve">            137082 (Recep OC) - 931,52€</t>
  </si>
  <si>
    <t xml:space="preserve">    31200.0160 - Subproyecto - 44.344,00€</t>
  </si>
  <si>
    <t xml:space="preserve">            C320-00-000-1 (Recep OC) - 44.344,00€</t>
  </si>
  <si>
    <t xml:space="preserve">            99067 (Compra) - 0,00€</t>
  </si>
  <si>
    <t xml:space="preserve">            99066 (Compra) - 0,00€</t>
  </si>
  <si>
    <t xml:space="preserve">            99065 (Compra) - 0,00€</t>
  </si>
  <si>
    <t xml:space="preserve">    31200.0160 - Subproyecto - 1.994,00€</t>
  </si>
  <si>
    <t xml:space="preserve">            99061 (Recep OC) - 1.994,00€</t>
  </si>
  <si>
    <t xml:space="preserve">            99060 (Recep OC) - 1.994,00€</t>
  </si>
  <si>
    <t xml:space="preserve">    31200.0160 - Subproyecto - 223,12€</t>
  </si>
  <si>
    <t xml:space="preserve">            99059 (Recep OC) - 223,12€</t>
  </si>
  <si>
    <t xml:space="preserve">    31200.0160 - Subproyecto - 154,08€</t>
  </si>
  <si>
    <t xml:space="preserve">            141143 (Recep OC) - 154,08€</t>
  </si>
  <si>
    <t xml:space="preserve">    31200.0160 - Subproyecto - 110,80€</t>
  </si>
  <si>
    <t xml:space="preserve">            99041 (Recep OC) - 110,80€</t>
  </si>
  <si>
    <t xml:space="preserve">    31200.0160 - Subproyecto - 631,20€</t>
  </si>
  <si>
    <t xml:space="preserve">            99040 (Recep OC) - 631,20€</t>
  </si>
  <si>
    <t xml:space="preserve">            145945 (Recep OC) - 374,50€</t>
  </si>
  <si>
    <t xml:space="preserve">            145944 (Recep OC) - 107,00€</t>
  </si>
  <si>
    <t xml:space="preserve">            145943 (Recep OC) - 107,00€</t>
  </si>
  <si>
    <t xml:space="preserve">    31200.0160 - Subproyecto - 3.220,70€</t>
  </si>
  <si>
    <t xml:space="preserve">            145334 (Recep OC) - 3.220,70€</t>
  </si>
  <si>
    <t xml:space="preserve">            99050 (Recep OC) - 26,75€</t>
  </si>
  <si>
    <t xml:space="preserve">            99050 (Recep OC) - 214,00€</t>
  </si>
  <si>
    <t xml:space="preserve">    31200.0160 - Subproyecto - 315,60€</t>
  </si>
  <si>
    <t xml:space="preserve">            99040 (Recep OC) - 315,60€</t>
  </si>
  <si>
    <t xml:space="preserve">    31200.0160 - Subproyecto - 877,40€</t>
  </si>
  <si>
    <t xml:space="preserve">            144570 (Recep OC) - 877,40€</t>
  </si>
  <si>
    <t xml:space="preserve">    31200.0160 - Subproyecto - 791,80€</t>
  </si>
  <si>
    <t xml:space="preserve">    31200.0160 - Subproyecto - 611,31€</t>
  </si>
  <si>
    <t xml:space="preserve">            137082 (Recep OC) - 611,31€</t>
  </si>
  <si>
    <t xml:space="preserve">    31200.0160 - Subproyecto - 29,44€</t>
  </si>
  <si>
    <t xml:space="preserve">            133911 (Recep OC) - 29,44€</t>
  </si>
  <si>
    <t xml:space="preserve">            99053 (Recep OC) - 107,00€</t>
  </si>
  <si>
    <t xml:space="preserve">    31200.0160 - Subproyecto - 232,88€</t>
  </si>
  <si>
    <t xml:space="preserve">            137082 (Recep OC) - 232,88€</t>
  </si>
  <si>
    <t xml:space="preserve">    31200.0160 - Subproyecto - 128,52€</t>
  </si>
  <si>
    <t xml:space="preserve">            99134 (Recep OC) - 128,52€</t>
  </si>
  <si>
    <t xml:space="preserve">    31200.0160 - Subproyecto - 59.542,00€</t>
  </si>
  <si>
    <t xml:space="preserve">            C510-00-000-1 (Recep OC) - 59.542,00€</t>
  </si>
  <si>
    <t xml:space="preserve">    31200.0160 - Subproyecto - 371,52€</t>
  </si>
  <si>
    <t xml:space="preserve">            99084 (Recep OC) - 371,52€</t>
  </si>
  <si>
    <t xml:space="preserve">    31200.0160 - Subproyecto - 35,60€</t>
  </si>
  <si>
    <t xml:space="preserve">            99083 (Recep OC) - 35,60€</t>
  </si>
  <si>
    <t xml:space="preserve">    31200.0160 - Subproyecto - 1,92€</t>
  </si>
  <si>
    <t xml:space="preserve">            99081 (Recep OC) - 1,92€</t>
  </si>
  <si>
    <t xml:space="preserve">    31200.0160 - Subproyecto - 896,00€</t>
  </si>
  <si>
    <t xml:space="preserve">            99074 (Recep OC) - 896,00€</t>
  </si>
  <si>
    <t xml:space="preserve">            99070 (Compra) - 0,00€</t>
  </si>
  <si>
    <t xml:space="preserve">            99064 (Compra) - 0,00€</t>
  </si>
  <si>
    <t xml:space="preserve">    31200.0160 - Subproyecto - 111,56€</t>
  </si>
  <si>
    <t xml:space="preserve">            99059 (Recep OC) - 111,56€</t>
  </si>
  <si>
    <t xml:space="preserve">    31200.0160 - Subproyecto - 6.356,00€</t>
  </si>
  <si>
    <t xml:space="preserve">            C620-00-000-1 (Recep OC) - 6.356,00€</t>
  </si>
  <si>
    <t xml:space="preserve">    31200.0160 - Subproyecto - 920,20€</t>
  </si>
  <si>
    <t xml:space="preserve">            145334 (Recep OC) - 920,20€</t>
  </si>
  <si>
    <t xml:space="preserve">    31200.0160 - Subproyecto - 6,40€</t>
  </si>
  <si>
    <t xml:space="preserve">            99050 (Recep OC) - 53,50€</t>
  </si>
  <si>
    <t xml:space="preserve">    31200.0160 - Subproyecto - 308,16€</t>
  </si>
  <si>
    <t xml:space="preserve">            141143 (Recep OC) - 308,16€</t>
  </si>
  <si>
    <t xml:space="preserve">    31200.0160 - Subproyecto - 921,00€</t>
  </si>
  <si>
    <t xml:space="preserve">            MOD-11872 (Recep OC) - 921,00€</t>
  </si>
  <si>
    <t xml:space="preserve">    31200.0160 - Subproyecto - 0,70€</t>
  </si>
  <si>
    <t xml:space="preserve">            104626 (Estándar) - 0,70€</t>
  </si>
  <si>
    <t xml:space="preserve">    31200.0160 - Subproyecto - 633,84€</t>
  </si>
  <si>
    <t xml:space="preserve">            137081 (Recep OC) - 633,84€</t>
  </si>
  <si>
    <t xml:space="preserve">    31200.0160 - Subproyecto - 23,48€</t>
  </si>
  <si>
    <t xml:space="preserve">            132729 (Recep OC) - 23,48€</t>
  </si>
  <si>
    <t xml:space="preserve">    31200.0160 - Subproyecto - 372,36€</t>
  </si>
  <si>
    <t xml:space="preserve">    31200.0160 - Subproyecto - 252,84€</t>
  </si>
  <si>
    <t xml:space="preserve">            99133 (Recep OC) - 252,84€</t>
  </si>
  <si>
    <t xml:space="preserve">            99131 (Recep OC) - 317,36€</t>
  </si>
  <si>
    <t xml:space="preserve">    31200.0160 - Subproyecto - 24.536,00€</t>
  </si>
  <si>
    <t xml:space="preserve">            C610-00-000-1 (Recep OC) - 24.536,00€</t>
  </si>
  <si>
    <t xml:space="preserve">            99082 (Recep OC) - 464,00€</t>
  </si>
  <si>
    <t xml:space="preserve">    31200.0160 - Subproyecto - 571,20€</t>
  </si>
  <si>
    <t xml:space="preserve">            99080 (Recep OC) - 571,20€</t>
  </si>
  <si>
    <t xml:space="preserve">            99063 (Compra) - 0,00€</t>
  </si>
  <si>
    <t xml:space="preserve">            99057 (Recep OC) - 64,20€</t>
  </si>
  <si>
    <t xml:space="preserve">            99054 (Recep OC) - 214,00€</t>
  </si>
  <si>
    <t xml:space="preserve">            99049 (Recep OC) - 107,00€</t>
  </si>
  <si>
    <t xml:space="preserve">            99048 (Recep OC) - 107,00€</t>
  </si>
  <si>
    <t xml:space="preserve">    31200.0160 - Subproyecto - 264,56€</t>
  </si>
  <si>
    <t xml:space="preserve">            99079 (Recep OC) - 264,56€</t>
  </si>
  <si>
    <t xml:space="preserve">                99132 (Recep OC) - 123,90€</t>
  </si>
  <si>
    <t xml:space="preserve">                99081 (Recep OC) - 0,96€</t>
  </si>
  <si>
    <t xml:space="preserve">                143744 (Recep OC) - 348,00€</t>
  </si>
  <si>
    <t xml:space="preserve">                99051 (Recep OC) - 26,75€</t>
  </si>
  <si>
    <t xml:space="preserve">                99052 (Recep OC) - 26,75€</t>
  </si>
  <si>
    <t xml:space="preserve">                103133 (Estándar) - 5,88€</t>
  </si>
  <si>
    <t xml:space="preserve">                138289 (Recep OC) - 5,28€</t>
  </si>
  <si>
    <t xml:space="preserve">                141276 (Recep OC) - 637,72€</t>
  </si>
  <si>
    <t xml:space="preserve">                127426 (Recep OC) - 23,16€</t>
  </si>
  <si>
    <t xml:space="preserve">                145943 (Recep OC) - 26,75€</t>
  </si>
  <si>
    <t xml:space="preserve">                145944 (Recep OC) - 26,75€</t>
  </si>
  <si>
    <t xml:space="preserve">                145945 (Recep OC) - 107,00€</t>
  </si>
  <si>
    <t xml:space="preserve">                143189 (Recep OC) - 406,60€</t>
  </si>
  <si>
    <t>0170</t>
  </si>
  <si>
    <t>31200.0170 -  03 - Fabricación</t>
  </si>
  <si>
    <t>Sp-31200.0170</t>
  </si>
  <si>
    <t xml:space="preserve">    31200.0170 - Subproyecto - 234,50€</t>
  </si>
  <si>
    <t xml:space="preserve">        138585 (Recep OC) - 234,50€</t>
  </si>
  <si>
    <t xml:space="preserve">    31200.0170 - Subproyecto - 0,00€</t>
  </si>
  <si>
    <t xml:space="preserve">        00N12-1-00U (Rec.Plan. OF) - 0,00€</t>
  </si>
  <si>
    <t xml:space="preserve">    31200.0170 - Subproyecto - 340,00€</t>
  </si>
  <si>
    <t xml:space="preserve">        44039 (Recep OC) - 340,00€</t>
  </si>
  <si>
    <t xml:space="preserve">    31200.0170 - Subproyecto - 390,00€</t>
  </si>
  <si>
    <t xml:space="preserve">        66057 (Recep OC) - 390,00€</t>
  </si>
  <si>
    <t xml:space="preserve">        00N11-1-00U (Rec.Plan. OF) - 0,00€</t>
  </si>
  <si>
    <t xml:space="preserve">    31200.0170 - Subproyecto - 100,50€</t>
  </si>
  <si>
    <t xml:space="preserve">        138585 (Recep OC) - 100,50€</t>
  </si>
  <si>
    <t xml:space="preserve">        00N08-1-00U (Rec.Plan. OF) - 0,00€</t>
  </si>
  <si>
    <t xml:space="preserve">    31200.0170 - Subproyecto - 183,60€</t>
  </si>
  <si>
    <t xml:space="preserve">        140552 (Recep OC) - 183,60€</t>
  </si>
  <si>
    <t xml:space="preserve">        00N10-1-00U (Rec.Plan. OF) - 0,00€</t>
  </si>
  <si>
    <t xml:space="preserve">        00N09-1-00 (Rec.Plan. OF) - 0,00€</t>
  </si>
  <si>
    <t xml:space="preserve">    31200.0170 - Subproyecto - 105,00€</t>
  </si>
  <si>
    <t xml:space="preserve">        135294 (Recep OC) - 105,00€</t>
  </si>
  <si>
    <t xml:space="preserve">    31200.0170 - Subproyecto - 177,63€</t>
  </si>
  <si>
    <t xml:space="preserve">        99168 (Recep OC) - 177,63€</t>
  </si>
  <si>
    <t xml:space="preserve">    31200.0170 - Subproyecto - 70,50€</t>
  </si>
  <si>
    <t xml:space="preserve">        140101 (Recep OC) - 70,50€</t>
  </si>
  <si>
    <t xml:space="preserve">    31200.0170 - Subproyecto - 846,00€</t>
  </si>
  <si>
    <t xml:space="preserve">        44026 (Recep OC) - 846,00€</t>
  </si>
  <si>
    <t xml:space="preserve">        00N13-1-00U (Rec.Plan. OF) - 0,00€</t>
  </si>
  <si>
    <t xml:space="preserve">    31200.0170 - Subproyecto - -110,00€</t>
  </si>
  <si>
    <t xml:space="preserve">        143039 (Recep OC) - -110,00€</t>
  </si>
  <si>
    <t xml:space="preserve">    31200.0170 - Subproyecto - 440,00€</t>
  </si>
  <si>
    <t xml:space="preserve">        143039 (Recep OC) - 440,00€</t>
  </si>
  <si>
    <t xml:space="preserve">    31200.0170 - Subproyecto - 570,00€</t>
  </si>
  <si>
    <t xml:space="preserve">        44019 (Recep OC) - 570,00€</t>
  </si>
  <si>
    <t xml:space="preserve">    31200.0170 - Subproyecto - 7.604,76€</t>
  </si>
  <si>
    <t xml:space="preserve">        634348.0170 (Operación) - 7.604,76€</t>
  </si>
  <si>
    <t xml:space="preserve">        01E26-1-00U (Rec.Plan. OF) - 0,00€</t>
  </si>
  <si>
    <t xml:space="preserve">    31200.0170 - Subproyecto - 452,92€</t>
  </si>
  <si>
    <t xml:space="preserve">        115662 (Recep OC) - 452,92€</t>
  </si>
  <si>
    <t xml:space="preserve">    31200.0170 - Subproyecto - 27,60€</t>
  </si>
  <si>
    <t xml:space="preserve">        131929 (Recep OC) - 27,60€</t>
  </si>
  <si>
    <t xml:space="preserve">        00N15-1-00 (Rec.Plan. OF) - 0,00€</t>
  </si>
  <si>
    <t xml:space="preserve">    31200.0170 - Subproyecto - 837,00€</t>
  </si>
  <si>
    <t xml:space="preserve">        140938 (Recep OC) - 837,00€</t>
  </si>
  <si>
    <t xml:space="preserve">    31200.0170 - Subproyecto - 63,20€</t>
  </si>
  <si>
    <t xml:space="preserve">        139271 (Recep OC) - 63,20€</t>
  </si>
  <si>
    <t xml:space="preserve">    31200.0170 - Subproyecto - 115,90€</t>
  </si>
  <si>
    <t xml:space="preserve">        145512 (Recep OC) - 115,90€</t>
  </si>
  <si>
    <t xml:space="preserve">    31200.0170 - Subproyecto - 568,00€</t>
  </si>
  <si>
    <t xml:space="preserve">        145512 (Recep OC) - 568,00€</t>
  </si>
  <si>
    <t xml:space="preserve">    31200.0170 - Subproyecto - 220,00€</t>
  </si>
  <si>
    <t xml:space="preserve">        143039 (Recep OC) - 220,00€</t>
  </si>
  <si>
    <t xml:space="preserve">    31200.0170 - Subproyecto - 110,00€</t>
  </si>
  <si>
    <t xml:space="preserve">        143039 (Recep OC) - 110,00€</t>
  </si>
  <si>
    <t xml:space="preserve">    31200.0170 - Subproyecto - -440,00€</t>
  </si>
  <si>
    <t xml:space="preserve">        143039 (Recep OC) - -440,00€</t>
  </si>
  <si>
    <t xml:space="preserve">        00N14-1-00U (Rec.Plan. OF) - 0,00€</t>
  </si>
  <si>
    <t xml:space="preserve">    31200.0170 - Subproyecto - 560,00€</t>
  </si>
  <si>
    <t xml:space="preserve">        44018 (Recep OC) - 560,00€</t>
  </si>
  <si>
    <t xml:space="preserve">    31200.0170 - Subproyecto - 594,00€</t>
  </si>
  <si>
    <t xml:space="preserve">        44057 (Recep OC) - 594,00€</t>
  </si>
  <si>
    <t xml:space="preserve">    31200.0170 - Subproyecto - 380,00€</t>
  </si>
  <si>
    <t xml:space="preserve">        44016 (Recep OC) - 380,00€</t>
  </si>
  <si>
    <t xml:space="preserve">        00E02-0-00U (Rec.Plan. OF) - 0,00€</t>
  </si>
  <si>
    <t xml:space="preserve">        01E13-1-00F (Rec.Plan. OF) - 0,00€</t>
  </si>
  <si>
    <t xml:space="preserve">        01E12-1-00F (Rec.Plan. OF) - 0,00€</t>
  </si>
  <si>
    <t xml:space="preserve">        00E01-0-00F (Rec.Plan. OF) - 0,00€</t>
  </si>
  <si>
    <t xml:space="preserve">        00N02-1-00U (Rec.Plan. OF) - 0,00€</t>
  </si>
  <si>
    <t xml:space="preserve">        00N01-1-00 (Rec.Plan. OF) - 0,00€</t>
  </si>
  <si>
    <t xml:space="preserve">    31200.0170 - Subproyecto - 30,00€</t>
  </si>
  <si>
    <t xml:space="preserve">        117647 (Recep OC) - 30,00€</t>
  </si>
  <si>
    <t xml:space="preserve">        01E08-1-00 (Rec.Plan. OF) - 0,00€</t>
  </si>
  <si>
    <t xml:space="preserve">    31200.0170 - Subproyecto - 11.250,00€</t>
  </si>
  <si>
    <t xml:space="preserve">        145788 (Recep OC) - 11.250,00€</t>
  </si>
  <si>
    <t xml:space="preserve">        01E07-1-00I (Rec.Plan. OF) - 0,00€</t>
  </si>
  <si>
    <t xml:space="preserve">        00N00-1-00U (Rec.Plan. OF) - 0,00€</t>
  </si>
  <si>
    <t xml:space="preserve">        00N00-1-00P (Rec.Plan. OF) - 0,00€</t>
  </si>
  <si>
    <t xml:space="preserve">        00E04-1-00F (Rec.Plan. OF) - 0,00€</t>
  </si>
  <si>
    <t xml:space="preserve">        00E04-1-00I (Rec.Plan. OF) - 0,00€</t>
  </si>
  <si>
    <t xml:space="preserve">        00N15-1-00I (Rec.Plan. OF) - 0,00€</t>
  </si>
  <si>
    <t xml:space="preserve">    31200.0170 - Subproyecto - 416,00€</t>
  </si>
  <si>
    <t xml:space="preserve">        44017 (Recep OC) - 416,00€</t>
  </si>
  <si>
    <t xml:space="preserve">        01E03-1-00F (Rec.Plan. OF) - 0,00€</t>
  </si>
  <si>
    <t xml:space="preserve">        00E02-0-00F (Rec.Plan. OF) - 0,00€</t>
  </si>
  <si>
    <t xml:space="preserve">        00N03-1-00P (Rec.Plan. OF) - 0,00€</t>
  </si>
  <si>
    <t xml:space="preserve">        00N00-1-00I (Rec.Plan. OF) - 0,00€</t>
  </si>
  <si>
    <t xml:space="preserve">        00N05-1-00P (Rec.Plan. OF) - 0,00€</t>
  </si>
  <si>
    <t xml:space="preserve">        00N06-1-00 (Rec.Plan. OF) - 0,00€</t>
  </si>
  <si>
    <t xml:space="preserve">    31200.0170 - Subproyecto - 88,00€</t>
  </si>
  <si>
    <t xml:space="preserve">        141584 (Recep OC) - 88,00€</t>
  </si>
  <si>
    <t xml:space="preserve">        44001 (Recep OC) - 340,00€</t>
  </si>
  <si>
    <t xml:space="preserve">        01E16-1-00U (Rec.Plan. OF) - 0,00€</t>
  </si>
  <si>
    <t xml:space="preserve">    31200.0170 - Subproyecto - 232,00€</t>
  </si>
  <si>
    <t xml:space="preserve">        44008 (Recep OC) - 232,00€</t>
  </si>
  <si>
    <t xml:space="preserve">    31200.0170 - Subproyecto - 119,00€</t>
  </si>
  <si>
    <t xml:space="preserve">        44005 (Recep OC) - 119,00€</t>
  </si>
  <si>
    <t xml:space="preserve">    31200.0170 - Subproyecto - 30,06€</t>
  </si>
  <si>
    <t xml:space="preserve">        105028 (Estándar) - 30,06€</t>
  </si>
  <si>
    <t xml:space="preserve">    31200.0170 - Subproyecto - 4.158,00€</t>
  </si>
  <si>
    <t xml:space="preserve">        66033 (Recep OC) - 4.158,00€</t>
  </si>
  <si>
    <t xml:space="preserve">    31200.0170 - Subproyecto - 170,00€</t>
  </si>
  <si>
    <t xml:space="preserve">        116162 (Recep OC) - 170,00€</t>
  </si>
  <si>
    <t xml:space="preserve">    31200.0170 - Subproyecto - 552,00€</t>
  </si>
  <si>
    <t xml:space="preserve">        44013 (Recep OC) - 552,00€</t>
  </si>
  <si>
    <t xml:space="preserve">    31200.0170 - Subproyecto - 15.706,50€</t>
  </si>
  <si>
    <t xml:space="preserve">        66031 (Recep OC) - 15.706,50€</t>
  </si>
  <si>
    <t xml:space="preserve">    31200.0170 - Subproyecto - 10.471,00€</t>
  </si>
  <si>
    <t xml:space="preserve">        66031 (Recep OC) - 10.471,00€</t>
  </si>
  <si>
    <t xml:space="preserve">    31200.0170 - Subproyecto - 5.235,50€</t>
  </si>
  <si>
    <t xml:space="preserve">        66031 (Recep OC) - 5.235,50€</t>
  </si>
  <si>
    <t xml:space="preserve">        44002 (Recep OC) - 380,00€</t>
  </si>
  <si>
    <t xml:space="preserve">    31200.0170 - Subproyecto - 792,00€</t>
  </si>
  <si>
    <t xml:space="preserve">        44003 (Recep OC) - 792,00€</t>
  </si>
  <si>
    <t xml:space="preserve">    31200.0170 - Subproyecto - 462,00€</t>
  </si>
  <si>
    <t xml:space="preserve">        66033 (Recep OC) - 462,00€</t>
  </si>
  <si>
    <t xml:space="preserve">    31200.0170 - Subproyecto - 272,00€</t>
  </si>
  <si>
    <t xml:space="preserve">        44004 (Recep OC) - 272,00€</t>
  </si>
  <si>
    <t xml:space="preserve">    31200.0170 - Subproyecto - 0,17€</t>
  </si>
  <si>
    <t xml:space="preserve">            123217 (Estándar) - 0,17€</t>
  </si>
  <si>
    <t xml:space="preserve">    31200.0170 - Subproyecto - 0,33€</t>
  </si>
  <si>
    <t xml:space="preserve">            123184 (Estándar) - 0,33€</t>
  </si>
  <si>
    <t xml:space="preserve">    31200.0170 - Subproyecto - 0,72€</t>
  </si>
  <si>
    <t xml:space="preserve">            123185 (Estándar) - 0,72€</t>
  </si>
  <si>
    <t xml:space="preserve">    31200.0170 - Subproyecto - 4,27€</t>
  </si>
  <si>
    <t xml:space="preserve">            104280 (Estándar) - 4,27€</t>
  </si>
  <si>
    <t xml:space="preserve">    31200.0170 - Subproyecto - 11,56€</t>
  </si>
  <si>
    <t xml:space="preserve">            104198 (Estándar) - 11,56€</t>
  </si>
  <si>
    <t xml:space="preserve">    31200.0170 - Subproyecto - 3,81€</t>
  </si>
  <si>
    <t xml:space="preserve">            104226 (Estándar) - 3,81€</t>
  </si>
  <si>
    <t xml:space="preserve">    31200.0170 - Subproyecto - 2,48€</t>
  </si>
  <si>
    <t xml:space="preserve">            104283 (Estándar) - 2,48€</t>
  </si>
  <si>
    <t xml:space="preserve">    31200.0170 - Subproyecto - 0,44€</t>
  </si>
  <si>
    <t xml:space="preserve">            104188 (Estándar) - 0,44€</t>
  </si>
  <si>
    <t xml:space="preserve">    31200.0170 - Subproyecto - 27,30€</t>
  </si>
  <si>
    <t xml:space="preserve">    31200.0170 - Subproyecto - 8,93€</t>
  </si>
  <si>
    <t xml:space="preserve">    31200.0170 - Subproyecto - 14,40€</t>
  </si>
  <si>
    <t xml:space="preserve">            104148 (Estándar) - 14,40€</t>
  </si>
  <si>
    <t xml:space="preserve">            123216 (Estándar) - 0,00€</t>
  </si>
  <si>
    <t xml:space="preserve">    31200.0170 - Subproyecto - 165,00€</t>
  </si>
  <si>
    <t xml:space="preserve">            116240 (Estándar) - 165,00€</t>
  </si>
  <si>
    <t xml:space="preserve">    31200.0170 - Subproyecto - 9,08€</t>
  </si>
  <si>
    <t xml:space="preserve">            104207 (Estándar) - 9,08€</t>
  </si>
  <si>
    <t xml:space="preserve">    31200.0170 - Subproyecto - 5,57€</t>
  </si>
  <si>
    <t xml:space="preserve">            104253 (Estándar) - 5,57€</t>
  </si>
  <si>
    <t xml:space="preserve">    31200.0170 - Subproyecto - 12,91€</t>
  </si>
  <si>
    <t xml:space="preserve">            101404 (Estándar) - 12,91€</t>
  </si>
  <si>
    <t xml:space="preserve">            104447 (Estándar) - 0,00€</t>
  </si>
  <si>
    <t xml:space="preserve">    31200.0170 - Subproyecto - 396,31€</t>
  </si>
  <si>
    <t xml:space="preserve">            140837 (Recep OC) - 396,31€</t>
  </si>
  <si>
    <t xml:space="preserve">    31200.0170 - Subproyecto - 6,38€</t>
  </si>
  <si>
    <t xml:space="preserve">            104194 (Estándar) - 6,38€</t>
  </si>
  <si>
    <t xml:space="preserve">    31200.0170 - Subproyecto - 1.082,16€</t>
  </si>
  <si>
    <t xml:space="preserve">            145518 (Recep OC) - 1.082,16€</t>
  </si>
  <si>
    <t xml:space="preserve">    31200.0170 - Subproyecto - 167,58€</t>
  </si>
  <si>
    <t xml:space="preserve">            99015 (Recep OC) - 167,58€</t>
  </si>
  <si>
    <t xml:space="preserve">    31200.0170 - Subproyecto - 2.823,37€</t>
  </si>
  <si>
    <t xml:space="preserve">            99024 (Recep OC) - 2.823,37€</t>
  </si>
  <si>
    <t xml:space="preserve">    31200.0170 - Subproyecto - 1.540,02€</t>
  </si>
  <si>
    <t xml:space="preserve">            99024 (Recep OC) - 1.540,02€</t>
  </si>
  <si>
    <t xml:space="preserve">    31200.0170 - Subproyecto - 1,85€</t>
  </si>
  <si>
    <t xml:space="preserve">            104246 (Estándar) - 1,85€</t>
  </si>
  <si>
    <t xml:space="preserve">            140203 (Compra) - 0,00€</t>
  </si>
  <si>
    <t xml:space="preserve">    31200.0170 - Subproyecto - 8,00€</t>
  </si>
  <si>
    <t xml:space="preserve">            71254.02.210.016 (Estándar) - 8,00€</t>
  </si>
  <si>
    <t xml:space="preserve">    31200.0170 - Subproyecto - 76,40€</t>
  </si>
  <si>
    <t xml:space="preserve">            104448 (Estándar) - 76,40€</t>
  </si>
  <si>
    <t xml:space="preserve">    31200.0170 - Subproyecto - 38,10€</t>
  </si>
  <si>
    <t xml:space="preserve">            104226 (Estándar) - 38,10€</t>
  </si>
  <si>
    <t xml:space="preserve">    31200.0170 - Subproyecto - 17,51€</t>
  </si>
  <si>
    <t xml:space="preserve">            117352 (Estándar) - 17,51€</t>
  </si>
  <si>
    <t xml:space="preserve">    31200.0170 - Subproyecto - 80,00€</t>
  </si>
  <si>
    <t xml:space="preserve">            71254.02.210.016 (Estándar) - 80,00€</t>
  </si>
  <si>
    <t xml:space="preserve">    31200.0170 - Subproyecto - 43,65€</t>
  </si>
  <si>
    <t xml:space="preserve">            104447 (Estándar) - 43,65€</t>
  </si>
  <si>
    <t xml:space="preserve">    31200.0170 - Subproyecto - 109,08€</t>
  </si>
  <si>
    <t xml:space="preserve">            104203 (Estándar) - 109,08€</t>
  </si>
  <si>
    <t xml:space="preserve">    31200.0170 - Subproyecto - 7,76€</t>
  </si>
  <si>
    <t xml:space="preserve">            104202 (Estándar) - 7,76€</t>
  </si>
  <si>
    <t xml:space="preserve">    31200.0170 - Subproyecto - 7,28€</t>
  </si>
  <si>
    <t xml:space="preserve">            144814 (Estándar) - 7,28€</t>
  </si>
  <si>
    <t xml:space="preserve">    31200.0170 - Subproyecto - 1,93€</t>
  </si>
  <si>
    <t xml:space="preserve">            104303 (Estándar) - 1,93€</t>
  </si>
  <si>
    <t xml:space="preserve">    31200.0170 - Subproyecto - 180,00€</t>
  </si>
  <si>
    <t xml:space="preserve">            123730 (Recep OC) - 180,00€</t>
  </si>
  <si>
    <t xml:space="preserve">    31200.0170 - Subproyecto - 177,45€</t>
  </si>
  <si>
    <t xml:space="preserve">            139127 (Recep OC) - 177,45€</t>
  </si>
  <si>
    <t xml:space="preserve">    31200.0170 - Subproyecto - 80,85€</t>
  </si>
  <si>
    <t xml:space="preserve">            139484 (Recep OC) - 80,85€</t>
  </si>
  <si>
    <t xml:space="preserve">    31200.0170 - Subproyecto - 5.334,03€</t>
  </si>
  <si>
    <t xml:space="preserve">            139485 (Recep OC) - 5.334,03€</t>
  </si>
  <si>
    <t xml:space="preserve">    31200.0170 - Subproyecto - 313,45€</t>
  </si>
  <si>
    <t xml:space="preserve">    31200.0170 - Subproyecto - 2.225,00€</t>
  </si>
  <si>
    <t xml:space="preserve">            140843 (Recep OC) - 2.225,00€</t>
  </si>
  <si>
    <t xml:space="preserve">    31200.0170 - Subproyecto - 124,83€</t>
  </si>
  <si>
    <t xml:space="preserve">            100749 (Recep OC) - 124,83€</t>
  </si>
  <si>
    <t xml:space="preserve">    31200.0170 - Subproyecto - 1.075,00€</t>
  </si>
  <si>
    <t xml:space="preserve">            140844 (Recep OC) - 1.075,00€</t>
  </si>
  <si>
    <t xml:space="preserve">    31200.0170 - Subproyecto - 2.100,00€</t>
  </si>
  <si>
    <t xml:space="preserve">            140939 (Recep OC) - 2.100,00€</t>
  </si>
  <si>
    <t xml:space="preserve">    31200.0170 - Subproyecto - 2.430,00€</t>
  </si>
  <si>
    <t xml:space="preserve">            141637 (Recep OC) - 2.430,00€</t>
  </si>
  <si>
    <t xml:space="preserve">    31200.0170 - Subproyecto - 2.530,00€</t>
  </si>
  <si>
    <t xml:space="preserve">            141638 (Recep OC) - 2.530,00€</t>
  </si>
  <si>
    <t xml:space="preserve">    31200.0170 - Subproyecto - 1.150,00€</t>
  </si>
  <si>
    <t xml:space="preserve">            141638 (Transfer. Stock) - 1.150,00€</t>
  </si>
  <si>
    <t xml:space="preserve">            145512 (Recep OC) - 568,00€</t>
  </si>
  <si>
    <t xml:space="preserve">    31200.0170 - Subproyecto - 695,40€</t>
  </si>
  <si>
    <t xml:space="preserve">            145512 (Recep OC) - 695,40€</t>
  </si>
  <si>
    <t xml:space="preserve">    31200.0170 - Subproyecto - 1.417,04€</t>
  </si>
  <si>
    <t xml:space="preserve">            140844 (Transfer. Stock) - 1.417,04€</t>
  </si>
  <si>
    <t xml:space="preserve">    31200.0170 - Subproyecto - 2,60€</t>
  </si>
  <si>
    <t xml:space="preserve">            104149 (Estándar) - 2,60€</t>
  </si>
  <si>
    <t xml:space="preserve">    31200.0170 - Subproyecto - 3.040,00€</t>
  </si>
  <si>
    <t xml:space="preserve">            140550 (Recep OC) - 3.040,00€</t>
  </si>
  <si>
    <t xml:space="preserve">    31200.0170 - Subproyecto - 5.657,40€</t>
  </si>
  <si>
    <t xml:space="preserve">            145782 (Recep OC) - 5.657,40€</t>
  </si>
  <si>
    <t xml:space="preserve">    31200.0170 - Subproyecto - 21,39€</t>
  </si>
  <si>
    <t xml:space="preserve">            104003 (Estándar) - 21,39€</t>
  </si>
  <si>
    <t xml:space="preserve">    31200.0170 - Subproyecto - 47,50€</t>
  </si>
  <si>
    <t xml:space="preserve">            71254.02.210.016 (Estándar) - 47,50€</t>
  </si>
  <si>
    <t xml:space="preserve">    31200.0170 - Subproyecto - 9,30€</t>
  </si>
  <si>
    <t xml:space="preserve">            145139 (Estándar) - 9,30€</t>
  </si>
  <si>
    <t xml:space="preserve">    31200.0170 - Subproyecto - 3,60€</t>
  </si>
  <si>
    <t xml:space="preserve">            141049 (Estándar) - 3,60€</t>
  </si>
  <si>
    <t xml:space="preserve">    31200.0170 - Subproyecto - 6,49€</t>
  </si>
  <si>
    <t xml:space="preserve">            102804 (Estándar) - 6,49€</t>
  </si>
  <si>
    <t xml:space="preserve">    31200.0170 - Subproyecto - 18,82€</t>
  </si>
  <si>
    <t xml:space="preserve">            110860 (Estándar) - 18,82€</t>
  </si>
  <si>
    <t xml:space="preserve">    31200.0170 - Subproyecto - 0,90€</t>
  </si>
  <si>
    <t xml:space="preserve">            141049 (Estándar) - 0,90€</t>
  </si>
  <si>
    <t xml:space="preserve">    31200.0170 - Subproyecto - 173,90€</t>
  </si>
  <si>
    <t xml:space="preserve">            110647 (Estándar) - 173,90€</t>
  </si>
  <si>
    <t xml:space="preserve">    31200.0170 - Subproyecto - 3,50€</t>
  </si>
  <si>
    <t xml:space="preserve">            104652 (Estándar) - 3,50€</t>
  </si>
  <si>
    <t xml:space="preserve">    31200.0170 - Subproyecto - 4,46€</t>
  </si>
  <si>
    <t xml:space="preserve">            138467 (Estándar) - 4,46€</t>
  </si>
  <si>
    <t xml:space="preserve">    31200.0170 - Subproyecto - 2,70€</t>
  </si>
  <si>
    <t xml:space="preserve">            138502 (Estándar) - 2,70€</t>
  </si>
  <si>
    <t xml:space="preserve">    31200.0170 - Subproyecto - 7,90€</t>
  </si>
  <si>
    <t xml:space="preserve">    31200.0170 - Subproyecto - 1.654,08€</t>
  </si>
  <si>
    <t xml:space="preserve">            145781 (Recep OC) - 1.654,08€</t>
  </si>
  <si>
    <t xml:space="preserve">    31200.0170 - Subproyecto - 6,20€</t>
  </si>
  <si>
    <t xml:space="preserve">            125853 (Estándar) - 6,20€</t>
  </si>
  <si>
    <t xml:space="preserve">    31200.0170 - Subproyecto - 490,86€</t>
  </si>
  <si>
    <t xml:space="preserve">            104203 (Recep OC) - 490,86€</t>
  </si>
  <si>
    <t xml:space="preserve">            104831 (Estándar) - 3,60€</t>
  </si>
  <si>
    <t xml:space="preserve">    31200.0170 - Subproyecto - 692,55€</t>
  </si>
  <si>
    <t xml:space="preserve">            138587 (Recep OC) - 692,55€</t>
  </si>
  <si>
    <t xml:space="preserve">    31200.0170 - Subproyecto - 289,23€</t>
  </si>
  <si>
    <t xml:space="preserve">            111543 (Recep OC) - 289,23€</t>
  </si>
  <si>
    <t xml:space="preserve">            116162 (Recep OC) - 170,00€</t>
  </si>
  <si>
    <t xml:space="preserve">    31200.0170 - Subproyecto - 44,31€</t>
  </si>
  <si>
    <t xml:space="preserve">            120978 (Recep OC) - 44,31€</t>
  </si>
  <si>
    <t xml:space="preserve">    31200.0170 - Subproyecto - 367,92€</t>
  </si>
  <si>
    <t xml:space="preserve">            141630 (Recep OC) - 367,92€</t>
  </si>
  <si>
    <t xml:space="preserve">    31200.0170 - Subproyecto - 306,80€</t>
  </si>
  <si>
    <t xml:space="preserve">            141631 (Recep OC) - 306,80€</t>
  </si>
  <si>
    <t xml:space="preserve">    31200.0170 - Subproyecto - 91,87€</t>
  </si>
  <si>
    <t xml:space="preserve">            141632 (Recep OC) - 91,87€</t>
  </si>
  <si>
    <t xml:space="preserve">    31200.0170 - Subproyecto - 42,72€</t>
  </si>
  <si>
    <t xml:space="preserve">            104280 (Estándar) - 42,72€</t>
  </si>
  <si>
    <t xml:space="preserve">    31200.0170 - Subproyecto - 46,50€</t>
  </si>
  <si>
    <t xml:space="preserve">            141634 (Recep OC) - 46,50€</t>
  </si>
  <si>
    <t xml:space="preserve">    31200.0170 - Subproyecto - 134,40€</t>
  </si>
  <si>
    <t xml:space="preserve">            144647 (Recep OC) - 134,40€</t>
  </si>
  <si>
    <t xml:space="preserve">    31200.0170 - Subproyecto - 241,80€</t>
  </si>
  <si>
    <t xml:space="preserve">            144648 (Recep OC) - 241,80€</t>
  </si>
  <si>
    <t xml:space="preserve">    31200.0170 - Subproyecto - 949,62€</t>
  </si>
  <si>
    <t xml:space="preserve">            99015 (Recep OC) - 949,62€</t>
  </si>
  <si>
    <t xml:space="preserve">    31200.0170 - Subproyecto - 1.345,36€</t>
  </si>
  <si>
    <t xml:space="preserve">            99016 (Recep OC) - 1.345,36€</t>
  </si>
  <si>
    <t xml:space="preserve">    31200.0170 - Subproyecto - 182,00€</t>
  </si>
  <si>
    <t xml:space="preserve">            99017 (Recep OC) - 182,00€</t>
  </si>
  <si>
    <t xml:space="preserve">    31200.0170 - Subproyecto - 1.737,96€</t>
  </si>
  <si>
    <t xml:space="preserve">            99018 (Recep OC) - 1.737,96€</t>
  </si>
  <si>
    <t xml:space="preserve">    31200.0170 - Subproyecto - 20,40€</t>
  </si>
  <si>
    <t xml:space="preserve">            141635 (Recep OC) - 20,40€</t>
  </si>
  <si>
    <t xml:space="preserve">    31200.0170 - Subproyecto - 4.003,72€</t>
  </si>
  <si>
    <t xml:space="preserve">            99019 (Recep OC) - 4.003,72€</t>
  </si>
  <si>
    <t xml:space="preserve">    31200.0170 - Subproyecto - 50,22€</t>
  </si>
  <si>
    <t xml:space="preserve">            104244 (Estándar) - 50,22€</t>
  </si>
  <si>
    <t xml:space="preserve">    31200.0170 - Subproyecto - 8,11€</t>
  </si>
  <si>
    <t xml:space="preserve">            102804 (Estándar) - 8,11€</t>
  </si>
  <si>
    <t xml:space="preserve">    31200.0170 - Subproyecto - 4,44€</t>
  </si>
  <si>
    <t xml:space="preserve">            131028 (Estándar) - 4,44€</t>
  </si>
  <si>
    <t xml:space="preserve">    31200.0170 - Subproyecto - 32,89€</t>
  </si>
  <si>
    <t xml:space="preserve">            117356 (Estándar) - 32,89€</t>
  </si>
  <si>
    <t xml:space="preserve">    31200.0170 - Subproyecto - 13,00€</t>
  </si>
  <si>
    <t xml:space="preserve">            104153 (Estándar) - 13,00€</t>
  </si>
  <si>
    <t xml:space="preserve">    31200.0170 - Subproyecto - 9,90€</t>
  </si>
  <si>
    <t xml:space="preserve">            104268 (Estándar) - 9,90€</t>
  </si>
  <si>
    <t xml:space="preserve">    31200.0170 - Subproyecto - 0,55€</t>
  </si>
  <si>
    <t xml:space="preserve">            109118 (Estándar) - 0,55€</t>
  </si>
  <si>
    <t xml:space="preserve">    31200.0170 - Subproyecto - 73,68€</t>
  </si>
  <si>
    <t xml:space="preserve">            104226 (Estándar) - 73,68€</t>
  </si>
  <si>
    <t xml:space="preserve">    31200.0170 - Subproyecto - 54,54€</t>
  </si>
  <si>
    <t xml:space="preserve">            104203 (Estándar) - 54,54€</t>
  </si>
  <si>
    <t xml:space="preserve">    31200.0170 - Subproyecto - 5,60€</t>
  </si>
  <si>
    <t xml:space="preserve">            101452 (Estándar) - 5,60€</t>
  </si>
  <si>
    <t xml:space="preserve">    31200.0170 - Subproyecto - 7,00€</t>
  </si>
  <si>
    <t xml:space="preserve">            104652 (Estándar) - 7,00€</t>
  </si>
  <si>
    <t xml:space="preserve">    31200.0170 - Subproyecto - 1,40€</t>
  </si>
  <si>
    <t xml:space="preserve">            101377 (Estándar) - 1,40€</t>
  </si>
  <si>
    <t xml:space="preserve">            104660 (Estándar) - 0,00€</t>
  </si>
  <si>
    <t xml:space="preserve">    31200.0170 - Subproyecto - 6,60€</t>
  </si>
  <si>
    <t xml:space="preserve">            105978 (Estándar) - 6,60€</t>
  </si>
  <si>
    <t xml:space="preserve">    31200.0170 - Subproyecto - 75,00€</t>
  </si>
  <si>
    <t xml:space="preserve">            116416 (Estándar) - 75,00€</t>
  </si>
  <si>
    <t xml:space="preserve">    31200.0170 - Subproyecto - 4.976,01€</t>
  </si>
  <si>
    <t xml:space="preserve">            99020 (Recep OC) - 4.976,01€</t>
  </si>
  <si>
    <t xml:space="preserve">    31200.0170 - Subproyecto - 3.664,20€</t>
  </si>
  <si>
    <t xml:space="preserve">            99021 (Recep OC) - 3.664,20€</t>
  </si>
  <si>
    <t xml:space="preserve">    31200.0170 - Subproyecto - 459,90€</t>
  </si>
  <si>
    <t xml:space="preserve">            99022 (Recep OC) - 459,90€</t>
  </si>
  <si>
    <t xml:space="preserve">    31200.0170 - Subproyecto - 4.072,20€</t>
  </si>
  <si>
    <t xml:space="preserve">            115660 (Recep OC) - 4.072,20€</t>
  </si>
  <si>
    <t xml:space="preserve">    31200.0170 - Subproyecto - 905,84€</t>
  </si>
  <si>
    <t xml:space="preserve">            115662 (Recep OC) - 905,84€</t>
  </si>
  <si>
    <t xml:space="preserve">    31200.0170 - Subproyecto - 136,00€</t>
  </si>
  <si>
    <t xml:space="preserve">            116162 (Recep OC) - 136,00€</t>
  </si>
  <si>
    <t xml:space="preserve">    31200.0170 - Subproyecto - 124,07€</t>
  </si>
  <si>
    <t xml:space="preserve">            120978 (Recep OC) - 124,07€</t>
  </si>
  <si>
    <t xml:space="preserve">    31200.0170 - Subproyecto - 875,61€</t>
  </si>
  <si>
    <t xml:space="preserve">            125933 (Recep OC) - 875,61€</t>
  </si>
  <si>
    <t xml:space="preserve">    31200.0170 - Subproyecto - 161,00€</t>
  </si>
  <si>
    <t xml:space="preserve">            131929 (Recep OC) - 161,00€</t>
  </si>
  <si>
    <t xml:space="preserve">    31200.0170 - Subproyecto - 194,35€</t>
  </si>
  <si>
    <t xml:space="preserve">            115658 (Recep OC) - 194,35€</t>
  </si>
  <si>
    <t xml:space="preserve">    31200.0170 - Subproyecto - 318,01€</t>
  </si>
  <si>
    <t xml:space="preserve">            135231 (Recep OC) - 318,01€</t>
  </si>
  <si>
    <t xml:space="preserve">    31200.0170 - Subproyecto - 3.856,00€</t>
  </si>
  <si>
    <t xml:space="preserve">            135712 (Recep OC) - 3.856,00€</t>
  </si>
  <si>
    <t xml:space="preserve">            138580 (Recep OC) - 14,40€</t>
  </si>
  <si>
    <t xml:space="preserve">    31200.0170 - Subproyecto - 15,45€</t>
  </si>
  <si>
    <t xml:space="preserve">    31200.0170 - Subproyecto - 108,15€</t>
  </si>
  <si>
    <t xml:space="preserve">            138585 (Recep OC) - 100,50€</t>
  </si>
  <si>
    <t xml:space="preserve">    31200.0170 - Subproyecto - 97,20€</t>
  </si>
  <si>
    <t xml:space="preserve">            138587 (Recep OC) - 97,20€</t>
  </si>
  <si>
    <t xml:space="preserve">    31200.0170 - Subproyecto - 1.687,00€</t>
  </si>
  <si>
    <t xml:space="preserve">            135711 (Recep OC) - 1.687,00€</t>
  </si>
  <si>
    <t xml:space="preserve">    31200.0170 - Subproyecto - 57,60€</t>
  </si>
  <si>
    <t xml:space="preserve">            104009 (Recep OC) - 57,60€</t>
  </si>
  <si>
    <t xml:space="preserve">    31200.0170 - Subproyecto - 571,14€</t>
  </si>
  <si>
    <t xml:space="preserve">            145512 (Transfer. Stock) - 571,14€</t>
  </si>
  <si>
    <t xml:space="preserve">    31200.0170 - Subproyecto - 4,38€</t>
  </si>
  <si>
    <t xml:space="preserve">            104224 (Estándar) - 4,38€</t>
  </si>
  <si>
    <t xml:space="preserve">    31200.0170 - Subproyecto - 139,50€</t>
  </si>
  <si>
    <t xml:space="preserve">            99023 (Recep OC) - 139,50€</t>
  </si>
  <si>
    <t xml:space="preserve">    31200.0170 - Subproyecto - 1,80€</t>
  </si>
  <si>
    <t xml:space="preserve">    31200.0170 - Subproyecto - 1,10€</t>
  </si>
  <si>
    <t xml:space="preserve">            104840 (Estándar) - 1,10€</t>
  </si>
  <si>
    <t xml:space="preserve">    31200.0170 - Subproyecto - 17,53€</t>
  </si>
  <si>
    <t xml:space="preserve">            104224 (Estándar) - 17,53€</t>
  </si>
  <si>
    <t xml:space="preserve">    31200.0170 - Subproyecto - 2,72€</t>
  </si>
  <si>
    <t xml:space="preserve">            104186 (Estándar) - 2,72€</t>
  </si>
  <si>
    <t xml:space="preserve">    31200.0170 - Subproyecto - 35,57€</t>
  </si>
  <si>
    <t xml:space="preserve">            104240 (Estándar) - 35,57€</t>
  </si>
  <si>
    <t xml:space="preserve">    31200.0170 - Subproyecto - 48,00€</t>
  </si>
  <si>
    <t xml:space="preserve">            104148 (Estándar) - 48,00€</t>
  </si>
  <si>
    <t xml:space="preserve">    31200.0170 - Subproyecto - 1,98€</t>
  </si>
  <si>
    <t xml:space="preserve">            123184 (Estándar) - 1,98€</t>
  </si>
  <si>
    <t xml:space="preserve">    31200.0170 - Subproyecto - 1,86€</t>
  </si>
  <si>
    <t xml:space="preserve">            123216 (Estándar) - 1,86€</t>
  </si>
  <si>
    <t xml:space="preserve">    31200.0170 - Subproyecto - 1,12€</t>
  </si>
  <si>
    <t xml:space="preserve">            101452 (Estándar) - 1,12€</t>
  </si>
  <si>
    <t xml:space="preserve">            104652 (Estándar) - 1,40€</t>
  </si>
  <si>
    <t xml:space="preserve">    31200.0170 - Subproyecto - 0,36€</t>
  </si>
  <si>
    <t xml:space="preserve">            105202 (Estándar) - 0,36€</t>
  </si>
  <si>
    <t xml:space="preserve">    31200.0170 - Subproyecto - 11,27€</t>
  </si>
  <si>
    <t xml:space="preserve">            104241 (Estándar) - 11,27€</t>
  </si>
  <si>
    <t xml:space="preserve">    31200.0170 - Subproyecto - 13,60€</t>
  </si>
  <si>
    <t xml:space="preserve">            104201 (Estándar) - 13,60€</t>
  </si>
  <si>
    <t xml:space="preserve">    31200.0170 - Subproyecto - 203,00€</t>
  </si>
  <si>
    <t xml:space="preserve">            138589 (Recep OC) - 203,00€</t>
  </si>
  <si>
    <t xml:space="preserve">    31200.0170 - Subproyecto - 589,50€</t>
  </si>
  <si>
    <t xml:space="preserve">            145513 (Recep OC) - 589,50€</t>
  </si>
  <si>
    <t xml:space="preserve">            105280 (Estándar) - 8,00€</t>
  </si>
  <si>
    <t xml:space="preserve">    31200.0170 - Subproyecto - 122,75€</t>
  </si>
  <si>
    <t xml:space="preserve">            145513 (Recep OC) - 122,75€</t>
  </si>
  <si>
    <t xml:space="preserve">    31200.0170 - Subproyecto - 45,34€</t>
  </si>
  <si>
    <t xml:space="preserve">    31200.0170 - Subproyecto - 320,00€</t>
  </si>
  <si>
    <t xml:space="preserve">            21020.00.400.401 (Estándar) - 320,00€</t>
  </si>
  <si>
    <t xml:space="preserve">    31200.0170 - Subproyecto - 30,22€</t>
  </si>
  <si>
    <t xml:space="preserve">            21020.00.401.810 (Estándar) - 30,22€</t>
  </si>
  <si>
    <t xml:space="preserve">    31200.0170 - Subproyecto - 1.403,28€</t>
  </si>
  <si>
    <t xml:space="preserve">            124892 (Recep OC) - 1.403,28€</t>
  </si>
  <si>
    <t xml:space="preserve">    31200.0170 - Subproyecto - 35,00€</t>
  </si>
  <si>
    <t xml:space="preserve">    31200.0170 - Subproyecto - 45,00€</t>
  </si>
  <si>
    <t xml:space="preserve">    31200.0170 - Subproyecto - 124,67€</t>
  </si>
  <si>
    <t xml:space="preserve">            21020.00.300.610 (Estándar) - 124,67€</t>
  </si>
  <si>
    <t xml:space="preserve">    31200.0170 - Subproyecto - 1.018,50€</t>
  </si>
  <si>
    <t xml:space="preserve">            130908 (Recep OC) - 1.018,50€</t>
  </si>
  <si>
    <t xml:space="preserve">    31200.0170 - Subproyecto - 38,05€</t>
  </si>
  <si>
    <t xml:space="preserve">    31200.0170 - Subproyecto - 378,22€</t>
  </si>
  <si>
    <t xml:space="preserve">    31200.0170 - Subproyecto - 47,28€</t>
  </si>
  <si>
    <t xml:space="preserve">            138979 (Recep OC) - 47,28€</t>
  </si>
  <si>
    <t xml:space="preserve">    31200.0170 - Subproyecto - 772,20€</t>
  </si>
  <si>
    <t xml:space="preserve">            140283 (Recep OC) - 772,20€</t>
  </si>
  <si>
    <t xml:space="preserve">    31200.0170 - Subproyecto - 200,62€</t>
  </si>
  <si>
    <t xml:space="preserve">            141361 (Recep OC) - 200,62€</t>
  </si>
  <si>
    <t xml:space="preserve">    31200.0170 - Subproyecto - 339,50€</t>
  </si>
  <si>
    <t xml:space="preserve">            130908 (Recep OC) - 339,50€</t>
  </si>
  <si>
    <t xml:space="preserve">    31200.0170 - Subproyecto - 16,60€</t>
  </si>
  <si>
    <t xml:space="preserve">            141853 (Recep OC) - 16,60€</t>
  </si>
  <si>
    <t xml:space="preserve">    31200.0170 - Subproyecto - 14,58€</t>
  </si>
  <si>
    <t xml:space="preserve">    31200.0170 - Subproyecto - 5.195,53€</t>
  </si>
  <si>
    <t xml:space="preserve">            99111 (Recep OC) - 5.195,53€</t>
  </si>
  <si>
    <t xml:space="preserve">    31200.0170 - Subproyecto - 130,00€</t>
  </si>
  <si>
    <t xml:space="preserve">            99107 (Recep OC) - 130,00€</t>
  </si>
  <si>
    <t xml:space="preserve">    31200.0170 - Subproyecto - 20,47€</t>
  </si>
  <si>
    <t xml:space="preserve">    31200.0170 - Subproyecto - -20,47€</t>
  </si>
  <si>
    <t xml:space="preserve">    31200.0170 - Subproyecto - 62,65€</t>
  </si>
  <si>
    <t xml:space="preserve">            126344 (Recep OC) - 62,65€</t>
  </si>
  <si>
    <t xml:space="preserve">    31200.0170 - Subproyecto - 58,38€</t>
  </si>
  <si>
    <t xml:space="preserve">            126365 (Recep OC) - 58,38€</t>
  </si>
  <si>
    <t xml:space="preserve">    31200.0170 - Subproyecto - 133,03€</t>
  </si>
  <si>
    <t xml:space="preserve">            21020.00.300.011 (Estándar) - 133,03€</t>
  </si>
  <si>
    <t xml:space="preserve">    31200.0170 - Subproyecto - -58,38€</t>
  </si>
  <si>
    <t xml:space="preserve">            126365 (Recep OC) - -58,38€</t>
  </si>
  <si>
    <t xml:space="preserve">    31200.0170 - Subproyecto - 52,36€</t>
  </si>
  <si>
    <t xml:space="preserve">            126365 (Transfer. Stock) - 52,36€</t>
  </si>
  <si>
    <t xml:space="preserve">    31200.0170 - Subproyecto - 9,09€</t>
  </si>
  <si>
    <t xml:space="preserve">            126940 (Transfer. Stock) - 9,09€</t>
  </si>
  <si>
    <t xml:space="preserve">    31200.0170 - Subproyecto - 99,97€</t>
  </si>
  <si>
    <t xml:space="preserve">            126940 (Transfer. Stock) - 99,97€</t>
  </si>
  <si>
    <t xml:space="preserve">    31200.0170 - Subproyecto - 343,71€</t>
  </si>
  <si>
    <t xml:space="preserve">            131033 (Recep OC) - 343,71€</t>
  </si>
  <si>
    <t xml:space="preserve">    31200.0170 - Subproyecto - 3.463,69€</t>
  </si>
  <si>
    <t xml:space="preserve">            99111 (Recep OC) - 3.463,69€</t>
  </si>
  <si>
    <t xml:space="preserve">    31200.0170 - Subproyecto - -3.463,69€</t>
  </si>
  <si>
    <t xml:space="preserve">            99111 (Recep OC) - -3.463,69€</t>
  </si>
  <si>
    <t xml:space="preserve">    31200.0170 - Subproyecto - 1.224,48€</t>
  </si>
  <si>
    <t xml:space="preserve">            141475 (Recep OC) - 1.224,48€</t>
  </si>
  <si>
    <t xml:space="preserve">    31200.0170 - Subproyecto - 8,86€</t>
  </si>
  <si>
    <t xml:space="preserve">            120978 (Recep OC) - 8,86€</t>
  </si>
  <si>
    <t xml:space="preserve">    31200.0170 - Subproyecto - 90,18€</t>
  </si>
  <si>
    <t xml:space="preserve">            145518 (Recep OC) - 90,18€</t>
  </si>
  <si>
    <t xml:space="preserve">    31200.0170 - Subproyecto - 907,41€</t>
  </si>
  <si>
    <t xml:space="preserve">            140179 (Recep OC) - 907,41€</t>
  </si>
  <si>
    <t xml:space="preserve">    31200.0170 - Subproyecto - 33,18€</t>
  </si>
  <si>
    <t xml:space="preserve">            99172 (Recep OC) - 33,18€</t>
  </si>
  <si>
    <t xml:space="preserve">    31200.0170 - Subproyecto - 26,00€</t>
  </si>
  <si>
    <t xml:space="preserve">            104153 (Estándar) - 26,00€</t>
  </si>
  <si>
    <t xml:space="preserve">    31200.0170 - Subproyecto - 56,20€</t>
  </si>
  <si>
    <t xml:space="preserve">            99183 (Recep OC) - 56,20€</t>
  </si>
  <si>
    <t xml:space="preserve">    31200.0170 - Subproyecto - 83,40€</t>
  </si>
  <si>
    <t xml:space="preserve">            99184 (Recep OC) - 83,40€</t>
  </si>
  <si>
    <t xml:space="preserve">    31200.0170 - Subproyecto - 218,34€</t>
  </si>
  <si>
    <t xml:space="preserve">            131252 (Recep OC) - 218,34€</t>
  </si>
  <si>
    <t xml:space="preserve">    31200.0170 - Subproyecto - 172,80€</t>
  </si>
  <si>
    <t xml:space="preserve">    31200.0170 - Subproyecto - 26,21€</t>
  </si>
  <si>
    <t xml:space="preserve">            142992 (Recep OC) - 26,21€</t>
  </si>
  <si>
    <t xml:space="preserve">    31200.0170 - Subproyecto - 1.696,75€</t>
  </si>
  <si>
    <t xml:space="preserve">            115660 (Recep OC) - 1.696,75€</t>
  </si>
  <si>
    <t xml:space="preserve">    31200.0170 - Subproyecto - 925,76€</t>
  </si>
  <si>
    <t xml:space="preserve">            99200 (Recep OC) - 925,76€</t>
  </si>
  <si>
    <t xml:space="preserve">    31200.0170 - Subproyecto - 427,50€</t>
  </si>
  <si>
    <t xml:space="preserve">            99201 (Recep OC) - 427,50€</t>
  </si>
  <si>
    <t xml:space="preserve">    31200.0170 - Subproyecto - 316,96€</t>
  </si>
  <si>
    <t xml:space="preserve">            99203 (Recep OC) - 316,96€</t>
  </si>
  <si>
    <t xml:space="preserve">    31200.0170 - Subproyecto - 94,32€</t>
  </si>
  <si>
    <t xml:space="preserve">            145513 (Recep OC) - 94,32€</t>
  </si>
  <si>
    <t xml:space="preserve">    31200.0170 - Subproyecto - 8,28€</t>
  </si>
  <si>
    <t xml:space="preserve">            117037 (Estándar) - 8,28€</t>
  </si>
  <si>
    <t xml:space="preserve">    31200.0170 - Subproyecto - 52,56€</t>
  </si>
  <si>
    <t xml:space="preserve">            141630 (Recep OC) - 52,56€</t>
  </si>
  <si>
    <t xml:space="preserve">    31200.0170 - Subproyecto - 259,20€</t>
  </si>
  <si>
    <t xml:space="preserve">            143837 (Recep OC) - 259,20€</t>
  </si>
  <si>
    <t xml:space="preserve">    31200.0170 - Subproyecto - 184,84€</t>
  </si>
  <si>
    <t xml:space="preserve">            99119 (Recep OC) - 184,84€</t>
  </si>
  <si>
    <t xml:space="preserve">    31200.0170 - Subproyecto - 1.061,34€</t>
  </si>
  <si>
    <t xml:space="preserve">            99015 (Recep OC) - 1.061,34€</t>
  </si>
  <si>
    <t xml:space="preserve">    31200.0170 - Subproyecto - 336,34€</t>
  </si>
  <si>
    <t xml:space="preserve">            99016 (Recep OC) - 336,34€</t>
  </si>
  <si>
    <t xml:space="preserve">    31200.0170 - Subproyecto - 45,50€</t>
  </si>
  <si>
    <t xml:space="preserve">            99017 (Recep OC) - 45,50€</t>
  </si>
  <si>
    <t xml:space="preserve">    31200.0170 - Subproyecto - 434,49€</t>
  </si>
  <si>
    <t xml:space="preserve">            99018 (Recep OC) - 434,49€</t>
  </si>
  <si>
    <t xml:space="preserve">    31200.0170 - Subproyecto - 571,96€</t>
  </si>
  <si>
    <t xml:space="preserve">            99019 (Recep OC) - 571,96€</t>
  </si>
  <si>
    <t xml:space="preserve">    31200.0170 - Subproyecto - 1.319,72€</t>
  </si>
  <si>
    <t xml:space="preserve">            99096 (Recep OC) - 1.319,72€</t>
  </si>
  <si>
    <t xml:space="preserve">            143039 (Recep OC) - 440,00€</t>
  </si>
  <si>
    <t xml:space="preserve">    31200.0170 - Subproyecto - 52,42€</t>
  </si>
  <si>
    <t xml:space="preserve">            142992 (Recep OC) - 52,42€</t>
  </si>
  <si>
    <t xml:space="preserve">    31200.0170 - Subproyecto - 484,34€</t>
  </si>
  <si>
    <t xml:space="preserve">            99116 (Recep OC) - 484,34€</t>
  </si>
  <si>
    <t xml:space="preserve">    31200.0170 - Subproyecto - 2.392,08€</t>
  </si>
  <si>
    <t xml:space="preserve">            99117 (Recep OC) - 2.392,08€</t>
  </si>
  <si>
    <t xml:space="preserve">    31200.0170 - Subproyecto - 82,20€</t>
  </si>
  <si>
    <t xml:space="preserve">            99118 (Recep OC) - 82,20€</t>
  </si>
  <si>
    <t xml:space="preserve">    31200.0170 - Subproyecto - 546,32€</t>
  </si>
  <si>
    <t xml:space="preserve">            99113 (Recep OC) - 546,32€</t>
  </si>
  <si>
    <t xml:space="preserve">    31200.0170 - Subproyecto - 1.216,00€</t>
  </si>
  <si>
    <t xml:space="preserve">            141448 (Recep OC) - 1.216,00€</t>
  </si>
  <si>
    <t xml:space="preserve">    31200.0170 - Subproyecto - 39,00€</t>
  </si>
  <si>
    <t xml:space="preserve">            141447 (Recep OC) - 39,00€</t>
  </si>
  <si>
    <t xml:space="preserve">    31200.0170 - Subproyecto - 9,00€</t>
  </si>
  <si>
    <t xml:space="preserve">            141049 (Estándar) - 9,00€</t>
  </si>
  <si>
    <t xml:space="preserve">    31200.0170 - Subproyecto - 8,58€</t>
  </si>
  <si>
    <t xml:space="preserve">            104010 (Estándar) - 8,58€</t>
  </si>
  <si>
    <t xml:space="preserve">    31200.0170 - Subproyecto - 104,80€</t>
  </si>
  <si>
    <t xml:space="preserve">            71254.02.210.016 (Estándar) - 104,80€</t>
  </si>
  <si>
    <t xml:space="preserve">    31200.0170 - Subproyecto - 22,10€</t>
  </si>
  <si>
    <t xml:space="preserve">            30991.00.419.000 (Estándar) - 22,10€</t>
  </si>
  <si>
    <t xml:space="preserve">            101462 (Estándar) - 1,12€</t>
  </si>
  <si>
    <t xml:space="preserve">            109116 (Estándar) - 2,70€</t>
  </si>
  <si>
    <t xml:space="preserve">    31200.0170 - Subproyecto - 1.018,05€</t>
  </si>
  <si>
    <t xml:space="preserve">            115660 (Recep OC) - 1.018,05€</t>
  </si>
  <si>
    <t xml:space="preserve">    31200.0170 - Subproyecto - 7,56€</t>
  </si>
  <si>
    <t xml:space="preserve">            117340 (Transfer. Stock) - 7,56€</t>
  </si>
  <si>
    <t xml:space="preserve">    31200.0170 - Subproyecto - 115,00€</t>
  </si>
  <si>
    <t xml:space="preserve">            131929 (Recep OC) - 115,00€</t>
  </si>
  <si>
    <t xml:space="preserve">    31200.0170 - Subproyecto - 45,43€</t>
  </si>
  <si>
    <t xml:space="preserve">            135231 (Recep OC) - 45,43€</t>
  </si>
  <si>
    <t xml:space="preserve">    31200.0170 - Subproyecto - 2.169,00€</t>
  </si>
  <si>
    <t xml:space="preserve">            135712 (Recep OC) - 2.169,00€</t>
  </si>
  <si>
    <t xml:space="preserve">    31200.0170 - Subproyecto - 319,50€</t>
  </si>
  <si>
    <t xml:space="preserve">            109963 (Recep OC) - 319,50€</t>
  </si>
  <si>
    <t xml:space="preserve">            139487 (Compra) - 0,00€</t>
  </si>
  <si>
    <t xml:space="preserve">    31200.0170 - Subproyecto - 44,20€</t>
  </si>
  <si>
    <t xml:space="preserve">            30991.00.419.000 (Estándar) - 44,20€</t>
  </si>
  <si>
    <t xml:space="preserve">    31200.0170 - Subproyecto - 800,00€</t>
  </si>
  <si>
    <t xml:space="preserve">            140937 (Transfer. Stock) - 800,00€</t>
  </si>
  <si>
    <t xml:space="preserve">    31200.0170 - Subproyecto - 470,00€</t>
  </si>
  <si>
    <t xml:space="preserve">            140841 (Transfer. Stock) - 470,00€</t>
  </si>
  <si>
    <t xml:space="preserve">            109117 (Estándar) - 0,17€</t>
  </si>
  <si>
    <t xml:space="preserve">    31200.0170 - Subproyecto - 4,40€</t>
  </si>
  <si>
    <t xml:space="preserve">            105034 (Estándar) - 4,40€</t>
  </si>
  <si>
    <t xml:space="preserve">            109117 (Estándar) - 0,44€</t>
  </si>
  <si>
    <t xml:space="preserve">    31200.0170 - Subproyecto - 7,29€</t>
  </si>
  <si>
    <t xml:space="preserve">            101327 (Estándar) - 7,29€</t>
  </si>
  <si>
    <t xml:space="preserve">    31200.0170 - Subproyecto - 13,92€</t>
  </si>
  <si>
    <t xml:space="preserve">            104253 (Estándar) - 13,92€</t>
  </si>
  <si>
    <t xml:space="preserve">    31200.0170 - Subproyecto - 54,55€</t>
  </si>
  <si>
    <t xml:space="preserve">            104447 (Estándar) - 54,55€</t>
  </si>
  <si>
    <t xml:space="preserve">    31200.0170 - Subproyecto - 43,64€</t>
  </si>
  <si>
    <t xml:space="preserve">            104447 (Estándar) - 43,64€</t>
  </si>
  <si>
    <t xml:space="preserve">    31200.0170 - Subproyecto - 3,30€</t>
  </si>
  <si>
    <t xml:space="preserve">            109117 (Estándar) - 3,30€</t>
  </si>
  <si>
    <t xml:space="preserve">            104629 (Estándar) - 26,00€</t>
  </si>
  <si>
    <t xml:space="preserve">            123191 (Estándar) - 0,00€</t>
  </si>
  <si>
    <t xml:space="preserve">    31200.0170 - Subproyecto - 61,80€</t>
  </si>
  <si>
    <t xml:space="preserve">            138584 (Recep OC) - 61,80€</t>
  </si>
  <si>
    <t xml:space="preserve">    31200.0170 - Subproyecto - 26,30€</t>
  </si>
  <si>
    <t xml:space="preserve">            139205 (Recep OC) - 26,30€</t>
  </si>
  <si>
    <t xml:space="preserve">    31200.0170 - Subproyecto - 105,20€</t>
  </si>
  <si>
    <t xml:space="preserve">            139205 (Recep OC) - 105,20€</t>
  </si>
  <si>
    <t xml:space="preserve">    31200.0170 - Subproyecto - 479,90€</t>
  </si>
  <si>
    <t xml:space="preserve">            99104 (Recep OC) - 479,90€</t>
  </si>
  <si>
    <t xml:space="preserve">    31200.0170 - Subproyecto - 959,80€</t>
  </si>
  <si>
    <t xml:space="preserve">            99105 (Recep OC) - 959,80€</t>
  </si>
  <si>
    <t xml:space="preserve">    31200.0170 - Subproyecto - 711,71€</t>
  </si>
  <si>
    <t xml:space="preserve">            99106 (Recep OC) - 711,71€</t>
  </si>
  <si>
    <t xml:space="preserve">    31200.0170 - Subproyecto - 215,56€</t>
  </si>
  <si>
    <t xml:space="preserve">            143948 (Recep OC) - 215,56€</t>
  </si>
  <si>
    <t xml:space="preserve">    31200.0170 - Subproyecto - 1.163,52€</t>
  </si>
  <si>
    <t xml:space="preserve">            141040 (Recep OC) - 1.163,52€</t>
  </si>
  <si>
    <t xml:space="preserve">    31200.0170 - Subproyecto - 1.023,84€</t>
  </si>
  <si>
    <t xml:space="preserve">            141043 (Recep OC) - 1.023,84€</t>
  </si>
  <si>
    <t xml:space="preserve">    31200.0170 - Subproyecto - 1.199,76€</t>
  </si>
  <si>
    <t xml:space="preserve">            99103 (Recep OC) - 1.199,76€</t>
  </si>
  <si>
    <t xml:space="preserve">    31200.0170 - Subproyecto - 325,08€</t>
  </si>
  <si>
    <t xml:space="preserve">            141044 (Recep OC) - 325,08€</t>
  </si>
  <si>
    <t xml:space="preserve">    31200.0170 - Subproyecto - 971,88€</t>
  </si>
  <si>
    <t xml:space="preserve">            141045 (Recep OC) - 971,88€</t>
  </si>
  <si>
    <t xml:space="preserve">    31200.0170 - Subproyecto - 41,60€</t>
  </si>
  <si>
    <t xml:space="preserve">            141046 (Recep OC) - 41,60€</t>
  </si>
  <si>
    <t xml:space="preserve">    31200.0170 - Subproyecto - 62,00€</t>
  </si>
  <si>
    <t xml:space="preserve">            141047 (Recep OC) - 62,00€</t>
  </si>
  <si>
    <t xml:space="preserve">    31200.0170 - Subproyecto - 46,20€</t>
  </si>
  <si>
    <t xml:space="preserve">            141048 (Recep OC) - 46,20€</t>
  </si>
  <si>
    <t xml:space="preserve">    31200.0170 - Subproyecto - 33,00€</t>
  </si>
  <si>
    <t xml:space="preserve">            141048 (Recep OC) - 33,00€</t>
  </si>
  <si>
    <t xml:space="preserve">    31200.0170 - Subproyecto - 43,20€</t>
  </si>
  <si>
    <t xml:space="preserve">    31200.0170 - Subproyecto - 975,24€</t>
  </si>
  <si>
    <t xml:space="preserve">            141044 (Recep OC) - 975,24€</t>
  </si>
  <si>
    <t xml:space="preserve">            99102 (Recep OC) - 1.199,76€</t>
  </si>
  <si>
    <t xml:space="preserve">    31200.0170 - Subproyecto - 496,92€</t>
  </si>
  <si>
    <t xml:space="preserve">            99101 (Recep OC) - 496,92€</t>
  </si>
  <si>
    <t xml:space="preserve">    31200.0170 - Subproyecto - 1.439,70€</t>
  </si>
  <si>
    <t xml:space="preserve">            99100 (Recep OC) - 1.439,70€</t>
  </si>
  <si>
    <t xml:space="preserve">    31200.0170 - Subproyecto - 608,00€</t>
  </si>
  <si>
    <t xml:space="preserve">            140550 (Recep OC) - 608,00€</t>
  </si>
  <si>
    <t xml:space="preserve">    31200.0170 - Subproyecto - 233,60€</t>
  </si>
  <si>
    <t xml:space="preserve">            143838 (Recep OC) - 233,60€</t>
  </si>
  <si>
    <t xml:space="preserve">    31200.0170 - Subproyecto - 46,72€</t>
  </si>
  <si>
    <t xml:space="preserve">            143838 (Recep OC) - 46,72€</t>
  </si>
  <si>
    <t xml:space="preserve">    31200.0170 - Subproyecto - 93,44€</t>
  </si>
  <si>
    <t xml:space="preserve">            143838 (Recep OC) - 93,44€</t>
  </si>
  <si>
    <t xml:space="preserve">    31200.0170 - Subproyecto - 324,54€</t>
  </si>
  <si>
    <t xml:space="preserve">            144829 (Recep OC) - 324,54€</t>
  </si>
  <si>
    <t xml:space="preserve">    31200.0170 - Subproyecto - 135,27€</t>
  </si>
  <si>
    <t xml:space="preserve">    31200.0170 - Subproyecto - 770,01€</t>
  </si>
  <si>
    <t xml:space="preserve">            99024 (Recep OC) - 770,01€</t>
  </si>
  <si>
    <t xml:space="preserve">    31200.0170 - Subproyecto - 1.473,76€</t>
  </si>
  <si>
    <t xml:space="preserve">            99093 (Recep OC) - 1.473,76€</t>
  </si>
  <si>
    <t xml:space="preserve">    31200.0170 - Subproyecto - 1.713,72€</t>
  </si>
  <si>
    <t xml:space="preserve">            99094 (Recep OC) - 1.713,72€</t>
  </si>
  <si>
    <t xml:space="preserve">    31200.0170 - Subproyecto - 1.353,78€</t>
  </si>
  <si>
    <t xml:space="preserve">            99095 (Recep OC) - 1.353,78€</t>
  </si>
  <si>
    <t xml:space="preserve">            99097 (Recep OC) - 1.199,76€</t>
  </si>
  <si>
    <t xml:space="preserve">    31200.0170 - Subproyecto - 1.113,82€</t>
  </si>
  <si>
    <t xml:space="preserve">            99098 (Recep OC) - 1.113,82€</t>
  </si>
  <si>
    <t xml:space="preserve">            99099 (Recep OC) - 1.319,72€</t>
  </si>
  <si>
    <t xml:space="preserve">    31200.0170 - Subproyecto - 1.202,50€</t>
  </si>
  <si>
    <t xml:space="preserve">            145513 (Recep OC) - 1.202,50€</t>
  </si>
  <si>
    <t xml:space="preserve">    31200.0170 - Subproyecto - 46,00€</t>
  </si>
  <si>
    <t xml:space="preserve">            113104 (Estándar) - 46,00€</t>
  </si>
  <si>
    <t xml:space="preserve">    31200.0170 - Subproyecto - 29,55€</t>
  </si>
  <si>
    <t xml:space="preserve">            100735 (Estándar) - 29,55€</t>
  </si>
  <si>
    <t xml:space="preserve">    31200.0170 - Subproyecto - 60,00€</t>
  </si>
  <si>
    <t xml:space="preserve">            104161 (Estándar) - 60,00€</t>
  </si>
  <si>
    <t xml:space="preserve">    31200.0170 - Subproyecto - 31,68€</t>
  </si>
  <si>
    <t xml:space="preserve">            123231 (Estándar) - 31,68€</t>
  </si>
  <si>
    <t xml:space="preserve">    31200.0170 - Subproyecto - 4,35€</t>
  </si>
  <si>
    <t xml:space="preserve">            101601 (Estándar) - 4,35€</t>
  </si>
  <si>
    <t xml:space="preserve">    31200.0170 - Subproyecto - 9,40€</t>
  </si>
  <si>
    <t xml:space="preserve">            105057 (Estándar) - 0,00€</t>
  </si>
  <si>
    <t xml:space="preserve">            101472 (Estándar) - 3,30€</t>
  </si>
  <si>
    <t xml:space="preserve">    31200.0170 - Subproyecto - 0,58€</t>
  </si>
  <si>
    <t xml:space="preserve">            104843 (Estándar) - 0,58€</t>
  </si>
  <si>
    <t xml:space="preserve">    31200.0170 - Subproyecto - 33,09€</t>
  </si>
  <si>
    <t xml:space="preserve">            101306 (Estándar) - 33,09€</t>
  </si>
  <si>
    <t xml:space="preserve">    31200.0170 - Subproyecto - 3,05€</t>
  </si>
  <si>
    <t xml:space="preserve">            137115 (Estándar) - 3,05€</t>
  </si>
  <si>
    <t xml:space="preserve">    31200.0170 - Subproyecto - 4,50€</t>
  </si>
  <si>
    <t xml:space="preserve">            105063 (Estándar) - 4,50€</t>
  </si>
  <si>
    <t xml:space="preserve">            101602 (Estándar) - 1,85€</t>
  </si>
  <si>
    <t xml:space="preserve">    31200.0170 - Subproyecto - 7,25€</t>
  </si>
  <si>
    <t xml:space="preserve">            101601 (Estándar) - 7,25€</t>
  </si>
  <si>
    <t xml:space="preserve">    31200.0170 - Subproyecto - 5,15€</t>
  </si>
  <si>
    <t xml:space="preserve">            101600 (Estándar) - 5,15€</t>
  </si>
  <si>
    <t xml:space="preserve">            101599 (Estándar) - 3,60€</t>
  </si>
  <si>
    <t xml:space="preserve">    31200.0170 - Subproyecto - 0,88€</t>
  </si>
  <si>
    <t xml:space="preserve">            104840 (Estándar) - 0,88€</t>
  </si>
  <si>
    <t xml:space="preserve">    31200.0170 - Subproyecto - 0,60€</t>
  </si>
  <si>
    <t xml:space="preserve">            105045 (Estándar) - 1,40€</t>
  </si>
  <si>
    <t xml:space="preserve">            123198 (Estándar) - 0,00€</t>
  </si>
  <si>
    <t xml:space="preserve">    31200.0170 - Subproyecto - 6,68€</t>
  </si>
  <si>
    <t xml:space="preserve">            123200 (Estándar) - 6,68€</t>
  </si>
  <si>
    <t xml:space="preserve">    31200.0170 - Subproyecto - 629,51€</t>
  </si>
  <si>
    <t xml:space="preserve">            99009 (Recep OC) - 629,51€</t>
  </si>
  <si>
    <t xml:space="preserve">    31200.0170 - Subproyecto - 2.125,00€</t>
  </si>
  <si>
    <t xml:space="preserve">            99010 (Recep OC) - 2.125,00€</t>
  </si>
  <si>
    <t xml:space="preserve">    31200.0170 - Subproyecto - 1.738,20€</t>
  </si>
  <si>
    <t xml:space="preserve">            99011 (Recep OC) - 1.738,20€</t>
  </si>
  <si>
    <t xml:space="preserve">    31200.0170 - Subproyecto - 304,66€</t>
  </si>
  <si>
    <t xml:space="preserve">            99012 (Recep OC) - 304,66€</t>
  </si>
  <si>
    <t xml:space="preserve">    31200.0170 - Subproyecto - 515,22€</t>
  </si>
  <si>
    <t xml:space="preserve">            99013 (Recep OC) - 515,22€</t>
  </si>
  <si>
    <t xml:space="preserve">    31200.0170 - Subproyecto - 121,70€</t>
  </si>
  <si>
    <t xml:space="preserve">            100752 (Estándar) - 121,70€</t>
  </si>
  <si>
    <t xml:space="preserve">    31200.0170 - Subproyecto - 15,30€</t>
  </si>
  <si>
    <t xml:space="preserve">            123199 (Estándar) - 15,30€</t>
  </si>
  <si>
    <t xml:space="preserve">    31200.0170 - Subproyecto - 3,39€</t>
  </si>
  <si>
    <t xml:space="preserve">            104662 (Estándar) - 3,39€</t>
  </si>
  <si>
    <t xml:space="preserve">    31200.0170 - Subproyecto - 14,90€</t>
  </si>
  <si>
    <t xml:space="preserve">            100980 (Estándar) - 14,90€</t>
  </si>
  <si>
    <t xml:space="preserve">    31200.0170 - Subproyecto - 9,23€</t>
  </si>
  <si>
    <t xml:space="preserve">            100979 (Estándar) - 9,23€</t>
  </si>
  <si>
    <t xml:space="preserve">    31200.0170 - Subproyecto - 24,51€</t>
  </si>
  <si>
    <t xml:space="preserve">            101299 (Estándar) - 24,51€</t>
  </si>
  <si>
    <t xml:space="preserve">    31200.0170 - Subproyecto - 26,40€</t>
  </si>
  <si>
    <t xml:space="preserve">            123184 (Estándar) - 26,40€</t>
  </si>
  <si>
    <t xml:space="preserve">    31200.0170 - Subproyecto - 22,00€</t>
  </si>
  <si>
    <t xml:space="preserve">            123183 (Estándar) - 22,00€</t>
  </si>
  <si>
    <t xml:space="preserve">    31200.0170 - Subproyecto - 9,10€</t>
  </si>
  <si>
    <t xml:space="preserve">            123182 (Estándar) - 9,10€</t>
  </si>
  <si>
    <t xml:space="preserve">            105202 (Estándar) - 0,00€</t>
  </si>
  <si>
    <t xml:space="preserve">    31200.0170 - Subproyecto - 0,14€</t>
  </si>
  <si>
    <t xml:space="preserve">            105045 (Estándar) - 0,14€</t>
  </si>
  <si>
    <t xml:space="preserve">    31200.0170 - Subproyecto - 0,77€</t>
  </si>
  <si>
    <t xml:space="preserve">    31200.0170 - Subproyecto - 21,60€</t>
  </si>
  <si>
    <t xml:space="preserve">            109116 (Estándar) - 21,60€</t>
  </si>
  <si>
    <t xml:space="preserve">            120155 (Estándar) - 0,00€</t>
  </si>
  <si>
    <t xml:space="preserve">    31200.0170 - Subproyecto - 1,89€</t>
  </si>
  <si>
    <t xml:space="preserve">            123207 (Estándar) - 1,89€</t>
  </si>
  <si>
    <t xml:space="preserve">    31200.0170 - Subproyecto - 10,50€</t>
  </si>
  <si>
    <t xml:space="preserve">            100669 (Estándar) - 10,50€</t>
  </si>
  <si>
    <t xml:space="preserve">    31200.0170 - Subproyecto - 3,64€</t>
  </si>
  <si>
    <t xml:space="preserve">            101327 (Estándar) - 3,64€</t>
  </si>
  <si>
    <t xml:space="preserve">    31200.0170 - Subproyecto - 3,22€</t>
  </si>
  <si>
    <t xml:space="preserve">            104378 (Estándar) - 3,22€</t>
  </si>
  <si>
    <t xml:space="preserve">    31200.0170 - Subproyecto - 33,14€</t>
  </si>
  <si>
    <t xml:space="preserve">            101444 (Estándar) - 33,14€</t>
  </si>
  <si>
    <t xml:space="preserve">    31200.0170 - Subproyecto - 1,35€</t>
  </si>
  <si>
    <t xml:space="preserve">            105202 (Estándar) - 1,35€</t>
  </si>
  <si>
    <t xml:space="preserve">    31200.0170 - Subproyecto - 13,26€</t>
  </si>
  <si>
    <t xml:space="preserve">            114144 (Estándar) - 13,26€</t>
  </si>
  <si>
    <t xml:space="preserve">    31200.0170 - Subproyecto - 31,60€</t>
  </si>
  <si>
    <t xml:space="preserve">            21020.01.403.040 (Estándar) - 31,60€</t>
  </si>
  <si>
    <t xml:space="preserve">            123184 (Estándar) - 6,60€</t>
  </si>
  <si>
    <t xml:space="preserve">    31200.0170 - Subproyecto - 3,06€</t>
  </si>
  <si>
    <t xml:space="preserve">            123199 (Estándar) - 3,06€</t>
  </si>
  <si>
    <t xml:space="preserve">    31200.0170 - Subproyecto - 3,34€</t>
  </si>
  <si>
    <t xml:space="preserve">            123200 (Estándar) - 3,34€</t>
  </si>
  <si>
    <t xml:space="preserve">    31200.0170 - Subproyecto - 6,28€</t>
  </si>
  <si>
    <t xml:space="preserve">            101295 (Estándar) - 6,28€</t>
  </si>
  <si>
    <t xml:space="preserve">    31200.0170 - Subproyecto - 4,08€</t>
  </si>
  <si>
    <t xml:space="preserve">            112099 (Estándar) - 4,08€</t>
  </si>
  <si>
    <t xml:space="preserve">    31200.0170 - Subproyecto - 3,78€</t>
  </si>
  <si>
    <t xml:space="preserve">            104660 (Estándar) - 3,78€</t>
  </si>
  <si>
    <t xml:space="preserve">    31200.0170 - Subproyecto - 5,65€</t>
  </si>
  <si>
    <t xml:space="preserve">            104662 (Estándar) - 5,65€</t>
  </si>
  <si>
    <t xml:space="preserve">    31200.0170 - Subproyecto - 6,40€</t>
  </si>
  <si>
    <t xml:space="preserve">            100977 (Estándar) - 6,40€</t>
  </si>
  <si>
    <t xml:space="preserve">            109116 (Estándar) - 0,00€</t>
  </si>
  <si>
    <t xml:space="preserve">    31200.0170 - Subproyecto - 9,50€</t>
  </si>
  <si>
    <t xml:space="preserve">            101007 (Estándar) - 9,50€</t>
  </si>
  <si>
    <t xml:space="preserve">    31200.0170 - Subproyecto - 18,64€</t>
  </si>
  <si>
    <t xml:space="preserve">            100749 (Estándar) - 18,64€</t>
  </si>
  <si>
    <t xml:space="preserve">    31200.0170 - Subproyecto - 11,70€</t>
  </si>
  <si>
    <t xml:space="preserve">            101345 (Estándar) - 11,70€</t>
  </si>
  <si>
    <t xml:space="preserve">            114144 (Estándar) - 0,00€</t>
  </si>
  <si>
    <t xml:space="preserve">    31200.0170 - Subproyecto - 1,20€</t>
  </si>
  <si>
    <t xml:space="preserve">            110597 (Estándar) - 1,20€</t>
  </si>
  <si>
    <t xml:space="preserve">    31200.0170 - Subproyecto - 0,47€</t>
  </si>
  <si>
    <t xml:space="preserve">            105244 (Estándar) - 0,47€</t>
  </si>
  <si>
    <t xml:space="preserve">            104155 (Estándar) - 14,58€</t>
  </si>
  <si>
    <t xml:space="preserve">    31200.0170 - Subproyecto - 17,65€</t>
  </si>
  <si>
    <t xml:space="preserve">            101306 (Estándar) - 17,65€</t>
  </si>
  <si>
    <t xml:space="preserve">    31200.0170 - Subproyecto - 12,52€</t>
  </si>
  <si>
    <t xml:space="preserve">            101304 (Estándar) - 12,52€</t>
  </si>
  <si>
    <t xml:space="preserve">    31200.0170 - Subproyecto - 10,00€</t>
  </si>
  <si>
    <t xml:space="preserve">            104161 (Estándar) - 10,00€</t>
  </si>
  <si>
    <t xml:space="preserve">    31200.0170 - Subproyecto - 323,66€</t>
  </si>
  <si>
    <t xml:space="preserve">            99008 (Recep OC) - 323,66€</t>
  </si>
  <si>
    <t xml:space="preserve">    31200.0170 - Subproyecto - 400,00€</t>
  </si>
  <si>
    <t xml:space="preserve">            99007 (Recep OC) - 400,00€</t>
  </si>
  <si>
    <t xml:space="preserve">    31200.0170 - Subproyecto - 926,20€</t>
  </si>
  <si>
    <t xml:space="preserve">            99006 (Recep OC) - 926,20€</t>
  </si>
  <si>
    <t xml:space="preserve">    31200.0170 - Subproyecto - 930,00€</t>
  </si>
  <si>
    <t xml:space="preserve">            145359 (Recep OC) - 930,00€</t>
  </si>
  <si>
    <t xml:space="preserve">    31200.0170 - Subproyecto - 61,20€</t>
  </si>
  <si>
    <t xml:space="preserve">            117643 (Recep OC) - 61,20€</t>
  </si>
  <si>
    <t xml:space="preserve">    31200.0170 - Subproyecto - 167,41€</t>
  </si>
  <si>
    <t xml:space="preserve">            117644 (Recep OC) - 167,41€</t>
  </si>
  <si>
    <t xml:space="preserve">    31200.0170 - Subproyecto - 46,94€</t>
  </si>
  <si>
    <t xml:space="preserve">            117645 (Recep OC) - 46,94€</t>
  </si>
  <si>
    <t xml:space="preserve">    31200.0170 - Subproyecto - 39,10€</t>
  </si>
  <si>
    <t xml:space="preserve">            119534 (Recep OC) - 39,10€</t>
  </si>
  <si>
    <t xml:space="preserve">    31200.0170 - Subproyecto - 706,91€</t>
  </si>
  <si>
    <t xml:space="preserve">            119536 (Recep OC) - 706,91€</t>
  </si>
  <si>
    <t xml:space="preserve">    31200.0170 - Subproyecto - 363,82€</t>
  </si>
  <si>
    <t xml:space="preserve">            119567 (Recep OC) - 363,82€</t>
  </si>
  <si>
    <t xml:space="preserve">    31200.0170 - Subproyecto - 256,89€</t>
  </si>
  <si>
    <t xml:space="preserve">            117247 (Recep OC) - 256,89€</t>
  </si>
  <si>
    <t xml:space="preserve">    31200.0170 - Subproyecto - 81,69€</t>
  </si>
  <si>
    <t xml:space="preserve">            119770 (Recep OC) - 81,69€</t>
  </si>
  <si>
    <t xml:space="preserve">    31200.0170 - Subproyecto - 242,65€</t>
  </si>
  <si>
    <t xml:space="preserve">            122787 (Recep OC) - 242,65€</t>
  </si>
  <si>
    <t xml:space="preserve">    31200.0170 - Subproyecto - 121,33€</t>
  </si>
  <si>
    <t xml:space="preserve">            122790 (Recep OC) - 121,33€</t>
  </si>
  <si>
    <t xml:space="preserve">    31200.0170 - Subproyecto - 67,27€</t>
  </si>
  <si>
    <t xml:space="preserve">            122793 (Recep OC) - 67,27€</t>
  </si>
  <si>
    <t xml:space="preserve">    31200.0170 - Subproyecto - 51,38€</t>
  </si>
  <si>
    <t xml:space="preserve">    31200.0170 - Subproyecto - 12,85€</t>
  </si>
  <si>
    <t xml:space="preserve">            124155 (Recep OC) - 12,85€</t>
  </si>
  <si>
    <t xml:space="preserve">    31200.0170 - Subproyecto - 716,78€</t>
  </si>
  <si>
    <t xml:space="preserve">            125266 (Recep OC) - 716,78€</t>
  </si>
  <si>
    <t xml:space="preserve">    31200.0170 - Subproyecto - 134,55€</t>
  </si>
  <si>
    <t xml:space="preserve">            120946 (Recep OC) - 134,55€</t>
  </si>
  <si>
    <t xml:space="preserve">    31200.0170 - Subproyecto - 12,76€</t>
  </si>
  <si>
    <t xml:space="preserve">            112381 (Recep OC) - 12,76€</t>
  </si>
  <si>
    <t xml:space="preserve">    31200.0170 - Subproyecto - 86,88€</t>
  </si>
  <si>
    <t xml:space="preserve">            111037 (Recep OC) - 86,88€</t>
  </si>
  <si>
    <t xml:space="preserve">    31200.0170 - Subproyecto - 54,13€</t>
  </si>
  <si>
    <t xml:space="preserve">    31200.0170 - Subproyecto - 118,24€</t>
  </si>
  <si>
    <t xml:space="preserve">            99001 (Recep OC) - 118,24€</t>
  </si>
  <si>
    <t xml:space="preserve">    31200.0170 - Subproyecto - 8.208,00€</t>
  </si>
  <si>
    <t xml:space="preserve">            99002 (Recep OC) - 8.208,00€</t>
  </si>
  <si>
    <t xml:space="preserve">    31200.0170 - Subproyecto - 582,00€</t>
  </si>
  <si>
    <t xml:space="preserve">            99003 (Recep OC) - 582,00€</t>
  </si>
  <si>
    <t xml:space="preserve">    31200.0170 - Subproyecto - 410,00€</t>
  </si>
  <si>
    <t xml:space="preserve">            99004 (Recep OC) - 410,00€</t>
  </si>
  <si>
    <t xml:space="preserve">    31200.0170 - Subproyecto - 5,20€</t>
  </si>
  <si>
    <t xml:space="preserve">            104150 (Estándar) - 5,20€</t>
  </si>
  <si>
    <t xml:space="preserve">    31200.0170 - Subproyecto - 42,90€</t>
  </si>
  <si>
    <t xml:space="preserve">            116472 (Estándar) - 42,90€</t>
  </si>
  <si>
    <t xml:space="preserve">    31200.0170 - Subproyecto - 49,32€</t>
  </si>
  <si>
    <t xml:space="preserve">            116470 (Estándar) - 49,32€</t>
  </si>
  <si>
    <t xml:space="preserve">    31200.0170 - Subproyecto - 7,62€</t>
  </si>
  <si>
    <t xml:space="preserve">            104226 (Estándar) - 7,62€</t>
  </si>
  <si>
    <t xml:space="preserve">            104188 (Estándar) - 0,88€</t>
  </si>
  <si>
    <t xml:space="preserve">    31200.0170 - Subproyecto - 5,12€</t>
  </si>
  <si>
    <t xml:space="preserve">            117357 (Estándar) - 5,12€</t>
  </si>
  <si>
    <t xml:space="preserve">    31200.0170 - Subproyecto - 20,50€</t>
  </si>
  <si>
    <t xml:space="preserve">            101263 (Estándar) - 20,50€</t>
  </si>
  <si>
    <t xml:space="preserve">    31200.0170 - Subproyecto - 6,29€</t>
  </si>
  <si>
    <t xml:space="preserve">            106918 (Recep OC) - 6,29€</t>
  </si>
  <si>
    <t xml:space="preserve">    31200.0170 - Subproyecto - 57,75€</t>
  </si>
  <si>
    <t xml:space="preserve">    31200.0170 - Subproyecto - 55,13€</t>
  </si>
  <si>
    <t xml:space="preserve">    31200.0170 - Subproyecto - 0,51€</t>
  </si>
  <si>
    <t xml:space="preserve">            101290 (Estándar) - 0,51€</t>
  </si>
  <si>
    <t xml:space="preserve">    31200.0170 - Subproyecto - 321,83€</t>
  </si>
  <si>
    <t xml:space="preserve">            132401 (Recep OC) - 321,83€</t>
  </si>
  <si>
    <t xml:space="preserve">    31200.0170 - Subproyecto - 1.151,10€</t>
  </si>
  <si>
    <t xml:space="preserve">            99005 (Recep OC) - 1.151,10€</t>
  </si>
  <si>
    <t xml:space="preserve">    31200.0170 - Subproyecto - -55,13€</t>
  </si>
  <si>
    <t xml:space="preserve">    31200.0170 - Subproyecto - 418,99€</t>
  </si>
  <si>
    <t xml:space="preserve">            126979 (Recep OC) - 418,99€</t>
  </si>
  <si>
    <t xml:space="preserve">    31200.0170 - Subproyecto - 3.739,35€</t>
  </si>
  <si>
    <t xml:space="preserve">            129495 (Recep OC) - 3.739,35€</t>
  </si>
  <si>
    <t xml:space="preserve">    31200.0170 - Subproyecto - 659,44€</t>
  </si>
  <si>
    <t xml:space="preserve">            129882 (Recep OC) - 659,44€</t>
  </si>
  <si>
    <t xml:space="preserve">    31200.0170 - Subproyecto - 438,40€</t>
  </si>
  <si>
    <t xml:space="preserve">            126920 (Recep OC) - 438,40€</t>
  </si>
  <si>
    <t xml:space="preserve">    31200.0170 - Subproyecto - 407,60€</t>
  </si>
  <si>
    <t xml:space="preserve">            131776 (Recep OC) - 407,60€</t>
  </si>
  <si>
    <t xml:space="preserve">    31200.0170 - Subproyecto - 575,71€</t>
  </si>
  <si>
    <t xml:space="preserve">            133477 (Recep OC) - 575,71€</t>
  </si>
  <si>
    <t xml:space="preserve">    31200.0170 - Subproyecto - 418,80€</t>
  </si>
  <si>
    <t xml:space="preserve">            135211 (Recep OC) - 418,80€</t>
  </si>
  <si>
    <t xml:space="preserve">    31200.0170 - Subproyecto - 216,00€</t>
  </si>
  <si>
    <t xml:space="preserve">            136521 (Recep OC) - 216,00€</t>
  </si>
  <si>
    <t xml:space="preserve">    31200.0170 - Subproyecto - 67,60€</t>
  </si>
  <si>
    <t xml:space="preserve">    31200.0170 - Subproyecto - 97,60€</t>
  </si>
  <si>
    <t xml:space="preserve">    31200.0170 - Subproyecto - 630,45€</t>
  </si>
  <si>
    <t xml:space="preserve">            139218 (Recep OC) - 630,45€</t>
  </si>
  <si>
    <t xml:space="preserve">    31200.0170 - Subproyecto - 870,90€</t>
  </si>
  <si>
    <t xml:space="preserve">            133476 (Recep OC) - 870,90€</t>
  </si>
  <si>
    <t xml:space="preserve">    31200.0170 - Subproyecto - 155,93€</t>
  </si>
  <si>
    <t xml:space="preserve">    31200.0170 - Subproyecto - 282,10€</t>
  </si>
  <si>
    <t xml:space="preserve">            126350 (Recep OC) - 282,10€</t>
  </si>
  <si>
    <t xml:space="preserve">    31200.0170 - Subproyecto - 458,69€</t>
  </si>
  <si>
    <t xml:space="preserve">            116848 (Recep OC) - 458,69€</t>
  </si>
  <si>
    <t xml:space="preserve">    31200.0170 - Subproyecto - 204,77€</t>
  </si>
  <si>
    <t xml:space="preserve">    31200.0170 - Subproyecto - 614,30€</t>
  </si>
  <si>
    <t xml:space="preserve">            100759 (Recep OC) - 614,30€</t>
  </si>
  <si>
    <t xml:space="preserve">    31200.0170 - Subproyecto - 1.523,13€</t>
  </si>
  <si>
    <t xml:space="preserve">            100762 (Recep OC) - 1.523,13€</t>
  </si>
  <si>
    <t xml:space="preserve">    31200.0170 - Subproyecto - 190,35€</t>
  </si>
  <si>
    <t xml:space="preserve">    31200.0170 - Subproyecto - 93,28€</t>
  </si>
  <si>
    <t xml:space="preserve">    31200.0170 - Subproyecto - 7,18€</t>
  </si>
  <si>
    <t xml:space="preserve">            102087 (Recep OC) - 7,18€</t>
  </si>
  <si>
    <t xml:space="preserve">    31200.0170 - Subproyecto - -57,75€</t>
  </si>
  <si>
    <t xml:space="preserve">    31200.0170 - Subproyecto - 438,90€</t>
  </si>
  <si>
    <t xml:space="preserve">            110850 (Recep OC) - 438,90€</t>
  </si>
  <si>
    <t xml:space="preserve">    31200.0170 - Subproyecto - 216,52€</t>
  </si>
  <si>
    <t xml:space="preserve">            110851 (Recep OC) - 216,52€</t>
  </si>
  <si>
    <t xml:space="preserve">    31200.0170 - Subproyecto - 570,43€</t>
  </si>
  <si>
    <t xml:space="preserve">            110859 (Recep OC) - 570,43€</t>
  </si>
  <si>
    <t xml:space="preserve">    31200.0170 - Subproyecto - 301,22€</t>
  </si>
  <si>
    <t xml:space="preserve">    31200.0170 - Subproyecto - 285,61€</t>
  </si>
  <si>
    <t xml:space="preserve">            114643 (Recep OC) - 285,61€</t>
  </si>
  <si>
    <t xml:space="preserve">    31200.0170 - Subproyecto - 811,06€</t>
  </si>
  <si>
    <t xml:space="preserve">            114645 (Recep OC) - 811,06€</t>
  </si>
  <si>
    <t xml:space="preserve">    31200.0170 - Subproyecto - 342,90€</t>
  </si>
  <si>
    <t xml:space="preserve">            138748 (Recep OC) - 342,90€</t>
  </si>
  <si>
    <t xml:space="preserve">    31200.0170 - Subproyecto - 0,62€</t>
  </si>
  <si>
    <t xml:space="preserve">            101292 (Estándar) - 0,62€</t>
  </si>
  <si>
    <t xml:space="preserve">            101338 (Estándar) - 0,00€</t>
  </si>
  <si>
    <t xml:space="preserve">            122787 (Recep OC) - 121,33€</t>
  </si>
  <si>
    <t xml:space="preserve">    31200.0170 - Subproyecto - 133,46€</t>
  </si>
  <si>
    <t xml:space="preserve">            122790 (Recep OC) - 133,46€</t>
  </si>
  <si>
    <t xml:space="preserve">    31200.0170 - Subproyecto - 100,91€</t>
  </si>
  <si>
    <t xml:space="preserve">            122792 (Recep OC) - 100,91€</t>
  </si>
  <si>
    <t xml:space="preserve">    31200.0170 - Subproyecto - 74,00€</t>
  </si>
  <si>
    <t xml:space="preserve">            122793 (Recep OC) - 74,00€</t>
  </si>
  <si>
    <t xml:space="preserve">    31200.0170 - Subproyecto - 3,00€</t>
  </si>
  <si>
    <t xml:space="preserve">    31200.0170 - Subproyecto - 27,56€</t>
  </si>
  <si>
    <t xml:space="preserve">            126979 (Recep OC) - 27,56€</t>
  </si>
  <si>
    <t xml:space="preserve">    31200.0170 - Subproyecto - 824,85€</t>
  </si>
  <si>
    <t xml:space="preserve">            139043 (Recep OC) - 824,85€</t>
  </si>
  <si>
    <t xml:space="preserve">    31200.0170 - Subproyecto - 181,99€</t>
  </si>
  <si>
    <t xml:space="preserve">            122786 (Recep OC) - 181,99€</t>
  </si>
  <si>
    <t xml:space="preserve">    31200.0170 - Subproyecto - 49,30€</t>
  </si>
  <si>
    <t xml:space="preserve">            122783 (Recep OC) - 49,30€</t>
  </si>
  <si>
    <t xml:space="preserve">    31200.0170 - Subproyecto - 88,36€</t>
  </si>
  <si>
    <t xml:space="preserve">            122777 (Recep OC) - 88,36€</t>
  </si>
  <si>
    <t xml:space="preserve">    31200.0170 - Subproyecto - 14,08€</t>
  </si>
  <si>
    <t xml:space="preserve">            117645 (Recep OC) - 14,08€</t>
  </si>
  <si>
    <t xml:space="preserve">    31200.0170 - Subproyecto - 9,39€</t>
  </si>
  <si>
    <t xml:space="preserve">            117645 (Recep OC) - 9,39€</t>
  </si>
  <si>
    <t xml:space="preserve">    31200.0170 - Subproyecto - 11,73€</t>
  </si>
  <si>
    <t xml:space="preserve">            119534 (Recep OC) - 11,73€</t>
  </si>
  <si>
    <t xml:space="preserve">    31200.0170 - Subproyecto - 70,65€</t>
  </si>
  <si>
    <t xml:space="preserve">            119569 (Recep OC) - 70,65€</t>
  </si>
  <si>
    <t xml:space="preserve">    31200.0170 - Subproyecto - 70,02€</t>
  </si>
  <si>
    <t xml:space="preserve">            119770 (Recep OC) - 70,02€</t>
  </si>
  <si>
    <t xml:space="preserve">    31200.0170 - Subproyecto - 48,26€</t>
  </si>
  <si>
    <t xml:space="preserve">            119898 (Recep OC) - 48,26€</t>
  </si>
  <si>
    <t xml:space="preserve">    31200.0170 - Subproyecto - 418,53€</t>
  </si>
  <si>
    <t xml:space="preserve">            120945 (Recep OC) - 418,53€</t>
  </si>
  <si>
    <t xml:space="preserve">            120946 (Recep OC) - 67,27€</t>
  </si>
  <si>
    <t xml:space="preserve">    31200.0170 - Subproyecto - 218,12€</t>
  </si>
  <si>
    <t xml:space="preserve">            120948 (Recep OC) - 218,12€</t>
  </si>
  <si>
    <t xml:space="preserve">    31200.0170 - Subproyecto - 207,65€</t>
  </si>
  <si>
    <t xml:space="preserve">            120964 (Recep OC) - 207,65€</t>
  </si>
  <si>
    <t xml:space="preserve">    31200.0170 - Subproyecto - 6,78€</t>
  </si>
  <si>
    <t xml:space="preserve">            122390 (Recep OC) - 6,78€</t>
  </si>
  <si>
    <t xml:space="preserve">    31200.0170 - Subproyecto - 77,90€</t>
  </si>
  <si>
    <t xml:space="preserve">            122524 (Recep OC) - 77,90€</t>
  </si>
  <si>
    <t xml:space="preserve">    31200.0170 - Subproyecto - 5,68€</t>
  </si>
  <si>
    <t xml:space="preserve">            140216 (Recep OC) - 5,68€</t>
  </si>
  <si>
    <t xml:space="preserve">            117643 (Estándar) - 0,00€</t>
  </si>
  <si>
    <t xml:space="preserve">    31200.0170 - Subproyecto - 30,69€</t>
  </si>
  <si>
    <t xml:space="preserve">            140367 (Recep OC) - 30,69€</t>
  </si>
  <si>
    <t xml:space="preserve">    31200.0170 - Subproyecto - 1.218,15€</t>
  </si>
  <si>
    <t xml:space="preserve">            143950 (Recep OC) - 1.218,15€</t>
  </si>
  <si>
    <t xml:space="preserve">    31200.0170 - Subproyecto - 12,83€</t>
  </si>
  <si>
    <t xml:space="preserve">            123172 (Estándar) - 12,83€</t>
  </si>
  <si>
    <t xml:space="preserve">    31200.0170 - Subproyecto - 3,63€</t>
  </si>
  <si>
    <t xml:space="preserve">            101462 (Estándar) - 3,63€</t>
  </si>
  <si>
    <t xml:space="preserve">    31200.0170 - Subproyecto - 21,64€</t>
  </si>
  <si>
    <t xml:space="preserve">            101609 (Estándar) - 21,64€</t>
  </si>
  <si>
    <t xml:space="preserve">    31200.0170 - Subproyecto - 21,36€</t>
  </si>
  <si>
    <t xml:space="preserve">            104280 (Estándar) - 21,36€</t>
  </si>
  <si>
    <t xml:space="preserve">    31200.0170 - Subproyecto - 38,81€</t>
  </si>
  <si>
    <t xml:space="preserve">            104202 (Estándar) - 38,81€</t>
  </si>
  <si>
    <t xml:space="preserve">    31200.0170 - Subproyecto - 10,47€</t>
  </si>
  <si>
    <t xml:space="preserve">            104249 (Estándar) - 10,47€</t>
  </si>
  <si>
    <t xml:space="preserve">    31200.0170 - Subproyecto - 205,14€</t>
  </si>
  <si>
    <t xml:space="preserve">            104175 (Transfer. Stock) - 205,14€</t>
  </si>
  <si>
    <t xml:space="preserve">    31200.0170 - Subproyecto - 45,42€</t>
  </si>
  <si>
    <t xml:space="preserve">            104207 (Estándar) - 45,42€</t>
  </si>
  <si>
    <t xml:space="preserve">    31200.0170 - Subproyecto - 24,00€</t>
  </si>
  <si>
    <t xml:space="preserve">            104148 (Estándar) - 24,00€</t>
  </si>
  <si>
    <t xml:space="preserve">    31200.0170 - Subproyecto - 120,00€</t>
  </si>
  <si>
    <t xml:space="preserve">            104148 (Estándar) - 120,00€</t>
  </si>
  <si>
    <t xml:space="preserve">    31200.0170 - Subproyecto - 25,00€</t>
  </si>
  <si>
    <t xml:space="preserve">            113104 (Estándar) - 25,00€</t>
  </si>
  <si>
    <t xml:space="preserve">    31200.0170 - Subproyecto - 22,86€</t>
  </si>
  <si>
    <t xml:space="preserve">            117346 (Estándar) - 22,86€</t>
  </si>
  <si>
    <t xml:space="preserve">    31200.0170 - Subproyecto - 46,98€</t>
  </si>
  <si>
    <t xml:space="preserve">            117356 (Estándar) - 46,98€</t>
  </si>
  <si>
    <t xml:space="preserve">    31200.0170 - Subproyecto - 12,51€</t>
  </si>
  <si>
    <t xml:space="preserve">            104284 (Estándar) - 12,51€</t>
  </si>
  <si>
    <t xml:space="preserve">    31200.0170 - Subproyecto - 82,05€</t>
  </si>
  <si>
    <t xml:space="preserve">            104175 (Transfer. Stock) - 82,05€</t>
  </si>
  <si>
    <t xml:space="preserve">    31200.0170 - Subproyecto - 193,92€</t>
  </si>
  <si>
    <t xml:space="preserve">            104075 (Estándar) - 193,92€</t>
  </si>
  <si>
    <t xml:space="preserve">    31200.0170 - Subproyecto - 491,76€</t>
  </si>
  <si>
    <t xml:space="preserve">            142432 (Recep OC) - 491,76€</t>
  </si>
  <si>
    <t xml:space="preserve">            104075 (Estándar) - 0,00€</t>
  </si>
  <si>
    <t xml:space="preserve">    31200.0170 - Subproyecto - 123,90€</t>
  </si>
  <si>
    <t xml:space="preserve">            104283 (Estándar) - 123,90€</t>
  </si>
  <si>
    <t xml:space="preserve">    31200.0170 - Subproyecto - 144,00€</t>
  </si>
  <si>
    <t xml:space="preserve">            109590 (Recep OC) - 144,00€</t>
  </si>
  <si>
    <t xml:space="preserve">    31200.0170 - Subproyecto - 717,11€</t>
  </si>
  <si>
    <t xml:space="preserve">            111097 (Estándar) - 717,11€</t>
  </si>
  <si>
    <t xml:space="preserve">    31200.0170 - Subproyecto - 536,40€</t>
  </si>
  <si>
    <t xml:space="preserve">            111098 (Estándar) - 536,40€</t>
  </si>
  <si>
    <t xml:space="preserve">    31200.0170 - Subproyecto - 5.240,00€</t>
  </si>
  <si>
    <t xml:space="preserve">            112110 (Recep OC) - 5.240,00€</t>
  </si>
  <si>
    <t xml:space="preserve">    31200.0170 - Subproyecto - 223,00€</t>
  </si>
  <si>
    <t xml:space="preserve">            116238 (Estándar) - 223,00€</t>
  </si>
  <si>
    <t xml:space="preserve">    31200.0170 - Subproyecto - 356,00€</t>
  </si>
  <si>
    <t xml:space="preserve">            116239 (Estándar) - 356,00€</t>
  </si>
  <si>
    <t xml:space="preserve">    31200.0170 - Subproyecto - 1.237,50€</t>
  </si>
  <si>
    <t xml:space="preserve">            116240 (Estándar) - 1.237,50€</t>
  </si>
  <si>
    <t xml:space="preserve">    31200.0170 - Subproyecto - 822,00€</t>
  </si>
  <si>
    <t xml:space="preserve">            116470 (Estándar) - 822,00€</t>
  </si>
  <si>
    <t xml:space="preserve">    31200.0170 - Subproyecto - 645,00€</t>
  </si>
  <si>
    <t xml:space="preserve">            116471 (Estándar) - 645,00€</t>
  </si>
  <si>
    <t xml:space="preserve">    31200.0170 - Subproyecto - 1.143,68€</t>
  </si>
  <si>
    <t xml:space="preserve">            116472 (Estándar) - 1.143,68€</t>
  </si>
  <si>
    <t xml:space="preserve">    31200.0170 - Subproyecto - 1.785,00€</t>
  </si>
  <si>
    <t xml:space="preserve">            116594 (Recep OC) - 1.785,00€</t>
  </si>
  <si>
    <t xml:space="preserve">    31200.0170 - Subproyecto - 2.096,00€</t>
  </si>
  <si>
    <t xml:space="preserve">            116596 (Recep OC) - 2.096,00€</t>
  </si>
  <si>
    <t xml:space="preserve">    31200.0170 - Subproyecto - 1.856,00€</t>
  </si>
  <si>
    <t xml:space="preserve">            116670 (Recep OC) - 1.856,00€</t>
  </si>
  <si>
    <t xml:space="preserve">    31200.0170 - Subproyecto - 95,51€</t>
  </si>
  <si>
    <t xml:space="preserve">            141835 (Recep OC) - 95,51€</t>
  </si>
  <si>
    <t xml:space="preserve">    31200.0170 - Subproyecto - 19,15€</t>
  </si>
  <si>
    <t xml:space="preserve">            112381 (Recep OC) - 19,15€</t>
  </si>
  <si>
    <t xml:space="preserve">    31200.0170 - Subproyecto - 130,32€</t>
  </si>
  <si>
    <t xml:space="preserve">            111037 (Recep OC) - 130,32€</t>
  </si>
  <si>
    <t xml:space="preserve">    31200.0170 - Subproyecto - 4,24€</t>
  </si>
  <si>
    <t xml:space="preserve">            21020.00.401.420 (Estándar) - 4,24€</t>
  </si>
  <si>
    <t xml:space="preserve">    31200.0170 - Subproyecto - 6,30€</t>
  </si>
  <si>
    <t xml:space="preserve">            101448 (Estándar) - 6,30€</t>
  </si>
  <si>
    <t xml:space="preserve">            101338 (Estándar) - 3,00€</t>
  </si>
  <si>
    <t xml:space="preserve">    31200.0170 - Subproyecto - 2,13€</t>
  </si>
  <si>
    <t xml:space="preserve">            100977 (Estándar) - 2,13€</t>
  </si>
  <si>
    <t xml:space="preserve">    31200.0170 - Subproyecto - 1,27€</t>
  </si>
  <si>
    <t xml:space="preserve">            101079 (Estándar) - 1,27€</t>
  </si>
  <si>
    <t xml:space="preserve">    31200.0170 - Subproyecto - 3,08€</t>
  </si>
  <si>
    <t xml:space="preserve">    31200.0170 - Subproyecto - 0,48€</t>
  </si>
  <si>
    <t xml:space="preserve">            101453 (Estándar) - 0,48€</t>
  </si>
  <si>
    <t xml:space="preserve">    31200.0170 - Subproyecto - 0,39€</t>
  </si>
  <si>
    <t xml:space="preserve">            101458 (Estándar) - 0,39€</t>
  </si>
  <si>
    <t xml:space="preserve">            104833 (Estándar) - 0,33€</t>
  </si>
  <si>
    <t xml:space="preserve">    31200.0170 - Subproyecto - 6,15€</t>
  </si>
  <si>
    <t xml:space="preserve">            100979 (Estándar) - 6,15€</t>
  </si>
  <si>
    <t xml:space="preserve">    31200.0170 - Subproyecto - 42,37€</t>
  </si>
  <si>
    <t xml:space="preserve">            21020.00.401.420 (Estándar) - 42,37€</t>
  </si>
  <si>
    <t xml:space="preserve">    31200.0170 - Subproyecto - 0,80€</t>
  </si>
  <si>
    <t xml:space="preserve">            105280 (Estándar) - 0,80€</t>
  </si>
  <si>
    <t xml:space="preserve">    31200.0170 - Subproyecto - 103,60€</t>
  </si>
  <si>
    <t xml:space="preserve">            110647 (Estándar) - 103,60€</t>
  </si>
  <si>
    <t xml:space="preserve">    31200.0170 - Subproyecto - 10,71€</t>
  </si>
  <si>
    <t xml:space="preserve">            123199 (Estándar) - 10,71€</t>
  </si>
  <si>
    <t xml:space="preserve">    31200.0170 - Subproyecto - 24,84€</t>
  </si>
  <si>
    <t xml:space="preserve">            100980 (Estándar) - 24,84€</t>
  </si>
  <si>
    <t xml:space="preserve">    31200.0170 - Subproyecto - 15,38€</t>
  </si>
  <si>
    <t xml:space="preserve">            100979 (Estándar) - 15,38€</t>
  </si>
  <si>
    <t xml:space="preserve">    31200.0170 - Subproyecto - 4,00€</t>
  </si>
  <si>
    <t xml:space="preserve">            104379 (Estándar) - 4,00€</t>
  </si>
  <si>
    <t xml:space="preserve">    31200.0170 - Subproyecto - 0,56€</t>
  </si>
  <si>
    <t xml:space="preserve">            101296 (Estándar) - 0,56€</t>
  </si>
  <si>
    <t xml:space="preserve">    31200.0170 - Subproyecto - 0,38€</t>
  </si>
  <si>
    <t xml:space="preserve">            101293 (Estándar) - 0,38€</t>
  </si>
  <si>
    <t xml:space="preserve">    31200.0170 - Subproyecto - 22,60€</t>
  </si>
  <si>
    <t xml:space="preserve">            101344 (Estándar) - 22,60€</t>
  </si>
  <si>
    <t xml:space="preserve">            136314 (Estándar) - 0,00€</t>
  </si>
  <si>
    <t xml:space="preserve">    31200.0170 - Subproyecto - 27,20€</t>
  </si>
  <si>
    <t xml:space="preserve">            105281 (Estándar) - 27,20€</t>
  </si>
  <si>
    <t xml:space="preserve">    31200.0170 - Subproyecto - 27,00€</t>
  </si>
  <si>
    <t xml:space="preserve">            105284 (Estándar) - 27,00€</t>
  </si>
  <si>
    <t xml:space="preserve">    31200.0170 - Subproyecto - 30,60€</t>
  </si>
  <si>
    <t xml:space="preserve">            105281 (Estándar) - 30,60€</t>
  </si>
  <si>
    <t xml:space="preserve">    31200.0170 - Subproyecto - 177,69€</t>
  </si>
  <si>
    <t xml:space="preserve">            99047 (Recep OC) - 177,69€</t>
  </si>
  <si>
    <t xml:space="preserve">    31200.0170 - Subproyecto - 12,20€</t>
  </si>
  <si>
    <t xml:space="preserve">            137115 (Estándar) - 12,20€</t>
  </si>
  <si>
    <t xml:space="preserve">    31200.0170 - Subproyecto - 26,84€</t>
  </si>
  <si>
    <t xml:space="preserve">            123183 (Estándar) - 26,84€</t>
  </si>
  <si>
    <t xml:space="preserve">    31200.0170 - Subproyecto - 23,20€</t>
  </si>
  <si>
    <t xml:space="preserve">            136314 (Estándar) - 23,20€</t>
  </si>
  <si>
    <t xml:space="preserve">    31200.0170 - Subproyecto - 4,70€</t>
  </si>
  <si>
    <t xml:space="preserve">            123183 (Estándar) - 4,70€</t>
  </si>
  <si>
    <t xml:space="preserve">    31200.0170 - Subproyecto - 0,64€</t>
  </si>
  <si>
    <t xml:space="preserve">            21020.00.401.430 (Estándar) - 0,64€</t>
  </si>
  <si>
    <t xml:space="preserve">    31200.0170 - Subproyecto - 28,00€</t>
  </si>
  <si>
    <t xml:space="preserve">            21021.00.602.000 (Estándar) - 28,00€</t>
  </si>
  <si>
    <t xml:space="preserve">    31200.0170 - Subproyecto - 143,00€</t>
  </si>
  <si>
    <t xml:space="preserve">            116472 (Estándar) - 143,00€</t>
  </si>
  <si>
    <t xml:space="preserve">    31200.0170 - Subproyecto - 30,75€</t>
  </si>
  <si>
    <t xml:space="preserve">            101263 (Estándar) - 30,75€</t>
  </si>
  <si>
    <t xml:space="preserve">    31200.0170 - Subproyecto - 4,20€</t>
  </si>
  <si>
    <t xml:space="preserve">            106918 (Recep OC) - 4,20€</t>
  </si>
  <si>
    <t xml:space="preserve">    31200.0170 - Subproyecto - 26,10€</t>
  </si>
  <si>
    <t xml:space="preserve">            136314 (Estándar) - 26,10€</t>
  </si>
  <si>
    <t xml:space="preserve">    31200.0170 - Subproyecto - 28,88€</t>
  </si>
  <si>
    <t xml:space="preserve">            110850 (Recep OC) - 28,88€</t>
  </si>
  <si>
    <t xml:space="preserve">    31200.0170 - Subproyecto - 81,20€</t>
  </si>
  <si>
    <t xml:space="preserve">            110851 (Recep OC) - 81,20€</t>
  </si>
  <si>
    <t xml:space="preserve">    31200.0170 - Subproyecto - 610,36€</t>
  </si>
  <si>
    <t xml:space="preserve">            110967 (Recep OC) - 610,36€</t>
  </si>
  <si>
    <t xml:space="preserve">            123183 (Compra) - 0,00€</t>
  </si>
  <si>
    <t xml:space="preserve">    31200.0170 - Subproyecto - 13,55€</t>
  </si>
  <si>
    <t xml:space="preserve">    31200.0170 - Subproyecto - 0,96€</t>
  </si>
  <si>
    <t xml:space="preserve">            21020.00.401.430 (Estándar) - 0,96€</t>
  </si>
  <si>
    <t xml:space="preserve">    31200.0170 - Subproyecto - 0,22€</t>
  </si>
  <si>
    <t xml:space="preserve">            109117 (Estándar) - 0,22€</t>
  </si>
  <si>
    <t xml:space="preserve">    31200.0170 - Subproyecto - 9,60€</t>
  </si>
  <si>
    <t xml:space="preserve">            21001.00.901.002 (Estándar) - 9,60€</t>
  </si>
  <si>
    <t xml:space="preserve">            141049 (Estándar) - 1,35€</t>
  </si>
  <si>
    <t xml:space="preserve">    31200.0170 - Subproyecto - 10,67€</t>
  </si>
  <si>
    <t xml:space="preserve">            100977 (Estándar) - 10,67€</t>
  </si>
  <si>
    <t xml:space="preserve">    31200.0170 - Subproyecto - 22,50€</t>
  </si>
  <si>
    <t xml:space="preserve">            126225 (Estándar) - 22,50€</t>
  </si>
  <si>
    <t xml:space="preserve">            21001.00.901.052 (Estándar) - 9,60€</t>
  </si>
  <si>
    <t xml:space="preserve">    31200.0170 - Subproyecto - 0,50€</t>
  </si>
  <si>
    <t xml:space="preserve">            105411 (Estándar) - 0,50€</t>
  </si>
  <si>
    <t xml:space="preserve">    31200.0170 - Subproyecto - 21,19€</t>
  </si>
  <si>
    <t xml:space="preserve">    31200.0170 - Subproyecto - 8,25€</t>
  </si>
  <si>
    <t xml:space="preserve">            123184 (Estándar) - 8,25€</t>
  </si>
  <si>
    <t xml:space="preserve">    31200.0170 - Subproyecto - 1,45€</t>
  </si>
  <si>
    <t xml:space="preserve">            101601 (Estándar) - 1,45€</t>
  </si>
  <si>
    <t xml:space="preserve">            21001.00.901.027 (Estándar) - 9,60€</t>
  </si>
  <si>
    <t>0180</t>
  </si>
  <si>
    <t>31200.0180 -  03 - Fabricación</t>
  </si>
  <si>
    <t>Sp-31200.0180</t>
  </si>
  <si>
    <t xml:space="preserve">    31200.0180 - Subproyecto - 0,00€</t>
  </si>
  <si>
    <t xml:space="preserve">        99030 (Compra) - 0,00€</t>
  </si>
  <si>
    <t xml:space="preserve">    31200.0180 - Subproyecto - 17.811,90€</t>
  </si>
  <si>
    <t xml:space="preserve">        99092 (Recep OC) - 17.811,90€</t>
  </si>
  <si>
    <t xml:space="preserve">    31200.0180 - Subproyecto - 2.612,00€</t>
  </si>
  <si>
    <t xml:space="preserve">        66048 (Recep OC) - 2.612,00€</t>
  </si>
  <si>
    <t xml:space="preserve">    31200.0180 - Subproyecto - 28.463,90€</t>
  </si>
  <si>
    <t xml:space="preserve">        66046 (Recep OC) - 28.463,90€</t>
  </si>
  <si>
    <t xml:space="preserve">    31200.0180 - Subproyecto - 8.840,00€</t>
  </si>
  <si>
    <t xml:space="preserve">        66052 (Recep OC) - 8.840,00€</t>
  </si>
  <si>
    <t xml:space="preserve">    31200.0180 - Subproyecto - 8.135,00€</t>
  </si>
  <si>
    <t xml:space="preserve">        66039 (Recep OC) - 8.135,00€</t>
  </si>
  <si>
    <t xml:space="preserve">    31200.0180 - Subproyecto - 41.561,10€</t>
  </si>
  <si>
    <t xml:space="preserve">        99092 (Rec.Plan. OC) - 41.561,10€</t>
  </si>
  <si>
    <t xml:space="preserve">    31200.0180 - Subproyecto - 2.415,00€</t>
  </si>
  <si>
    <t xml:space="preserve">        99109 (Rec.Plan. OC) - 2.415,00€</t>
  </si>
  <si>
    <t xml:space="preserve">    31200.0180 - Subproyecto - 745,00€</t>
  </si>
  <si>
    <t xml:space="preserve">        66040 (Recep OC) - 745,00€</t>
  </si>
  <si>
    <t xml:space="preserve">    31200.0180 - Subproyecto - 1.035,00€</t>
  </si>
  <si>
    <t xml:space="preserve">        99109 (Recep OC) - 1.035,00€</t>
  </si>
  <si>
    <t xml:space="preserve">    31200.0180 - Subproyecto - 26.653,70€</t>
  </si>
  <si>
    <t xml:space="preserve">        99025 (Recep OC) - 26.653,70€</t>
  </si>
  <si>
    <t xml:space="preserve">        99109 (Recep OC) - 2.415,00€</t>
  </si>
  <si>
    <t xml:space="preserve">    31200.0180 - Subproyecto - 25.615,94€</t>
  </si>
  <si>
    <t xml:space="preserve">        99027 (Recep OC) - 25.615,94€</t>
  </si>
  <si>
    <t xml:space="preserve">    31200.0180 - Subproyecto - 29.663,58€</t>
  </si>
  <si>
    <t xml:space="preserve">        99028 (Recep OC) - 29.663,58€</t>
  </si>
  <si>
    <t xml:space="preserve">    31200.0180 - Subproyecto - 23.249,96€</t>
  </si>
  <si>
    <t xml:space="preserve">        99029 (Recep OC) - 23.249,96€</t>
  </si>
  <si>
    <t xml:space="preserve">    31200.0180 - Subproyecto - 26.908,44€</t>
  </si>
  <si>
    <t xml:space="preserve">        99030 (Recep OC) - 26.908,44€</t>
  </si>
  <si>
    <t xml:space="preserve">        99026 (Recep OC) - 29.663,58€</t>
  </si>
  <si>
    <t xml:space="preserve">    31200.0180 - Subproyecto - 13.232,38€</t>
  </si>
  <si>
    <t xml:space="preserve">        99035 (Recep OC) - 13.232,38€</t>
  </si>
  <si>
    <t xml:space="preserve">    31200.0180 - Subproyecto - 16.439,66€</t>
  </si>
  <si>
    <t xml:space="preserve">        99033 (Recep OC) - 16.439,66€</t>
  </si>
  <si>
    <t xml:space="preserve">        99034 (Recep OC) - 16.439,66€</t>
  </si>
  <si>
    <t xml:space="preserve">    31200.0180 - Subproyecto - 8.352,00€</t>
  </si>
  <si>
    <t xml:space="preserve">        99072 (Recep OC) - 8.352,00€</t>
  </si>
  <si>
    <t xml:space="preserve">    31200.0180 - Subproyecto - 26.797,50€</t>
  </si>
  <si>
    <t xml:space="preserve">        99091 (Recep OC) - 26.797,50€</t>
  </si>
  <si>
    <t xml:space="preserve">    31200.0180 - Subproyecto - 62.527,50€</t>
  </si>
  <si>
    <t xml:space="preserve">        99091 (Recep OC) - 62.527,50€</t>
  </si>
  <si>
    <t xml:space="preserve">        99031 (Rec.Plan. OC) - 0,00€</t>
  </si>
  <si>
    <t>0190</t>
  </si>
  <si>
    <t>31200.0190 -  03 - Fabricación</t>
  </si>
  <si>
    <t>Sp-31200.0190</t>
  </si>
  <si>
    <t xml:space="preserve">    31200.0190 - Subproyecto - 0,00€</t>
  </si>
  <si>
    <t xml:space="preserve">        109116 (Estándar) - 0,00€</t>
  </si>
  <si>
    <t xml:space="preserve">    31200.0190 - Subproyecto - 2,60€</t>
  </si>
  <si>
    <t xml:space="preserve">        105051 (Estándar) - 2,60€</t>
  </si>
  <si>
    <t xml:space="preserve">    31200.0190 - Subproyecto - 21.106,32€</t>
  </si>
  <si>
    <t xml:space="preserve">        66047 (Rec.Plan. OC) - 21.106,32€</t>
  </si>
  <si>
    <t xml:space="preserve">    31200.0190 - Subproyecto - 12.352,00€</t>
  </si>
  <si>
    <t xml:space="preserve">        66008 (Rec.Plan. OC) - 12.352,00€</t>
  </si>
  <si>
    <t xml:space="preserve">    31200.0190 - Subproyecto - 11.967,00€</t>
  </si>
  <si>
    <t xml:space="preserve">        66007 (Rec.Plan. OC) - 11.967,00€</t>
  </si>
  <si>
    <t xml:space="preserve">    31200.0190 - Subproyecto - 76.221,00€</t>
  </si>
  <si>
    <t xml:space="preserve">        66002 (Rec.Plan. OC) - 76.221,00€</t>
  </si>
  <si>
    <t xml:space="preserve">        66005 (Rec.Plan. OC) - 12.352,00€</t>
  </si>
  <si>
    <t xml:space="preserve">    31200.0190 - Subproyecto - 128.197,00€</t>
  </si>
  <si>
    <t xml:space="preserve">        66003 (Rec.Plan. OC) - 128.197,00€</t>
  </si>
  <si>
    <t xml:space="preserve">    31200.0190 - Subproyecto - 91.339,00€</t>
  </si>
  <si>
    <t xml:space="preserve">        66001 (Rec.Plan. OC) - 91.339,00€</t>
  </si>
  <si>
    <t xml:space="preserve">    31200.0190 - Subproyecto - 135.821,00€</t>
  </si>
  <si>
    <t xml:space="preserve">        66000 (Rec.Plan. OC) - 135.821,00€</t>
  </si>
  <si>
    <t xml:space="preserve">    31200.0190 - Subproyecto - 9.747,00€</t>
  </si>
  <si>
    <t xml:space="preserve">        66006 (Rec.Plan. OC) - 9.747,00€</t>
  </si>
  <si>
    <t>0200</t>
  </si>
  <si>
    <t>31200.0200 -  03 - Fabricación</t>
  </si>
  <si>
    <t>Sp-31200.0200</t>
  </si>
  <si>
    <t xml:space="preserve">    31200.0200 - Subproyecto - 3.693,28€</t>
  </si>
  <si>
    <t xml:space="preserve">        634367.0200 (Operación) - 3.693,28€</t>
  </si>
  <si>
    <t xml:space="preserve">    31200.0200 - Subproyecto - 9.920,06€</t>
  </si>
  <si>
    <t xml:space="preserve">        634367.0200 (Operación) - 9.920,06€</t>
  </si>
  <si>
    <t>Query</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</si>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</sst>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 [$€-C0A]_-;\-* #,##0.00\ [$€-C0A]_-;_-* &quot;-&quot;??\ [$€-C0A]_-;_-@_-"/>
  </numFmts>
  <fonts count="16" x14ac:knownFonts="1">
    <font>
      <sz val="8"/>
      <color theme="1"/>
      <name val="Arial Nova Cond Light"/>
      <family val="2"/>
    </font>
    <font>
      <sz val="8"/>
      <color theme="1"/>
      <name val="Arial Nova Cond Light"/>
      <family val="2"/>
    </font>
    <font>
      <sz val="8"/>
      <color theme="0"/>
      <name val="Arial Nova Cond Light"/>
      <family val="2"/>
    </font>
    <font>
      <sz val="11"/>
      <color theme="1"/>
      <name val="Aptos Narrow"/>
      <family val="2"/>
      <scheme val="minor"/>
    </font>
    <font>
      <sz val="4"/>
      <color theme="1"/>
      <name val="Arial Nova Cond Light"/>
      <family val="2"/>
    </font>
    <font>
      <sz val="10"/>
      <name val="Arial"/>
      <family val="2"/>
    </font>
    <font>
      <sz val="4"/>
      <name val="Arial Nova Cond Light"/>
      <family val="2"/>
    </font>
    <font>
      <sz val="8"/>
      <name val="Arial Nova Cond Light"/>
      <family val="2"/>
    </font>
    <font>
      <sz val="12"/>
      <name val="Arial"/>
      <family val="2"/>
    </font>
    <font>
      <sz val="10"/>
      <name val="Arial"/>
      <family val="2"/>
    </font>
    <font>
      <sz val="8"/>
      <name val="Arial"/>
      <family val="2"/>
    </font>
    <font>
      <sz val="12"/>
      <color indexed="24"/>
      <name val="Times New Roman"/>
      <family val="1"/>
    </font>
    <font>
      <sz val="8"/>
      <color indexed="24"/>
      <name val="Arial Nova Cond Light"/>
      <family val="2"/>
    </font>
    <font>
      <b/>
      <sz val="8"/>
      <color theme="0"/>
      <name val="Arial Nova Cond Light"/>
      <family val="2"/>
    </font>
    <font>
      <sz val="11"/>
      <color indexed="8"/>
      <name val="Calibri"/>
      <family val="2"/>
    </font>
    <font>
      <sz val="8"/>
      <color indexed="8"/>
      <name val="Arial Nova Cond Light"/>
      <family val="2"/>
    </font>
  </fonts>
  <fills count="6">
    <fill>
      <patternFill patternType="none"/>
    </fill>
    <fill>
      <patternFill patternType="gray125"/>
    </fill>
    <fill>
      <patternFill patternType="solid">
        <fgColor theme="0" tint="-0.249977111117893"/>
        <bgColor indexed="64"/>
      </patternFill>
    </fill>
    <fill>
      <patternFill patternType="solid">
        <fgColor rgb="FFFFFF00"/>
        <bgColor indexed="64"/>
      </patternFill>
    </fill>
    <fill>
      <patternFill patternType="solid">
        <fgColor theme="7" tint="0.79998168889431442"/>
        <bgColor indexed="64"/>
      </patternFill>
    </fill>
    <fill>
      <patternFill patternType="solid">
        <fgColor rgb="FFFF0000"/>
        <bgColor indexed="64"/>
      </patternFill>
    </fill>
  </fills>
  <borders count="11">
    <border>
      <left/>
      <right/>
      <top/>
      <bottom/>
      <diagonal/>
    </border>
    <border>
      <left style="medium">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diagonal/>
    </border>
    <border>
      <left style="hair">
        <color auto="1"/>
      </left>
      <right style="medium">
        <color auto="1"/>
      </right>
      <top style="hair">
        <color auto="1"/>
      </top>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
      <left/>
      <right style="thin">
        <color theme="4" tint="0.39997558519241921"/>
      </right>
      <top/>
      <bottom/>
      <diagonal/>
    </border>
    <border>
      <left style="thin">
        <color theme="4" tint="0.39997558519241921"/>
      </left>
      <right/>
      <top/>
      <bottom/>
      <diagonal/>
    </border>
  </borders>
  <cellStyleXfs count="8">
    <xf numFmtId="0" fontId="0" fillId="0" borderId="0"/>
    <xf numFmtId="0" fontId="3" fillId="0" borderId="0"/>
    <xf numFmtId="0" fontId="5" fillId="0" borderId="0"/>
    <xf numFmtId="0" fontId="8" fillId="0" borderId="0"/>
    <xf numFmtId="0" fontId="9" fillId="0" borderId="0"/>
    <xf numFmtId="0" fontId="10" fillId="0" borderId="0"/>
    <xf numFmtId="0" fontId="11" fillId="0" borderId="0"/>
    <xf numFmtId="9" fontId="1" fillId="0" borderId="0" applyFont="0" applyFill="0" applyBorder="0" applyAlignment="0" applyProtection="0"/>
  </cellStyleXfs>
  <cellXfs count="42">
    <xf numFmtId="0" fontId="0" fillId="0" borderId="0" xfId="0"/>
    <xf numFmtId="0" fontId="4" fillId="2" borderId="0" xfId="1" applyFont="1" applyFill="1" applyAlignment="1">
      <alignment horizontal="center" vertical="top" textRotation="90"/>
    </xf>
    <xf numFmtId="0" fontId="6" fillId="2" borderId="0" xfId="1" applyFont="1" applyFill="1" applyAlignment="1">
      <alignment horizontal="center" vertical="top" textRotation="90"/>
    </xf>
    <xf numFmtId="0" fontId="1" fillId="3" borderId="1" xfId="1" applyFont="1" applyFill="1" applyBorder="1" applyAlignment="1">
      <alignment horizontal="left" vertical="top" textRotation="90"/>
    </xf>
    <xf numFmtId="0" fontId="1" fillId="4" borderId="2" xfId="1" applyFont="1" applyFill="1" applyBorder="1" applyAlignment="1">
      <alignment horizontal="left" vertical="top" textRotation="90" wrapText="1"/>
    </xf>
    <xf numFmtId="0" fontId="1" fillId="0" borderId="0" xfId="1" applyFont="1" applyAlignment="1">
      <alignment vertical="top"/>
    </xf>
    <xf numFmtId="0" fontId="7" fillId="0" borderId="0" xfId="1" applyFont="1" applyAlignment="1">
      <alignment vertical="top"/>
    </xf>
    <xf numFmtId="0" fontId="1" fillId="3" borderId="3" xfId="1" applyFont="1" applyFill="1" applyBorder="1" applyAlignment="1">
      <alignment vertical="top"/>
    </xf>
    <xf numFmtId="0" fontId="1" fillId="4" borderId="4" xfId="1" applyFont="1" applyFill="1" applyBorder="1" applyAlignment="1">
      <alignment horizontal="left" vertical="top"/>
    </xf>
    <xf numFmtId="0" fontId="1" fillId="3" borderId="5" xfId="1" applyFont="1" applyFill="1" applyBorder="1" applyAlignment="1">
      <alignment vertical="top"/>
    </xf>
    <xf numFmtId="0" fontId="1" fillId="4" borderId="6" xfId="1" applyFont="1" applyFill="1" applyBorder="1" applyAlignment="1">
      <alignment horizontal="left" vertical="top"/>
    </xf>
    <xf numFmtId="0" fontId="1" fillId="4" borderId="6" xfId="1" applyFont="1" applyFill="1" applyBorder="1" applyAlignment="1">
      <alignment horizontal="left" vertical="top" shrinkToFit="1"/>
    </xf>
    <xf numFmtId="0" fontId="1" fillId="0" borderId="0" xfId="1" applyFont="1" applyAlignment="1">
      <alignment horizontal="left" vertical="top"/>
    </xf>
    <xf numFmtId="0" fontId="7" fillId="0" borderId="0" xfId="1" applyFont="1" applyAlignment="1">
      <alignment horizontal="center" vertical="top"/>
    </xf>
    <xf numFmtId="0" fontId="7" fillId="0" borderId="0" xfId="2" applyFont="1" applyAlignment="1">
      <alignment horizontal="left" vertical="top" textRotation="90"/>
    </xf>
    <xf numFmtId="0" fontId="0" fillId="3" borderId="3" xfId="1" applyFont="1" applyFill="1" applyBorder="1" applyAlignment="1">
      <alignment vertical="top"/>
    </xf>
    <xf numFmtId="0" fontId="2" fillId="5" borderId="0" xfId="4" applyFont="1" applyFill="1" applyAlignment="1">
      <alignment horizontal="center" vertical="top" textRotation="90"/>
    </xf>
    <xf numFmtId="0" fontId="7" fillId="0" borderId="0" xfId="2" applyFont="1" applyAlignment="1">
      <alignment vertical="top"/>
    </xf>
    <xf numFmtId="0" fontId="7" fillId="0" borderId="0" xfId="4" applyFont="1" applyAlignment="1">
      <alignment vertical="top"/>
    </xf>
    <xf numFmtId="3" fontId="12" fillId="0" borderId="0" xfId="6" applyNumberFormat="1" applyFont="1" applyAlignment="1">
      <alignment vertical="top"/>
    </xf>
    <xf numFmtId="0" fontId="5" fillId="0" borderId="0" xfId="2" applyAlignment="1">
      <alignment vertical="top"/>
    </xf>
    <xf numFmtId="0" fontId="4" fillId="0" borderId="0" xfId="1" applyFont="1" applyAlignment="1">
      <alignment horizontal="center" vertical="top" textRotation="90"/>
    </xf>
    <xf numFmtId="0" fontId="13" fillId="0" borderId="9" xfId="0" applyFont="1" applyBorder="1" applyAlignment="1">
      <alignment horizontal="left" vertical="top" textRotation="90"/>
    </xf>
    <xf numFmtId="0" fontId="13" fillId="0" borderId="10" xfId="0" applyFont="1" applyBorder="1" applyAlignment="1">
      <alignment horizontal="left" vertical="top" textRotation="90"/>
    </xf>
    <xf numFmtId="0" fontId="4" fillId="2" borderId="0" xfId="1" applyFont="1" applyFill="1" applyAlignment="1">
      <alignment horizontal="center" vertical="top" textRotation="90" wrapText="1"/>
    </xf>
    <xf numFmtId="0" fontId="1" fillId="0" borderId="0" xfId="1" applyFont="1" applyAlignment="1">
      <alignment vertical="top" wrapText="1"/>
    </xf>
    <xf numFmtId="0" fontId="0" fillId="0" borderId="0" xfId="0" applyAlignment="1">
      <alignment vertical="top" wrapText="1"/>
    </xf>
    <xf numFmtId="164" fontId="4" fillId="2" borderId="0" xfId="1" applyNumberFormat="1" applyFont="1" applyFill="1" applyAlignment="1">
      <alignment horizontal="center" vertical="top" textRotation="90" wrapText="1"/>
    </xf>
    <xf numFmtId="164" fontId="1" fillId="0" borderId="0" xfId="1" applyNumberFormat="1" applyFont="1" applyAlignment="1">
      <alignment vertical="top" wrapText="1"/>
    </xf>
    <xf numFmtId="1" fontId="4" fillId="2" borderId="0" xfId="1" applyNumberFormat="1" applyFont="1" applyFill="1" applyAlignment="1">
      <alignment horizontal="center" vertical="top" textRotation="90" wrapText="1"/>
    </xf>
    <xf numFmtId="1" fontId="1" fillId="0" borderId="0" xfId="1" applyNumberFormat="1" applyFont="1" applyAlignment="1">
      <alignment vertical="top" wrapText="1"/>
    </xf>
    <xf numFmtId="0" fontId="0" fillId="0" borderId="0" xfId="1" applyFont="1" applyAlignment="1">
      <alignment horizontal="left" vertical="top" textRotation="90" wrapText="1"/>
    </xf>
    <xf numFmtId="9" fontId="4" fillId="2" borderId="0" xfId="7" applyFont="1" applyFill="1" applyAlignment="1">
      <alignment horizontal="center" vertical="top" textRotation="90" wrapText="1"/>
    </xf>
    <xf numFmtId="9" fontId="1" fillId="0" borderId="0" xfId="7" applyFont="1" applyAlignment="1">
      <alignment vertical="top" wrapText="1"/>
    </xf>
    <xf numFmtId="0" fontId="0" fillId="0" borderId="8" xfId="0" applyBorder="1" applyAlignment="1">
      <alignment vertical="top"/>
    </xf>
    <xf numFmtId="0" fontId="0" fillId="0" borderId="7" xfId="0" applyBorder="1" applyAlignment="1">
      <alignment vertical="top"/>
    </xf>
    <xf numFmtId="0" fontId="15" fillId="0" borderId="8" xfId="0" applyFont="1" applyBorder="1" applyAlignment="1">
      <alignment vertical="top"/>
    </xf>
    <xf numFmtId="0" fontId="15" fillId="0" borderId="7" xfId="0" applyFont="1" applyBorder="1" applyAlignment="1">
      <alignment vertical="top"/>
    </xf>
    <xf numFmtId="0" fontId="15" fillId="0" borderId="0" xfId="0" applyFont="1" applyAlignment="1">
      <alignment vertical="top"/>
    </xf>
    <xf numFmtId="0" fontId="0" fillId="0" borderId="0" xfId="0" applyAlignment="1">
      <alignment vertical="top"/>
    </xf>
    <xf numFmtId="0" fontId="14" fillId="0" borderId="0" xfId="0" applyFont="1" applyAlignment="1">
      <alignment vertical="top"/>
    </xf>
    <xf numFmtId="0" fontId="6" fillId="2" borderId="0" xfId="2" applyFont="1" applyFill="1" applyAlignment="1">
      <alignment horizontal="center" vertical="top" textRotation="90" wrapText="1"/>
    </xf>
  </cellXfs>
  <cellStyles count="8">
    <cellStyle name="Normal" xfId="0" builtinId="0"/>
    <cellStyle name="Normal 2" xfId="2" xr:uid="{035232CD-C3BA-4991-9538-636AD6F0ED55}"/>
    <cellStyle name="Normal 2 2" xfId="3" xr:uid="{E13ED41A-C206-48F6-8DD6-A0FDC241B051}"/>
    <cellStyle name="Normal 2 3" xfId="5" xr:uid="{88A39880-62DA-40DD-9E88-E11303EC21D0}"/>
    <cellStyle name="Normal 3" xfId="4" xr:uid="{218F9211-56AE-44DF-8440-5B5EABC8AA68}"/>
    <cellStyle name="Normal 8" xfId="1" xr:uid="{3EFC7D9F-21E3-492C-8291-E0E2C8D649F6}"/>
    <cellStyle name="Normal_ED0D" xfId="6" xr:uid="{97B5C73F-F931-4819-9890-4B49FB06288F}"/>
    <cellStyle name="Percent" xfId="7" builtinId="5"/>
  </cellStyles>
  <dxfs count="15">
    <dxf>
      <numFmt numFmtId="0" formatCode="General"/>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8"/>
        <color theme="1"/>
        <name val="Arial Nova Cond Light"/>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8"/>
        <color theme="1"/>
        <name val="Arial Nova Cond Light"/>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8"/>
        <color theme="1"/>
        <name val="Arial Nova Cond Light"/>
        <family val="2"/>
        <scheme val="none"/>
      </font>
      <alignment horizontal="general" vertical="top" textRotation="0" wrapText="1" indent="0" justifyLastLine="0" shrinkToFit="0" readingOrder="0"/>
    </dxf>
    <dxf>
      <font>
        <b val="0"/>
        <i val="0"/>
        <strike val="0"/>
        <condense val="0"/>
        <extend val="0"/>
        <outline val="0"/>
        <shadow val="0"/>
        <u val="none"/>
        <vertAlign val="baseline"/>
        <sz val="8"/>
        <color theme="1"/>
        <name val="Arial Nova Cond Light"/>
        <family val="2"/>
        <scheme val="none"/>
      </font>
      <alignment horizontal="left" vertical="top" textRotation="90" wrapText="1" indent="0" justifyLastLine="0" shrinkToFit="0" readingOrder="0"/>
    </dxf>
    <dxf>
      <font>
        <strike val="0"/>
        <outline val="0"/>
        <shadow val="0"/>
        <u val="none"/>
        <vertAlign val="baseline"/>
        <sz val="8"/>
        <name val="Arial Nova Cond Light"/>
        <family val="2"/>
        <scheme val="none"/>
      </font>
      <fill>
        <patternFill patternType="none">
          <bgColor auto="1"/>
        </patternFill>
      </fill>
      <alignment vertical="top" wrapText="0" indent="0" justifyLastLine="0" shrinkToFit="0" readingOrder="0"/>
    </dxf>
    <dxf>
      <font>
        <strike val="0"/>
        <outline val="0"/>
        <shadow val="0"/>
        <u val="none"/>
        <vertAlign val="baseline"/>
        <sz val="8"/>
        <name val="Arial Nova Cond Light"/>
        <family val="2"/>
        <scheme val="none"/>
      </font>
      <fill>
        <patternFill patternType="none">
          <bgColor auto="1"/>
        </patternFill>
      </fill>
      <alignment vertical="top" wrapText="0" indent="0" justifyLastLine="0" shrinkToFit="0" readingOrder="0"/>
    </dxf>
    <dxf>
      <border outline="0">
        <top style="thin">
          <color theme="4" tint="0.39997558519241921"/>
        </top>
      </border>
    </dxf>
    <dxf>
      <font>
        <strike val="0"/>
        <outline val="0"/>
        <shadow val="0"/>
        <u val="none"/>
        <vertAlign val="baseline"/>
        <sz val="8"/>
        <name val="Arial Nova Cond Light"/>
        <family val="2"/>
        <scheme val="none"/>
      </font>
      <fill>
        <patternFill patternType="none">
          <bgColor auto="1"/>
        </patternFill>
      </fill>
      <alignment vertical="top" wrapText="0" indent="0" justifyLastLine="0" shrinkToFit="0" readingOrder="0"/>
    </dxf>
    <dxf>
      <font>
        <b/>
        <i val="0"/>
        <strike val="0"/>
        <condense val="0"/>
        <extend val="0"/>
        <outline val="0"/>
        <shadow val="0"/>
        <u val="none"/>
        <vertAlign val="baseline"/>
        <sz val="8"/>
        <color theme="0"/>
        <name val="Arial Nova Cond Light"/>
        <family val="2"/>
        <scheme val="none"/>
      </font>
      <fill>
        <patternFill patternType="none">
          <fgColor theme="4"/>
          <bgColor auto="1"/>
        </patternFill>
      </fill>
      <alignment horizontal="left" vertical="top" textRotation="90" wrapText="0" indent="0" justifyLastLine="0" shrinkToFit="0" readingOrder="0"/>
      <border diagonalUp="0" diagonalDown="0" outline="0">
        <left style="thin">
          <color theme="4" tint="0.39997558519241921"/>
        </left>
        <right style="thin">
          <color theme="4" tint="0.39997558519241921"/>
        </right>
        <top/>
        <bottom/>
      </border>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23/09/relationships/Python" Target="python.xml"/><Relationship Id="rId5" Type="http://schemas.openxmlformats.org/officeDocument/2006/relationships/connections" Target="connections.xml"/><Relationship Id="rId10" Type="http://schemas.openxmlformats.org/officeDocument/2006/relationships/customXml" Target="../customXml/item1.xml"/><Relationship Id="rId4" Type="http://schemas.openxmlformats.org/officeDocument/2006/relationships/theme" Target="theme/theme1.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11</xdr:col>
      <xdr:colOff>571499</xdr:colOff>
      <xdr:row>14</xdr:row>
      <xdr:rowOff>95250</xdr:rowOff>
    </xdr:from>
    <xdr:to>
      <xdr:col>15</xdr:col>
      <xdr:colOff>9524</xdr:colOff>
      <xdr:row>21</xdr:row>
      <xdr:rowOff>123825</xdr:rowOff>
    </xdr:to>
    <xdr:sp macro="[0]!ExportarDatosSunburst" textlink="">
      <xdr:nvSpPr>
        <xdr:cNvPr id="2" name="Rectangle: Rounded Corners 1">
          <a:extLst>
            <a:ext uri="{FF2B5EF4-FFF2-40B4-BE49-F238E27FC236}">
              <a16:creationId xmlns:a16="http://schemas.microsoft.com/office/drawing/2014/main" id="{72E666C9-F140-A569-A41C-9046AA07028D}"/>
            </a:ext>
          </a:extLst>
        </xdr:cNvPr>
        <xdr:cNvSpPr/>
      </xdr:nvSpPr>
      <xdr:spPr>
        <a:xfrm>
          <a:off x="13001624" y="2095500"/>
          <a:ext cx="1476375" cy="1028700"/>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400"/>
            <a:t>SunBurst</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 connectionId="13" xr16:uid="{F8AB4B97-F2E7-4843-9ABF-0A6AA91B7D47}" autoFormatId="16" applyNumberFormats="0" applyBorderFormats="0" applyFontFormats="0" applyPatternFormats="0" applyAlignmentFormats="0" applyWidthHeightFormats="0">
  <queryTableRefresh nextId="2">
    <queryTableFields count="1">
      <queryTableField id="1" name="Query"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connectionId="12" xr16:uid="{951B0FE8-EC88-4D91-BAED-3F6E4F137C68}" autoFormatId="16" applyNumberFormats="0" applyBorderFormats="0" applyFontFormats="0" applyPatternFormats="0" applyAlignmentFormats="0" applyWidthHeightFormats="0">
  <queryTableRefresh nextId="13">
    <queryTableFields count="12">
      <queryTableField id="1" name="Cia" tableColumnId="1"/>
      <queryTableField id="2" name="Prj" tableColumnId="2"/>
      <queryTableField id="3" name="Parte_Prj" tableColumnId="3"/>
      <queryTableField id="4" name="Nivel" tableColumnId="4"/>
      <queryTableField id="5" name="Valor" tableColumnId="5"/>
      <queryTableField id="6" name="ValorAcumulado" tableColumnId="6"/>
      <queryTableField id="7" name="Nivel1" tableColumnId="7"/>
      <queryTableField id="8" name="Nivel2" tableColumnId="8"/>
      <queryTableField id="9" name="Nivel3" tableColumnId="9"/>
      <queryTableField id="10" name="Nivel4" tableColumnId="10"/>
      <queryTableField id="11" name="Nivel5" tableColumnId="11"/>
      <queryTableField id="12" name="Proyecto" tableColumnId="1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233CAD1-9FBF-BA49-BF30-00DAEEC5DB87}" name="F_Asg5" displayName="F_Asg5" ref="A1:A2" tableType="queryTable" totalsRowShown="0">
  <autoFilter ref="A1:A2" xr:uid="{7233CAD1-9FBF-BA49-BF30-00DAEEC5DB87}"/>
  <tableColumns count="1">
    <tableColumn id="1" xr3:uid="{970A019A-21AD-EC4E-A2E3-6C0FAEAB48B4}" uniqueName="1" name="Query" queryTableFieldId="1" dataDxfId="1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4C9EF19-5C08-4D87-B3DA-8B88C8A38429}" name="F_Asg4" displayName="F_Asg4" ref="A1:L3185" tableType="queryTable" totalsRowShown="0">
  <autoFilter ref="A1:L3185" xr:uid="{54C9EF19-5C08-4D87-B3DA-8B88C8A38429}"/>
  <tableColumns count="12">
    <tableColumn id="1" xr3:uid="{C315C5DB-4C8C-4027-9C23-3FE3026F2738}" uniqueName="1" name="Cia" queryTableFieldId="1"/>
    <tableColumn id="2" xr3:uid="{06429A48-CBBE-4E57-9C18-0B18B01F126C}" uniqueName="2" name="Prj" queryTableFieldId="2" dataDxfId="13"/>
    <tableColumn id="3" xr3:uid="{EF76532D-EDC4-47E9-971B-4C4BD9055F8A}" uniqueName="3" name="Parte_Prj" queryTableFieldId="3" dataDxfId="12"/>
    <tableColumn id="4" xr3:uid="{290D2E66-79B5-41B3-BB38-081EEF4D4C7D}" uniqueName="4" name="Nivel" queryTableFieldId="4"/>
    <tableColumn id="5" xr3:uid="{B312032D-DA3E-476D-A041-B9177295AFAF}" uniqueName="5" name="Valor" queryTableFieldId="5"/>
    <tableColumn id="6" xr3:uid="{7AFB13E5-5771-4C70-B355-E7306B59CFD3}" uniqueName="6" name="ValorAcumulado" queryTableFieldId="6"/>
    <tableColumn id="7" xr3:uid="{3B81E3BA-2627-4408-96FC-BE0376DC01C9}" uniqueName="7" name="Nivel1" queryTableFieldId="7"/>
    <tableColumn id="8" xr3:uid="{FC498AD9-3DDC-4380-97AC-B070180D9E2C}" uniqueName="8" name="Nivel2" queryTableFieldId="8"/>
    <tableColumn id="9" xr3:uid="{1DBADF4E-5593-48A1-8251-C13F82845036}" uniqueName="9" name="Nivel3" queryTableFieldId="9"/>
    <tableColumn id="10" xr3:uid="{A753826A-0707-465A-A845-48283C6DD24D}" uniqueName="10" name="Nivel4" queryTableFieldId="10"/>
    <tableColumn id="11" xr3:uid="{E8073AF6-10F9-49AE-9291-3C6910F86C17}" uniqueName="11" name="Nivel5" queryTableFieldId="11"/>
    <tableColumn id="12" xr3:uid="{4CEC208F-2684-4A54-92B6-053ABD69D5F5}" uniqueName="12" name="Proyecto" queryTableFieldId="1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01290BC-00F2-478D-97E0-1D44FBEC4329}" name="Table3" displayName="Table3" ref="I2:J22" totalsRowShown="0" headerRowDxfId="11" dataDxfId="10" tableBorderDxfId="9">
  <autoFilter ref="I2:J22" xr:uid="{E01290BC-00F2-478D-97E0-1D44FBEC4329}"/>
  <sortState xmlns:xlrd2="http://schemas.microsoft.com/office/spreadsheetml/2017/richdata2" ref="I3:J31">
    <sortCondition ref="I3:I31"/>
  </sortState>
  <tableColumns count="2">
    <tableColumn id="1" xr3:uid="{C9250F81-11B4-4675-A4E8-6D03600F249D}" name="CstId" dataDxfId="8"/>
    <tableColumn id="2" xr3:uid="{61809E57-6A42-4DD9-8CD2-4B4A9B1960A9}" name="ItmId              " dataDxfId="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0BD2B5-A469-4490-8939-8990B6AF7815}" name="Dt_Cst5" displayName="Dt_Cst5" ref="M2:Q2019" totalsRowShown="0" headerRowDxfId="6" dataDxfId="5" headerRowCellStyle="Normal 8" dataCellStyle="Normal 8">
  <autoFilter ref="M2:Q2019" xr:uid="{3C0BD2B5-A469-4490-8939-8990B6AF7815}"/>
  <tableColumns count="5">
    <tableColumn id="4" xr3:uid="{0FAC1353-95D7-4E38-B3DB-FB67998E74B6}" name="Row" dataDxfId="4" dataCellStyle="Normal 8"/>
    <tableColumn id="5" xr3:uid="{579E41C8-824B-4F6D-856C-D54787B4349D}" name="Column" dataDxfId="3" dataCellStyle="Normal 8"/>
    <tableColumn id="1" xr3:uid="{0361B0F6-E5B9-4D04-8F0A-6EAB1A8D3C9B}" name="1" dataDxfId="2" dataCellStyle="Normal 8"/>
    <tableColumn id="2" xr3:uid="{D407F6A4-25D6-4642-A09D-52206B2FCBEE}" name="2" dataDxfId="1" dataCellStyle="Normal 8"/>
    <tableColumn id="3" xr3:uid="{6F96EB61-DF86-4550-8ACB-60C14DC9289D}" name="3" dataDxfId="0" dataCellStyle="Normal 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89E407-49DD-1740-952F-E5FDD26B17E5}">
  <sheetPr codeName="Sheet2"/>
  <dimension ref="A1:A2"/>
  <sheetViews>
    <sheetView workbookViewId="0"/>
  </sheetViews>
  <sheetFormatPr defaultColWidth="11.19921875" defaultRowHeight="11.25" x14ac:dyDescent="0.2"/>
  <cols>
    <col min="1" max="1" width="9.19921875" bestFit="1" customWidth="1"/>
  </cols>
  <sheetData>
    <row r="1" spans="1:1" x14ac:dyDescent="0.2">
      <c r="A1" t="s">
        <v>6466</v>
      </c>
    </row>
    <row r="2" spans="1:1" x14ac:dyDescent="0.2">
      <c r="A2" t="s">
        <v>6467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37E3F2-5B7E-44AF-9AA8-514C9EF5306E}">
  <sheetPr codeName="Sheet1"/>
  <dimension ref="A1:L3185"/>
  <sheetViews>
    <sheetView topLeftCell="A1020" workbookViewId="0">
      <selection sqref="A1:L3185"/>
    </sheetView>
  </sheetViews>
  <sheetFormatPr defaultColWidth="8.796875" defaultRowHeight="11.25" x14ac:dyDescent="0.2"/>
  <cols>
    <col min="1" max="1" width="7.19921875" bestFit="1" customWidth="1"/>
    <col min="2" max="2" width="6.796875" bestFit="1" customWidth="1"/>
    <col min="3" max="3" width="13" bestFit="1" customWidth="1"/>
    <col min="4" max="4" width="9" bestFit="1" customWidth="1"/>
    <col min="5" max="5" width="10.3984375" bestFit="1" customWidth="1"/>
    <col min="6" max="6" width="19.796875" bestFit="1" customWidth="1"/>
    <col min="7" max="7" width="26.796875" bestFit="1" customWidth="1"/>
    <col min="8" max="8" width="38" bestFit="1" customWidth="1"/>
    <col min="9" max="9" width="47.19921875" bestFit="1" customWidth="1"/>
    <col min="10" max="10" width="46.3984375" bestFit="1" customWidth="1"/>
    <col min="11" max="11" width="25.19921875" customWidth="1"/>
    <col min="12" max="12" width="14" bestFit="1" customWidth="1"/>
  </cols>
  <sheetData>
    <row r="1" spans="1:12" x14ac:dyDescent="0.2">
      <c r="A1" t="s">
        <v>1764</v>
      </c>
      <c r="B1" t="s">
        <v>1765</v>
      </c>
      <c r="C1" t="s">
        <v>1766</v>
      </c>
      <c r="D1" t="s">
        <v>1770</v>
      </c>
      <c r="E1" t="s">
        <v>1771</v>
      </c>
      <c r="F1" t="s">
        <v>1772</v>
      </c>
      <c r="G1" t="s">
        <v>1773</v>
      </c>
      <c r="H1" t="s">
        <v>1774</v>
      </c>
      <c r="I1" t="s">
        <v>1775</v>
      </c>
      <c r="J1" t="s">
        <v>1776</v>
      </c>
      <c r="K1" t="s">
        <v>1777</v>
      </c>
      <c r="L1" t="s">
        <v>1778</v>
      </c>
    </row>
    <row r="2" spans="1:12" x14ac:dyDescent="0.2">
      <c r="A2" t="s">
        <v>1767</v>
      </c>
      <c r="B2" t="s">
        <v>1768</v>
      </c>
      <c r="C2" t="s">
        <v>1779</v>
      </c>
      <c r="D2">
        <v>1</v>
      </c>
      <c r="E2">
        <v>0</v>
      </c>
      <c r="F2">
        <v>0</v>
      </c>
      <c r="G2" t="s">
        <v>1780</v>
      </c>
      <c r="L2" t="s">
        <v>1781</v>
      </c>
    </row>
    <row r="3" spans="1:12" x14ac:dyDescent="0.2">
      <c r="A3" t="s">
        <v>1767</v>
      </c>
      <c r="B3" t="s">
        <v>1768</v>
      </c>
      <c r="C3" t="s">
        <v>1779</v>
      </c>
      <c r="D3">
        <v>3</v>
      </c>
      <c r="E3">
        <v>919.92</v>
      </c>
      <c r="F3">
        <v>919.92</v>
      </c>
      <c r="G3" t="s">
        <v>1780</v>
      </c>
      <c r="H3" t="s">
        <v>1782</v>
      </c>
      <c r="I3" t="s">
        <v>1783</v>
      </c>
      <c r="L3" t="s">
        <v>1781</v>
      </c>
    </row>
    <row r="4" spans="1:12" x14ac:dyDescent="0.2">
      <c r="A4" t="s">
        <v>1767</v>
      </c>
      <c r="B4" t="s">
        <v>1768</v>
      </c>
      <c r="C4" t="s">
        <v>1779</v>
      </c>
      <c r="D4">
        <v>3</v>
      </c>
      <c r="E4">
        <v>5099.92</v>
      </c>
      <c r="F4">
        <v>5099.92</v>
      </c>
      <c r="G4" t="s">
        <v>1780</v>
      </c>
      <c r="H4" t="s">
        <v>1784</v>
      </c>
      <c r="I4" t="s">
        <v>1785</v>
      </c>
      <c r="L4" t="s">
        <v>1781</v>
      </c>
    </row>
    <row r="5" spans="1:12" x14ac:dyDescent="0.2">
      <c r="A5" t="s">
        <v>1767</v>
      </c>
      <c r="B5" t="s">
        <v>1768</v>
      </c>
      <c r="C5" t="s">
        <v>1779</v>
      </c>
      <c r="D5">
        <v>3</v>
      </c>
      <c r="E5">
        <v>4663.84</v>
      </c>
      <c r="F5">
        <v>4663.84</v>
      </c>
      <c r="G5" t="s">
        <v>1780</v>
      </c>
      <c r="H5" t="s">
        <v>1786</v>
      </c>
      <c r="I5" t="s">
        <v>1787</v>
      </c>
      <c r="L5" t="s">
        <v>1781</v>
      </c>
    </row>
    <row r="6" spans="1:12" x14ac:dyDescent="0.2">
      <c r="A6" t="s">
        <v>1767</v>
      </c>
      <c r="B6" t="s">
        <v>1768</v>
      </c>
      <c r="C6" t="s">
        <v>1779</v>
      </c>
      <c r="D6">
        <v>3</v>
      </c>
      <c r="E6">
        <v>32839.379999999997</v>
      </c>
      <c r="F6">
        <v>32839.379999999997</v>
      </c>
      <c r="G6" t="s">
        <v>1780</v>
      </c>
      <c r="H6" t="s">
        <v>1788</v>
      </c>
      <c r="I6" t="s">
        <v>1789</v>
      </c>
      <c r="L6" t="s">
        <v>1781</v>
      </c>
    </row>
    <row r="7" spans="1:12" x14ac:dyDescent="0.2">
      <c r="A7" t="s">
        <v>1767</v>
      </c>
      <c r="B7" t="s">
        <v>1768</v>
      </c>
      <c r="C7" t="s">
        <v>1779</v>
      </c>
      <c r="D7">
        <v>3</v>
      </c>
      <c r="E7">
        <v>72</v>
      </c>
      <c r="F7">
        <v>72</v>
      </c>
      <c r="G7" t="s">
        <v>1780</v>
      </c>
      <c r="H7" t="s">
        <v>1790</v>
      </c>
      <c r="I7" t="s">
        <v>1791</v>
      </c>
      <c r="L7" t="s">
        <v>1781</v>
      </c>
    </row>
    <row r="8" spans="1:12" x14ac:dyDescent="0.2">
      <c r="A8" t="s">
        <v>1767</v>
      </c>
      <c r="B8" t="s">
        <v>1768</v>
      </c>
      <c r="C8" t="s">
        <v>1779</v>
      </c>
      <c r="D8">
        <v>3</v>
      </c>
      <c r="E8">
        <v>19973.439999999999</v>
      </c>
      <c r="F8">
        <v>19973.439999999999</v>
      </c>
      <c r="G8" t="s">
        <v>1780</v>
      </c>
      <c r="H8" t="s">
        <v>1792</v>
      </c>
      <c r="I8" t="s">
        <v>1793</v>
      </c>
      <c r="L8" t="s">
        <v>1781</v>
      </c>
    </row>
    <row r="9" spans="1:12" x14ac:dyDescent="0.2">
      <c r="A9" t="s">
        <v>1767</v>
      </c>
      <c r="B9" t="s">
        <v>1768</v>
      </c>
      <c r="C9" t="s">
        <v>1779</v>
      </c>
      <c r="D9">
        <v>3</v>
      </c>
      <c r="E9">
        <v>1260</v>
      </c>
      <c r="F9">
        <v>1260</v>
      </c>
      <c r="G9" t="s">
        <v>1780</v>
      </c>
      <c r="H9" t="s">
        <v>1794</v>
      </c>
      <c r="I9" t="s">
        <v>1795</v>
      </c>
      <c r="L9" t="s">
        <v>1781</v>
      </c>
    </row>
    <row r="10" spans="1:12" x14ac:dyDescent="0.2">
      <c r="A10" t="s">
        <v>1767</v>
      </c>
      <c r="B10" t="s">
        <v>1768</v>
      </c>
      <c r="C10" t="s">
        <v>1779</v>
      </c>
      <c r="D10">
        <v>3</v>
      </c>
      <c r="E10">
        <v>1260</v>
      </c>
      <c r="F10">
        <v>1260</v>
      </c>
      <c r="G10" t="s">
        <v>1780</v>
      </c>
      <c r="H10" t="s">
        <v>1794</v>
      </c>
      <c r="I10" t="s">
        <v>1795</v>
      </c>
      <c r="L10" t="s">
        <v>1781</v>
      </c>
    </row>
    <row r="11" spans="1:12" x14ac:dyDescent="0.2">
      <c r="A11" t="s">
        <v>1767</v>
      </c>
      <c r="B11" t="s">
        <v>1768</v>
      </c>
      <c r="C11" t="s">
        <v>1779</v>
      </c>
      <c r="D11">
        <v>3</v>
      </c>
      <c r="E11">
        <v>1260</v>
      </c>
      <c r="F11">
        <v>1260</v>
      </c>
      <c r="G11" t="s">
        <v>1780</v>
      </c>
      <c r="H11" t="s">
        <v>1794</v>
      </c>
      <c r="I11" t="s">
        <v>1795</v>
      </c>
      <c r="L11" t="s">
        <v>1781</v>
      </c>
    </row>
    <row r="12" spans="1:12" x14ac:dyDescent="0.2">
      <c r="A12" t="s">
        <v>1767</v>
      </c>
      <c r="B12" t="s">
        <v>1768</v>
      </c>
      <c r="C12" t="s">
        <v>1779</v>
      </c>
      <c r="D12">
        <v>3</v>
      </c>
      <c r="E12">
        <v>1890</v>
      </c>
      <c r="F12">
        <v>1890</v>
      </c>
      <c r="G12" t="s">
        <v>1780</v>
      </c>
      <c r="H12" t="s">
        <v>1796</v>
      </c>
      <c r="I12" t="s">
        <v>1797</v>
      </c>
      <c r="L12" t="s">
        <v>1781</v>
      </c>
    </row>
    <row r="13" spans="1:12" x14ac:dyDescent="0.2">
      <c r="A13" t="s">
        <v>1767</v>
      </c>
      <c r="B13" t="s">
        <v>1768</v>
      </c>
      <c r="C13" t="s">
        <v>1779</v>
      </c>
      <c r="D13">
        <v>3</v>
      </c>
      <c r="E13">
        <v>630</v>
      </c>
      <c r="F13">
        <v>630</v>
      </c>
      <c r="G13" t="s">
        <v>1780</v>
      </c>
      <c r="H13" t="s">
        <v>1798</v>
      </c>
      <c r="I13" t="s">
        <v>1799</v>
      </c>
      <c r="L13" t="s">
        <v>1781</v>
      </c>
    </row>
    <row r="14" spans="1:12" x14ac:dyDescent="0.2">
      <c r="A14" t="s">
        <v>1767</v>
      </c>
      <c r="B14" t="s">
        <v>1768</v>
      </c>
      <c r="C14" t="s">
        <v>1800</v>
      </c>
      <c r="D14">
        <v>1</v>
      </c>
      <c r="E14">
        <v>0</v>
      </c>
      <c r="F14">
        <v>0</v>
      </c>
      <c r="G14" t="s">
        <v>1801</v>
      </c>
      <c r="L14" t="s">
        <v>1802</v>
      </c>
    </row>
    <row r="15" spans="1:12" x14ac:dyDescent="0.2">
      <c r="A15" t="s">
        <v>1767</v>
      </c>
      <c r="B15" t="s">
        <v>1768</v>
      </c>
      <c r="C15" t="s">
        <v>1800</v>
      </c>
      <c r="D15">
        <v>3</v>
      </c>
      <c r="E15">
        <v>10563.68</v>
      </c>
      <c r="F15">
        <v>10563.68</v>
      </c>
      <c r="G15" t="s">
        <v>1801</v>
      </c>
      <c r="H15" t="s">
        <v>1803</v>
      </c>
      <c r="I15" t="s">
        <v>1804</v>
      </c>
      <c r="L15" t="s">
        <v>1802</v>
      </c>
    </row>
    <row r="16" spans="1:12" x14ac:dyDescent="0.2">
      <c r="A16" t="s">
        <v>1767</v>
      </c>
      <c r="B16" t="s">
        <v>1768</v>
      </c>
      <c r="C16" t="s">
        <v>1800</v>
      </c>
      <c r="D16">
        <v>3</v>
      </c>
      <c r="E16">
        <v>6012.84</v>
      </c>
      <c r="F16">
        <v>6012.84</v>
      </c>
      <c r="G16" t="s">
        <v>1801</v>
      </c>
      <c r="H16" t="s">
        <v>1805</v>
      </c>
      <c r="I16" t="s">
        <v>1806</v>
      </c>
      <c r="L16" t="s">
        <v>1802</v>
      </c>
    </row>
    <row r="17" spans="1:12" x14ac:dyDescent="0.2">
      <c r="A17" t="s">
        <v>1767</v>
      </c>
      <c r="B17" t="s">
        <v>1768</v>
      </c>
      <c r="C17" t="s">
        <v>1807</v>
      </c>
      <c r="D17">
        <v>1</v>
      </c>
      <c r="E17">
        <v>0</v>
      </c>
      <c r="F17">
        <v>0</v>
      </c>
      <c r="G17" t="s">
        <v>1808</v>
      </c>
      <c r="L17" t="s">
        <v>1809</v>
      </c>
    </row>
    <row r="18" spans="1:12" x14ac:dyDescent="0.2">
      <c r="A18" t="s">
        <v>1767</v>
      </c>
      <c r="B18" t="s">
        <v>1768</v>
      </c>
      <c r="C18" t="s">
        <v>1807</v>
      </c>
      <c r="D18">
        <v>3</v>
      </c>
      <c r="E18">
        <v>36.619999999999997</v>
      </c>
      <c r="F18">
        <v>36.619999999999997</v>
      </c>
      <c r="G18" t="s">
        <v>1808</v>
      </c>
      <c r="H18" t="s">
        <v>1810</v>
      </c>
      <c r="I18" t="s">
        <v>1811</v>
      </c>
      <c r="L18" t="s">
        <v>1809</v>
      </c>
    </row>
    <row r="19" spans="1:12" x14ac:dyDescent="0.2">
      <c r="A19" t="s">
        <v>1767</v>
      </c>
      <c r="B19" t="s">
        <v>1768</v>
      </c>
      <c r="C19" t="s">
        <v>1807</v>
      </c>
      <c r="D19">
        <v>3</v>
      </c>
      <c r="E19">
        <v>23163.759999999998</v>
      </c>
      <c r="F19">
        <v>23163.759999999998</v>
      </c>
      <c r="G19" t="s">
        <v>1808</v>
      </c>
      <c r="H19" t="s">
        <v>1812</v>
      </c>
      <c r="I19" t="s">
        <v>1813</v>
      </c>
      <c r="L19" t="s">
        <v>1809</v>
      </c>
    </row>
    <row r="20" spans="1:12" x14ac:dyDescent="0.2">
      <c r="A20" t="s">
        <v>1767</v>
      </c>
      <c r="B20" t="s">
        <v>1768</v>
      </c>
      <c r="C20" t="s">
        <v>1814</v>
      </c>
      <c r="D20">
        <v>1</v>
      </c>
      <c r="E20">
        <v>0</v>
      </c>
      <c r="F20">
        <v>0</v>
      </c>
      <c r="G20" t="s">
        <v>1815</v>
      </c>
      <c r="L20" t="s">
        <v>1816</v>
      </c>
    </row>
    <row r="21" spans="1:12" x14ac:dyDescent="0.2">
      <c r="A21" t="s">
        <v>1767</v>
      </c>
      <c r="B21" t="s">
        <v>1768</v>
      </c>
      <c r="C21" t="s">
        <v>1814</v>
      </c>
      <c r="D21">
        <v>3</v>
      </c>
      <c r="E21">
        <v>9481.7999999999993</v>
      </c>
      <c r="F21">
        <v>9481.7999999999993</v>
      </c>
      <c r="G21" t="s">
        <v>1815</v>
      </c>
      <c r="H21" t="s">
        <v>1817</v>
      </c>
      <c r="I21" t="s">
        <v>1818</v>
      </c>
      <c r="L21" t="s">
        <v>1816</v>
      </c>
    </row>
    <row r="22" spans="1:12" x14ac:dyDescent="0.2">
      <c r="A22" t="s">
        <v>1767</v>
      </c>
      <c r="B22" t="s">
        <v>1768</v>
      </c>
      <c r="C22" t="s">
        <v>1814</v>
      </c>
      <c r="D22">
        <v>3</v>
      </c>
      <c r="E22">
        <v>6321.2</v>
      </c>
      <c r="F22">
        <v>6321.2</v>
      </c>
      <c r="G22" t="s">
        <v>1815</v>
      </c>
      <c r="H22" t="s">
        <v>1819</v>
      </c>
      <c r="I22" t="s">
        <v>1820</v>
      </c>
      <c r="L22" t="s">
        <v>1816</v>
      </c>
    </row>
    <row r="23" spans="1:12" x14ac:dyDescent="0.2">
      <c r="A23" t="s">
        <v>1767</v>
      </c>
      <c r="B23" t="s">
        <v>1768</v>
      </c>
      <c r="C23" t="s">
        <v>1814</v>
      </c>
      <c r="D23">
        <v>3</v>
      </c>
      <c r="E23">
        <v>6321.2</v>
      </c>
      <c r="F23">
        <v>6321.2</v>
      </c>
      <c r="G23" t="s">
        <v>1815</v>
      </c>
      <c r="H23" t="s">
        <v>1819</v>
      </c>
      <c r="I23" t="s">
        <v>1820</v>
      </c>
      <c r="L23" t="s">
        <v>1816</v>
      </c>
    </row>
    <row r="24" spans="1:12" x14ac:dyDescent="0.2">
      <c r="A24" t="s">
        <v>1767</v>
      </c>
      <c r="B24" t="s">
        <v>1768</v>
      </c>
      <c r="C24" t="s">
        <v>1814</v>
      </c>
      <c r="D24">
        <v>3</v>
      </c>
      <c r="E24">
        <v>6321.2</v>
      </c>
      <c r="F24">
        <v>6321.2</v>
      </c>
      <c r="G24" t="s">
        <v>1815</v>
      </c>
      <c r="H24" t="s">
        <v>1819</v>
      </c>
      <c r="I24" t="s">
        <v>1820</v>
      </c>
      <c r="L24" t="s">
        <v>1816</v>
      </c>
    </row>
    <row r="25" spans="1:12" x14ac:dyDescent="0.2">
      <c r="A25" t="s">
        <v>1767</v>
      </c>
      <c r="B25" t="s">
        <v>1768</v>
      </c>
      <c r="C25" t="s">
        <v>1814</v>
      </c>
      <c r="D25">
        <v>3</v>
      </c>
      <c r="E25">
        <v>3160.6</v>
      </c>
      <c r="F25">
        <v>3160.6</v>
      </c>
      <c r="G25" t="s">
        <v>1815</v>
      </c>
      <c r="H25" t="s">
        <v>1821</v>
      </c>
      <c r="I25" t="s">
        <v>1822</v>
      </c>
      <c r="L25" t="s">
        <v>1816</v>
      </c>
    </row>
    <row r="26" spans="1:12" x14ac:dyDescent="0.2">
      <c r="A26" t="s">
        <v>1767</v>
      </c>
      <c r="B26" t="s">
        <v>1768</v>
      </c>
      <c r="C26" t="s">
        <v>1814</v>
      </c>
      <c r="D26">
        <v>3</v>
      </c>
      <c r="E26">
        <v>160</v>
      </c>
      <c r="F26">
        <v>160</v>
      </c>
      <c r="G26" t="s">
        <v>1815</v>
      </c>
      <c r="H26" t="s">
        <v>1823</v>
      </c>
      <c r="I26" t="s">
        <v>1824</v>
      </c>
      <c r="L26" t="s">
        <v>1816</v>
      </c>
    </row>
    <row r="27" spans="1:12" x14ac:dyDescent="0.2">
      <c r="A27" t="s">
        <v>1767</v>
      </c>
      <c r="B27" t="s">
        <v>1768</v>
      </c>
      <c r="C27" t="s">
        <v>1814</v>
      </c>
      <c r="D27">
        <v>3</v>
      </c>
      <c r="E27">
        <v>4152.1899999999996</v>
      </c>
      <c r="F27">
        <v>4152.1899999999996</v>
      </c>
      <c r="G27" t="s">
        <v>1815</v>
      </c>
      <c r="H27" t="s">
        <v>1825</v>
      </c>
      <c r="I27" t="s">
        <v>1826</v>
      </c>
      <c r="L27" t="s">
        <v>1816</v>
      </c>
    </row>
    <row r="28" spans="1:12" x14ac:dyDescent="0.2">
      <c r="A28" t="s">
        <v>1767</v>
      </c>
      <c r="B28" t="s">
        <v>1768</v>
      </c>
      <c r="C28" t="s">
        <v>1827</v>
      </c>
      <c r="D28">
        <v>1</v>
      </c>
      <c r="E28">
        <v>0</v>
      </c>
      <c r="F28">
        <v>0</v>
      </c>
      <c r="G28" t="s">
        <v>1828</v>
      </c>
      <c r="L28" t="s">
        <v>1829</v>
      </c>
    </row>
    <row r="29" spans="1:12" x14ac:dyDescent="0.2">
      <c r="A29" t="s">
        <v>1767</v>
      </c>
      <c r="B29" t="s">
        <v>1768</v>
      </c>
      <c r="C29" t="s">
        <v>1827</v>
      </c>
      <c r="D29">
        <v>3</v>
      </c>
      <c r="E29">
        <v>1218</v>
      </c>
      <c r="F29">
        <v>1218</v>
      </c>
      <c r="G29" t="s">
        <v>1828</v>
      </c>
      <c r="H29" t="s">
        <v>1830</v>
      </c>
      <c r="I29" t="s">
        <v>1831</v>
      </c>
      <c r="L29" t="s">
        <v>1829</v>
      </c>
    </row>
    <row r="30" spans="1:12" x14ac:dyDescent="0.2">
      <c r="A30" t="s">
        <v>1767</v>
      </c>
      <c r="B30" t="s">
        <v>1768</v>
      </c>
      <c r="C30" t="s">
        <v>1832</v>
      </c>
      <c r="D30">
        <v>1</v>
      </c>
      <c r="E30">
        <v>0</v>
      </c>
      <c r="F30">
        <v>0</v>
      </c>
      <c r="G30" t="s">
        <v>1833</v>
      </c>
      <c r="L30" t="s">
        <v>1834</v>
      </c>
    </row>
    <row r="31" spans="1:12" x14ac:dyDescent="0.2">
      <c r="A31" t="s">
        <v>1767</v>
      </c>
      <c r="B31" t="s">
        <v>1768</v>
      </c>
      <c r="C31" t="s">
        <v>1832</v>
      </c>
      <c r="D31">
        <v>3</v>
      </c>
      <c r="E31">
        <v>4059</v>
      </c>
      <c r="F31">
        <v>4059</v>
      </c>
      <c r="G31" t="s">
        <v>1833</v>
      </c>
      <c r="H31" t="s">
        <v>1835</v>
      </c>
      <c r="I31" t="s">
        <v>1836</v>
      </c>
      <c r="L31" t="s">
        <v>1834</v>
      </c>
    </row>
    <row r="32" spans="1:12" x14ac:dyDescent="0.2">
      <c r="A32" t="s">
        <v>1767</v>
      </c>
      <c r="B32" t="s">
        <v>1768</v>
      </c>
      <c r="C32" t="s">
        <v>1832</v>
      </c>
      <c r="D32">
        <v>3</v>
      </c>
      <c r="E32">
        <v>2736</v>
      </c>
      <c r="F32">
        <v>2736</v>
      </c>
      <c r="G32" t="s">
        <v>1833</v>
      </c>
      <c r="H32" t="s">
        <v>1837</v>
      </c>
      <c r="I32" t="s">
        <v>1838</v>
      </c>
      <c r="L32" t="s">
        <v>1834</v>
      </c>
    </row>
    <row r="33" spans="1:12" x14ac:dyDescent="0.2">
      <c r="A33" t="s">
        <v>1767</v>
      </c>
      <c r="B33" t="s">
        <v>1768</v>
      </c>
      <c r="C33" t="s">
        <v>1832</v>
      </c>
      <c r="D33">
        <v>3</v>
      </c>
      <c r="E33">
        <v>3111.2</v>
      </c>
      <c r="F33">
        <v>3111.2</v>
      </c>
      <c r="G33" t="s">
        <v>1833</v>
      </c>
      <c r="H33" t="s">
        <v>1839</v>
      </c>
      <c r="I33" t="s">
        <v>1840</v>
      </c>
      <c r="L33" t="s">
        <v>1834</v>
      </c>
    </row>
    <row r="34" spans="1:12" x14ac:dyDescent="0.2">
      <c r="A34" t="s">
        <v>1767</v>
      </c>
      <c r="B34" t="s">
        <v>1768</v>
      </c>
      <c r="C34" t="s">
        <v>1832</v>
      </c>
      <c r="D34">
        <v>3</v>
      </c>
      <c r="E34">
        <v>2216.0300000000002</v>
      </c>
      <c r="F34">
        <v>2216.0300000000002</v>
      </c>
      <c r="G34" t="s">
        <v>1833</v>
      </c>
      <c r="H34" t="s">
        <v>1841</v>
      </c>
      <c r="I34" t="s">
        <v>1842</v>
      </c>
      <c r="L34" t="s">
        <v>1834</v>
      </c>
    </row>
    <row r="35" spans="1:12" x14ac:dyDescent="0.2">
      <c r="A35" t="s">
        <v>1767</v>
      </c>
      <c r="B35" t="s">
        <v>1768</v>
      </c>
      <c r="C35" t="s">
        <v>1832</v>
      </c>
      <c r="D35">
        <v>3</v>
      </c>
      <c r="E35">
        <v>1795.4</v>
      </c>
      <c r="F35">
        <v>1795.4</v>
      </c>
      <c r="G35" t="s">
        <v>1833</v>
      </c>
      <c r="H35" t="s">
        <v>1843</v>
      </c>
      <c r="I35" t="s">
        <v>1844</v>
      </c>
      <c r="L35" t="s">
        <v>1834</v>
      </c>
    </row>
    <row r="36" spans="1:12" x14ac:dyDescent="0.2">
      <c r="A36" t="s">
        <v>1767</v>
      </c>
      <c r="B36" t="s">
        <v>1768</v>
      </c>
      <c r="C36" t="s">
        <v>1832</v>
      </c>
      <c r="D36">
        <v>3</v>
      </c>
      <c r="E36">
        <v>458.4</v>
      </c>
      <c r="F36">
        <v>458.4</v>
      </c>
      <c r="G36" t="s">
        <v>1833</v>
      </c>
      <c r="H36" t="s">
        <v>1845</v>
      </c>
      <c r="I36" t="s">
        <v>1846</v>
      </c>
      <c r="L36" t="s">
        <v>1834</v>
      </c>
    </row>
    <row r="37" spans="1:12" x14ac:dyDescent="0.2">
      <c r="A37" t="s">
        <v>1767</v>
      </c>
      <c r="B37" t="s">
        <v>1768</v>
      </c>
      <c r="C37" t="s">
        <v>1832</v>
      </c>
      <c r="D37">
        <v>3</v>
      </c>
      <c r="E37">
        <v>2524.5</v>
      </c>
      <c r="F37">
        <v>2524.5</v>
      </c>
      <c r="G37" t="s">
        <v>1833</v>
      </c>
      <c r="H37" t="s">
        <v>1847</v>
      </c>
      <c r="I37" t="s">
        <v>1848</v>
      </c>
      <c r="L37" t="s">
        <v>1834</v>
      </c>
    </row>
    <row r="38" spans="1:12" x14ac:dyDescent="0.2">
      <c r="A38" t="s">
        <v>1767</v>
      </c>
      <c r="B38" t="s">
        <v>1768</v>
      </c>
      <c r="C38" t="s">
        <v>1832</v>
      </c>
      <c r="D38">
        <v>3</v>
      </c>
      <c r="E38">
        <v>1361.15</v>
      </c>
      <c r="F38">
        <v>1361.15</v>
      </c>
      <c r="G38" t="s">
        <v>1833</v>
      </c>
      <c r="H38" t="s">
        <v>1849</v>
      </c>
      <c r="I38" t="s">
        <v>1850</v>
      </c>
      <c r="L38" t="s">
        <v>1834</v>
      </c>
    </row>
    <row r="39" spans="1:12" x14ac:dyDescent="0.2">
      <c r="A39" t="s">
        <v>1767</v>
      </c>
      <c r="B39" t="s">
        <v>1768</v>
      </c>
      <c r="C39" t="s">
        <v>1832</v>
      </c>
      <c r="D39">
        <v>3</v>
      </c>
      <c r="E39">
        <v>5280</v>
      </c>
      <c r="F39">
        <v>5280</v>
      </c>
      <c r="G39" t="s">
        <v>1833</v>
      </c>
      <c r="H39" t="s">
        <v>1851</v>
      </c>
      <c r="I39" t="s">
        <v>1852</v>
      </c>
      <c r="L39" t="s">
        <v>1834</v>
      </c>
    </row>
    <row r="40" spans="1:12" x14ac:dyDescent="0.2">
      <c r="A40" t="s">
        <v>1767</v>
      </c>
      <c r="B40" t="s">
        <v>1768</v>
      </c>
      <c r="C40" t="s">
        <v>1832</v>
      </c>
      <c r="D40">
        <v>3</v>
      </c>
      <c r="E40">
        <v>429</v>
      </c>
      <c r="F40">
        <v>429</v>
      </c>
      <c r="G40" t="s">
        <v>1833</v>
      </c>
      <c r="H40" t="s">
        <v>1853</v>
      </c>
      <c r="I40" t="s">
        <v>1854</v>
      </c>
      <c r="L40" t="s">
        <v>1834</v>
      </c>
    </row>
    <row r="41" spans="1:12" x14ac:dyDescent="0.2">
      <c r="A41" t="s">
        <v>1767</v>
      </c>
      <c r="B41" t="s">
        <v>1768</v>
      </c>
      <c r="C41" t="s">
        <v>1832</v>
      </c>
      <c r="D41">
        <v>3</v>
      </c>
      <c r="E41">
        <v>2524.5</v>
      </c>
      <c r="F41">
        <v>2524.5</v>
      </c>
      <c r="G41" t="s">
        <v>1833</v>
      </c>
      <c r="H41" t="s">
        <v>1847</v>
      </c>
      <c r="I41" t="s">
        <v>1848</v>
      </c>
      <c r="L41" t="s">
        <v>1834</v>
      </c>
    </row>
    <row r="42" spans="1:12" x14ac:dyDescent="0.2">
      <c r="A42" t="s">
        <v>1767</v>
      </c>
      <c r="B42" t="s">
        <v>1768</v>
      </c>
      <c r="C42" t="s">
        <v>1832</v>
      </c>
      <c r="D42">
        <v>3</v>
      </c>
      <c r="E42">
        <v>10404</v>
      </c>
      <c r="F42">
        <v>10404</v>
      </c>
      <c r="G42" t="s">
        <v>1833</v>
      </c>
      <c r="H42" t="s">
        <v>1855</v>
      </c>
      <c r="I42" t="s">
        <v>1856</v>
      </c>
      <c r="L42" t="s">
        <v>1834</v>
      </c>
    </row>
    <row r="43" spans="1:12" x14ac:dyDescent="0.2">
      <c r="A43" t="s">
        <v>1767</v>
      </c>
      <c r="B43" t="s">
        <v>1768</v>
      </c>
      <c r="C43" t="s">
        <v>1832</v>
      </c>
      <c r="D43">
        <v>3</v>
      </c>
      <c r="E43">
        <v>20808</v>
      </c>
      <c r="F43">
        <v>20808</v>
      </c>
      <c r="G43" t="s">
        <v>1833</v>
      </c>
      <c r="H43" t="s">
        <v>1857</v>
      </c>
      <c r="I43" t="s">
        <v>1858</v>
      </c>
      <c r="L43" t="s">
        <v>1834</v>
      </c>
    </row>
    <row r="44" spans="1:12" x14ac:dyDescent="0.2">
      <c r="A44" t="s">
        <v>1767</v>
      </c>
      <c r="B44" t="s">
        <v>1768</v>
      </c>
      <c r="C44" t="s">
        <v>1832</v>
      </c>
      <c r="D44">
        <v>3</v>
      </c>
      <c r="E44">
        <v>20808</v>
      </c>
      <c r="F44">
        <v>20808</v>
      </c>
      <c r="G44" t="s">
        <v>1833</v>
      </c>
      <c r="H44" t="s">
        <v>1857</v>
      </c>
      <c r="I44" t="s">
        <v>1858</v>
      </c>
      <c r="L44" t="s">
        <v>1834</v>
      </c>
    </row>
    <row r="45" spans="1:12" x14ac:dyDescent="0.2">
      <c r="A45" t="s">
        <v>1767</v>
      </c>
      <c r="B45" t="s">
        <v>1768</v>
      </c>
      <c r="C45" t="s">
        <v>1832</v>
      </c>
      <c r="D45">
        <v>3</v>
      </c>
      <c r="E45">
        <v>20808</v>
      </c>
      <c r="F45">
        <v>20808</v>
      </c>
      <c r="G45" t="s">
        <v>1833</v>
      </c>
      <c r="H45" t="s">
        <v>1857</v>
      </c>
      <c r="I45" t="s">
        <v>1858</v>
      </c>
      <c r="L45" t="s">
        <v>1834</v>
      </c>
    </row>
    <row r="46" spans="1:12" x14ac:dyDescent="0.2">
      <c r="A46" t="s">
        <v>1767</v>
      </c>
      <c r="B46" t="s">
        <v>1768</v>
      </c>
      <c r="C46" t="s">
        <v>1832</v>
      </c>
      <c r="D46">
        <v>3</v>
      </c>
      <c r="E46">
        <v>31212</v>
      </c>
      <c r="F46">
        <v>31212</v>
      </c>
      <c r="G46" t="s">
        <v>1833</v>
      </c>
      <c r="H46" t="s">
        <v>1859</v>
      </c>
      <c r="I46" t="s">
        <v>1860</v>
      </c>
      <c r="L46" t="s">
        <v>1834</v>
      </c>
    </row>
    <row r="47" spans="1:12" x14ac:dyDescent="0.2">
      <c r="A47" t="s">
        <v>1767</v>
      </c>
      <c r="B47" t="s">
        <v>1768</v>
      </c>
      <c r="C47" t="s">
        <v>1832</v>
      </c>
      <c r="D47">
        <v>3</v>
      </c>
      <c r="E47">
        <v>2524.5</v>
      </c>
      <c r="F47">
        <v>2524.5</v>
      </c>
      <c r="G47" t="s">
        <v>1833</v>
      </c>
      <c r="H47" t="s">
        <v>1847</v>
      </c>
      <c r="I47" t="s">
        <v>1848</v>
      </c>
      <c r="L47" t="s">
        <v>1834</v>
      </c>
    </row>
    <row r="48" spans="1:12" x14ac:dyDescent="0.2">
      <c r="A48" t="s">
        <v>1767</v>
      </c>
      <c r="B48" t="s">
        <v>1768</v>
      </c>
      <c r="C48" t="s">
        <v>1861</v>
      </c>
      <c r="D48">
        <v>1</v>
      </c>
      <c r="E48">
        <v>0</v>
      </c>
      <c r="F48">
        <v>0</v>
      </c>
      <c r="G48" t="s">
        <v>1862</v>
      </c>
      <c r="L48" t="s">
        <v>1863</v>
      </c>
    </row>
    <row r="49" spans="1:12" x14ac:dyDescent="0.2">
      <c r="A49" t="s">
        <v>1767</v>
      </c>
      <c r="B49" t="s">
        <v>1768</v>
      </c>
      <c r="C49" t="s">
        <v>1861</v>
      </c>
      <c r="D49">
        <v>3</v>
      </c>
      <c r="E49">
        <v>0</v>
      </c>
      <c r="F49">
        <v>0</v>
      </c>
      <c r="G49" t="s">
        <v>1862</v>
      </c>
      <c r="H49" t="s">
        <v>1864</v>
      </c>
      <c r="I49" t="s">
        <v>1865</v>
      </c>
      <c r="L49" t="s">
        <v>1863</v>
      </c>
    </row>
    <row r="50" spans="1:12" x14ac:dyDescent="0.2">
      <c r="A50" t="s">
        <v>1767</v>
      </c>
      <c r="B50" t="s">
        <v>1768</v>
      </c>
      <c r="C50" t="s">
        <v>1861</v>
      </c>
      <c r="D50">
        <v>3</v>
      </c>
      <c r="E50">
        <v>26</v>
      </c>
      <c r="F50">
        <v>26</v>
      </c>
      <c r="G50" t="s">
        <v>1862</v>
      </c>
      <c r="H50" t="s">
        <v>1866</v>
      </c>
      <c r="I50" t="s">
        <v>1867</v>
      </c>
      <c r="L50" t="s">
        <v>1863</v>
      </c>
    </row>
    <row r="51" spans="1:12" x14ac:dyDescent="0.2">
      <c r="A51" t="s">
        <v>1767</v>
      </c>
      <c r="B51" t="s">
        <v>1768</v>
      </c>
      <c r="C51" t="s">
        <v>1861</v>
      </c>
      <c r="D51">
        <v>3</v>
      </c>
      <c r="E51">
        <v>56</v>
      </c>
      <c r="F51">
        <v>56</v>
      </c>
      <c r="G51" t="s">
        <v>1862</v>
      </c>
      <c r="H51" t="s">
        <v>1868</v>
      </c>
      <c r="I51" t="s">
        <v>1869</v>
      </c>
      <c r="L51" t="s">
        <v>1863</v>
      </c>
    </row>
    <row r="52" spans="1:12" x14ac:dyDescent="0.2">
      <c r="A52" t="s">
        <v>1767</v>
      </c>
      <c r="B52" t="s">
        <v>1768</v>
      </c>
      <c r="C52" t="s">
        <v>1861</v>
      </c>
      <c r="D52">
        <v>3</v>
      </c>
      <c r="E52">
        <v>463.61</v>
      </c>
      <c r="F52">
        <v>463.61</v>
      </c>
      <c r="G52" t="s">
        <v>1862</v>
      </c>
      <c r="H52" t="s">
        <v>1870</v>
      </c>
      <c r="I52" t="s">
        <v>1871</v>
      </c>
      <c r="L52" t="s">
        <v>1863</v>
      </c>
    </row>
    <row r="53" spans="1:12" x14ac:dyDescent="0.2">
      <c r="A53" t="s">
        <v>1767</v>
      </c>
      <c r="B53" t="s">
        <v>1768</v>
      </c>
      <c r="C53" t="s">
        <v>1861</v>
      </c>
      <c r="D53">
        <v>3</v>
      </c>
      <c r="E53">
        <v>0</v>
      </c>
      <c r="F53">
        <v>0</v>
      </c>
      <c r="G53" t="s">
        <v>1862</v>
      </c>
      <c r="H53" t="s">
        <v>1864</v>
      </c>
      <c r="I53" t="s">
        <v>1872</v>
      </c>
      <c r="L53" t="s">
        <v>1863</v>
      </c>
    </row>
    <row r="54" spans="1:12" x14ac:dyDescent="0.2">
      <c r="A54" t="s">
        <v>1767</v>
      </c>
      <c r="B54" t="s">
        <v>1768</v>
      </c>
      <c r="C54" t="s">
        <v>1861</v>
      </c>
      <c r="D54">
        <v>3</v>
      </c>
      <c r="E54">
        <v>38</v>
      </c>
      <c r="F54">
        <v>38</v>
      </c>
      <c r="G54" t="s">
        <v>1862</v>
      </c>
      <c r="H54" t="s">
        <v>1873</v>
      </c>
      <c r="I54" t="s">
        <v>1874</v>
      </c>
      <c r="L54" t="s">
        <v>1863</v>
      </c>
    </row>
    <row r="55" spans="1:12" x14ac:dyDescent="0.2">
      <c r="A55" t="s">
        <v>1767</v>
      </c>
      <c r="B55" t="s">
        <v>1768</v>
      </c>
      <c r="C55" t="s">
        <v>1861</v>
      </c>
      <c r="D55">
        <v>3</v>
      </c>
      <c r="E55">
        <v>35</v>
      </c>
      <c r="F55">
        <v>35</v>
      </c>
      <c r="G55" t="s">
        <v>1862</v>
      </c>
      <c r="H55" t="s">
        <v>1875</v>
      </c>
      <c r="I55" t="s">
        <v>1876</v>
      </c>
      <c r="L55" t="s">
        <v>1863</v>
      </c>
    </row>
    <row r="56" spans="1:12" x14ac:dyDescent="0.2">
      <c r="A56" t="s">
        <v>1767</v>
      </c>
      <c r="B56" t="s">
        <v>1768</v>
      </c>
      <c r="C56" t="s">
        <v>1861</v>
      </c>
      <c r="D56">
        <v>3</v>
      </c>
      <c r="E56">
        <v>26</v>
      </c>
      <c r="F56">
        <v>26</v>
      </c>
      <c r="G56" t="s">
        <v>1862</v>
      </c>
      <c r="H56" t="s">
        <v>1866</v>
      </c>
      <c r="I56" t="s">
        <v>1867</v>
      </c>
      <c r="L56" t="s">
        <v>1863</v>
      </c>
    </row>
    <row r="57" spans="1:12" x14ac:dyDescent="0.2">
      <c r="A57" t="s">
        <v>1767</v>
      </c>
      <c r="B57" t="s">
        <v>1768</v>
      </c>
      <c r="C57" t="s">
        <v>1861</v>
      </c>
      <c r="D57">
        <v>3</v>
      </c>
      <c r="E57">
        <v>14.55</v>
      </c>
      <c r="F57">
        <v>14.55</v>
      </c>
      <c r="G57" t="s">
        <v>1862</v>
      </c>
      <c r="H57" t="s">
        <v>1877</v>
      </c>
      <c r="I57" t="s">
        <v>1878</v>
      </c>
      <c r="L57" t="s">
        <v>1863</v>
      </c>
    </row>
    <row r="58" spans="1:12" x14ac:dyDescent="0.2">
      <c r="A58" t="s">
        <v>1767</v>
      </c>
      <c r="B58" t="s">
        <v>1768</v>
      </c>
      <c r="C58" t="s">
        <v>1861</v>
      </c>
      <c r="D58">
        <v>3</v>
      </c>
      <c r="E58">
        <v>1.2</v>
      </c>
      <c r="F58">
        <v>1.2</v>
      </c>
      <c r="G58" t="s">
        <v>1862</v>
      </c>
      <c r="H58" t="s">
        <v>1879</v>
      </c>
      <c r="I58" t="s">
        <v>1880</v>
      </c>
      <c r="L58" t="s">
        <v>1863</v>
      </c>
    </row>
    <row r="59" spans="1:12" x14ac:dyDescent="0.2">
      <c r="A59" t="s">
        <v>1767</v>
      </c>
      <c r="B59" t="s">
        <v>1768</v>
      </c>
      <c r="C59" t="s">
        <v>1861</v>
      </c>
      <c r="D59">
        <v>3</v>
      </c>
      <c r="E59">
        <v>1.1000000000000001</v>
      </c>
      <c r="F59">
        <v>1.1000000000000001</v>
      </c>
      <c r="G59" t="s">
        <v>1862</v>
      </c>
      <c r="H59" t="s">
        <v>1881</v>
      </c>
      <c r="I59" t="s">
        <v>1882</v>
      </c>
      <c r="L59" t="s">
        <v>1863</v>
      </c>
    </row>
    <row r="60" spans="1:12" x14ac:dyDescent="0.2">
      <c r="A60" t="s">
        <v>1767</v>
      </c>
      <c r="B60" t="s">
        <v>1768</v>
      </c>
      <c r="C60" t="s">
        <v>1861</v>
      </c>
      <c r="D60">
        <v>3</v>
      </c>
      <c r="E60">
        <v>126.25</v>
      </c>
      <c r="F60">
        <v>126.25</v>
      </c>
      <c r="G60" t="s">
        <v>1862</v>
      </c>
      <c r="H60" t="s">
        <v>1883</v>
      </c>
      <c r="I60" t="s">
        <v>1884</v>
      </c>
      <c r="L60" t="s">
        <v>1863</v>
      </c>
    </row>
    <row r="61" spans="1:12" x14ac:dyDescent="0.2">
      <c r="A61" t="s">
        <v>1767</v>
      </c>
      <c r="B61" t="s">
        <v>1768</v>
      </c>
      <c r="C61" t="s">
        <v>1861</v>
      </c>
      <c r="D61">
        <v>3</v>
      </c>
      <c r="E61">
        <v>28.5</v>
      </c>
      <c r="F61">
        <v>28.5</v>
      </c>
      <c r="G61" t="s">
        <v>1862</v>
      </c>
      <c r="H61" t="s">
        <v>1885</v>
      </c>
      <c r="I61" t="s">
        <v>1886</v>
      </c>
      <c r="L61" t="s">
        <v>1863</v>
      </c>
    </row>
    <row r="62" spans="1:12" x14ac:dyDescent="0.2">
      <c r="A62" t="s">
        <v>1767</v>
      </c>
      <c r="B62" t="s">
        <v>1768</v>
      </c>
      <c r="C62" t="s">
        <v>1861</v>
      </c>
      <c r="D62">
        <v>3</v>
      </c>
      <c r="E62">
        <v>60</v>
      </c>
      <c r="F62">
        <v>60</v>
      </c>
      <c r="G62" t="s">
        <v>1862</v>
      </c>
      <c r="H62" t="s">
        <v>1887</v>
      </c>
      <c r="I62" t="s">
        <v>1888</v>
      </c>
      <c r="L62" t="s">
        <v>1863</v>
      </c>
    </row>
    <row r="63" spans="1:12" x14ac:dyDescent="0.2">
      <c r="A63" t="s">
        <v>1767</v>
      </c>
      <c r="B63" t="s">
        <v>1768</v>
      </c>
      <c r="C63" t="s">
        <v>1861</v>
      </c>
      <c r="D63">
        <v>3</v>
      </c>
      <c r="E63">
        <v>630</v>
      </c>
      <c r="F63">
        <v>630</v>
      </c>
      <c r="G63" t="s">
        <v>1862</v>
      </c>
      <c r="H63" t="s">
        <v>1889</v>
      </c>
      <c r="I63" t="s">
        <v>1890</v>
      </c>
      <c r="L63" t="s">
        <v>1863</v>
      </c>
    </row>
    <row r="64" spans="1:12" x14ac:dyDescent="0.2">
      <c r="A64" t="s">
        <v>1767</v>
      </c>
      <c r="B64" t="s">
        <v>1768</v>
      </c>
      <c r="C64" t="s">
        <v>1861</v>
      </c>
      <c r="D64">
        <v>3</v>
      </c>
      <c r="E64">
        <v>64</v>
      </c>
      <c r="F64">
        <v>64</v>
      </c>
      <c r="G64" t="s">
        <v>1862</v>
      </c>
      <c r="H64" t="s">
        <v>1891</v>
      </c>
      <c r="I64" t="s">
        <v>1892</v>
      </c>
      <c r="L64" t="s">
        <v>1863</v>
      </c>
    </row>
    <row r="65" spans="1:12" x14ac:dyDescent="0.2">
      <c r="A65" t="s">
        <v>1767</v>
      </c>
      <c r="B65" t="s">
        <v>1768</v>
      </c>
      <c r="C65" t="s">
        <v>1861</v>
      </c>
      <c r="D65">
        <v>3</v>
      </c>
      <c r="E65">
        <v>0</v>
      </c>
      <c r="F65">
        <v>0</v>
      </c>
      <c r="G65" t="s">
        <v>1862</v>
      </c>
      <c r="H65" t="s">
        <v>1864</v>
      </c>
      <c r="I65" t="s">
        <v>1893</v>
      </c>
      <c r="L65" t="s">
        <v>1863</v>
      </c>
    </row>
    <row r="66" spans="1:12" x14ac:dyDescent="0.2">
      <c r="A66" t="s">
        <v>1767</v>
      </c>
      <c r="B66" t="s">
        <v>1768</v>
      </c>
      <c r="C66" t="s">
        <v>1861</v>
      </c>
      <c r="D66">
        <v>3</v>
      </c>
      <c r="E66">
        <v>262.5</v>
      </c>
      <c r="F66">
        <v>262.5</v>
      </c>
      <c r="G66" t="s">
        <v>1862</v>
      </c>
      <c r="H66" t="s">
        <v>1894</v>
      </c>
      <c r="I66" t="s">
        <v>1895</v>
      </c>
      <c r="L66" t="s">
        <v>1863</v>
      </c>
    </row>
    <row r="67" spans="1:12" x14ac:dyDescent="0.2">
      <c r="A67" t="s">
        <v>1767</v>
      </c>
      <c r="B67" t="s">
        <v>1768</v>
      </c>
      <c r="C67" t="s">
        <v>1861</v>
      </c>
      <c r="D67">
        <v>3</v>
      </c>
      <c r="E67">
        <v>15</v>
      </c>
      <c r="F67">
        <v>15</v>
      </c>
      <c r="G67" t="s">
        <v>1862</v>
      </c>
      <c r="H67" t="s">
        <v>1896</v>
      </c>
      <c r="I67" t="s">
        <v>1897</v>
      </c>
      <c r="L67" t="s">
        <v>1863</v>
      </c>
    </row>
    <row r="68" spans="1:12" x14ac:dyDescent="0.2">
      <c r="A68" t="s">
        <v>1767</v>
      </c>
      <c r="B68" t="s">
        <v>1768</v>
      </c>
      <c r="C68" t="s">
        <v>1861</v>
      </c>
      <c r="D68">
        <v>3</v>
      </c>
      <c r="E68">
        <v>72</v>
      </c>
      <c r="F68">
        <v>72</v>
      </c>
      <c r="G68" t="s">
        <v>1862</v>
      </c>
      <c r="H68" t="s">
        <v>1898</v>
      </c>
      <c r="I68" t="s">
        <v>1899</v>
      </c>
      <c r="L68" t="s">
        <v>1863</v>
      </c>
    </row>
    <row r="69" spans="1:12" x14ac:dyDescent="0.2">
      <c r="A69" t="s">
        <v>1767</v>
      </c>
      <c r="B69" t="s">
        <v>1768</v>
      </c>
      <c r="C69" t="s">
        <v>1861</v>
      </c>
      <c r="D69">
        <v>3</v>
      </c>
      <c r="E69">
        <v>116</v>
      </c>
      <c r="F69">
        <v>116</v>
      </c>
      <c r="G69" t="s">
        <v>1862</v>
      </c>
      <c r="H69" t="s">
        <v>1900</v>
      </c>
      <c r="I69" t="s">
        <v>1901</v>
      </c>
      <c r="L69" t="s">
        <v>1863</v>
      </c>
    </row>
    <row r="70" spans="1:12" x14ac:dyDescent="0.2">
      <c r="A70" t="s">
        <v>1767</v>
      </c>
      <c r="B70" t="s">
        <v>1768</v>
      </c>
      <c r="C70" t="s">
        <v>1861</v>
      </c>
      <c r="D70">
        <v>3</v>
      </c>
      <c r="E70">
        <v>10252.64</v>
      </c>
      <c r="F70">
        <v>10252.64</v>
      </c>
      <c r="G70" t="s">
        <v>1862</v>
      </c>
      <c r="H70" t="s">
        <v>1902</v>
      </c>
      <c r="I70" t="s">
        <v>1903</v>
      </c>
      <c r="L70" t="s">
        <v>1863</v>
      </c>
    </row>
    <row r="71" spans="1:12" x14ac:dyDescent="0.2">
      <c r="A71" t="s">
        <v>1767</v>
      </c>
      <c r="B71" t="s">
        <v>1768</v>
      </c>
      <c r="C71" t="s">
        <v>1861</v>
      </c>
      <c r="D71">
        <v>3</v>
      </c>
      <c r="E71">
        <v>581</v>
      </c>
      <c r="F71">
        <v>581</v>
      </c>
      <c r="G71" t="s">
        <v>1862</v>
      </c>
      <c r="H71" t="s">
        <v>1904</v>
      </c>
      <c r="I71" t="s">
        <v>1905</v>
      </c>
      <c r="L71" t="s">
        <v>1863</v>
      </c>
    </row>
    <row r="72" spans="1:12" x14ac:dyDescent="0.2">
      <c r="A72" t="s">
        <v>1767</v>
      </c>
      <c r="B72" t="s">
        <v>1768</v>
      </c>
      <c r="C72" t="s">
        <v>1861</v>
      </c>
      <c r="D72">
        <v>3</v>
      </c>
      <c r="E72">
        <v>387</v>
      </c>
      <c r="F72">
        <v>387</v>
      </c>
      <c r="G72" t="s">
        <v>1862</v>
      </c>
      <c r="H72" t="s">
        <v>1906</v>
      </c>
      <c r="I72" t="s">
        <v>1907</v>
      </c>
      <c r="L72" t="s">
        <v>1863</v>
      </c>
    </row>
    <row r="73" spans="1:12" x14ac:dyDescent="0.2">
      <c r="A73" t="s">
        <v>1767</v>
      </c>
      <c r="B73" t="s">
        <v>1768</v>
      </c>
      <c r="C73" t="s">
        <v>1861</v>
      </c>
      <c r="D73">
        <v>3</v>
      </c>
      <c r="E73">
        <v>721</v>
      </c>
      <c r="F73">
        <v>721</v>
      </c>
      <c r="G73" t="s">
        <v>1862</v>
      </c>
      <c r="H73" t="s">
        <v>1908</v>
      </c>
      <c r="I73" t="s">
        <v>1909</v>
      </c>
      <c r="L73" t="s">
        <v>1863</v>
      </c>
    </row>
    <row r="74" spans="1:12" x14ac:dyDescent="0.2">
      <c r="A74" t="s">
        <v>1767</v>
      </c>
      <c r="B74" t="s">
        <v>1768</v>
      </c>
      <c r="C74" t="s">
        <v>1861</v>
      </c>
      <c r="D74">
        <v>3</v>
      </c>
      <c r="E74">
        <v>696</v>
      </c>
      <c r="F74">
        <v>696</v>
      </c>
      <c r="G74" t="s">
        <v>1862</v>
      </c>
      <c r="H74" t="s">
        <v>1910</v>
      </c>
      <c r="I74" t="s">
        <v>1911</v>
      </c>
      <c r="L74" t="s">
        <v>1863</v>
      </c>
    </row>
    <row r="75" spans="1:12" x14ac:dyDescent="0.2">
      <c r="A75" t="s">
        <v>1767</v>
      </c>
      <c r="B75" t="s">
        <v>1768</v>
      </c>
      <c r="C75" t="s">
        <v>1861</v>
      </c>
      <c r="D75">
        <v>3</v>
      </c>
      <c r="E75">
        <v>1974</v>
      </c>
      <c r="F75">
        <v>1974</v>
      </c>
      <c r="G75" t="s">
        <v>1862</v>
      </c>
      <c r="H75" t="s">
        <v>1912</v>
      </c>
      <c r="I75" t="s">
        <v>1913</v>
      </c>
      <c r="L75" t="s">
        <v>1863</v>
      </c>
    </row>
    <row r="76" spans="1:12" x14ac:dyDescent="0.2">
      <c r="A76" t="s">
        <v>1767</v>
      </c>
      <c r="B76" t="s">
        <v>1768</v>
      </c>
      <c r="C76" t="s">
        <v>1861</v>
      </c>
      <c r="D76">
        <v>3</v>
      </c>
      <c r="E76">
        <v>5648</v>
      </c>
      <c r="F76">
        <v>5648</v>
      </c>
      <c r="G76" t="s">
        <v>1862</v>
      </c>
      <c r="H76" t="s">
        <v>1914</v>
      </c>
      <c r="I76" t="s">
        <v>1915</v>
      </c>
      <c r="L76" t="s">
        <v>1863</v>
      </c>
    </row>
    <row r="77" spans="1:12" x14ac:dyDescent="0.2">
      <c r="A77" t="s">
        <v>1767</v>
      </c>
      <c r="B77" t="s">
        <v>1768</v>
      </c>
      <c r="C77" t="s">
        <v>1861</v>
      </c>
      <c r="D77">
        <v>3</v>
      </c>
      <c r="E77">
        <v>41.9</v>
      </c>
      <c r="F77">
        <v>41.9</v>
      </c>
      <c r="G77" t="s">
        <v>1862</v>
      </c>
      <c r="H77" t="s">
        <v>1916</v>
      </c>
      <c r="I77" t="s">
        <v>1917</v>
      </c>
      <c r="L77" t="s">
        <v>1863</v>
      </c>
    </row>
    <row r="78" spans="1:12" x14ac:dyDescent="0.2">
      <c r="A78" t="s">
        <v>1767</v>
      </c>
      <c r="B78" t="s">
        <v>1768</v>
      </c>
      <c r="C78" t="s">
        <v>1861</v>
      </c>
      <c r="D78">
        <v>3</v>
      </c>
      <c r="E78">
        <v>2386</v>
      </c>
      <c r="F78">
        <v>2386</v>
      </c>
      <c r="G78" t="s">
        <v>1862</v>
      </c>
      <c r="H78" t="s">
        <v>1918</v>
      </c>
      <c r="I78" t="s">
        <v>1919</v>
      </c>
      <c r="L78" t="s">
        <v>1863</v>
      </c>
    </row>
    <row r="79" spans="1:12" x14ac:dyDescent="0.2">
      <c r="A79" t="s">
        <v>1767</v>
      </c>
      <c r="B79" t="s">
        <v>1768</v>
      </c>
      <c r="C79" t="s">
        <v>1861</v>
      </c>
      <c r="D79">
        <v>3</v>
      </c>
      <c r="E79">
        <v>225</v>
      </c>
      <c r="F79">
        <v>225</v>
      </c>
      <c r="G79" t="s">
        <v>1862</v>
      </c>
      <c r="H79" t="s">
        <v>1920</v>
      </c>
      <c r="I79" t="s">
        <v>1921</v>
      </c>
      <c r="L79" t="s">
        <v>1863</v>
      </c>
    </row>
    <row r="80" spans="1:12" x14ac:dyDescent="0.2">
      <c r="A80" t="s">
        <v>1767</v>
      </c>
      <c r="B80" t="s">
        <v>1768</v>
      </c>
      <c r="C80" t="s">
        <v>1861</v>
      </c>
      <c r="D80">
        <v>3</v>
      </c>
      <c r="E80">
        <v>0</v>
      </c>
      <c r="F80">
        <v>0</v>
      </c>
      <c r="G80" t="s">
        <v>1862</v>
      </c>
      <c r="H80" t="s">
        <v>1864</v>
      </c>
      <c r="I80" t="s">
        <v>1922</v>
      </c>
      <c r="L80" t="s">
        <v>1863</v>
      </c>
    </row>
    <row r="81" spans="1:12" x14ac:dyDescent="0.2">
      <c r="A81" t="s">
        <v>1767</v>
      </c>
      <c r="B81" t="s">
        <v>1768</v>
      </c>
      <c r="C81" t="s">
        <v>1861</v>
      </c>
      <c r="D81">
        <v>3</v>
      </c>
      <c r="E81">
        <v>40.799999999999997</v>
      </c>
      <c r="F81">
        <v>40.799999999999997</v>
      </c>
      <c r="G81" t="s">
        <v>1862</v>
      </c>
      <c r="H81" t="s">
        <v>1923</v>
      </c>
      <c r="I81" t="s">
        <v>1924</v>
      </c>
      <c r="L81" t="s">
        <v>1863</v>
      </c>
    </row>
    <row r="82" spans="1:12" x14ac:dyDescent="0.2">
      <c r="A82" t="s">
        <v>1767</v>
      </c>
      <c r="B82" t="s">
        <v>1768</v>
      </c>
      <c r="C82" t="s">
        <v>1861</v>
      </c>
      <c r="D82">
        <v>3</v>
      </c>
      <c r="E82">
        <v>110</v>
      </c>
      <c r="F82">
        <v>110</v>
      </c>
      <c r="G82" t="s">
        <v>1862</v>
      </c>
      <c r="H82" t="s">
        <v>1925</v>
      </c>
      <c r="I82" t="s">
        <v>1926</v>
      </c>
      <c r="L82" t="s">
        <v>1863</v>
      </c>
    </row>
    <row r="83" spans="1:12" x14ac:dyDescent="0.2">
      <c r="A83" t="s">
        <v>1767</v>
      </c>
      <c r="B83" t="s">
        <v>1768</v>
      </c>
      <c r="C83" t="s">
        <v>1861</v>
      </c>
      <c r="D83">
        <v>3</v>
      </c>
      <c r="E83">
        <v>44</v>
      </c>
      <c r="F83">
        <v>44</v>
      </c>
      <c r="G83" t="s">
        <v>1862</v>
      </c>
      <c r="H83" t="s">
        <v>1927</v>
      </c>
      <c r="I83" t="s">
        <v>1928</v>
      </c>
      <c r="L83" t="s">
        <v>1863</v>
      </c>
    </row>
    <row r="84" spans="1:12" x14ac:dyDescent="0.2">
      <c r="A84" t="s">
        <v>1767</v>
      </c>
      <c r="B84" t="s">
        <v>1768</v>
      </c>
      <c r="C84" t="s">
        <v>1861</v>
      </c>
      <c r="D84">
        <v>3</v>
      </c>
      <c r="E84">
        <v>1482</v>
      </c>
      <c r="F84">
        <v>1482</v>
      </c>
      <c r="G84" t="s">
        <v>1862</v>
      </c>
      <c r="H84" t="s">
        <v>1929</v>
      </c>
      <c r="I84" t="s">
        <v>1930</v>
      </c>
      <c r="L84" t="s">
        <v>1863</v>
      </c>
    </row>
    <row r="85" spans="1:12" x14ac:dyDescent="0.2">
      <c r="A85" t="s">
        <v>1767</v>
      </c>
      <c r="B85" t="s">
        <v>1768</v>
      </c>
      <c r="C85" t="s">
        <v>1861</v>
      </c>
      <c r="D85">
        <v>3</v>
      </c>
      <c r="E85">
        <v>1464</v>
      </c>
      <c r="F85">
        <v>1464</v>
      </c>
      <c r="G85" t="s">
        <v>1862</v>
      </c>
      <c r="H85" t="s">
        <v>1931</v>
      </c>
      <c r="I85" t="s">
        <v>1932</v>
      </c>
      <c r="L85" t="s">
        <v>1863</v>
      </c>
    </row>
    <row r="86" spans="1:12" x14ac:dyDescent="0.2">
      <c r="A86" t="s">
        <v>1767</v>
      </c>
      <c r="B86" t="s">
        <v>1768</v>
      </c>
      <c r="C86" t="s">
        <v>1861</v>
      </c>
      <c r="D86">
        <v>3</v>
      </c>
      <c r="E86">
        <v>0</v>
      </c>
      <c r="F86">
        <v>0</v>
      </c>
      <c r="G86" t="s">
        <v>1862</v>
      </c>
      <c r="H86" t="s">
        <v>1864</v>
      </c>
      <c r="I86" t="s">
        <v>1933</v>
      </c>
      <c r="L86" t="s">
        <v>1863</v>
      </c>
    </row>
    <row r="87" spans="1:12" x14ac:dyDescent="0.2">
      <c r="A87" t="s">
        <v>1767</v>
      </c>
      <c r="B87" t="s">
        <v>1768</v>
      </c>
      <c r="C87" t="s">
        <v>1861</v>
      </c>
      <c r="D87">
        <v>3</v>
      </c>
      <c r="E87">
        <v>0</v>
      </c>
      <c r="F87">
        <v>0</v>
      </c>
      <c r="G87" t="s">
        <v>1862</v>
      </c>
      <c r="H87" t="s">
        <v>1864</v>
      </c>
      <c r="I87" t="s">
        <v>1934</v>
      </c>
      <c r="L87" t="s">
        <v>1863</v>
      </c>
    </row>
    <row r="88" spans="1:12" x14ac:dyDescent="0.2">
      <c r="A88" t="s">
        <v>1767</v>
      </c>
      <c r="B88" t="s">
        <v>1768</v>
      </c>
      <c r="C88" t="s">
        <v>1861</v>
      </c>
      <c r="D88">
        <v>3</v>
      </c>
      <c r="E88">
        <v>0</v>
      </c>
      <c r="F88">
        <v>0</v>
      </c>
      <c r="G88" t="s">
        <v>1862</v>
      </c>
      <c r="H88" t="s">
        <v>1864</v>
      </c>
      <c r="I88" t="s">
        <v>1935</v>
      </c>
      <c r="L88" t="s">
        <v>1863</v>
      </c>
    </row>
    <row r="89" spans="1:12" x14ac:dyDescent="0.2">
      <c r="A89" t="s">
        <v>1767</v>
      </c>
      <c r="B89" t="s">
        <v>1768</v>
      </c>
      <c r="C89" t="s">
        <v>1861</v>
      </c>
      <c r="D89">
        <v>3</v>
      </c>
      <c r="E89">
        <v>0</v>
      </c>
      <c r="F89">
        <v>0</v>
      </c>
      <c r="G89" t="s">
        <v>1862</v>
      </c>
      <c r="H89" t="s">
        <v>1864</v>
      </c>
      <c r="I89" t="s">
        <v>1936</v>
      </c>
      <c r="L89" t="s">
        <v>1863</v>
      </c>
    </row>
    <row r="90" spans="1:12" x14ac:dyDescent="0.2">
      <c r="A90" t="s">
        <v>1767</v>
      </c>
      <c r="B90" t="s">
        <v>1768</v>
      </c>
      <c r="C90" t="s">
        <v>1861</v>
      </c>
      <c r="D90">
        <v>3</v>
      </c>
      <c r="E90">
        <v>0</v>
      </c>
      <c r="F90">
        <v>0</v>
      </c>
      <c r="G90" t="s">
        <v>1862</v>
      </c>
      <c r="H90" t="s">
        <v>1864</v>
      </c>
      <c r="I90" t="s">
        <v>1937</v>
      </c>
      <c r="L90" t="s">
        <v>1863</v>
      </c>
    </row>
    <row r="91" spans="1:12" x14ac:dyDescent="0.2">
      <c r="A91" t="s">
        <v>1767</v>
      </c>
      <c r="B91" t="s">
        <v>1768</v>
      </c>
      <c r="C91" t="s">
        <v>1861</v>
      </c>
      <c r="D91">
        <v>3</v>
      </c>
      <c r="E91">
        <v>0</v>
      </c>
      <c r="F91">
        <v>0</v>
      </c>
      <c r="G91" t="s">
        <v>1862</v>
      </c>
      <c r="H91" t="s">
        <v>1864</v>
      </c>
      <c r="I91" t="s">
        <v>1938</v>
      </c>
      <c r="L91" t="s">
        <v>1863</v>
      </c>
    </row>
    <row r="92" spans="1:12" x14ac:dyDescent="0.2">
      <c r="A92" t="s">
        <v>1767</v>
      </c>
      <c r="B92" t="s">
        <v>1768</v>
      </c>
      <c r="C92" t="s">
        <v>1861</v>
      </c>
      <c r="D92">
        <v>3</v>
      </c>
      <c r="E92">
        <v>0</v>
      </c>
      <c r="F92">
        <v>0</v>
      </c>
      <c r="G92" t="s">
        <v>1862</v>
      </c>
      <c r="H92" t="s">
        <v>1864</v>
      </c>
      <c r="I92" t="s">
        <v>1939</v>
      </c>
      <c r="L92" t="s">
        <v>1863</v>
      </c>
    </row>
    <row r="93" spans="1:12" x14ac:dyDescent="0.2">
      <c r="A93" t="s">
        <v>1767</v>
      </c>
      <c r="B93" t="s">
        <v>1768</v>
      </c>
      <c r="C93" t="s">
        <v>1861</v>
      </c>
      <c r="D93">
        <v>3</v>
      </c>
      <c r="E93">
        <v>0</v>
      </c>
      <c r="F93">
        <v>0</v>
      </c>
      <c r="G93" t="s">
        <v>1862</v>
      </c>
      <c r="H93" t="s">
        <v>1864</v>
      </c>
      <c r="I93" t="s">
        <v>1940</v>
      </c>
      <c r="L93" t="s">
        <v>1863</v>
      </c>
    </row>
    <row r="94" spans="1:12" x14ac:dyDescent="0.2">
      <c r="A94" t="s">
        <v>1767</v>
      </c>
      <c r="B94" t="s">
        <v>1768</v>
      </c>
      <c r="C94" t="s">
        <v>1861</v>
      </c>
      <c r="D94">
        <v>3</v>
      </c>
      <c r="E94">
        <v>0</v>
      </c>
      <c r="F94">
        <v>0</v>
      </c>
      <c r="G94" t="s">
        <v>1862</v>
      </c>
      <c r="H94" t="s">
        <v>1864</v>
      </c>
      <c r="I94" t="s">
        <v>1941</v>
      </c>
      <c r="L94" t="s">
        <v>1863</v>
      </c>
    </row>
    <row r="95" spans="1:12" x14ac:dyDescent="0.2">
      <c r="A95" t="s">
        <v>1767</v>
      </c>
      <c r="B95" t="s">
        <v>1768</v>
      </c>
      <c r="C95" t="s">
        <v>1861</v>
      </c>
      <c r="D95">
        <v>3</v>
      </c>
      <c r="E95">
        <v>0</v>
      </c>
      <c r="F95">
        <v>0</v>
      </c>
      <c r="G95" t="s">
        <v>1862</v>
      </c>
      <c r="H95" t="s">
        <v>1864</v>
      </c>
      <c r="I95" t="s">
        <v>1942</v>
      </c>
      <c r="L95" t="s">
        <v>1863</v>
      </c>
    </row>
    <row r="96" spans="1:12" x14ac:dyDescent="0.2">
      <c r="A96" t="s">
        <v>1767</v>
      </c>
      <c r="B96" t="s">
        <v>1768</v>
      </c>
      <c r="C96" t="s">
        <v>1861</v>
      </c>
      <c r="D96">
        <v>3</v>
      </c>
      <c r="E96">
        <v>0</v>
      </c>
      <c r="F96">
        <v>0</v>
      </c>
      <c r="G96" t="s">
        <v>1862</v>
      </c>
      <c r="H96" t="s">
        <v>1864</v>
      </c>
      <c r="I96" t="s">
        <v>1943</v>
      </c>
      <c r="L96" t="s">
        <v>1863</v>
      </c>
    </row>
    <row r="97" spans="1:12" x14ac:dyDescent="0.2">
      <c r="A97" t="s">
        <v>1767</v>
      </c>
      <c r="B97" t="s">
        <v>1768</v>
      </c>
      <c r="C97" t="s">
        <v>1861</v>
      </c>
      <c r="D97">
        <v>3</v>
      </c>
      <c r="E97">
        <v>0</v>
      </c>
      <c r="F97">
        <v>0</v>
      </c>
      <c r="G97" t="s">
        <v>1862</v>
      </c>
      <c r="H97" t="s">
        <v>1864</v>
      </c>
      <c r="I97" t="s">
        <v>1944</v>
      </c>
      <c r="L97" t="s">
        <v>1863</v>
      </c>
    </row>
    <row r="98" spans="1:12" x14ac:dyDescent="0.2">
      <c r="A98" t="s">
        <v>1767</v>
      </c>
      <c r="B98" t="s">
        <v>1768</v>
      </c>
      <c r="C98" t="s">
        <v>1861</v>
      </c>
      <c r="D98">
        <v>3</v>
      </c>
      <c r="E98">
        <v>0</v>
      </c>
      <c r="F98">
        <v>0</v>
      </c>
      <c r="G98" t="s">
        <v>1862</v>
      </c>
      <c r="H98" t="s">
        <v>1864</v>
      </c>
      <c r="I98" t="s">
        <v>1945</v>
      </c>
      <c r="L98" t="s">
        <v>1863</v>
      </c>
    </row>
    <row r="99" spans="1:12" x14ac:dyDescent="0.2">
      <c r="A99" t="s">
        <v>1767</v>
      </c>
      <c r="B99" t="s">
        <v>1768</v>
      </c>
      <c r="C99" t="s">
        <v>1861</v>
      </c>
      <c r="D99">
        <v>3</v>
      </c>
      <c r="E99">
        <v>0</v>
      </c>
      <c r="F99">
        <v>0</v>
      </c>
      <c r="G99" t="s">
        <v>1862</v>
      </c>
      <c r="H99" t="s">
        <v>1864</v>
      </c>
      <c r="I99" t="s">
        <v>1946</v>
      </c>
      <c r="L99" t="s">
        <v>1863</v>
      </c>
    </row>
    <row r="100" spans="1:12" x14ac:dyDescent="0.2">
      <c r="A100" t="s">
        <v>1767</v>
      </c>
      <c r="B100" t="s">
        <v>1768</v>
      </c>
      <c r="C100" t="s">
        <v>1861</v>
      </c>
      <c r="D100">
        <v>3</v>
      </c>
      <c r="E100">
        <v>0</v>
      </c>
      <c r="F100">
        <v>0</v>
      </c>
      <c r="G100" t="s">
        <v>1862</v>
      </c>
      <c r="H100" t="s">
        <v>1864</v>
      </c>
      <c r="I100" t="s">
        <v>1947</v>
      </c>
      <c r="L100" t="s">
        <v>1863</v>
      </c>
    </row>
    <row r="101" spans="1:12" x14ac:dyDescent="0.2">
      <c r="A101" t="s">
        <v>1767</v>
      </c>
      <c r="B101" t="s">
        <v>1768</v>
      </c>
      <c r="C101" t="s">
        <v>1861</v>
      </c>
      <c r="D101">
        <v>3</v>
      </c>
      <c r="E101">
        <v>0</v>
      </c>
      <c r="F101">
        <v>0</v>
      </c>
      <c r="G101" t="s">
        <v>1862</v>
      </c>
      <c r="H101" t="s">
        <v>1864</v>
      </c>
      <c r="I101" t="s">
        <v>1948</v>
      </c>
      <c r="L101" t="s">
        <v>1863</v>
      </c>
    </row>
    <row r="102" spans="1:12" x14ac:dyDescent="0.2">
      <c r="A102" t="s">
        <v>1767</v>
      </c>
      <c r="B102" t="s">
        <v>1768</v>
      </c>
      <c r="C102" t="s">
        <v>1861</v>
      </c>
      <c r="D102">
        <v>3</v>
      </c>
      <c r="E102">
        <v>0</v>
      </c>
      <c r="F102">
        <v>0</v>
      </c>
      <c r="G102" t="s">
        <v>1862</v>
      </c>
      <c r="H102" t="s">
        <v>1864</v>
      </c>
      <c r="I102" t="s">
        <v>1949</v>
      </c>
      <c r="L102" t="s">
        <v>1863</v>
      </c>
    </row>
    <row r="103" spans="1:12" x14ac:dyDescent="0.2">
      <c r="A103" t="s">
        <v>1767</v>
      </c>
      <c r="B103" t="s">
        <v>1768</v>
      </c>
      <c r="C103" t="s">
        <v>1861</v>
      </c>
      <c r="D103">
        <v>3</v>
      </c>
      <c r="E103">
        <v>0</v>
      </c>
      <c r="F103">
        <v>0</v>
      </c>
      <c r="G103" t="s">
        <v>1862</v>
      </c>
      <c r="H103" t="s">
        <v>1864</v>
      </c>
      <c r="I103" t="s">
        <v>1950</v>
      </c>
      <c r="L103" t="s">
        <v>1863</v>
      </c>
    </row>
    <row r="104" spans="1:12" x14ac:dyDescent="0.2">
      <c r="A104" t="s">
        <v>1767</v>
      </c>
      <c r="B104" t="s">
        <v>1768</v>
      </c>
      <c r="C104" t="s">
        <v>1861</v>
      </c>
      <c r="D104">
        <v>3</v>
      </c>
      <c r="E104">
        <v>0</v>
      </c>
      <c r="F104">
        <v>0</v>
      </c>
      <c r="G104" t="s">
        <v>1862</v>
      </c>
      <c r="H104" t="s">
        <v>1864</v>
      </c>
      <c r="I104" t="s">
        <v>1951</v>
      </c>
      <c r="L104" t="s">
        <v>1863</v>
      </c>
    </row>
    <row r="105" spans="1:12" x14ac:dyDescent="0.2">
      <c r="A105" t="s">
        <v>1767</v>
      </c>
      <c r="B105" t="s">
        <v>1768</v>
      </c>
      <c r="C105" t="s">
        <v>1861</v>
      </c>
      <c r="D105">
        <v>3</v>
      </c>
      <c r="E105">
        <v>0</v>
      </c>
      <c r="F105">
        <v>0</v>
      </c>
      <c r="G105" t="s">
        <v>1862</v>
      </c>
      <c r="H105" t="s">
        <v>1864</v>
      </c>
      <c r="I105" t="s">
        <v>1952</v>
      </c>
      <c r="L105" t="s">
        <v>1863</v>
      </c>
    </row>
    <row r="106" spans="1:12" x14ac:dyDescent="0.2">
      <c r="A106" t="s">
        <v>1767</v>
      </c>
      <c r="B106" t="s">
        <v>1768</v>
      </c>
      <c r="C106" t="s">
        <v>1861</v>
      </c>
      <c r="D106">
        <v>3</v>
      </c>
      <c r="E106">
        <v>0</v>
      </c>
      <c r="F106">
        <v>0</v>
      </c>
      <c r="G106" t="s">
        <v>1862</v>
      </c>
      <c r="H106" t="s">
        <v>1864</v>
      </c>
      <c r="I106" t="s">
        <v>1953</v>
      </c>
      <c r="L106" t="s">
        <v>1863</v>
      </c>
    </row>
    <row r="107" spans="1:12" x14ac:dyDescent="0.2">
      <c r="A107" t="s">
        <v>1767</v>
      </c>
      <c r="B107" t="s">
        <v>1768</v>
      </c>
      <c r="C107" t="s">
        <v>1861</v>
      </c>
      <c r="D107">
        <v>3</v>
      </c>
      <c r="E107">
        <v>1056.4000000000001</v>
      </c>
      <c r="F107">
        <v>1056.4000000000001</v>
      </c>
      <c r="G107" t="s">
        <v>1862</v>
      </c>
      <c r="H107" t="s">
        <v>1954</v>
      </c>
      <c r="I107" t="s">
        <v>1955</v>
      </c>
      <c r="L107" t="s">
        <v>1863</v>
      </c>
    </row>
    <row r="108" spans="1:12" x14ac:dyDescent="0.2">
      <c r="A108" t="s">
        <v>1767</v>
      </c>
      <c r="B108" t="s">
        <v>1768</v>
      </c>
      <c r="C108" t="s">
        <v>1861</v>
      </c>
      <c r="D108">
        <v>3</v>
      </c>
      <c r="E108">
        <v>8580</v>
      </c>
      <c r="F108">
        <v>8580</v>
      </c>
      <c r="G108" t="s">
        <v>1862</v>
      </c>
      <c r="H108" t="s">
        <v>1956</v>
      </c>
      <c r="I108" t="s">
        <v>1957</v>
      </c>
      <c r="L108" t="s">
        <v>1863</v>
      </c>
    </row>
    <row r="109" spans="1:12" x14ac:dyDescent="0.2">
      <c r="A109" t="s">
        <v>1767</v>
      </c>
      <c r="B109" t="s">
        <v>1768</v>
      </c>
      <c r="C109" t="s">
        <v>1861</v>
      </c>
      <c r="D109">
        <v>3</v>
      </c>
      <c r="E109">
        <v>8580</v>
      </c>
      <c r="F109">
        <v>8580</v>
      </c>
      <c r="G109" t="s">
        <v>1862</v>
      </c>
      <c r="H109" t="s">
        <v>1956</v>
      </c>
      <c r="I109" t="s">
        <v>1958</v>
      </c>
      <c r="L109" t="s">
        <v>1863</v>
      </c>
    </row>
    <row r="110" spans="1:12" x14ac:dyDescent="0.2">
      <c r="A110" t="s">
        <v>1767</v>
      </c>
      <c r="B110" t="s">
        <v>1768</v>
      </c>
      <c r="C110" t="s">
        <v>1861</v>
      </c>
      <c r="D110">
        <v>3</v>
      </c>
      <c r="E110">
        <v>0</v>
      </c>
      <c r="F110">
        <v>0</v>
      </c>
      <c r="G110" t="s">
        <v>1862</v>
      </c>
      <c r="H110" t="s">
        <v>1864</v>
      </c>
      <c r="I110" t="s">
        <v>1959</v>
      </c>
      <c r="L110" t="s">
        <v>1863</v>
      </c>
    </row>
    <row r="111" spans="1:12" x14ac:dyDescent="0.2">
      <c r="A111" t="s">
        <v>1767</v>
      </c>
      <c r="B111" t="s">
        <v>1768</v>
      </c>
      <c r="C111" t="s">
        <v>1861</v>
      </c>
      <c r="D111">
        <v>3</v>
      </c>
      <c r="E111">
        <v>1036</v>
      </c>
      <c r="F111">
        <v>1036</v>
      </c>
      <c r="G111" t="s">
        <v>1862</v>
      </c>
      <c r="H111" t="s">
        <v>1960</v>
      </c>
      <c r="I111" t="s">
        <v>1961</v>
      </c>
      <c r="L111" t="s">
        <v>1863</v>
      </c>
    </row>
    <row r="112" spans="1:12" x14ac:dyDescent="0.2">
      <c r="A112" t="s">
        <v>1767</v>
      </c>
      <c r="B112" t="s">
        <v>1768</v>
      </c>
      <c r="C112" t="s">
        <v>1861</v>
      </c>
      <c r="D112">
        <v>3</v>
      </c>
      <c r="E112">
        <v>0</v>
      </c>
      <c r="F112">
        <v>0</v>
      </c>
      <c r="G112" t="s">
        <v>1862</v>
      </c>
      <c r="H112" t="s">
        <v>1864</v>
      </c>
      <c r="I112" t="s">
        <v>1962</v>
      </c>
      <c r="L112" t="s">
        <v>1863</v>
      </c>
    </row>
    <row r="113" spans="1:12" x14ac:dyDescent="0.2">
      <c r="A113" t="s">
        <v>1767</v>
      </c>
      <c r="B113" t="s">
        <v>1768</v>
      </c>
      <c r="C113" t="s">
        <v>1861</v>
      </c>
      <c r="D113">
        <v>3</v>
      </c>
      <c r="E113">
        <v>0</v>
      </c>
      <c r="F113">
        <v>0</v>
      </c>
      <c r="G113" t="s">
        <v>1862</v>
      </c>
      <c r="H113" t="s">
        <v>1864</v>
      </c>
      <c r="I113" t="s">
        <v>1963</v>
      </c>
      <c r="L113" t="s">
        <v>1863</v>
      </c>
    </row>
    <row r="114" spans="1:12" x14ac:dyDescent="0.2">
      <c r="A114" t="s">
        <v>1767</v>
      </c>
      <c r="B114" t="s">
        <v>1768</v>
      </c>
      <c r="C114" t="s">
        <v>1861</v>
      </c>
      <c r="D114">
        <v>3</v>
      </c>
      <c r="E114">
        <v>0</v>
      </c>
      <c r="F114">
        <v>0</v>
      </c>
      <c r="G114" t="s">
        <v>1862</v>
      </c>
      <c r="H114" t="s">
        <v>1864</v>
      </c>
      <c r="I114" t="s">
        <v>1964</v>
      </c>
      <c r="L114" t="s">
        <v>1863</v>
      </c>
    </row>
    <row r="115" spans="1:12" x14ac:dyDescent="0.2">
      <c r="A115" t="s">
        <v>1767</v>
      </c>
      <c r="B115" t="s">
        <v>1768</v>
      </c>
      <c r="C115" t="s">
        <v>1861</v>
      </c>
      <c r="D115">
        <v>3</v>
      </c>
      <c r="E115">
        <v>0</v>
      </c>
      <c r="F115">
        <v>0</v>
      </c>
      <c r="G115" t="s">
        <v>1862</v>
      </c>
      <c r="H115" t="s">
        <v>1864</v>
      </c>
      <c r="I115" t="s">
        <v>1963</v>
      </c>
      <c r="L115" t="s">
        <v>1863</v>
      </c>
    </row>
    <row r="116" spans="1:12" x14ac:dyDescent="0.2">
      <c r="A116" t="s">
        <v>1767</v>
      </c>
      <c r="B116" t="s">
        <v>1768</v>
      </c>
      <c r="C116" t="s">
        <v>1861</v>
      </c>
      <c r="D116">
        <v>3</v>
      </c>
      <c r="E116">
        <v>42.8</v>
      </c>
      <c r="F116">
        <v>42.8</v>
      </c>
      <c r="G116" t="s">
        <v>1862</v>
      </c>
      <c r="H116" t="s">
        <v>1965</v>
      </c>
      <c r="I116" t="s">
        <v>1966</v>
      </c>
      <c r="L116" t="s">
        <v>1863</v>
      </c>
    </row>
    <row r="117" spans="1:12" x14ac:dyDescent="0.2">
      <c r="A117" t="s">
        <v>1767</v>
      </c>
      <c r="B117" t="s">
        <v>1768</v>
      </c>
      <c r="C117" t="s">
        <v>1861</v>
      </c>
      <c r="D117">
        <v>3</v>
      </c>
      <c r="E117">
        <v>0</v>
      </c>
      <c r="F117">
        <v>0</v>
      </c>
      <c r="G117" t="s">
        <v>1862</v>
      </c>
      <c r="H117" t="s">
        <v>1864</v>
      </c>
      <c r="I117" t="s">
        <v>1967</v>
      </c>
      <c r="L117" t="s">
        <v>1863</v>
      </c>
    </row>
    <row r="118" spans="1:12" x14ac:dyDescent="0.2">
      <c r="A118" t="s">
        <v>1767</v>
      </c>
      <c r="B118" t="s">
        <v>1768</v>
      </c>
      <c r="C118" t="s">
        <v>1861</v>
      </c>
      <c r="D118">
        <v>3</v>
      </c>
      <c r="E118">
        <v>10452</v>
      </c>
      <c r="F118">
        <v>10452</v>
      </c>
      <c r="G118" t="s">
        <v>1862</v>
      </c>
      <c r="H118" t="s">
        <v>1968</v>
      </c>
      <c r="I118" t="s">
        <v>1969</v>
      </c>
      <c r="L118" t="s">
        <v>1863</v>
      </c>
    </row>
    <row r="119" spans="1:12" x14ac:dyDescent="0.2">
      <c r="A119" t="s">
        <v>1767</v>
      </c>
      <c r="B119" t="s">
        <v>1768</v>
      </c>
      <c r="C119" t="s">
        <v>1861</v>
      </c>
      <c r="D119">
        <v>3</v>
      </c>
      <c r="E119">
        <v>0</v>
      </c>
      <c r="F119">
        <v>0</v>
      </c>
      <c r="G119" t="s">
        <v>1862</v>
      </c>
      <c r="H119" t="s">
        <v>1864</v>
      </c>
      <c r="I119" t="s">
        <v>1970</v>
      </c>
      <c r="L119" t="s">
        <v>1863</v>
      </c>
    </row>
    <row r="120" spans="1:12" x14ac:dyDescent="0.2">
      <c r="A120" t="s">
        <v>1767</v>
      </c>
      <c r="B120" t="s">
        <v>1768</v>
      </c>
      <c r="C120" t="s">
        <v>1861</v>
      </c>
      <c r="D120">
        <v>4</v>
      </c>
      <c r="E120">
        <v>148.44</v>
      </c>
      <c r="F120">
        <v>148.44</v>
      </c>
      <c r="G120" t="s">
        <v>1862</v>
      </c>
      <c r="H120" t="s">
        <v>1971</v>
      </c>
      <c r="I120" t="s">
        <v>1903</v>
      </c>
      <c r="J120" t="s">
        <v>1972</v>
      </c>
      <c r="L120" t="s">
        <v>1863</v>
      </c>
    </row>
    <row r="121" spans="1:12" x14ac:dyDescent="0.2">
      <c r="A121" t="s">
        <v>1767</v>
      </c>
      <c r="B121" t="s">
        <v>1768</v>
      </c>
      <c r="C121" t="s">
        <v>1861</v>
      </c>
      <c r="D121">
        <v>4</v>
      </c>
      <c r="E121">
        <v>6.4</v>
      </c>
      <c r="F121">
        <v>6.4</v>
      </c>
      <c r="G121" t="s">
        <v>1862</v>
      </c>
      <c r="H121" t="s">
        <v>1973</v>
      </c>
      <c r="I121" t="s">
        <v>1903</v>
      </c>
      <c r="J121" t="s">
        <v>1974</v>
      </c>
      <c r="L121" t="s">
        <v>1863</v>
      </c>
    </row>
    <row r="122" spans="1:12" x14ac:dyDescent="0.2">
      <c r="A122" t="s">
        <v>1767</v>
      </c>
      <c r="B122" t="s">
        <v>1768</v>
      </c>
      <c r="C122" t="s">
        <v>1861</v>
      </c>
      <c r="D122">
        <v>4</v>
      </c>
      <c r="E122">
        <v>1187.7</v>
      </c>
      <c r="F122">
        <v>1187.7</v>
      </c>
      <c r="G122" t="s">
        <v>1862</v>
      </c>
      <c r="H122" t="s">
        <v>1975</v>
      </c>
      <c r="I122" t="s">
        <v>1903</v>
      </c>
      <c r="J122" t="s">
        <v>1976</v>
      </c>
      <c r="L122" t="s">
        <v>1863</v>
      </c>
    </row>
    <row r="123" spans="1:12" x14ac:dyDescent="0.2">
      <c r="A123" t="s">
        <v>1767</v>
      </c>
      <c r="B123" t="s">
        <v>1768</v>
      </c>
      <c r="C123" t="s">
        <v>1861</v>
      </c>
      <c r="D123">
        <v>4</v>
      </c>
      <c r="E123">
        <v>43.32</v>
      </c>
      <c r="F123">
        <v>43.32</v>
      </c>
      <c r="G123" t="s">
        <v>1862</v>
      </c>
      <c r="H123" t="s">
        <v>1977</v>
      </c>
      <c r="I123" t="s">
        <v>1903</v>
      </c>
      <c r="J123" t="s">
        <v>1978</v>
      </c>
      <c r="L123" t="s">
        <v>1863</v>
      </c>
    </row>
    <row r="124" spans="1:12" x14ac:dyDescent="0.2">
      <c r="A124" t="s">
        <v>1767</v>
      </c>
      <c r="B124" t="s">
        <v>1768</v>
      </c>
      <c r="C124" t="s">
        <v>1861</v>
      </c>
      <c r="D124">
        <v>4</v>
      </c>
      <c r="E124">
        <v>53.5</v>
      </c>
      <c r="F124">
        <v>53.5</v>
      </c>
      <c r="G124" t="s">
        <v>1862</v>
      </c>
      <c r="H124" t="s">
        <v>1979</v>
      </c>
      <c r="I124" t="s">
        <v>1903</v>
      </c>
      <c r="J124" t="s">
        <v>1980</v>
      </c>
      <c r="L124" t="s">
        <v>1863</v>
      </c>
    </row>
    <row r="125" spans="1:12" x14ac:dyDescent="0.2">
      <c r="A125" t="s">
        <v>1767</v>
      </c>
      <c r="B125" t="s">
        <v>1768</v>
      </c>
      <c r="C125" t="s">
        <v>1861</v>
      </c>
      <c r="D125">
        <v>4</v>
      </c>
      <c r="E125">
        <v>53.5</v>
      </c>
      <c r="F125">
        <v>53.5</v>
      </c>
      <c r="G125" t="s">
        <v>1862</v>
      </c>
      <c r="H125" t="s">
        <v>1979</v>
      </c>
      <c r="I125" t="s">
        <v>1903</v>
      </c>
      <c r="J125" t="s">
        <v>1981</v>
      </c>
      <c r="L125" t="s">
        <v>1863</v>
      </c>
    </row>
    <row r="126" spans="1:12" x14ac:dyDescent="0.2">
      <c r="A126" t="s">
        <v>1767</v>
      </c>
      <c r="B126" t="s">
        <v>1768</v>
      </c>
      <c r="C126" t="s">
        <v>1861</v>
      </c>
      <c r="D126">
        <v>4</v>
      </c>
      <c r="E126">
        <v>48.08</v>
      </c>
      <c r="F126">
        <v>48.08</v>
      </c>
      <c r="G126" t="s">
        <v>1862</v>
      </c>
      <c r="H126" t="s">
        <v>1982</v>
      </c>
      <c r="I126" t="s">
        <v>1903</v>
      </c>
      <c r="J126" t="s">
        <v>1983</v>
      </c>
      <c r="L126" t="s">
        <v>1863</v>
      </c>
    </row>
    <row r="127" spans="1:12" x14ac:dyDescent="0.2">
      <c r="A127" t="s">
        <v>1767</v>
      </c>
      <c r="B127" t="s">
        <v>1768</v>
      </c>
      <c r="C127" t="s">
        <v>1861</v>
      </c>
      <c r="D127">
        <v>4</v>
      </c>
      <c r="E127">
        <v>0.96</v>
      </c>
      <c r="F127">
        <v>0.96</v>
      </c>
      <c r="G127" t="s">
        <v>1862</v>
      </c>
      <c r="H127" t="s">
        <v>1984</v>
      </c>
      <c r="I127" t="s">
        <v>1903</v>
      </c>
      <c r="J127" t="s">
        <v>1985</v>
      </c>
      <c r="L127" t="s">
        <v>1863</v>
      </c>
    </row>
    <row r="128" spans="1:12" x14ac:dyDescent="0.2">
      <c r="A128" t="s">
        <v>1767</v>
      </c>
      <c r="B128" t="s">
        <v>1768</v>
      </c>
      <c r="C128" t="s">
        <v>1861</v>
      </c>
      <c r="D128">
        <v>4</v>
      </c>
      <c r="E128">
        <v>114.84</v>
      </c>
      <c r="F128">
        <v>114.84</v>
      </c>
      <c r="G128" t="s">
        <v>1862</v>
      </c>
      <c r="H128" t="s">
        <v>1986</v>
      </c>
      <c r="I128" t="s">
        <v>1903</v>
      </c>
      <c r="J128" t="s">
        <v>1987</v>
      </c>
      <c r="L128" t="s">
        <v>1863</v>
      </c>
    </row>
    <row r="129" spans="1:12" x14ac:dyDescent="0.2">
      <c r="A129" t="s">
        <v>1767</v>
      </c>
      <c r="B129" t="s">
        <v>1768</v>
      </c>
      <c r="C129" t="s">
        <v>1861</v>
      </c>
      <c r="D129">
        <v>4</v>
      </c>
      <c r="E129">
        <v>6.3</v>
      </c>
      <c r="F129">
        <v>6.3</v>
      </c>
      <c r="G129" t="s">
        <v>1862</v>
      </c>
      <c r="H129" t="s">
        <v>1988</v>
      </c>
      <c r="I129" t="s">
        <v>1903</v>
      </c>
      <c r="J129" t="s">
        <v>1989</v>
      </c>
      <c r="L129" t="s">
        <v>1863</v>
      </c>
    </row>
    <row r="130" spans="1:12" x14ac:dyDescent="0.2">
      <c r="A130" t="s">
        <v>1767</v>
      </c>
      <c r="B130" t="s">
        <v>1768</v>
      </c>
      <c r="C130" t="s">
        <v>1861</v>
      </c>
      <c r="D130">
        <v>4</v>
      </c>
      <c r="E130">
        <v>43.32</v>
      </c>
      <c r="F130">
        <v>43.32</v>
      </c>
      <c r="G130" t="s">
        <v>1862</v>
      </c>
      <c r="H130" t="s">
        <v>1977</v>
      </c>
      <c r="I130" t="s">
        <v>1903</v>
      </c>
      <c r="J130" t="s">
        <v>1978</v>
      </c>
      <c r="L130" t="s">
        <v>1863</v>
      </c>
    </row>
    <row r="131" spans="1:12" x14ac:dyDescent="0.2">
      <c r="A131" t="s">
        <v>1767</v>
      </c>
      <c r="B131" t="s">
        <v>1768</v>
      </c>
      <c r="C131" t="s">
        <v>1861</v>
      </c>
      <c r="D131">
        <v>4</v>
      </c>
      <c r="E131">
        <v>85.6</v>
      </c>
      <c r="F131">
        <v>85.6</v>
      </c>
      <c r="G131" t="s">
        <v>1862</v>
      </c>
      <c r="H131" t="s">
        <v>1990</v>
      </c>
      <c r="I131" t="s">
        <v>1903</v>
      </c>
      <c r="J131" t="s">
        <v>1991</v>
      </c>
      <c r="L131" t="s">
        <v>1863</v>
      </c>
    </row>
    <row r="132" spans="1:12" x14ac:dyDescent="0.2">
      <c r="A132" t="s">
        <v>1767</v>
      </c>
      <c r="B132" t="s">
        <v>1768</v>
      </c>
      <c r="C132" t="s">
        <v>1861</v>
      </c>
      <c r="D132">
        <v>4</v>
      </c>
      <c r="E132">
        <v>42.8</v>
      </c>
      <c r="F132">
        <v>42.8</v>
      </c>
      <c r="G132" t="s">
        <v>1862</v>
      </c>
      <c r="H132" t="s">
        <v>1965</v>
      </c>
      <c r="I132" t="s">
        <v>1903</v>
      </c>
      <c r="J132" t="s">
        <v>1992</v>
      </c>
      <c r="L132" t="s">
        <v>1863</v>
      </c>
    </row>
    <row r="133" spans="1:12" x14ac:dyDescent="0.2">
      <c r="A133" t="s">
        <v>1767</v>
      </c>
      <c r="B133" t="s">
        <v>1768</v>
      </c>
      <c r="C133" t="s">
        <v>1861</v>
      </c>
      <c r="D133">
        <v>4</v>
      </c>
      <c r="E133">
        <v>42.8</v>
      </c>
      <c r="F133">
        <v>42.8</v>
      </c>
      <c r="G133" t="s">
        <v>1862</v>
      </c>
      <c r="H133" t="s">
        <v>1965</v>
      </c>
      <c r="I133" t="s">
        <v>1903</v>
      </c>
      <c r="J133" t="s">
        <v>1992</v>
      </c>
      <c r="L133" t="s">
        <v>1863</v>
      </c>
    </row>
    <row r="134" spans="1:12" x14ac:dyDescent="0.2">
      <c r="A134" t="s">
        <v>1767</v>
      </c>
      <c r="B134" t="s">
        <v>1768</v>
      </c>
      <c r="C134" t="s">
        <v>1861</v>
      </c>
      <c r="D134">
        <v>4</v>
      </c>
      <c r="E134">
        <v>-42.8</v>
      </c>
      <c r="F134">
        <v>-42.8</v>
      </c>
      <c r="G134" t="s">
        <v>1862</v>
      </c>
      <c r="H134" t="s">
        <v>1993</v>
      </c>
      <c r="I134" t="s">
        <v>1903</v>
      </c>
      <c r="J134" t="s">
        <v>1994</v>
      </c>
      <c r="L134" t="s">
        <v>1863</v>
      </c>
    </row>
    <row r="135" spans="1:12" x14ac:dyDescent="0.2">
      <c r="A135" t="s">
        <v>1767</v>
      </c>
      <c r="B135" t="s">
        <v>1768</v>
      </c>
      <c r="C135" t="s">
        <v>1861</v>
      </c>
      <c r="D135">
        <v>4</v>
      </c>
      <c r="E135">
        <v>42.8</v>
      </c>
      <c r="F135">
        <v>42.8</v>
      </c>
      <c r="G135" t="s">
        <v>1862</v>
      </c>
      <c r="H135" t="s">
        <v>1965</v>
      </c>
      <c r="I135" t="s">
        <v>1903</v>
      </c>
      <c r="J135" t="s">
        <v>1992</v>
      </c>
      <c r="L135" t="s">
        <v>1863</v>
      </c>
    </row>
    <row r="136" spans="1:12" x14ac:dyDescent="0.2">
      <c r="A136" t="s">
        <v>1767</v>
      </c>
      <c r="B136" t="s">
        <v>1768</v>
      </c>
      <c r="C136" t="s">
        <v>1861</v>
      </c>
      <c r="D136">
        <v>4</v>
      </c>
      <c r="E136">
        <v>43.32</v>
      </c>
      <c r="F136">
        <v>43.32</v>
      </c>
      <c r="G136" t="s">
        <v>1862</v>
      </c>
      <c r="H136" t="s">
        <v>1977</v>
      </c>
      <c r="I136" t="s">
        <v>1903</v>
      </c>
      <c r="J136" t="s">
        <v>1978</v>
      </c>
      <c r="L136" t="s">
        <v>1863</v>
      </c>
    </row>
    <row r="137" spans="1:12" x14ac:dyDescent="0.2">
      <c r="A137" t="s">
        <v>1767</v>
      </c>
      <c r="B137" t="s">
        <v>1768</v>
      </c>
      <c r="C137" t="s">
        <v>1861</v>
      </c>
      <c r="D137">
        <v>4</v>
      </c>
      <c r="E137">
        <v>892.38</v>
      </c>
      <c r="F137">
        <v>892.38</v>
      </c>
      <c r="G137" t="s">
        <v>1862</v>
      </c>
      <c r="H137" t="s">
        <v>1995</v>
      </c>
      <c r="I137" t="s">
        <v>1903</v>
      </c>
      <c r="J137" t="s">
        <v>1996</v>
      </c>
      <c r="L137" t="s">
        <v>1863</v>
      </c>
    </row>
    <row r="138" spans="1:12" x14ac:dyDescent="0.2">
      <c r="A138" t="s">
        <v>1767</v>
      </c>
      <c r="B138" t="s">
        <v>1768</v>
      </c>
      <c r="C138" t="s">
        <v>1861</v>
      </c>
      <c r="D138">
        <v>4</v>
      </c>
      <c r="E138">
        <v>297.45999999999998</v>
      </c>
      <c r="F138">
        <v>297.45999999999998</v>
      </c>
      <c r="G138" t="s">
        <v>1862</v>
      </c>
      <c r="H138" t="s">
        <v>1997</v>
      </c>
      <c r="I138" t="s">
        <v>1903</v>
      </c>
      <c r="J138" t="s">
        <v>1998</v>
      </c>
      <c r="L138" t="s">
        <v>1863</v>
      </c>
    </row>
    <row r="139" spans="1:12" x14ac:dyDescent="0.2">
      <c r="A139" t="s">
        <v>1767</v>
      </c>
      <c r="B139" t="s">
        <v>1768</v>
      </c>
      <c r="C139" t="s">
        <v>1861</v>
      </c>
      <c r="D139">
        <v>4</v>
      </c>
      <c r="E139">
        <v>148.44</v>
      </c>
      <c r="F139">
        <v>148.44</v>
      </c>
      <c r="G139" t="s">
        <v>1862</v>
      </c>
      <c r="H139" t="s">
        <v>1971</v>
      </c>
      <c r="I139" t="s">
        <v>1903</v>
      </c>
      <c r="J139" t="s">
        <v>1972</v>
      </c>
      <c r="L139" t="s">
        <v>1863</v>
      </c>
    </row>
    <row r="140" spans="1:12" x14ac:dyDescent="0.2">
      <c r="A140" t="s">
        <v>1767</v>
      </c>
      <c r="B140" t="s">
        <v>1768</v>
      </c>
      <c r="C140" t="s">
        <v>1861</v>
      </c>
      <c r="D140">
        <v>4</v>
      </c>
      <c r="E140">
        <v>-297.45999999999998</v>
      </c>
      <c r="F140">
        <v>-297.45999999999998</v>
      </c>
      <c r="G140" t="s">
        <v>1862</v>
      </c>
      <c r="H140" t="s">
        <v>1999</v>
      </c>
      <c r="I140" t="s">
        <v>1903</v>
      </c>
      <c r="J140" t="s">
        <v>2000</v>
      </c>
      <c r="L140" t="s">
        <v>1863</v>
      </c>
    </row>
    <row r="141" spans="1:12" x14ac:dyDescent="0.2">
      <c r="A141" t="s">
        <v>1767</v>
      </c>
      <c r="B141" t="s">
        <v>1768</v>
      </c>
      <c r="C141" t="s">
        <v>1861</v>
      </c>
      <c r="D141">
        <v>4</v>
      </c>
      <c r="E141">
        <v>6242</v>
      </c>
      <c r="F141">
        <v>6242</v>
      </c>
      <c r="G141" t="s">
        <v>1862</v>
      </c>
      <c r="H141" t="s">
        <v>2001</v>
      </c>
      <c r="I141" t="s">
        <v>1903</v>
      </c>
      <c r="J141" t="s">
        <v>2002</v>
      </c>
      <c r="L141" t="s">
        <v>1863</v>
      </c>
    </row>
    <row r="142" spans="1:12" x14ac:dyDescent="0.2">
      <c r="A142" t="s">
        <v>1767</v>
      </c>
      <c r="B142" t="s">
        <v>1768</v>
      </c>
      <c r="C142" t="s">
        <v>1861</v>
      </c>
      <c r="D142">
        <v>4</v>
      </c>
      <c r="E142">
        <v>148.44</v>
      </c>
      <c r="F142">
        <v>148.44</v>
      </c>
      <c r="G142" t="s">
        <v>1862</v>
      </c>
      <c r="H142" t="s">
        <v>1971</v>
      </c>
      <c r="I142" t="s">
        <v>1903</v>
      </c>
      <c r="J142" t="s">
        <v>1972</v>
      </c>
      <c r="L142" t="s">
        <v>1863</v>
      </c>
    </row>
    <row r="143" spans="1:12" x14ac:dyDescent="0.2">
      <c r="A143" t="s">
        <v>1767</v>
      </c>
      <c r="B143" t="s">
        <v>1768</v>
      </c>
      <c r="C143" t="s">
        <v>1861</v>
      </c>
      <c r="D143">
        <v>4</v>
      </c>
      <c r="E143">
        <v>53.5</v>
      </c>
      <c r="F143">
        <v>53.5</v>
      </c>
      <c r="G143" t="s">
        <v>1862</v>
      </c>
      <c r="H143" t="s">
        <v>1979</v>
      </c>
      <c r="I143" t="s">
        <v>1903</v>
      </c>
      <c r="J143" t="s">
        <v>2003</v>
      </c>
      <c r="L143" t="s">
        <v>1863</v>
      </c>
    </row>
    <row r="144" spans="1:12" x14ac:dyDescent="0.2">
      <c r="A144" t="s">
        <v>1767</v>
      </c>
      <c r="B144" t="s">
        <v>1768</v>
      </c>
      <c r="C144" t="s">
        <v>1861</v>
      </c>
      <c r="D144">
        <v>4</v>
      </c>
      <c r="E144">
        <v>9.64</v>
      </c>
      <c r="F144">
        <v>9.64</v>
      </c>
      <c r="G144" t="s">
        <v>1862</v>
      </c>
      <c r="H144" t="s">
        <v>2004</v>
      </c>
      <c r="I144" t="s">
        <v>1903</v>
      </c>
      <c r="J144" t="s">
        <v>2005</v>
      </c>
      <c r="L144" t="s">
        <v>1863</v>
      </c>
    </row>
    <row r="145" spans="1:12" x14ac:dyDescent="0.2">
      <c r="A145" t="s">
        <v>1767</v>
      </c>
      <c r="B145" t="s">
        <v>1768</v>
      </c>
      <c r="C145" t="s">
        <v>1861</v>
      </c>
      <c r="D145">
        <v>4</v>
      </c>
      <c r="E145">
        <v>609.9</v>
      </c>
      <c r="F145">
        <v>609.9</v>
      </c>
      <c r="G145" t="s">
        <v>1862</v>
      </c>
      <c r="H145" t="s">
        <v>2006</v>
      </c>
      <c r="I145" t="s">
        <v>1903</v>
      </c>
      <c r="J145" t="s">
        <v>2007</v>
      </c>
      <c r="L145" t="s">
        <v>1863</v>
      </c>
    </row>
    <row r="146" spans="1:12" x14ac:dyDescent="0.2">
      <c r="A146" t="s">
        <v>1767</v>
      </c>
      <c r="B146" t="s">
        <v>1768</v>
      </c>
      <c r="C146" t="s">
        <v>1861</v>
      </c>
      <c r="D146">
        <v>4</v>
      </c>
      <c r="E146">
        <v>72.760000000000005</v>
      </c>
      <c r="F146">
        <v>72.760000000000005</v>
      </c>
      <c r="G146" t="s">
        <v>1862</v>
      </c>
      <c r="H146" t="s">
        <v>2008</v>
      </c>
      <c r="I146" t="s">
        <v>1903</v>
      </c>
      <c r="J146" t="s">
        <v>2009</v>
      </c>
      <c r="L146" t="s">
        <v>1863</v>
      </c>
    </row>
    <row r="147" spans="1:12" x14ac:dyDescent="0.2">
      <c r="A147" t="s">
        <v>1767</v>
      </c>
      <c r="B147" t="s">
        <v>1768</v>
      </c>
      <c r="C147" t="s">
        <v>1861</v>
      </c>
      <c r="D147">
        <v>4</v>
      </c>
      <c r="E147">
        <v>318.86</v>
      </c>
      <c r="F147">
        <v>318.86</v>
      </c>
      <c r="G147" t="s">
        <v>1862</v>
      </c>
      <c r="H147" t="s">
        <v>2010</v>
      </c>
      <c r="I147" t="s">
        <v>1903</v>
      </c>
      <c r="J147" t="s">
        <v>2011</v>
      </c>
      <c r="L147" t="s">
        <v>1863</v>
      </c>
    </row>
    <row r="148" spans="1:12" x14ac:dyDescent="0.2">
      <c r="A148" t="s">
        <v>1767</v>
      </c>
      <c r="B148" t="s">
        <v>1768</v>
      </c>
      <c r="C148" t="s">
        <v>1861</v>
      </c>
      <c r="D148">
        <v>4</v>
      </c>
      <c r="E148">
        <v>305.01</v>
      </c>
      <c r="F148">
        <v>305.01</v>
      </c>
      <c r="G148" t="s">
        <v>1862</v>
      </c>
      <c r="H148" t="s">
        <v>2012</v>
      </c>
      <c r="I148" t="s">
        <v>1903</v>
      </c>
      <c r="J148" t="s">
        <v>2013</v>
      </c>
      <c r="L148" t="s">
        <v>1863</v>
      </c>
    </row>
    <row r="149" spans="1:12" x14ac:dyDescent="0.2">
      <c r="A149" t="s">
        <v>1767</v>
      </c>
      <c r="B149" t="s">
        <v>1768</v>
      </c>
      <c r="C149" t="s">
        <v>1861</v>
      </c>
      <c r="D149">
        <v>4</v>
      </c>
      <c r="E149">
        <v>7.92</v>
      </c>
      <c r="F149">
        <v>7.92</v>
      </c>
      <c r="G149" t="s">
        <v>1862</v>
      </c>
      <c r="H149" t="s">
        <v>2014</v>
      </c>
      <c r="I149" t="s">
        <v>1903</v>
      </c>
      <c r="J149" t="s">
        <v>2015</v>
      </c>
      <c r="L149" t="s">
        <v>1863</v>
      </c>
    </row>
    <row r="150" spans="1:12" x14ac:dyDescent="0.2">
      <c r="A150" t="s">
        <v>1767</v>
      </c>
      <c r="B150" t="s">
        <v>1768</v>
      </c>
      <c r="C150" t="s">
        <v>1861</v>
      </c>
      <c r="D150">
        <v>4</v>
      </c>
      <c r="E150">
        <v>6</v>
      </c>
      <c r="F150">
        <v>6</v>
      </c>
      <c r="G150" t="s">
        <v>1862</v>
      </c>
      <c r="H150" t="s">
        <v>2016</v>
      </c>
      <c r="I150" t="s">
        <v>1903</v>
      </c>
      <c r="J150" t="s">
        <v>2017</v>
      </c>
      <c r="L150" t="s">
        <v>1863</v>
      </c>
    </row>
    <row r="151" spans="1:12" x14ac:dyDescent="0.2">
      <c r="A151" t="s">
        <v>1767</v>
      </c>
      <c r="B151" t="s">
        <v>1768</v>
      </c>
      <c r="C151" t="s">
        <v>1861</v>
      </c>
      <c r="D151">
        <v>4</v>
      </c>
      <c r="E151">
        <v>24864</v>
      </c>
      <c r="F151">
        <v>24864</v>
      </c>
      <c r="G151" t="s">
        <v>1862</v>
      </c>
      <c r="H151" t="s">
        <v>2018</v>
      </c>
      <c r="I151" t="s">
        <v>1903</v>
      </c>
      <c r="J151" t="s">
        <v>2019</v>
      </c>
      <c r="L151" t="s">
        <v>1863</v>
      </c>
    </row>
    <row r="152" spans="1:12" x14ac:dyDescent="0.2">
      <c r="A152" t="s">
        <v>1767</v>
      </c>
      <c r="B152" t="s">
        <v>1768</v>
      </c>
      <c r="C152" t="s">
        <v>1861</v>
      </c>
      <c r="D152">
        <v>4</v>
      </c>
      <c r="E152">
        <v>53.5</v>
      </c>
      <c r="F152">
        <v>53.5</v>
      </c>
      <c r="G152" t="s">
        <v>1862</v>
      </c>
      <c r="H152" t="s">
        <v>1979</v>
      </c>
      <c r="I152" t="s">
        <v>1903</v>
      </c>
      <c r="J152" t="s">
        <v>2020</v>
      </c>
      <c r="L152" t="s">
        <v>1863</v>
      </c>
    </row>
    <row r="153" spans="1:12" x14ac:dyDescent="0.2">
      <c r="A153" t="s">
        <v>1767</v>
      </c>
      <c r="B153" t="s">
        <v>1768</v>
      </c>
      <c r="C153" t="s">
        <v>1861</v>
      </c>
      <c r="D153">
        <v>4</v>
      </c>
      <c r="E153">
        <v>297.45999999999998</v>
      </c>
      <c r="F153">
        <v>297.45999999999998</v>
      </c>
      <c r="G153" t="s">
        <v>1862</v>
      </c>
      <c r="H153" t="s">
        <v>1997</v>
      </c>
      <c r="I153" t="s">
        <v>1903</v>
      </c>
      <c r="J153" t="s">
        <v>1998</v>
      </c>
      <c r="L153" t="s">
        <v>1863</v>
      </c>
    </row>
    <row r="154" spans="1:12" x14ac:dyDescent="0.2">
      <c r="A154" t="s">
        <v>1767</v>
      </c>
      <c r="B154" t="s">
        <v>1768</v>
      </c>
      <c r="C154" t="s">
        <v>1861</v>
      </c>
      <c r="D154">
        <v>4</v>
      </c>
      <c r="E154">
        <v>85.6</v>
      </c>
      <c r="F154">
        <v>85.6</v>
      </c>
      <c r="G154" t="s">
        <v>1862</v>
      </c>
      <c r="H154" t="s">
        <v>1990</v>
      </c>
      <c r="I154" t="s">
        <v>1903</v>
      </c>
      <c r="J154" t="s">
        <v>2021</v>
      </c>
      <c r="L154" t="s">
        <v>1863</v>
      </c>
    </row>
    <row r="155" spans="1:12" x14ac:dyDescent="0.2">
      <c r="A155" t="s">
        <v>1767</v>
      </c>
      <c r="B155" t="s">
        <v>1768</v>
      </c>
      <c r="C155" t="s">
        <v>1861</v>
      </c>
      <c r="D155">
        <v>4</v>
      </c>
      <c r="E155">
        <v>85.6</v>
      </c>
      <c r="F155">
        <v>85.6</v>
      </c>
      <c r="G155" t="s">
        <v>1862</v>
      </c>
      <c r="H155" t="s">
        <v>1990</v>
      </c>
      <c r="I155" t="s">
        <v>1903</v>
      </c>
      <c r="J155" t="s">
        <v>2022</v>
      </c>
      <c r="L155" t="s">
        <v>1863</v>
      </c>
    </row>
    <row r="156" spans="1:12" x14ac:dyDescent="0.2">
      <c r="A156" t="s">
        <v>1767</v>
      </c>
      <c r="B156" t="s">
        <v>1768</v>
      </c>
      <c r="C156" t="s">
        <v>1861</v>
      </c>
      <c r="D156">
        <v>4</v>
      </c>
      <c r="E156">
        <v>43.32</v>
      </c>
      <c r="F156">
        <v>43.32</v>
      </c>
      <c r="G156" t="s">
        <v>1862</v>
      </c>
      <c r="H156" t="s">
        <v>1977</v>
      </c>
      <c r="I156" t="s">
        <v>1903</v>
      </c>
      <c r="J156" t="s">
        <v>1978</v>
      </c>
      <c r="L156" t="s">
        <v>1863</v>
      </c>
    </row>
    <row r="157" spans="1:12" x14ac:dyDescent="0.2">
      <c r="A157" t="s">
        <v>1767</v>
      </c>
      <c r="B157" t="s">
        <v>1768</v>
      </c>
      <c r="C157" t="s">
        <v>1861</v>
      </c>
      <c r="D157">
        <v>4</v>
      </c>
      <c r="E157">
        <v>43.32</v>
      </c>
      <c r="F157">
        <v>43.32</v>
      </c>
      <c r="G157" t="s">
        <v>1862</v>
      </c>
      <c r="H157" t="s">
        <v>1977</v>
      </c>
      <c r="I157" t="s">
        <v>1903</v>
      </c>
      <c r="J157" t="s">
        <v>1978</v>
      </c>
      <c r="L157" t="s">
        <v>1863</v>
      </c>
    </row>
    <row r="158" spans="1:12" x14ac:dyDescent="0.2">
      <c r="A158" t="s">
        <v>1767</v>
      </c>
      <c r="B158" t="s">
        <v>1768</v>
      </c>
      <c r="C158" t="s">
        <v>1861</v>
      </c>
      <c r="D158">
        <v>4</v>
      </c>
      <c r="E158">
        <v>1275.44</v>
      </c>
      <c r="F158">
        <v>1275.44</v>
      </c>
      <c r="G158" t="s">
        <v>1862</v>
      </c>
      <c r="H158" t="s">
        <v>2023</v>
      </c>
      <c r="I158" t="s">
        <v>1903</v>
      </c>
      <c r="J158" t="s">
        <v>2024</v>
      </c>
      <c r="L158" t="s">
        <v>1863</v>
      </c>
    </row>
    <row r="159" spans="1:12" x14ac:dyDescent="0.2">
      <c r="A159" t="s">
        <v>1767</v>
      </c>
      <c r="B159" t="s">
        <v>1768</v>
      </c>
      <c r="C159" t="s">
        <v>1861</v>
      </c>
      <c r="D159">
        <v>4</v>
      </c>
      <c r="E159">
        <v>610.02</v>
      </c>
      <c r="F159">
        <v>610.02</v>
      </c>
      <c r="G159" t="s">
        <v>1862</v>
      </c>
      <c r="H159" t="s">
        <v>2025</v>
      </c>
      <c r="I159" t="s">
        <v>1903</v>
      </c>
      <c r="J159" t="s">
        <v>2026</v>
      </c>
      <c r="L159" t="s">
        <v>1863</v>
      </c>
    </row>
    <row r="160" spans="1:12" x14ac:dyDescent="0.2">
      <c r="A160" t="s">
        <v>1767</v>
      </c>
      <c r="B160" t="s">
        <v>1768</v>
      </c>
      <c r="C160" t="s">
        <v>1861</v>
      </c>
      <c r="D160">
        <v>4</v>
      </c>
      <c r="E160">
        <v>12.59</v>
      </c>
      <c r="F160">
        <v>12.59</v>
      </c>
      <c r="G160" t="s">
        <v>1862</v>
      </c>
      <c r="H160" t="s">
        <v>2027</v>
      </c>
      <c r="I160" t="s">
        <v>1903</v>
      </c>
      <c r="J160" t="s">
        <v>2028</v>
      </c>
      <c r="L160" t="s">
        <v>1863</v>
      </c>
    </row>
    <row r="161" spans="1:12" x14ac:dyDescent="0.2">
      <c r="A161" t="s">
        <v>1767</v>
      </c>
      <c r="B161" t="s">
        <v>1768</v>
      </c>
      <c r="C161" t="s">
        <v>1861</v>
      </c>
      <c r="D161">
        <v>4</v>
      </c>
      <c r="E161">
        <v>376.72</v>
      </c>
      <c r="F161">
        <v>376.72</v>
      </c>
      <c r="G161" t="s">
        <v>1862</v>
      </c>
      <c r="H161" t="s">
        <v>2029</v>
      </c>
      <c r="I161" t="s">
        <v>1903</v>
      </c>
      <c r="J161" t="s">
        <v>2030</v>
      </c>
      <c r="L161" t="s">
        <v>1863</v>
      </c>
    </row>
    <row r="162" spans="1:12" x14ac:dyDescent="0.2">
      <c r="A162" t="s">
        <v>1767</v>
      </c>
      <c r="B162" t="s">
        <v>1768</v>
      </c>
      <c r="C162" t="s">
        <v>1861</v>
      </c>
      <c r="D162">
        <v>4</v>
      </c>
      <c r="E162">
        <v>145.52000000000001</v>
      </c>
      <c r="F162">
        <v>145.52000000000001</v>
      </c>
      <c r="G162" t="s">
        <v>1862</v>
      </c>
      <c r="H162" t="s">
        <v>2031</v>
      </c>
      <c r="I162" t="s">
        <v>1903</v>
      </c>
      <c r="J162" t="s">
        <v>2032</v>
      </c>
      <c r="L162" t="s">
        <v>1863</v>
      </c>
    </row>
    <row r="163" spans="1:12" x14ac:dyDescent="0.2">
      <c r="A163" t="s">
        <v>1767</v>
      </c>
      <c r="B163" t="s">
        <v>1768</v>
      </c>
      <c r="C163" t="s">
        <v>1861</v>
      </c>
      <c r="D163">
        <v>4</v>
      </c>
      <c r="E163">
        <v>6.4</v>
      </c>
      <c r="F163">
        <v>6.4</v>
      </c>
      <c r="G163" t="s">
        <v>1862</v>
      </c>
      <c r="H163" t="s">
        <v>1973</v>
      </c>
      <c r="I163" t="s">
        <v>1903</v>
      </c>
      <c r="J163" t="s">
        <v>1974</v>
      </c>
      <c r="L163" t="s">
        <v>1863</v>
      </c>
    </row>
    <row r="164" spans="1:12" x14ac:dyDescent="0.2">
      <c r="A164" t="s">
        <v>1767</v>
      </c>
      <c r="B164" t="s">
        <v>1768</v>
      </c>
      <c r="C164" t="s">
        <v>1861</v>
      </c>
      <c r="D164">
        <v>4</v>
      </c>
      <c r="E164">
        <v>12572</v>
      </c>
      <c r="F164">
        <v>12572</v>
      </c>
      <c r="G164" t="s">
        <v>1862</v>
      </c>
      <c r="H164" t="s">
        <v>2033</v>
      </c>
      <c r="I164" t="s">
        <v>1903</v>
      </c>
      <c r="J164" t="s">
        <v>2034</v>
      </c>
      <c r="L164" t="s">
        <v>1863</v>
      </c>
    </row>
    <row r="165" spans="1:12" x14ac:dyDescent="0.2">
      <c r="A165" t="s">
        <v>1767</v>
      </c>
      <c r="B165" t="s">
        <v>1768</v>
      </c>
      <c r="C165" t="s">
        <v>1861</v>
      </c>
      <c r="D165">
        <v>4</v>
      </c>
      <c r="E165">
        <v>94.76</v>
      </c>
      <c r="F165">
        <v>94.76</v>
      </c>
      <c r="G165" t="s">
        <v>1862</v>
      </c>
      <c r="H165" t="s">
        <v>2035</v>
      </c>
      <c r="I165" t="s">
        <v>1903</v>
      </c>
      <c r="J165" t="s">
        <v>2036</v>
      </c>
      <c r="L165" t="s">
        <v>1863</v>
      </c>
    </row>
    <row r="166" spans="1:12" x14ac:dyDescent="0.2">
      <c r="A166" t="s">
        <v>1767</v>
      </c>
      <c r="B166" t="s">
        <v>1768</v>
      </c>
      <c r="C166" t="s">
        <v>1861</v>
      </c>
      <c r="D166">
        <v>4</v>
      </c>
      <c r="E166">
        <v>98.32</v>
      </c>
      <c r="F166">
        <v>98.32</v>
      </c>
      <c r="G166" t="s">
        <v>1862</v>
      </c>
      <c r="H166" t="s">
        <v>2037</v>
      </c>
      <c r="I166" t="s">
        <v>1903</v>
      </c>
      <c r="J166" t="s">
        <v>2038</v>
      </c>
      <c r="L166" t="s">
        <v>1863</v>
      </c>
    </row>
    <row r="167" spans="1:12" x14ac:dyDescent="0.2">
      <c r="A167" t="s">
        <v>1767</v>
      </c>
      <c r="B167" t="s">
        <v>1768</v>
      </c>
      <c r="C167" t="s">
        <v>1861</v>
      </c>
      <c r="D167">
        <v>4</v>
      </c>
      <c r="E167">
        <v>329.08</v>
      </c>
      <c r="F167">
        <v>329.08</v>
      </c>
      <c r="G167" t="s">
        <v>1862</v>
      </c>
      <c r="H167" t="s">
        <v>2039</v>
      </c>
      <c r="I167" t="s">
        <v>1903</v>
      </c>
      <c r="J167" t="s">
        <v>2040</v>
      </c>
      <c r="L167" t="s">
        <v>1863</v>
      </c>
    </row>
    <row r="168" spans="1:12" x14ac:dyDescent="0.2">
      <c r="A168" t="s">
        <v>1767</v>
      </c>
      <c r="B168" t="s">
        <v>1768</v>
      </c>
      <c r="C168" t="s">
        <v>1861</v>
      </c>
      <c r="D168">
        <v>4</v>
      </c>
      <c r="E168">
        <v>41.96</v>
      </c>
      <c r="F168">
        <v>41.96</v>
      </c>
      <c r="G168" t="s">
        <v>1862</v>
      </c>
      <c r="H168" t="s">
        <v>2041</v>
      </c>
      <c r="I168" t="s">
        <v>1903</v>
      </c>
      <c r="J168" t="s">
        <v>2042</v>
      </c>
      <c r="L168" t="s">
        <v>1863</v>
      </c>
    </row>
    <row r="169" spans="1:12" x14ac:dyDescent="0.2">
      <c r="A169" t="s">
        <v>1767</v>
      </c>
      <c r="B169" t="s">
        <v>1768</v>
      </c>
      <c r="C169" t="s">
        <v>1861</v>
      </c>
      <c r="D169">
        <v>4</v>
      </c>
      <c r="E169">
        <v>6.88</v>
      </c>
      <c r="F169">
        <v>6.88</v>
      </c>
      <c r="G169" t="s">
        <v>1862</v>
      </c>
      <c r="H169" t="s">
        <v>2043</v>
      </c>
      <c r="I169" t="s">
        <v>1903</v>
      </c>
      <c r="J169" t="s">
        <v>2044</v>
      </c>
      <c r="L169" t="s">
        <v>1863</v>
      </c>
    </row>
    <row r="170" spans="1:12" x14ac:dyDescent="0.2">
      <c r="A170" t="s">
        <v>1767</v>
      </c>
      <c r="B170" t="s">
        <v>1768</v>
      </c>
      <c r="C170" t="s">
        <v>1861</v>
      </c>
      <c r="D170">
        <v>4</v>
      </c>
      <c r="E170">
        <v>300.56</v>
      </c>
      <c r="F170">
        <v>300.56</v>
      </c>
      <c r="G170" t="s">
        <v>1862</v>
      </c>
      <c r="H170" t="s">
        <v>2045</v>
      </c>
      <c r="I170" t="s">
        <v>1903</v>
      </c>
      <c r="J170" t="s">
        <v>2046</v>
      </c>
      <c r="L170" t="s">
        <v>1863</v>
      </c>
    </row>
    <row r="171" spans="1:12" x14ac:dyDescent="0.2">
      <c r="A171" t="s">
        <v>1767</v>
      </c>
      <c r="B171" t="s">
        <v>1768</v>
      </c>
      <c r="C171" t="s">
        <v>1861</v>
      </c>
      <c r="D171">
        <v>4</v>
      </c>
      <c r="E171">
        <v>42.8</v>
      </c>
      <c r="F171">
        <v>42.8</v>
      </c>
      <c r="G171" t="s">
        <v>1862</v>
      </c>
      <c r="H171" t="s">
        <v>1965</v>
      </c>
      <c r="I171" t="s">
        <v>1903</v>
      </c>
      <c r="J171" t="s">
        <v>2047</v>
      </c>
      <c r="L171" t="s">
        <v>1863</v>
      </c>
    </row>
    <row r="172" spans="1:12" x14ac:dyDescent="0.2">
      <c r="A172" t="s">
        <v>1767</v>
      </c>
      <c r="B172" t="s">
        <v>1768</v>
      </c>
      <c r="C172" t="s">
        <v>1861</v>
      </c>
      <c r="D172">
        <v>4</v>
      </c>
      <c r="E172">
        <v>85.6</v>
      </c>
      <c r="F172">
        <v>85.6</v>
      </c>
      <c r="G172" t="s">
        <v>1862</v>
      </c>
      <c r="H172" t="s">
        <v>1990</v>
      </c>
      <c r="I172" t="s">
        <v>1903</v>
      </c>
      <c r="J172" t="s">
        <v>1991</v>
      </c>
      <c r="L172" t="s">
        <v>1863</v>
      </c>
    </row>
    <row r="173" spans="1:12" x14ac:dyDescent="0.2">
      <c r="A173" t="s">
        <v>1767</v>
      </c>
      <c r="B173" t="s">
        <v>1768</v>
      </c>
      <c r="C173" t="s">
        <v>1861</v>
      </c>
      <c r="D173">
        <v>4</v>
      </c>
      <c r="E173">
        <v>42.8</v>
      </c>
      <c r="F173">
        <v>42.8</v>
      </c>
      <c r="G173" t="s">
        <v>1862</v>
      </c>
      <c r="H173" t="s">
        <v>1965</v>
      </c>
      <c r="I173" t="s">
        <v>1903</v>
      </c>
      <c r="J173" t="s">
        <v>1992</v>
      </c>
      <c r="L173" t="s">
        <v>1863</v>
      </c>
    </row>
    <row r="174" spans="1:12" x14ac:dyDescent="0.2">
      <c r="A174" t="s">
        <v>1767</v>
      </c>
      <c r="B174" t="s">
        <v>1768</v>
      </c>
      <c r="C174" t="s">
        <v>1861</v>
      </c>
      <c r="D174">
        <v>4</v>
      </c>
      <c r="E174">
        <v>42.8</v>
      </c>
      <c r="F174">
        <v>42.8</v>
      </c>
      <c r="G174" t="s">
        <v>1862</v>
      </c>
      <c r="H174" t="s">
        <v>1965</v>
      </c>
      <c r="I174" t="s">
        <v>1903</v>
      </c>
      <c r="J174" t="s">
        <v>1992</v>
      </c>
      <c r="L174" t="s">
        <v>1863</v>
      </c>
    </row>
    <row r="175" spans="1:12" x14ac:dyDescent="0.2">
      <c r="A175" t="s">
        <v>1767</v>
      </c>
      <c r="B175" t="s">
        <v>1768</v>
      </c>
      <c r="C175" t="s">
        <v>1861</v>
      </c>
      <c r="D175">
        <v>4</v>
      </c>
      <c r="E175">
        <v>-42.8</v>
      </c>
      <c r="F175">
        <v>-42.8</v>
      </c>
      <c r="G175" t="s">
        <v>1862</v>
      </c>
      <c r="H175" t="s">
        <v>1993</v>
      </c>
      <c r="I175" t="s">
        <v>1903</v>
      </c>
      <c r="J175" t="s">
        <v>1994</v>
      </c>
      <c r="L175" t="s">
        <v>1863</v>
      </c>
    </row>
    <row r="176" spans="1:12" x14ac:dyDescent="0.2">
      <c r="A176" t="s">
        <v>1767</v>
      </c>
      <c r="B176" t="s">
        <v>1768</v>
      </c>
      <c r="C176" t="s">
        <v>1861</v>
      </c>
      <c r="D176">
        <v>4</v>
      </c>
      <c r="E176">
        <v>42.8</v>
      </c>
      <c r="F176">
        <v>42.8</v>
      </c>
      <c r="G176" t="s">
        <v>1862</v>
      </c>
      <c r="H176" t="s">
        <v>1965</v>
      </c>
      <c r="I176" t="s">
        <v>1903</v>
      </c>
      <c r="J176" t="s">
        <v>1992</v>
      </c>
      <c r="L176" t="s">
        <v>1863</v>
      </c>
    </row>
    <row r="177" spans="1:12" x14ac:dyDescent="0.2">
      <c r="A177" t="s">
        <v>1767</v>
      </c>
      <c r="B177" t="s">
        <v>1768</v>
      </c>
      <c r="C177" t="s">
        <v>1861</v>
      </c>
      <c r="D177">
        <v>4</v>
      </c>
      <c r="E177">
        <v>892.38</v>
      </c>
      <c r="F177">
        <v>892.38</v>
      </c>
      <c r="G177" t="s">
        <v>1862</v>
      </c>
      <c r="H177" t="s">
        <v>1995</v>
      </c>
      <c r="I177" t="s">
        <v>1903</v>
      </c>
      <c r="J177" t="s">
        <v>1996</v>
      </c>
      <c r="L177" t="s">
        <v>1863</v>
      </c>
    </row>
    <row r="178" spans="1:12" x14ac:dyDescent="0.2">
      <c r="A178" t="s">
        <v>1767</v>
      </c>
      <c r="B178" t="s">
        <v>1768</v>
      </c>
      <c r="C178" t="s">
        <v>1861</v>
      </c>
      <c r="D178">
        <v>4</v>
      </c>
      <c r="E178">
        <v>297.45999999999998</v>
      </c>
      <c r="F178">
        <v>297.45999999999998</v>
      </c>
      <c r="G178" t="s">
        <v>1862</v>
      </c>
      <c r="H178" t="s">
        <v>1997</v>
      </c>
      <c r="I178" t="s">
        <v>1903</v>
      </c>
      <c r="J178" t="s">
        <v>1998</v>
      </c>
      <c r="L178" t="s">
        <v>1863</v>
      </c>
    </row>
    <row r="179" spans="1:12" x14ac:dyDescent="0.2">
      <c r="A179" t="s">
        <v>1767</v>
      </c>
      <c r="B179" t="s">
        <v>1768</v>
      </c>
      <c r="C179" t="s">
        <v>1861</v>
      </c>
      <c r="D179">
        <v>4</v>
      </c>
      <c r="E179">
        <v>-297.45999999999998</v>
      </c>
      <c r="F179">
        <v>-297.45999999999998</v>
      </c>
      <c r="G179" t="s">
        <v>1862</v>
      </c>
      <c r="H179" t="s">
        <v>1999</v>
      </c>
      <c r="I179" t="s">
        <v>1903</v>
      </c>
      <c r="J179" t="s">
        <v>2000</v>
      </c>
      <c r="L179" t="s">
        <v>1863</v>
      </c>
    </row>
    <row r="180" spans="1:12" x14ac:dyDescent="0.2">
      <c r="A180" t="s">
        <v>1767</v>
      </c>
      <c r="B180" t="s">
        <v>1768</v>
      </c>
      <c r="C180" t="s">
        <v>1861</v>
      </c>
      <c r="D180">
        <v>4</v>
      </c>
      <c r="E180">
        <v>297.45999999999998</v>
      </c>
      <c r="F180">
        <v>297.45999999999998</v>
      </c>
      <c r="G180" t="s">
        <v>1862</v>
      </c>
      <c r="H180" t="s">
        <v>1997</v>
      </c>
      <c r="I180" t="s">
        <v>1903</v>
      </c>
      <c r="J180" t="s">
        <v>1998</v>
      </c>
      <c r="L180" t="s">
        <v>1863</v>
      </c>
    </row>
    <row r="181" spans="1:12" x14ac:dyDescent="0.2">
      <c r="A181" t="s">
        <v>1767</v>
      </c>
      <c r="B181" t="s">
        <v>1768</v>
      </c>
      <c r="C181" t="s">
        <v>1861</v>
      </c>
      <c r="D181">
        <v>4</v>
      </c>
      <c r="E181">
        <v>114.76</v>
      </c>
      <c r="F181">
        <v>114.76</v>
      </c>
      <c r="G181" t="s">
        <v>1862</v>
      </c>
      <c r="H181" t="s">
        <v>2048</v>
      </c>
      <c r="I181" t="s">
        <v>1903</v>
      </c>
      <c r="J181" t="s">
        <v>2049</v>
      </c>
      <c r="L181" t="s">
        <v>1863</v>
      </c>
    </row>
    <row r="182" spans="1:12" x14ac:dyDescent="0.2">
      <c r="A182" t="s">
        <v>1767</v>
      </c>
      <c r="B182" t="s">
        <v>1768</v>
      </c>
      <c r="C182" t="s">
        <v>1861</v>
      </c>
      <c r="D182">
        <v>4</v>
      </c>
      <c r="E182">
        <v>4871</v>
      </c>
      <c r="F182">
        <v>4871</v>
      </c>
      <c r="G182" t="s">
        <v>1862</v>
      </c>
      <c r="H182" t="s">
        <v>2050</v>
      </c>
      <c r="I182" t="s">
        <v>1903</v>
      </c>
      <c r="J182" t="s">
        <v>2051</v>
      </c>
      <c r="L182" t="s">
        <v>1863</v>
      </c>
    </row>
    <row r="183" spans="1:12" x14ac:dyDescent="0.2">
      <c r="A183" t="s">
        <v>1767</v>
      </c>
      <c r="B183" t="s">
        <v>1768</v>
      </c>
      <c r="C183" t="s">
        <v>1861</v>
      </c>
      <c r="D183">
        <v>4</v>
      </c>
      <c r="E183">
        <v>291.04000000000002</v>
      </c>
      <c r="F183">
        <v>291.04000000000002</v>
      </c>
      <c r="G183" t="s">
        <v>1862</v>
      </c>
      <c r="H183" t="s">
        <v>2052</v>
      </c>
      <c r="I183" t="s">
        <v>1903</v>
      </c>
      <c r="J183" t="s">
        <v>2053</v>
      </c>
      <c r="L183" t="s">
        <v>1863</v>
      </c>
    </row>
    <row r="184" spans="1:12" x14ac:dyDescent="0.2">
      <c r="A184" t="s">
        <v>1767</v>
      </c>
      <c r="B184" t="s">
        <v>1768</v>
      </c>
      <c r="C184" t="s">
        <v>1861</v>
      </c>
      <c r="D184">
        <v>4</v>
      </c>
      <c r="E184">
        <v>6.4</v>
      </c>
      <c r="F184">
        <v>6.4</v>
      </c>
      <c r="G184" t="s">
        <v>1862</v>
      </c>
      <c r="H184" t="s">
        <v>1973</v>
      </c>
      <c r="I184" t="s">
        <v>1903</v>
      </c>
      <c r="J184" t="s">
        <v>1974</v>
      </c>
      <c r="L184" t="s">
        <v>1863</v>
      </c>
    </row>
    <row r="185" spans="1:12" x14ac:dyDescent="0.2">
      <c r="A185" t="s">
        <v>1767</v>
      </c>
      <c r="B185" t="s">
        <v>1768</v>
      </c>
      <c r="C185" t="s">
        <v>1861</v>
      </c>
      <c r="D185">
        <v>4</v>
      </c>
      <c r="E185">
        <v>229.68</v>
      </c>
      <c r="F185">
        <v>229.68</v>
      </c>
      <c r="G185" t="s">
        <v>1862</v>
      </c>
      <c r="H185" t="s">
        <v>2054</v>
      </c>
      <c r="I185" t="s">
        <v>1903</v>
      </c>
      <c r="J185" t="s">
        <v>2055</v>
      </c>
      <c r="L185" t="s">
        <v>1863</v>
      </c>
    </row>
    <row r="186" spans="1:12" x14ac:dyDescent="0.2">
      <c r="A186" t="s">
        <v>1767</v>
      </c>
      <c r="B186" t="s">
        <v>1768</v>
      </c>
      <c r="C186" t="s">
        <v>1861</v>
      </c>
      <c r="D186">
        <v>4</v>
      </c>
      <c r="E186">
        <v>448</v>
      </c>
      <c r="F186">
        <v>448</v>
      </c>
      <c r="G186" t="s">
        <v>1862</v>
      </c>
      <c r="H186" t="s">
        <v>2056</v>
      </c>
      <c r="I186" t="s">
        <v>1903</v>
      </c>
      <c r="J186" t="s">
        <v>2057</v>
      </c>
      <c r="L186" t="s">
        <v>1863</v>
      </c>
    </row>
    <row r="187" spans="1:12" x14ac:dyDescent="0.2">
      <c r="A187" t="s">
        <v>1767</v>
      </c>
      <c r="B187" t="s">
        <v>1768</v>
      </c>
      <c r="C187" t="s">
        <v>1861</v>
      </c>
      <c r="D187">
        <v>4</v>
      </c>
      <c r="E187">
        <v>14835</v>
      </c>
      <c r="F187">
        <v>14835</v>
      </c>
      <c r="G187" t="s">
        <v>1862</v>
      </c>
      <c r="H187" t="s">
        <v>2058</v>
      </c>
      <c r="I187" t="s">
        <v>1903</v>
      </c>
      <c r="J187" t="s">
        <v>2059</v>
      </c>
      <c r="L187" t="s">
        <v>1863</v>
      </c>
    </row>
    <row r="188" spans="1:12" x14ac:dyDescent="0.2">
      <c r="A188" t="s">
        <v>1767</v>
      </c>
      <c r="B188" t="s">
        <v>1768</v>
      </c>
      <c r="C188" t="s">
        <v>1861</v>
      </c>
      <c r="D188">
        <v>4</v>
      </c>
      <c r="E188">
        <v>70</v>
      </c>
      <c r="F188">
        <v>70</v>
      </c>
      <c r="G188" t="s">
        <v>1862</v>
      </c>
      <c r="H188" t="s">
        <v>2060</v>
      </c>
      <c r="I188" t="s">
        <v>1903</v>
      </c>
      <c r="J188" t="s">
        <v>2061</v>
      </c>
      <c r="L188" t="s">
        <v>1863</v>
      </c>
    </row>
    <row r="189" spans="1:12" x14ac:dyDescent="0.2">
      <c r="A189" t="s">
        <v>1767</v>
      </c>
      <c r="B189" t="s">
        <v>1768</v>
      </c>
      <c r="C189" t="s">
        <v>1861</v>
      </c>
      <c r="D189">
        <v>4</v>
      </c>
      <c r="E189">
        <v>98.32</v>
      </c>
      <c r="F189">
        <v>98.32</v>
      </c>
      <c r="G189" t="s">
        <v>1862</v>
      </c>
      <c r="H189" t="s">
        <v>2037</v>
      </c>
      <c r="I189" t="s">
        <v>1903</v>
      </c>
      <c r="J189" t="s">
        <v>2062</v>
      </c>
      <c r="L189" t="s">
        <v>1863</v>
      </c>
    </row>
    <row r="190" spans="1:12" x14ac:dyDescent="0.2">
      <c r="A190" t="s">
        <v>1767</v>
      </c>
      <c r="B190" t="s">
        <v>1768</v>
      </c>
      <c r="C190" t="s">
        <v>1861</v>
      </c>
      <c r="D190">
        <v>4</v>
      </c>
      <c r="E190">
        <v>300</v>
      </c>
      <c r="F190">
        <v>300</v>
      </c>
      <c r="G190" t="s">
        <v>1862</v>
      </c>
      <c r="H190" t="s">
        <v>2063</v>
      </c>
      <c r="I190" t="s">
        <v>1903</v>
      </c>
      <c r="J190" t="s">
        <v>2064</v>
      </c>
      <c r="L190" t="s">
        <v>1863</v>
      </c>
    </row>
    <row r="191" spans="1:12" x14ac:dyDescent="0.2">
      <c r="A191" t="s">
        <v>1767</v>
      </c>
      <c r="B191" t="s">
        <v>1768</v>
      </c>
      <c r="C191" t="s">
        <v>1861</v>
      </c>
      <c r="D191">
        <v>4</v>
      </c>
      <c r="E191">
        <v>41.96</v>
      </c>
      <c r="F191">
        <v>41.96</v>
      </c>
      <c r="G191" t="s">
        <v>1862</v>
      </c>
      <c r="H191" t="s">
        <v>2041</v>
      </c>
      <c r="I191" t="s">
        <v>1903</v>
      </c>
      <c r="J191" t="s">
        <v>2042</v>
      </c>
      <c r="L191" t="s">
        <v>1863</v>
      </c>
    </row>
    <row r="192" spans="1:12" x14ac:dyDescent="0.2">
      <c r="A192" t="s">
        <v>1767</v>
      </c>
      <c r="B192" t="s">
        <v>1768</v>
      </c>
      <c r="C192" t="s">
        <v>1861</v>
      </c>
      <c r="D192">
        <v>4</v>
      </c>
      <c r="E192">
        <v>300</v>
      </c>
      <c r="F192">
        <v>300</v>
      </c>
      <c r="G192" t="s">
        <v>1862</v>
      </c>
      <c r="H192" t="s">
        <v>2063</v>
      </c>
      <c r="I192" t="s">
        <v>1903</v>
      </c>
      <c r="J192" t="s">
        <v>2065</v>
      </c>
      <c r="L192" t="s">
        <v>1863</v>
      </c>
    </row>
    <row r="193" spans="1:12" x14ac:dyDescent="0.2">
      <c r="A193" t="s">
        <v>1767</v>
      </c>
      <c r="B193" t="s">
        <v>1768</v>
      </c>
      <c r="C193" t="s">
        <v>1861</v>
      </c>
      <c r="D193">
        <v>4</v>
      </c>
      <c r="E193">
        <v>43.32</v>
      </c>
      <c r="F193">
        <v>43.32</v>
      </c>
      <c r="G193" t="s">
        <v>1862</v>
      </c>
      <c r="H193" t="s">
        <v>1977</v>
      </c>
      <c r="I193" t="s">
        <v>1903</v>
      </c>
      <c r="J193" t="s">
        <v>1978</v>
      </c>
      <c r="L193" t="s">
        <v>1863</v>
      </c>
    </row>
    <row r="194" spans="1:12" x14ac:dyDescent="0.2">
      <c r="A194" t="s">
        <v>1767</v>
      </c>
      <c r="B194" t="s">
        <v>1768</v>
      </c>
      <c r="C194" t="s">
        <v>1861</v>
      </c>
      <c r="D194">
        <v>4</v>
      </c>
      <c r="E194">
        <v>152</v>
      </c>
      <c r="F194">
        <v>152</v>
      </c>
      <c r="G194" t="s">
        <v>1862</v>
      </c>
      <c r="H194" t="s">
        <v>2066</v>
      </c>
      <c r="I194" t="s">
        <v>1903</v>
      </c>
      <c r="J194" t="s">
        <v>2067</v>
      </c>
      <c r="L194" t="s">
        <v>1863</v>
      </c>
    </row>
    <row r="195" spans="1:12" x14ac:dyDescent="0.2">
      <c r="A195" t="s">
        <v>1767</v>
      </c>
      <c r="B195" t="s">
        <v>1768</v>
      </c>
      <c r="C195" t="s">
        <v>1861</v>
      </c>
      <c r="D195">
        <v>4</v>
      </c>
      <c r="E195">
        <v>5319</v>
      </c>
      <c r="F195">
        <v>5319</v>
      </c>
      <c r="G195" t="s">
        <v>1862</v>
      </c>
      <c r="H195" t="s">
        <v>2068</v>
      </c>
      <c r="I195" t="s">
        <v>1903</v>
      </c>
      <c r="J195" t="s">
        <v>2069</v>
      </c>
      <c r="L195" t="s">
        <v>1863</v>
      </c>
    </row>
    <row r="196" spans="1:12" x14ac:dyDescent="0.2">
      <c r="A196" t="s">
        <v>1767</v>
      </c>
      <c r="B196" t="s">
        <v>1768</v>
      </c>
      <c r="C196" t="s">
        <v>1861</v>
      </c>
      <c r="D196">
        <v>4</v>
      </c>
      <c r="E196">
        <v>6.88</v>
      </c>
      <c r="F196">
        <v>6.88</v>
      </c>
      <c r="G196" t="s">
        <v>1862</v>
      </c>
      <c r="H196" t="s">
        <v>2043</v>
      </c>
      <c r="I196" t="s">
        <v>1903</v>
      </c>
      <c r="J196" t="s">
        <v>2044</v>
      </c>
      <c r="L196" t="s">
        <v>1863</v>
      </c>
    </row>
    <row r="197" spans="1:12" x14ac:dyDescent="0.2">
      <c r="A197" t="s">
        <v>1767</v>
      </c>
      <c r="B197" t="s">
        <v>1768</v>
      </c>
      <c r="C197" t="s">
        <v>1861</v>
      </c>
      <c r="D197">
        <v>4</v>
      </c>
      <c r="E197">
        <v>43.32</v>
      </c>
      <c r="F197">
        <v>43.32</v>
      </c>
      <c r="G197" t="s">
        <v>1862</v>
      </c>
      <c r="H197" t="s">
        <v>1977</v>
      </c>
      <c r="I197" t="s">
        <v>1903</v>
      </c>
      <c r="J197" t="s">
        <v>1978</v>
      </c>
      <c r="L197" t="s">
        <v>1863</v>
      </c>
    </row>
    <row r="198" spans="1:12" x14ac:dyDescent="0.2">
      <c r="A198" t="s">
        <v>1767</v>
      </c>
      <c r="B198" t="s">
        <v>1768</v>
      </c>
      <c r="C198" t="s">
        <v>1861</v>
      </c>
      <c r="D198">
        <v>4</v>
      </c>
      <c r="E198">
        <v>105.64</v>
      </c>
      <c r="F198">
        <v>105.64</v>
      </c>
      <c r="G198" t="s">
        <v>1862</v>
      </c>
      <c r="H198" t="s">
        <v>2070</v>
      </c>
      <c r="I198" t="s">
        <v>1903</v>
      </c>
      <c r="J198" t="s">
        <v>2071</v>
      </c>
      <c r="L198" t="s">
        <v>1863</v>
      </c>
    </row>
    <row r="199" spans="1:12" x14ac:dyDescent="0.2">
      <c r="A199" t="s">
        <v>1767</v>
      </c>
      <c r="B199" t="s">
        <v>1768</v>
      </c>
      <c r="C199" t="s">
        <v>1861</v>
      </c>
      <c r="D199">
        <v>4</v>
      </c>
      <c r="E199">
        <v>297.45999999999998</v>
      </c>
      <c r="F199">
        <v>297.45999999999998</v>
      </c>
      <c r="G199" t="s">
        <v>1862</v>
      </c>
      <c r="H199" t="s">
        <v>1997</v>
      </c>
      <c r="I199" t="s">
        <v>1903</v>
      </c>
      <c r="J199" t="s">
        <v>1998</v>
      </c>
      <c r="L199" t="s">
        <v>1863</v>
      </c>
    </row>
    <row r="200" spans="1:12" x14ac:dyDescent="0.2">
      <c r="A200" t="s">
        <v>1767</v>
      </c>
      <c r="B200" t="s">
        <v>1768</v>
      </c>
      <c r="C200" t="s">
        <v>1861</v>
      </c>
      <c r="D200">
        <v>4</v>
      </c>
      <c r="E200">
        <v>297.45999999999998</v>
      </c>
      <c r="F200">
        <v>297.45999999999998</v>
      </c>
      <c r="G200" t="s">
        <v>1862</v>
      </c>
      <c r="H200" t="s">
        <v>1997</v>
      </c>
      <c r="I200" t="s">
        <v>1903</v>
      </c>
      <c r="J200" t="s">
        <v>1998</v>
      </c>
      <c r="L200" t="s">
        <v>1863</v>
      </c>
    </row>
    <row r="201" spans="1:12" x14ac:dyDescent="0.2">
      <c r="A201" t="s">
        <v>1767</v>
      </c>
      <c r="B201" t="s">
        <v>1768</v>
      </c>
      <c r="C201" t="s">
        <v>1861</v>
      </c>
      <c r="D201">
        <v>4</v>
      </c>
      <c r="E201">
        <v>-297.45999999999998</v>
      </c>
      <c r="F201">
        <v>-297.45999999999998</v>
      </c>
      <c r="G201" t="s">
        <v>1862</v>
      </c>
      <c r="H201" t="s">
        <v>1999</v>
      </c>
      <c r="I201" t="s">
        <v>1903</v>
      </c>
      <c r="J201" t="s">
        <v>2000</v>
      </c>
      <c r="L201" t="s">
        <v>1863</v>
      </c>
    </row>
    <row r="202" spans="1:12" x14ac:dyDescent="0.2">
      <c r="A202" t="s">
        <v>1767</v>
      </c>
      <c r="B202" t="s">
        <v>1768</v>
      </c>
      <c r="C202" t="s">
        <v>1861</v>
      </c>
      <c r="D202">
        <v>4</v>
      </c>
      <c r="E202">
        <v>297.45999999999998</v>
      </c>
      <c r="F202">
        <v>297.45999999999998</v>
      </c>
      <c r="G202" t="s">
        <v>1862</v>
      </c>
      <c r="H202" t="s">
        <v>1997</v>
      </c>
      <c r="I202" t="s">
        <v>1903</v>
      </c>
      <c r="J202" t="s">
        <v>1998</v>
      </c>
      <c r="L202" t="s">
        <v>1863</v>
      </c>
    </row>
    <row r="203" spans="1:12" x14ac:dyDescent="0.2">
      <c r="A203" t="s">
        <v>1767</v>
      </c>
      <c r="B203" t="s">
        <v>1768</v>
      </c>
      <c r="C203" t="s">
        <v>1861</v>
      </c>
      <c r="D203">
        <v>4</v>
      </c>
      <c r="E203">
        <v>0</v>
      </c>
      <c r="F203">
        <v>0</v>
      </c>
      <c r="G203" t="s">
        <v>1862</v>
      </c>
      <c r="H203" t="s">
        <v>1864</v>
      </c>
      <c r="I203" t="s">
        <v>1903</v>
      </c>
      <c r="J203" t="s">
        <v>2072</v>
      </c>
      <c r="L203" t="s">
        <v>1863</v>
      </c>
    </row>
    <row r="204" spans="1:12" x14ac:dyDescent="0.2">
      <c r="A204" t="s">
        <v>1767</v>
      </c>
      <c r="B204" t="s">
        <v>1768</v>
      </c>
      <c r="C204" t="s">
        <v>1861</v>
      </c>
      <c r="D204">
        <v>4</v>
      </c>
      <c r="E204">
        <v>18.16</v>
      </c>
      <c r="F204">
        <v>18.16</v>
      </c>
      <c r="G204" t="s">
        <v>1862</v>
      </c>
      <c r="H204" t="s">
        <v>2073</v>
      </c>
      <c r="I204" t="s">
        <v>1903</v>
      </c>
      <c r="J204" t="s">
        <v>2074</v>
      </c>
      <c r="L204" t="s">
        <v>1863</v>
      </c>
    </row>
    <row r="205" spans="1:12" x14ac:dyDescent="0.2">
      <c r="A205" t="s">
        <v>1767</v>
      </c>
      <c r="B205" t="s">
        <v>1768</v>
      </c>
      <c r="C205" t="s">
        <v>1861</v>
      </c>
      <c r="D205">
        <v>4</v>
      </c>
      <c r="E205">
        <v>1</v>
      </c>
      <c r="F205">
        <v>1</v>
      </c>
      <c r="G205" t="s">
        <v>1862</v>
      </c>
      <c r="H205" t="s">
        <v>2075</v>
      </c>
      <c r="I205" t="s">
        <v>1903</v>
      </c>
      <c r="J205" t="s">
        <v>2076</v>
      </c>
      <c r="L205" t="s">
        <v>1863</v>
      </c>
    </row>
    <row r="206" spans="1:12" x14ac:dyDescent="0.2">
      <c r="A206" t="s">
        <v>1767</v>
      </c>
      <c r="B206" t="s">
        <v>1768</v>
      </c>
      <c r="C206" t="s">
        <v>1861</v>
      </c>
      <c r="D206">
        <v>4</v>
      </c>
      <c r="E206">
        <v>12389</v>
      </c>
      <c r="F206">
        <v>12389</v>
      </c>
      <c r="G206" t="s">
        <v>1862</v>
      </c>
      <c r="H206" t="s">
        <v>2077</v>
      </c>
      <c r="I206" t="s">
        <v>1903</v>
      </c>
      <c r="J206" t="s">
        <v>2078</v>
      </c>
      <c r="L206" t="s">
        <v>1863</v>
      </c>
    </row>
    <row r="207" spans="1:12" x14ac:dyDescent="0.2">
      <c r="A207" t="s">
        <v>1767</v>
      </c>
      <c r="B207" t="s">
        <v>1768</v>
      </c>
      <c r="C207" t="s">
        <v>1861</v>
      </c>
      <c r="D207">
        <v>4</v>
      </c>
      <c r="E207">
        <v>148.44</v>
      </c>
      <c r="F207">
        <v>148.44</v>
      </c>
      <c r="G207" t="s">
        <v>1862</v>
      </c>
      <c r="H207" t="s">
        <v>1971</v>
      </c>
      <c r="I207" t="s">
        <v>1903</v>
      </c>
      <c r="J207" t="s">
        <v>1972</v>
      </c>
      <c r="L207" t="s">
        <v>1863</v>
      </c>
    </row>
    <row r="208" spans="1:12" x14ac:dyDescent="0.2">
      <c r="A208" t="s">
        <v>1767</v>
      </c>
      <c r="B208" t="s">
        <v>1768</v>
      </c>
      <c r="C208" t="s">
        <v>1861</v>
      </c>
      <c r="D208">
        <v>4</v>
      </c>
      <c r="E208">
        <v>43.32</v>
      </c>
      <c r="F208">
        <v>43.32</v>
      </c>
      <c r="G208" t="s">
        <v>1862</v>
      </c>
      <c r="H208" t="s">
        <v>1977</v>
      </c>
      <c r="I208" t="s">
        <v>1903</v>
      </c>
      <c r="J208" t="s">
        <v>1978</v>
      </c>
      <c r="L208" t="s">
        <v>1863</v>
      </c>
    </row>
    <row r="209" spans="1:12" x14ac:dyDescent="0.2">
      <c r="A209" t="s">
        <v>1767</v>
      </c>
      <c r="B209" t="s">
        <v>1768</v>
      </c>
      <c r="C209" t="s">
        <v>1861</v>
      </c>
      <c r="D209">
        <v>4</v>
      </c>
      <c r="E209">
        <v>80.25</v>
      </c>
      <c r="F209">
        <v>80.25</v>
      </c>
      <c r="G209" t="s">
        <v>1862</v>
      </c>
      <c r="H209" t="s">
        <v>2079</v>
      </c>
      <c r="I209" t="s">
        <v>1903</v>
      </c>
      <c r="J209" t="s">
        <v>2080</v>
      </c>
      <c r="L209" t="s">
        <v>1863</v>
      </c>
    </row>
    <row r="210" spans="1:12" x14ac:dyDescent="0.2">
      <c r="A210" t="s">
        <v>1767</v>
      </c>
      <c r="B210" t="s">
        <v>1768</v>
      </c>
      <c r="C210" t="s">
        <v>1861</v>
      </c>
      <c r="D210">
        <v>4</v>
      </c>
      <c r="E210">
        <v>42.8</v>
      </c>
      <c r="F210">
        <v>42.8</v>
      </c>
      <c r="G210" t="s">
        <v>1862</v>
      </c>
      <c r="H210" t="s">
        <v>1965</v>
      </c>
      <c r="I210" t="s">
        <v>1903</v>
      </c>
      <c r="J210" t="s">
        <v>2081</v>
      </c>
      <c r="L210" t="s">
        <v>1863</v>
      </c>
    </row>
    <row r="211" spans="1:12" x14ac:dyDescent="0.2">
      <c r="A211" t="s">
        <v>1767</v>
      </c>
      <c r="B211" t="s">
        <v>1768</v>
      </c>
      <c r="C211" t="s">
        <v>1861</v>
      </c>
      <c r="D211">
        <v>4</v>
      </c>
      <c r="E211">
        <v>21.4</v>
      </c>
      <c r="F211">
        <v>21.4</v>
      </c>
      <c r="G211" t="s">
        <v>1862</v>
      </c>
      <c r="H211" t="s">
        <v>2082</v>
      </c>
      <c r="I211" t="s">
        <v>1903</v>
      </c>
      <c r="J211" t="s">
        <v>2083</v>
      </c>
      <c r="L211" t="s">
        <v>1863</v>
      </c>
    </row>
    <row r="212" spans="1:12" x14ac:dyDescent="0.2">
      <c r="A212" t="s">
        <v>1767</v>
      </c>
      <c r="B212" t="s">
        <v>1768</v>
      </c>
      <c r="C212" t="s">
        <v>1861</v>
      </c>
      <c r="D212">
        <v>4</v>
      </c>
      <c r="E212">
        <v>86.64</v>
      </c>
      <c r="F212">
        <v>86.64</v>
      </c>
      <c r="G212" t="s">
        <v>1862</v>
      </c>
      <c r="H212" t="s">
        <v>2084</v>
      </c>
      <c r="I212" t="s">
        <v>1903</v>
      </c>
      <c r="J212" t="s">
        <v>2085</v>
      </c>
      <c r="L212" t="s">
        <v>1863</v>
      </c>
    </row>
    <row r="213" spans="1:12" x14ac:dyDescent="0.2">
      <c r="A213" t="s">
        <v>1767</v>
      </c>
      <c r="B213" t="s">
        <v>1768</v>
      </c>
      <c r="C213" t="s">
        <v>1861</v>
      </c>
      <c r="D213">
        <v>4</v>
      </c>
      <c r="E213">
        <v>43.32</v>
      </c>
      <c r="F213">
        <v>43.32</v>
      </c>
      <c r="G213" t="s">
        <v>1862</v>
      </c>
      <c r="H213" t="s">
        <v>1977</v>
      </c>
      <c r="I213" t="s">
        <v>1903</v>
      </c>
      <c r="J213" t="s">
        <v>1978</v>
      </c>
      <c r="L213" t="s">
        <v>1863</v>
      </c>
    </row>
    <row r="214" spans="1:12" x14ac:dyDescent="0.2">
      <c r="A214" t="s">
        <v>1767</v>
      </c>
      <c r="B214" t="s">
        <v>1768</v>
      </c>
      <c r="C214" t="s">
        <v>1861</v>
      </c>
      <c r="D214">
        <v>4</v>
      </c>
      <c r="E214">
        <v>813.2</v>
      </c>
      <c r="F214">
        <v>813.2</v>
      </c>
      <c r="G214" t="s">
        <v>1862</v>
      </c>
      <c r="H214" t="s">
        <v>2086</v>
      </c>
      <c r="I214" t="s">
        <v>1903</v>
      </c>
      <c r="J214" t="s">
        <v>2087</v>
      </c>
      <c r="L214" t="s">
        <v>1863</v>
      </c>
    </row>
    <row r="215" spans="1:12" x14ac:dyDescent="0.2">
      <c r="A215" t="s">
        <v>1767</v>
      </c>
      <c r="B215" t="s">
        <v>1768</v>
      </c>
      <c r="C215" t="s">
        <v>1861</v>
      </c>
      <c r="D215">
        <v>4</v>
      </c>
      <c r="E215">
        <v>72.760000000000005</v>
      </c>
      <c r="F215">
        <v>72.760000000000005</v>
      </c>
      <c r="G215" t="s">
        <v>1862</v>
      </c>
      <c r="H215" t="s">
        <v>2008</v>
      </c>
      <c r="I215" t="s">
        <v>1903</v>
      </c>
      <c r="J215" t="s">
        <v>2009</v>
      </c>
      <c r="L215" t="s">
        <v>1863</v>
      </c>
    </row>
    <row r="216" spans="1:12" x14ac:dyDescent="0.2">
      <c r="A216" t="s">
        <v>1767</v>
      </c>
      <c r="B216" t="s">
        <v>1768</v>
      </c>
      <c r="C216" t="s">
        <v>1861</v>
      </c>
      <c r="D216">
        <v>4</v>
      </c>
      <c r="E216">
        <v>797.15</v>
      </c>
      <c r="F216">
        <v>797.15</v>
      </c>
      <c r="G216" t="s">
        <v>1862</v>
      </c>
      <c r="H216" t="s">
        <v>2088</v>
      </c>
      <c r="I216" t="s">
        <v>1903</v>
      </c>
      <c r="J216" t="s">
        <v>2089</v>
      </c>
      <c r="L216" t="s">
        <v>1863</v>
      </c>
    </row>
    <row r="217" spans="1:12" x14ac:dyDescent="0.2">
      <c r="A217" t="s">
        <v>1767</v>
      </c>
      <c r="B217" t="s">
        <v>1768</v>
      </c>
      <c r="C217" t="s">
        <v>1861</v>
      </c>
      <c r="D217">
        <v>4</v>
      </c>
      <c r="E217">
        <v>5.28</v>
      </c>
      <c r="F217">
        <v>5.28</v>
      </c>
      <c r="G217" t="s">
        <v>1862</v>
      </c>
      <c r="H217" t="s">
        <v>2090</v>
      </c>
      <c r="I217" t="s">
        <v>1903</v>
      </c>
      <c r="J217" t="s">
        <v>2091</v>
      </c>
      <c r="L217" t="s">
        <v>1863</v>
      </c>
    </row>
    <row r="218" spans="1:12" x14ac:dyDescent="0.2">
      <c r="A218" t="s">
        <v>1767</v>
      </c>
      <c r="B218" t="s">
        <v>1768</v>
      </c>
      <c r="C218" t="s">
        <v>1861</v>
      </c>
      <c r="D218">
        <v>4</v>
      </c>
      <c r="E218">
        <v>46.32</v>
      </c>
      <c r="F218">
        <v>46.32</v>
      </c>
      <c r="G218" t="s">
        <v>1862</v>
      </c>
      <c r="H218" t="s">
        <v>2092</v>
      </c>
      <c r="I218" t="s">
        <v>1903</v>
      </c>
      <c r="J218" t="s">
        <v>2093</v>
      </c>
      <c r="L218" t="s">
        <v>1863</v>
      </c>
    </row>
    <row r="219" spans="1:12" x14ac:dyDescent="0.2">
      <c r="A219" t="s">
        <v>1767</v>
      </c>
      <c r="B219" t="s">
        <v>1768</v>
      </c>
      <c r="C219" t="s">
        <v>1861</v>
      </c>
      <c r="D219">
        <v>4</v>
      </c>
      <c r="E219">
        <v>6.3</v>
      </c>
      <c r="F219">
        <v>6.3</v>
      </c>
      <c r="G219" t="s">
        <v>1862</v>
      </c>
      <c r="H219" t="s">
        <v>1988</v>
      </c>
      <c r="I219" t="s">
        <v>1903</v>
      </c>
      <c r="J219" t="s">
        <v>1989</v>
      </c>
      <c r="L219" t="s">
        <v>1863</v>
      </c>
    </row>
    <row r="220" spans="1:12" x14ac:dyDescent="0.2">
      <c r="A220" t="s">
        <v>1767</v>
      </c>
      <c r="B220" t="s">
        <v>1768</v>
      </c>
      <c r="C220" t="s">
        <v>1861</v>
      </c>
      <c r="D220">
        <v>4</v>
      </c>
      <c r="E220">
        <v>80.25</v>
      </c>
      <c r="F220">
        <v>80.25</v>
      </c>
      <c r="G220" t="s">
        <v>1862</v>
      </c>
      <c r="H220" t="s">
        <v>2079</v>
      </c>
      <c r="I220" t="s">
        <v>1903</v>
      </c>
      <c r="J220" t="s">
        <v>2094</v>
      </c>
      <c r="L220" t="s">
        <v>1863</v>
      </c>
    </row>
    <row r="221" spans="1:12" x14ac:dyDescent="0.2">
      <c r="A221" t="s">
        <v>1767</v>
      </c>
      <c r="B221" t="s">
        <v>1768</v>
      </c>
      <c r="C221" t="s">
        <v>1861</v>
      </c>
      <c r="D221">
        <v>4</v>
      </c>
      <c r="E221">
        <v>42.8</v>
      </c>
      <c r="F221">
        <v>42.8</v>
      </c>
      <c r="G221" t="s">
        <v>1862</v>
      </c>
      <c r="H221" t="s">
        <v>1965</v>
      </c>
      <c r="I221" t="s">
        <v>1903</v>
      </c>
      <c r="J221" t="s">
        <v>2095</v>
      </c>
      <c r="L221" t="s">
        <v>1863</v>
      </c>
    </row>
    <row r="222" spans="1:12" x14ac:dyDescent="0.2">
      <c r="A222" t="s">
        <v>1767</v>
      </c>
      <c r="B222" t="s">
        <v>1768</v>
      </c>
      <c r="C222" t="s">
        <v>1861</v>
      </c>
      <c r="D222">
        <v>4</v>
      </c>
      <c r="E222">
        <v>3.84</v>
      </c>
      <c r="F222">
        <v>3.84</v>
      </c>
      <c r="G222" t="s">
        <v>1862</v>
      </c>
      <c r="H222" t="s">
        <v>2096</v>
      </c>
      <c r="I222" t="s">
        <v>1903</v>
      </c>
      <c r="J222" t="s">
        <v>2097</v>
      </c>
      <c r="L222" t="s">
        <v>1863</v>
      </c>
    </row>
    <row r="223" spans="1:12" x14ac:dyDescent="0.2">
      <c r="A223" t="s">
        <v>1767</v>
      </c>
      <c r="B223" t="s">
        <v>1768</v>
      </c>
      <c r="C223" t="s">
        <v>1861</v>
      </c>
      <c r="D223">
        <v>4</v>
      </c>
      <c r="E223">
        <v>64.2</v>
      </c>
      <c r="F223">
        <v>64.2</v>
      </c>
      <c r="G223" t="s">
        <v>1862</v>
      </c>
      <c r="H223" t="s">
        <v>2098</v>
      </c>
      <c r="I223" t="s">
        <v>1903</v>
      </c>
      <c r="J223" t="s">
        <v>2099</v>
      </c>
      <c r="L223" t="s">
        <v>1863</v>
      </c>
    </row>
    <row r="224" spans="1:12" x14ac:dyDescent="0.2">
      <c r="A224" t="s">
        <v>1767</v>
      </c>
      <c r="B224" t="s">
        <v>1768</v>
      </c>
      <c r="C224" t="s">
        <v>1861</v>
      </c>
      <c r="D224">
        <v>4</v>
      </c>
      <c r="E224">
        <v>5.85</v>
      </c>
      <c r="F224">
        <v>5.85</v>
      </c>
      <c r="G224" t="s">
        <v>1862</v>
      </c>
      <c r="H224" t="s">
        <v>2100</v>
      </c>
      <c r="I224" t="s">
        <v>1903</v>
      </c>
      <c r="J224" t="s">
        <v>2101</v>
      </c>
      <c r="L224" t="s">
        <v>1863</v>
      </c>
    </row>
    <row r="225" spans="1:12" x14ac:dyDescent="0.2">
      <c r="A225" t="s">
        <v>1767</v>
      </c>
      <c r="B225" t="s">
        <v>1768</v>
      </c>
      <c r="C225" t="s">
        <v>1861</v>
      </c>
      <c r="D225">
        <v>4</v>
      </c>
      <c r="E225">
        <v>1019</v>
      </c>
      <c r="F225">
        <v>1019</v>
      </c>
      <c r="G225" t="s">
        <v>1862</v>
      </c>
      <c r="H225" t="s">
        <v>2102</v>
      </c>
      <c r="I225" t="s">
        <v>1903</v>
      </c>
      <c r="J225" t="s">
        <v>2103</v>
      </c>
      <c r="L225" t="s">
        <v>1863</v>
      </c>
    </row>
    <row r="226" spans="1:12" x14ac:dyDescent="0.2">
      <c r="A226" t="s">
        <v>1767</v>
      </c>
      <c r="B226" t="s">
        <v>1768</v>
      </c>
      <c r="C226" t="s">
        <v>1861</v>
      </c>
      <c r="D226">
        <v>4</v>
      </c>
      <c r="E226">
        <v>21.4</v>
      </c>
      <c r="F226">
        <v>21.4</v>
      </c>
      <c r="G226" t="s">
        <v>1862</v>
      </c>
      <c r="H226" t="s">
        <v>2082</v>
      </c>
      <c r="I226" t="s">
        <v>1903</v>
      </c>
      <c r="J226" t="s">
        <v>2083</v>
      </c>
      <c r="L226" t="s">
        <v>1863</v>
      </c>
    </row>
    <row r="227" spans="1:12" x14ac:dyDescent="0.2">
      <c r="A227" t="s">
        <v>1767</v>
      </c>
      <c r="B227" t="s">
        <v>1768</v>
      </c>
      <c r="C227" t="s">
        <v>1861</v>
      </c>
      <c r="D227">
        <v>4</v>
      </c>
      <c r="E227">
        <v>21.66</v>
      </c>
      <c r="F227">
        <v>21.66</v>
      </c>
      <c r="G227" t="s">
        <v>1862</v>
      </c>
      <c r="H227" t="s">
        <v>2104</v>
      </c>
      <c r="I227" t="s">
        <v>1903</v>
      </c>
      <c r="J227" t="s">
        <v>2105</v>
      </c>
      <c r="L227" t="s">
        <v>1863</v>
      </c>
    </row>
    <row r="228" spans="1:12" x14ac:dyDescent="0.2">
      <c r="A228" t="s">
        <v>1767</v>
      </c>
      <c r="B228" t="s">
        <v>1768</v>
      </c>
      <c r="C228" t="s">
        <v>1861</v>
      </c>
      <c r="D228">
        <v>4</v>
      </c>
      <c r="E228">
        <v>159.43</v>
      </c>
      <c r="F228">
        <v>159.43</v>
      </c>
      <c r="G228" t="s">
        <v>1862</v>
      </c>
      <c r="H228" t="s">
        <v>2106</v>
      </c>
      <c r="I228" t="s">
        <v>1903</v>
      </c>
      <c r="J228" t="s">
        <v>2107</v>
      </c>
      <c r="L228" t="s">
        <v>1863</v>
      </c>
    </row>
    <row r="229" spans="1:12" x14ac:dyDescent="0.2">
      <c r="A229" t="s">
        <v>1767</v>
      </c>
      <c r="B229" t="s">
        <v>1768</v>
      </c>
      <c r="C229" t="s">
        <v>1861</v>
      </c>
      <c r="D229">
        <v>4</v>
      </c>
      <c r="E229">
        <v>612</v>
      </c>
      <c r="F229">
        <v>612</v>
      </c>
      <c r="G229" t="s">
        <v>1862</v>
      </c>
      <c r="H229" t="s">
        <v>2108</v>
      </c>
      <c r="I229" t="s">
        <v>1903</v>
      </c>
      <c r="J229" t="s">
        <v>2109</v>
      </c>
      <c r="L229" t="s">
        <v>1863</v>
      </c>
    </row>
    <row r="230" spans="1:12" x14ac:dyDescent="0.2">
      <c r="A230" t="s">
        <v>1767</v>
      </c>
      <c r="B230" t="s">
        <v>1768</v>
      </c>
      <c r="C230" t="s">
        <v>1861</v>
      </c>
      <c r="D230">
        <v>4</v>
      </c>
      <c r="E230">
        <v>21.4</v>
      </c>
      <c r="F230">
        <v>21.4</v>
      </c>
      <c r="G230" t="s">
        <v>1862</v>
      </c>
      <c r="H230" t="s">
        <v>2082</v>
      </c>
      <c r="I230" t="s">
        <v>1903</v>
      </c>
      <c r="J230" t="s">
        <v>2110</v>
      </c>
      <c r="L230" t="s">
        <v>1863</v>
      </c>
    </row>
    <row r="231" spans="1:12" x14ac:dyDescent="0.2">
      <c r="A231" t="s">
        <v>1767</v>
      </c>
      <c r="B231" t="s">
        <v>1768</v>
      </c>
      <c r="C231" t="s">
        <v>1861</v>
      </c>
      <c r="D231">
        <v>4</v>
      </c>
      <c r="E231">
        <v>21.66</v>
      </c>
      <c r="F231">
        <v>21.66</v>
      </c>
      <c r="G231" t="s">
        <v>1862</v>
      </c>
      <c r="H231" t="s">
        <v>2104</v>
      </c>
      <c r="I231" t="s">
        <v>1903</v>
      </c>
      <c r="J231" t="s">
        <v>2105</v>
      </c>
      <c r="L231" t="s">
        <v>1863</v>
      </c>
    </row>
    <row r="232" spans="1:12" x14ac:dyDescent="0.2">
      <c r="A232" t="s">
        <v>1767</v>
      </c>
      <c r="B232" t="s">
        <v>1768</v>
      </c>
      <c r="C232" t="s">
        <v>1861</v>
      </c>
      <c r="D232">
        <v>4</v>
      </c>
      <c r="E232">
        <v>159.43</v>
      </c>
      <c r="F232">
        <v>159.43</v>
      </c>
      <c r="G232" t="s">
        <v>1862</v>
      </c>
      <c r="H232" t="s">
        <v>2106</v>
      </c>
      <c r="I232" t="s">
        <v>1903</v>
      </c>
      <c r="J232" t="s">
        <v>2107</v>
      </c>
      <c r="L232" t="s">
        <v>1863</v>
      </c>
    </row>
    <row r="233" spans="1:12" x14ac:dyDescent="0.2">
      <c r="A233" t="s">
        <v>1767</v>
      </c>
      <c r="B233" t="s">
        <v>1768</v>
      </c>
      <c r="C233" t="s">
        <v>1861</v>
      </c>
      <c r="D233">
        <v>4</v>
      </c>
      <c r="E233">
        <v>1076</v>
      </c>
      <c r="F233">
        <v>1076</v>
      </c>
      <c r="G233" t="s">
        <v>1862</v>
      </c>
      <c r="H233" t="s">
        <v>2111</v>
      </c>
      <c r="I233" t="s">
        <v>1903</v>
      </c>
      <c r="J233" t="s">
        <v>2112</v>
      </c>
      <c r="L233" t="s">
        <v>1863</v>
      </c>
    </row>
    <row r="234" spans="1:12" x14ac:dyDescent="0.2">
      <c r="A234" t="s">
        <v>1767</v>
      </c>
      <c r="B234" t="s">
        <v>1768</v>
      </c>
      <c r="C234" t="s">
        <v>1861</v>
      </c>
      <c r="D234">
        <v>4</v>
      </c>
      <c r="E234">
        <v>0</v>
      </c>
      <c r="F234">
        <v>0</v>
      </c>
      <c r="G234" t="s">
        <v>1862</v>
      </c>
      <c r="H234" t="s">
        <v>1864</v>
      </c>
      <c r="I234" t="s">
        <v>1903</v>
      </c>
      <c r="J234" t="s">
        <v>2113</v>
      </c>
      <c r="L234" t="s">
        <v>1863</v>
      </c>
    </row>
    <row r="235" spans="1:12" x14ac:dyDescent="0.2">
      <c r="A235" t="s">
        <v>1767</v>
      </c>
      <c r="B235" t="s">
        <v>1768</v>
      </c>
      <c r="C235" t="s">
        <v>1861</v>
      </c>
      <c r="D235">
        <v>4</v>
      </c>
      <c r="E235">
        <v>21.4</v>
      </c>
      <c r="F235">
        <v>21.4</v>
      </c>
      <c r="G235" t="s">
        <v>1862</v>
      </c>
      <c r="H235" t="s">
        <v>2082</v>
      </c>
      <c r="I235" t="s">
        <v>1903</v>
      </c>
      <c r="J235" t="s">
        <v>2083</v>
      </c>
      <c r="L235" t="s">
        <v>1863</v>
      </c>
    </row>
    <row r="236" spans="1:12" x14ac:dyDescent="0.2">
      <c r="A236" t="s">
        <v>1767</v>
      </c>
      <c r="B236" t="s">
        <v>1768</v>
      </c>
      <c r="C236" t="s">
        <v>1861</v>
      </c>
      <c r="D236">
        <v>4</v>
      </c>
      <c r="E236">
        <v>159.43</v>
      </c>
      <c r="F236">
        <v>159.43</v>
      </c>
      <c r="G236" t="s">
        <v>1862</v>
      </c>
      <c r="H236" t="s">
        <v>2106</v>
      </c>
      <c r="I236" t="s">
        <v>1903</v>
      </c>
      <c r="J236" t="s">
        <v>2107</v>
      </c>
      <c r="L236" t="s">
        <v>1863</v>
      </c>
    </row>
    <row r="237" spans="1:12" x14ac:dyDescent="0.2">
      <c r="A237" t="s">
        <v>1767</v>
      </c>
      <c r="B237" t="s">
        <v>1768</v>
      </c>
      <c r="C237" t="s">
        <v>1861</v>
      </c>
      <c r="D237">
        <v>4</v>
      </c>
      <c r="E237">
        <v>21.66</v>
      </c>
      <c r="F237">
        <v>21.66</v>
      </c>
      <c r="G237" t="s">
        <v>1862</v>
      </c>
      <c r="H237" t="s">
        <v>2104</v>
      </c>
      <c r="I237" t="s">
        <v>1903</v>
      </c>
      <c r="J237" t="s">
        <v>2105</v>
      </c>
      <c r="L237" t="s">
        <v>1863</v>
      </c>
    </row>
    <row r="238" spans="1:12" x14ac:dyDescent="0.2">
      <c r="A238" t="s">
        <v>1767</v>
      </c>
      <c r="B238" t="s">
        <v>1768</v>
      </c>
      <c r="C238" t="s">
        <v>1861</v>
      </c>
      <c r="D238">
        <v>4</v>
      </c>
      <c r="E238">
        <v>43.32</v>
      </c>
      <c r="F238">
        <v>43.32</v>
      </c>
      <c r="G238" t="s">
        <v>1862</v>
      </c>
      <c r="H238" t="s">
        <v>1977</v>
      </c>
      <c r="I238" t="s">
        <v>1903</v>
      </c>
      <c r="J238" t="s">
        <v>1978</v>
      </c>
      <c r="L238" t="s">
        <v>1863</v>
      </c>
    </row>
    <row r="239" spans="1:12" x14ac:dyDescent="0.2">
      <c r="A239" t="s">
        <v>1767</v>
      </c>
      <c r="B239" t="s">
        <v>1768</v>
      </c>
      <c r="C239" t="s">
        <v>1861</v>
      </c>
      <c r="D239">
        <v>4</v>
      </c>
      <c r="E239">
        <v>2444</v>
      </c>
      <c r="F239">
        <v>2444</v>
      </c>
      <c r="G239" t="s">
        <v>1862</v>
      </c>
      <c r="H239" t="s">
        <v>2114</v>
      </c>
      <c r="I239" t="s">
        <v>1903</v>
      </c>
      <c r="J239" t="s">
        <v>2115</v>
      </c>
      <c r="L239" t="s">
        <v>1863</v>
      </c>
    </row>
    <row r="240" spans="1:12" x14ac:dyDescent="0.2">
      <c r="A240" t="s">
        <v>1767</v>
      </c>
      <c r="B240" t="s">
        <v>1768</v>
      </c>
      <c r="C240" t="s">
        <v>1861</v>
      </c>
      <c r="D240">
        <v>4</v>
      </c>
      <c r="E240">
        <v>64.98</v>
      </c>
      <c r="F240">
        <v>64.98</v>
      </c>
      <c r="G240" t="s">
        <v>1862</v>
      </c>
      <c r="H240" t="s">
        <v>2116</v>
      </c>
      <c r="I240" t="s">
        <v>1903</v>
      </c>
      <c r="J240" t="s">
        <v>2117</v>
      </c>
      <c r="L240" t="s">
        <v>1863</v>
      </c>
    </row>
    <row r="241" spans="1:12" x14ac:dyDescent="0.2">
      <c r="A241" t="s">
        <v>1767</v>
      </c>
      <c r="B241" t="s">
        <v>1768</v>
      </c>
      <c r="C241" t="s">
        <v>1861</v>
      </c>
      <c r="D241">
        <v>4</v>
      </c>
      <c r="E241">
        <v>43.32</v>
      </c>
      <c r="F241">
        <v>43.32</v>
      </c>
      <c r="G241" t="s">
        <v>1862</v>
      </c>
      <c r="H241" t="s">
        <v>1977</v>
      </c>
      <c r="I241" t="s">
        <v>1903</v>
      </c>
      <c r="J241" t="s">
        <v>1978</v>
      </c>
      <c r="L241" t="s">
        <v>1863</v>
      </c>
    </row>
    <row r="242" spans="1:12" x14ac:dyDescent="0.2">
      <c r="A242" t="s">
        <v>1767</v>
      </c>
      <c r="B242" t="s">
        <v>1768</v>
      </c>
      <c r="C242" t="s">
        <v>1861</v>
      </c>
      <c r="D242">
        <v>4</v>
      </c>
      <c r="E242">
        <v>148.44</v>
      </c>
      <c r="F242">
        <v>148.44</v>
      </c>
      <c r="G242" t="s">
        <v>1862</v>
      </c>
      <c r="H242" t="s">
        <v>1971</v>
      </c>
      <c r="I242" t="s">
        <v>1903</v>
      </c>
      <c r="J242" t="s">
        <v>1972</v>
      </c>
      <c r="L242" t="s">
        <v>1863</v>
      </c>
    </row>
    <row r="243" spans="1:12" x14ac:dyDescent="0.2">
      <c r="A243" t="s">
        <v>1767</v>
      </c>
      <c r="B243" t="s">
        <v>1768</v>
      </c>
      <c r="C243" t="s">
        <v>1861</v>
      </c>
      <c r="D243">
        <v>4</v>
      </c>
      <c r="E243">
        <v>5839</v>
      </c>
      <c r="F243">
        <v>5839</v>
      </c>
      <c r="G243" t="s">
        <v>1862</v>
      </c>
      <c r="H243" t="s">
        <v>2118</v>
      </c>
      <c r="I243" t="s">
        <v>1903</v>
      </c>
      <c r="J243" t="s">
        <v>2119</v>
      </c>
      <c r="L243" t="s">
        <v>1863</v>
      </c>
    </row>
    <row r="244" spans="1:12" x14ac:dyDescent="0.2">
      <c r="A244" t="s">
        <v>1767</v>
      </c>
      <c r="B244" t="s">
        <v>1768</v>
      </c>
      <c r="C244" t="s">
        <v>1861</v>
      </c>
      <c r="D244">
        <v>4</v>
      </c>
      <c r="E244">
        <v>42.8</v>
      </c>
      <c r="F244">
        <v>42.8</v>
      </c>
      <c r="G244" t="s">
        <v>1862</v>
      </c>
      <c r="H244" t="s">
        <v>1965</v>
      </c>
      <c r="I244" t="s">
        <v>1903</v>
      </c>
      <c r="J244" t="s">
        <v>2047</v>
      </c>
      <c r="L244" t="s">
        <v>1863</v>
      </c>
    </row>
    <row r="245" spans="1:12" x14ac:dyDescent="0.2">
      <c r="A245" t="s">
        <v>1767</v>
      </c>
      <c r="B245" t="s">
        <v>1768</v>
      </c>
      <c r="C245" t="s">
        <v>1861</v>
      </c>
      <c r="D245">
        <v>4</v>
      </c>
      <c r="E245">
        <v>85.6</v>
      </c>
      <c r="F245">
        <v>85.6</v>
      </c>
      <c r="G245" t="s">
        <v>1862</v>
      </c>
      <c r="H245" t="s">
        <v>1990</v>
      </c>
      <c r="I245" t="s">
        <v>1903</v>
      </c>
      <c r="J245" t="s">
        <v>1991</v>
      </c>
      <c r="L245" t="s">
        <v>1863</v>
      </c>
    </row>
    <row r="246" spans="1:12" x14ac:dyDescent="0.2">
      <c r="A246" t="s">
        <v>1767</v>
      </c>
      <c r="B246" t="s">
        <v>1768</v>
      </c>
      <c r="C246" t="s">
        <v>1861</v>
      </c>
      <c r="D246">
        <v>4</v>
      </c>
      <c r="E246">
        <v>21.66</v>
      </c>
      <c r="F246">
        <v>21.66</v>
      </c>
      <c r="G246" t="s">
        <v>1862</v>
      </c>
      <c r="H246" t="s">
        <v>2104</v>
      </c>
      <c r="I246" t="s">
        <v>1903</v>
      </c>
      <c r="J246" t="s">
        <v>2105</v>
      </c>
      <c r="L246" t="s">
        <v>1863</v>
      </c>
    </row>
    <row r="247" spans="1:12" x14ac:dyDescent="0.2">
      <c r="A247" t="s">
        <v>1767</v>
      </c>
      <c r="B247" t="s">
        <v>1768</v>
      </c>
      <c r="C247" t="s">
        <v>1861</v>
      </c>
      <c r="D247">
        <v>4</v>
      </c>
      <c r="E247">
        <v>43.32</v>
      </c>
      <c r="F247">
        <v>43.32</v>
      </c>
      <c r="G247" t="s">
        <v>1862</v>
      </c>
      <c r="H247" t="s">
        <v>1977</v>
      </c>
      <c r="I247" t="s">
        <v>1903</v>
      </c>
      <c r="J247" t="s">
        <v>1978</v>
      </c>
      <c r="L247" t="s">
        <v>1863</v>
      </c>
    </row>
    <row r="248" spans="1:12" x14ac:dyDescent="0.2">
      <c r="A248" t="s">
        <v>1767</v>
      </c>
      <c r="B248" t="s">
        <v>1768</v>
      </c>
      <c r="C248" t="s">
        <v>1861</v>
      </c>
      <c r="D248">
        <v>4</v>
      </c>
      <c r="E248">
        <v>159.43</v>
      </c>
      <c r="F248">
        <v>159.43</v>
      </c>
      <c r="G248" t="s">
        <v>1862</v>
      </c>
      <c r="H248" t="s">
        <v>2106</v>
      </c>
      <c r="I248" t="s">
        <v>1903</v>
      </c>
      <c r="J248" t="s">
        <v>2107</v>
      </c>
      <c r="L248" t="s">
        <v>1863</v>
      </c>
    </row>
    <row r="249" spans="1:12" x14ac:dyDescent="0.2">
      <c r="A249" t="s">
        <v>1767</v>
      </c>
      <c r="B249" t="s">
        <v>1768</v>
      </c>
      <c r="C249" t="s">
        <v>1861</v>
      </c>
      <c r="D249">
        <v>4</v>
      </c>
      <c r="E249">
        <v>21.4</v>
      </c>
      <c r="F249">
        <v>21.4</v>
      </c>
      <c r="G249" t="s">
        <v>1862</v>
      </c>
      <c r="H249" t="s">
        <v>2082</v>
      </c>
      <c r="I249" t="s">
        <v>1903</v>
      </c>
      <c r="J249" t="s">
        <v>2110</v>
      </c>
      <c r="L249" t="s">
        <v>1863</v>
      </c>
    </row>
    <row r="250" spans="1:12" x14ac:dyDescent="0.2">
      <c r="A250" t="s">
        <v>1767</v>
      </c>
      <c r="B250" t="s">
        <v>1768</v>
      </c>
      <c r="C250" t="s">
        <v>1861</v>
      </c>
      <c r="D250">
        <v>4</v>
      </c>
      <c r="E250">
        <v>159.43</v>
      </c>
      <c r="F250">
        <v>159.43</v>
      </c>
      <c r="G250" t="s">
        <v>1862</v>
      </c>
      <c r="H250" t="s">
        <v>2106</v>
      </c>
      <c r="I250" t="s">
        <v>1903</v>
      </c>
      <c r="J250" t="s">
        <v>2107</v>
      </c>
      <c r="L250" t="s">
        <v>1863</v>
      </c>
    </row>
    <row r="251" spans="1:12" x14ac:dyDescent="0.2">
      <c r="A251" t="s">
        <v>1767</v>
      </c>
      <c r="B251" t="s">
        <v>1768</v>
      </c>
      <c r="C251" t="s">
        <v>1861</v>
      </c>
      <c r="D251">
        <v>4</v>
      </c>
      <c r="E251">
        <v>26.75</v>
      </c>
      <c r="F251">
        <v>26.75</v>
      </c>
      <c r="G251" t="s">
        <v>1862</v>
      </c>
      <c r="H251" t="s">
        <v>2120</v>
      </c>
      <c r="I251" t="s">
        <v>1903</v>
      </c>
      <c r="J251" t="s">
        <v>2121</v>
      </c>
      <c r="L251" t="s">
        <v>1863</v>
      </c>
    </row>
    <row r="252" spans="1:12" x14ac:dyDescent="0.2">
      <c r="A252" t="s">
        <v>1767</v>
      </c>
      <c r="B252" t="s">
        <v>1768</v>
      </c>
      <c r="C252" t="s">
        <v>1861</v>
      </c>
      <c r="D252">
        <v>4</v>
      </c>
      <c r="E252">
        <v>21.2</v>
      </c>
      <c r="F252">
        <v>21.2</v>
      </c>
      <c r="G252" t="s">
        <v>1862</v>
      </c>
      <c r="H252" t="s">
        <v>2122</v>
      </c>
      <c r="I252" t="s">
        <v>1903</v>
      </c>
      <c r="J252" t="s">
        <v>2123</v>
      </c>
      <c r="L252" t="s">
        <v>1863</v>
      </c>
    </row>
    <row r="253" spans="1:12" x14ac:dyDescent="0.2">
      <c r="A253" t="s">
        <v>1767</v>
      </c>
      <c r="B253" t="s">
        <v>1768</v>
      </c>
      <c r="C253" t="s">
        <v>1861</v>
      </c>
      <c r="D253">
        <v>4</v>
      </c>
      <c r="E253">
        <v>1.6</v>
      </c>
      <c r="F253">
        <v>1.6</v>
      </c>
      <c r="G253" t="s">
        <v>1862</v>
      </c>
      <c r="H253" t="s">
        <v>2124</v>
      </c>
      <c r="I253" t="s">
        <v>1903</v>
      </c>
      <c r="J253" t="s">
        <v>2125</v>
      </c>
      <c r="L253" t="s">
        <v>1863</v>
      </c>
    </row>
    <row r="254" spans="1:12" x14ac:dyDescent="0.2">
      <c r="A254" t="s">
        <v>1767</v>
      </c>
      <c r="B254" t="s">
        <v>1768</v>
      </c>
      <c r="C254" t="s">
        <v>1861</v>
      </c>
      <c r="D254">
        <v>4</v>
      </c>
      <c r="E254">
        <v>2667</v>
      </c>
      <c r="F254">
        <v>2667</v>
      </c>
      <c r="G254" t="s">
        <v>1862</v>
      </c>
      <c r="H254" t="s">
        <v>2126</v>
      </c>
      <c r="I254" t="s">
        <v>1903</v>
      </c>
      <c r="J254" t="s">
        <v>2127</v>
      </c>
      <c r="L254" t="s">
        <v>1863</v>
      </c>
    </row>
    <row r="255" spans="1:12" x14ac:dyDescent="0.2">
      <c r="A255" t="s">
        <v>1767</v>
      </c>
      <c r="B255" t="s">
        <v>1768</v>
      </c>
      <c r="C255" t="s">
        <v>1861</v>
      </c>
      <c r="D255">
        <v>4</v>
      </c>
      <c r="E255">
        <v>15</v>
      </c>
      <c r="F255">
        <v>15</v>
      </c>
      <c r="G255" t="s">
        <v>1862</v>
      </c>
      <c r="H255" t="s">
        <v>1896</v>
      </c>
      <c r="I255" t="s">
        <v>1903</v>
      </c>
      <c r="J255" t="s">
        <v>2128</v>
      </c>
      <c r="L255" t="s">
        <v>1863</v>
      </c>
    </row>
    <row r="256" spans="1:12" x14ac:dyDescent="0.2">
      <c r="A256" t="s">
        <v>1767</v>
      </c>
      <c r="B256" t="s">
        <v>1768</v>
      </c>
      <c r="C256" t="s">
        <v>1861</v>
      </c>
      <c r="D256">
        <v>4</v>
      </c>
      <c r="E256">
        <v>12.09</v>
      </c>
      <c r="F256">
        <v>12.09</v>
      </c>
      <c r="G256" t="s">
        <v>1862</v>
      </c>
      <c r="H256" t="s">
        <v>2129</v>
      </c>
      <c r="I256" t="s">
        <v>1903</v>
      </c>
      <c r="J256" t="s">
        <v>2130</v>
      </c>
      <c r="L256" t="s">
        <v>1863</v>
      </c>
    </row>
    <row r="257" spans="1:12" x14ac:dyDescent="0.2">
      <c r="A257" t="s">
        <v>1767</v>
      </c>
      <c r="B257" t="s">
        <v>1768</v>
      </c>
      <c r="C257" t="s">
        <v>1861</v>
      </c>
      <c r="D257">
        <v>4</v>
      </c>
      <c r="E257">
        <v>0</v>
      </c>
      <c r="F257">
        <v>0</v>
      </c>
      <c r="G257" t="s">
        <v>1862</v>
      </c>
      <c r="H257" t="s">
        <v>1864</v>
      </c>
      <c r="I257" t="s">
        <v>1903</v>
      </c>
      <c r="J257" t="s">
        <v>2131</v>
      </c>
      <c r="L257" t="s">
        <v>1863</v>
      </c>
    </row>
    <row r="258" spans="1:12" x14ac:dyDescent="0.2">
      <c r="A258" t="s">
        <v>1767</v>
      </c>
      <c r="B258" t="s">
        <v>1768</v>
      </c>
      <c r="C258" t="s">
        <v>1861</v>
      </c>
      <c r="D258">
        <v>4</v>
      </c>
      <c r="E258">
        <v>43.32</v>
      </c>
      <c r="F258">
        <v>43.32</v>
      </c>
      <c r="G258" t="s">
        <v>1862</v>
      </c>
      <c r="H258" t="s">
        <v>1977</v>
      </c>
      <c r="I258" t="s">
        <v>1903</v>
      </c>
      <c r="J258" t="s">
        <v>1978</v>
      </c>
      <c r="L258" t="s">
        <v>1863</v>
      </c>
    </row>
    <row r="259" spans="1:12" x14ac:dyDescent="0.2">
      <c r="A259" t="s">
        <v>1767</v>
      </c>
      <c r="B259" t="s">
        <v>1768</v>
      </c>
      <c r="C259" t="s">
        <v>1861</v>
      </c>
      <c r="D259">
        <v>4</v>
      </c>
      <c r="E259">
        <v>8.6</v>
      </c>
      <c r="F259">
        <v>8.6</v>
      </c>
      <c r="G259" t="s">
        <v>1862</v>
      </c>
      <c r="H259" t="s">
        <v>2132</v>
      </c>
      <c r="I259" t="s">
        <v>1903</v>
      </c>
      <c r="J259" t="s">
        <v>2133</v>
      </c>
      <c r="L259" t="s">
        <v>1863</v>
      </c>
    </row>
    <row r="260" spans="1:12" x14ac:dyDescent="0.2">
      <c r="A260" t="s">
        <v>1767</v>
      </c>
      <c r="B260" t="s">
        <v>1768</v>
      </c>
      <c r="C260" t="s">
        <v>1861</v>
      </c>
      <c r="D260">
        <v>4</v>
      </c>
      <c r="E260">
        <v>21.66</v>
      </c>
      <c r="F260">
        <v>21.66</v>
      </c>
      <c r="G260" t="s">
        <v>1862</v>
      </c>
      <c r="H260" t="s">
        <v>2104</v>
      </c>
      <c r="I260" t="s">
        <v>1903</v>
      </c>
      <c r="J260" t="s">
        <v>2105</v>
      </c>
      <c r="L260" t="s">
        <v>1863</v>
      </c>
    </row>
    <row r="261" spans="1:12" x14ac:dyDescent="0.2">
      <c r="A261" t="s">
        <v>1767</v>
      </c>
      <c r="B261" t="s">
        <v>1768</v>
      </c>
      <c r="C261" t="s">
        <v>1861</v>
      </c>
      <c r="D261">
        <v>4</v>
      </c>
      <c r="E261">
        <v>0.84</v>
      </c>
      <c r="F261">
        <v>0.84</v>
      </c>
      <c r="G261" t="s">
        <v>1862</v>
      </c>
      <c r="H261" t="s">
        <v>2134</v>
      </c>
      <c r="I261" t="s">
        <v>1903</v>
      </c>
      <c r="J261" t="s">
        <v>2135</v>
      </c>
      <c r="L261" t="s">
        <v>1863</v>
      </c>
    </row>
    <row r="262" spans="1:12" x14ac:dyDescent="0.2">
      <c r="A262" t="s">
        <v>1767</v>
      </c>
      <c r="B262" t="s">
        <v>1768</v>
      </c>
      <c r="C262" t="s">
        <v>1861</v>
      </c>
      <c r="D262">
        <v>4</v>
      </c>
      <c r="E262">
        <v>0</v>
      </c>
      <c r="F262">
        <v>0</v>
      </c>
      <c r="G262" t="s">
        <v>1862</v>
      </c>
      <c r="H262" t="s">
        <v>1864</v>
      </c>
      <c r="I262" t="s">
        <v>1903</v>
      </c>
      <c r="J262" t="s">
        <v>2136</v>
      </c>
      <c r="L262" t="s">
        <v>1863</v>
      </c>
    </row>
    <row r="263" spans="1:12" x14ac:dyDescent="0.2">
      <c r="A263" t="s">
        <v>1767</v>
      </c>
      <c r="B263" t="s">
        <v>1768</v>
      </c>
      <c r="C263" t="s">
        <v>1861</v>
      </c>
      <c r="D263">
        <v>4</v>
      </c>
      <c r="E263">
        <v>6.66</v>
      </c>
      <c r="F263">
        <v>6.66</v>
      </c>
      <c r="G263" t="s">
        <v>1862</v>
      </c>
      <c r="H263" t="s">
        <v>2137</v>
      </c>
      <c r="I263" t="s">
        <v>1903</v>
      </c>
      <c r="J263" t="s">
        <v>2138</v>
      </c>
      <c r="L263" t="s">
        <v>1863</v>
      </c>
    </row>
    <row r="264" spans="1:12" x14ac:dyDescent="0.2">
      <c r="A264" t="s">
        <v>1767</v>
      </c>
      <c r="B264" t="s">
        <v>1768</v>
      </c>
      <c r="C264" t="s">
        <v>1861</v>
      </c>
      <c r="D264">
        <v>4</v>
      </c>
      <c r="E264">
        <v>0</v>
      </c>
      <c r="F264">
        <v>0</v>
      </c>
      <c r="G264" t="s">
        <v>1862</v>
      </c>
      <c r="H264" t="s">
        <v>1864</v>
      </c>
      <c r="I264" t="s">
        <v>1903</v>
      </c>
      <c r="J264" t="s">
        <v>2139</v>
      </c>
      <c r="L264" t="s">
        <v>1863</v>
      </c>
    </row>
    <row r="265" spans="1:12" x14ac:dyDescent="0.2">
      <c r="A265" t="s">
        <v>1767</v>
      </c>
      <c r="B265" t="s">
        <v>1768</v>
      </c>
      <c r="C265" t="s">
        <v>1861</v>
      </c>
      <c r="D265">
        <v>4</v>
      </c>
      <c r="E265">
        <v>2300</v>
      </c>
      <c r="F265">
        <v>2300</v>
      </c>
      <c r="G265" t="s">
        <v>1862</v>
      </c>
      <c r="H265" t="s">
        <v>2140</v>
      </c>
      <c r="I265" t="s">
        <v>1903</v>
      </c>
      <c r="J265" t="s">
        <v>2141</v>
      </c>
      <c r="L265" t="s">
        <v>1863</v>
      </c>
    </row>
    <row r="266" spans="1:12" x14ac:dyDescent="0.2">
      <c r="A266" t="s">
        <v>1767</v>
      </c>
      <c r="B266" t="s">
        <v>1768</v>
      </c>
      <c r="C266" t="s">
        <v>1861</v>
      </c>
      <c r="D266">
        <v>4</v>
      </c>
      <c r="E266">
        <v>89.46</v>
      </c>
      <c r="F266">
        <v>89.46</v>
      </c>
      <c r="G266" t="s">
        <v>1862</v>
      </c>
      <c r="H266" t="s">
        <v>2142</v>
      </c>
      <c r="I266" t="s">
        <v>1903</v>
      </c>
      <c r="J266" t="s">
        <v>2143</v>
      </c>
      <c r="L266" t="s">
        <v>1863</v>
      </c>
    </row>
    <row r="267" spans="1:12" x14ac:dyDescent="0.2">
      <c r="A267" t="s">
        <v>1767</v>
      </c>
      <c r="B267" t="s">
        <v>1768</v>
      </c>
      <c r="C267" t="s">
        <v>1861</v>
      </c>
      <c r="D267">
        <v>4</v>
      </c>
      <c r="E267">
        <v>11.54</v>
      </c>
      <c r="F267">
        <v>11.54</v>
      </c>
      <c r="G267" t="s">
        <v>1862</v>
      </c>
      <c r="H267" t="s">
        <v>2144</v>
      </c>
      <c r="I267" t="s">
        <v>1903</v>
      </c>
      <c r="J267" t="s">
        <v>2145</v>
      </c>
      <c r="L267" t="s">
        <v>1863</v>
      </c>
    </row>
    <row r="268" spans="1:12" x14ac:dyDescent="0.2">
      <c r="A268" t="s">
        <v>1767</v>
      </c>
      <c r="B268" t="s">
        <v>1768</v>
      </c>
      <c r="C268" t="s">
        <v>1861</v>
      </c>
      <c r="D268">
        <v>4</v>
      </c>
      <c r="E268">
        <v>2676</v>
      </c>
      <c r="F268">
        <v>2676</v>
      </c>
      <c r="G268" t="s">
        <v>1862</v>
      </c>
      <c r="H268" t="s">
        <v>2146</v>
      </c>
      <c r="I268" t="s">
        <v>1903</v>
      </c>
      <c r="J268" t="s">
        <v>2147</v>
      </c>
      <c r="L268" t="s">
        <v>1863</v>
      </c>
    </row>
    <row r="269" spans="1:12" x14ac:dyDescent="0.2">
      <c r="A269" t="s">
        <v>1767</v>
      </c>
      <c r="B269" t="s">
        <v>1768</v>
      </c>
      <c r="C269" t="s">
        <v>1861</v>
      </c>
      <c r="D269">
        <v>4</v>
      </c>
      <c r="E269">
        <v>39</v>
      </c>
      <c r="F269">
        <v>39</v>
      </c>
      <c r="G269" t="s">
        <v>1862</v>
      </c>
      <c r="H269" t="s">
        <v>2148</v>
      </c>
      <c r="I269" t="s">
        <v>1903</v>
      </c>
      <c r="J269" t="s">
        <v>2149</v>
      </c>
      <c r="L269" t="s">
        <v>1863</v>
      </c>
    </row>
    <row r="270" spans="1:12" x14ac:dyDescent="0.2">
      <c r="A270" t="s">
        <v>1767</v>
      </c>
      <c r="B270" t="s">
        <v>1768</v>
      </c>
      <c r="C270" t="s">
        <v>1861</v>
      </c>
      <c r="D270">
        <v>4</v>
      </c>
      <c r="E270">
        <v>21.66</v>
      </c>
      <c r="F270">
        <v>21.66</v>
      </c>
      <c r="G270" t="s">
        <v>1862</v>
      </c>
      <c r="H270" t="s">
        <v>2104</v>
      </c>
      <c r="I270" t="s">
        <v>1903</v>
      </c>
      <c r="J270" t="s">
        <v>2105</v>
      </c>
      <c r="L270" t="s">
        <v>1863</v>
      </c>
    </row>
    <row r="271" spans="1:12" x14ac:dyDescent="0.2">
      <c r="A271" t="s">
        <v>1767</v>
      </c>
      <c r="B271" t="s">
        <v>1768</v>
      </c>
      <c r="C271" t="s">
        <v>1861</v>
      </c>
      <c r="D271">
        <v>4</v>
      </c>
      <c r="E271">
        <v>622</v>
      </c>
      <c r="F271">
        <v>622</v>
      </c>
      <c r="G271" t="s">
        <v>1862</v>
      </c>
      <c r="H271" t="s">
        <v>2150</v>
      </c>
      <c r="I271" t="s">
        <v>1903</v>
      </c>
      <c r="J271" t="s">
        <v>2151</v>
      </c>
      <c r="L271" t="s">
        <v>1863</v>
      </c>
    </row>
    <row r="272" spans="1:12" x14ac:dyDescent="0.2">
      <c r="A272" t="s">
        <v>1767</v>
      </c>
      <c r="B272" t="s">
        <v>1768</v>
      </c>
      <c r="C272" t="s">
        <v>1861</v>
      </c>
      <c r="D272">
        <v>4</v>
      </c>
      <c r="E272">
        <v>0</v>
      </c>
      <c r="F272">
        <v>0</v>
      </c>
      <c r="G272" t="s">
        <v>1862</v>
      </c>
      <c r="H272" t="s">
        <v>1864</v>
      </c>
      <c r="I272" t="s">
        <v>1903</v>
      </c>
      <c r="J272" t="s">
        <v>2152</v>
      </c>
      <c r="L272" t="s">
        <v>1863</v>
      </c>
    </row>
    <row r="273" spans="1:12" x14ac:dyDescent="0.2">
      <c r="A273" t="s">
        <v>1767</v>
      </c>
      <c r="B273" t="s">
        <v>1768</v>
      </c>
      <c r="C273" t="s">
        <v>1861</v>
      </c>
      <c r="D273">
        <v>4</v>
      </c>
      <c r="E273">
        <v>43.32</v>
      </c>
      <c r="F273">
        <v>43.32</v>
      </c>
      <c r="G273" t="s">
        <v>1862</v>
      </c>
      <c r="H273" t="s">
        <v>1977</v>
      </c>
      <c r="I273" t="s">
        <v>1903</v>
      </c>
      <c r="J273" t="s">
        <v>1978</v>
      </c>
      <c r="L273" t="s">
        <v>1863</v>
      </c>
    </row>
    <row r="274" spans="1:12" x14ac:dyDescent="0.2">
      <c r="A274" t="s">
        <v>1767</v>
      </c>
      <c r="B274" t="s">
        <v>1768</v>
      </c>
      <c r="C274" t="s">
        <v>1861</v>
      </c>
      <c r="D274">
        <v>4</v>
      </c>
      <c r="E274">
        <v>594.91999999999996</v>
      </c>
      <c r="F274">
        <v>594.91999999999996</v>
      </c>
      <c r="G274" t="s">
        <v>1862</v>
      </c>
      <c r="H274" t="s">
        <v>2153</v>
      </c>
      <c r="I274" t="s">
        <v>1903</v>
      </c>
      <c r="J274" t="s">
        <v>2154</v>
      </c>
      <c r="L274" t="s">
        <v>1863</v>
      </c>
    </row>
    <row r="275" spans="1:12" x14ac:dyDescent="0.2">
      <c r="A275" t="s">
        <v>1767</v>
      </c>
      <c r="B275" t="s">
        <v>1768</v>
      </c>
      <c r="C275" t="s">
        <v>1861</v>
      </c>
      <c r="D275">
        <v>4</v>
      </c>
      <c r="E275">
        <v>297.45999999999998</v>
      </c>
      <c r="F275">
        <v>297.45999999999998</v>
      </c>
      <c r="G275" t="s">
        <v>1862</v>
      </c>
      <c r="H275" t="s">
        <v>1997</v>
      </c>
      <c r="I275" t="s">
        <v>1903</v>
      </c>
      <c r="J275" t="s">
        <v>1998</v>
      </c>
      <c r="L275" t="s">
        <v>1863</v>
      </c>
    </row>
    <row r="276" spans="1:12" x14ac:dyDescent="0.2">
      <c r="A276" t="s">
        <v>1767</v>
      </c>
      <c r="B276" t="s">
        <v>1768</v>
      </c>
      <c r="C276" t="s">
        <v>1861</v>
      </c>
      <c r="D276">
        <v>4</v>
      </c>
      <c r="E276">
        <v>105.64</v>
      </c>
      <c r="F276">
        <v>105.64</v>
      </c>
      <c r="G276" t="s">
        <v>1862</v>
      </c>
      <c r="H276" t="s">
        <v>2070</v>
      </c>
      <c r="I276" t="s">
        <v>1903</v>
      </c>
      <c r="J276" t="s">
        <v>2071</v>
      </c>
      <c r="L276" t="s">
        <v>1863</v>
      </c>
    </row>
    <row r="277" spans="1:12" x14ac:dyDescent="0.2">
      <c r="A277" t="s">
        <v>1767</v>
      </c>
      <c r="B277" t="s">
        <v>1768</v>
      </c>
      <c r="C277" t="s">
        <v>1861</v>
      </c>
      <c r="D277">
        <v>4</v>
      </c>
      <c r="E277">
        <v>8</v>
      </c>
      <c r="F277">
        <v>8</v>
      </c>
      <c r="G277" t="s">
        <v>1862</v>
      </c>
      <c r="H277" t="s">
        <v>2155</v>
      </c>
      <c r="I277" t="s">
        <v>1903</v>
      </c>
      <c r="J277" t="s">
        <v>2156</v>
      </c>
      <c r="L277" t="s">
        <v>1863</v>
      </c>
    </row>
    <row r="278" spans="1:12" x14ac:dyDescent="0.2">
      <c r="A278" t="s">
        <v>1767</v>
      </c>
      <c r="B278" t="s">
        <v>1768</v>
      </c>
      <c r="C278" t="s">
        <v>1861</v>
      </c>
      <c r="D278">
        <v>4</v>
      </c>
      <c r="E278">
        <v>10232</v>
      </c>
      <c r="F278">
        <v>10232</v>
      </c>
      <c r="G278" t="s">
        <v>1862</v>
      </c>
      <c r="H278" t="s">
        <v>2157</v>
      </c>
      <c r="I278" t="s">
        <v>1903</v>
      </c>
      <c r="J278" t="s">
        <v>2158</v>
      </c>
      <c r="L278" t="s">
        <v>1863</v>
      </c>
    </row>
    <row r="279" spans="1:12" x14ac:dyDescent="0.2">
      <c r="A279" t="s">
        <v>1767</v>
      </c>
      <c r="B279" t="s">
        <v>1768</v>
      </c>
      <c r="C279" t="s">
        <v>1861</v>
      </c>
      <c r="D279">
        <v>4</v>
      </c>
      <c r="E279">
        <v>55.78</v>
      </c>
      <c r="F279">
        <v>55.78</v>
      </c>
      <c r="G279" t="s">
        <v>1862</v>
      </c>
      <c r="H279" t="s">
        <v>2159</v>
      </c>
      <c r="I279" t="s">
        <v>1903</v>
      </c>
      <c r="J279" t="s">
        <v>2160</v>
      </c>
      <c r="L279" t="s">
        <v>1863</v>
      </c>
    </row>
    <row r="280" spans="1:12" x14ac:dyDescent="0.2">
      <c r="A280" t="s">
        <v>1767</v>
      </c>
      <c r="B280" t="s">
        <v>1768</v>
      </c>
      <c r="C280" t="s">
        <v>1861</v>
      </c>
      <c r="D280">
        <v>4</v>
      </c>
      <c r="E280">
        <v>98.32</v>
      </c>
      <c r="F280">
        <v>98.32</v>
      </c>
      <c r="G280" t="s">
        <v>1862</v>
      </c>
      <c r="H280" t="s">
        <v>2037</v>
      </c>
      <c r="I280" t="s">
        <v>1903</v>
      </c>
      <c r="J280" t="s">
        <v>2161</v>
      </c>
      <c r="L280" t="s">
        <v>1863</v>
      </c>
    </row>
    <row r="281" spans="1:12" x14ac:dyDescent="0.2">
      <c r="A281" t="s">
        <v>1767</v>
      </c>
      <c r="B281" t="s">
        <v>1768</v>
      </c>
      <c r="C281" t="s">
        <v>1861</v>
      </c>
      <c r="D281">
        <v>4</v>
      </c>
      <c r="E281">
        <v>153.44</v>
      </c>
      <c r="F281">
        <v>153.44</v>
      </c>
      <c r="G281" t="s">
        <v>1862</v>
      </c>
      <c r="H281" t="s">
        <v>2162</v>
      </c>
      <c r="I281" t="s">
        <v>1903</v>
      </c>
      <c r="J281" t="s">
        <v>2163</v>
      </c>
      <c r="L281" t="s">
        <v>1863</v>
      </c>
    </row>
    <row r="282" spans="1:12" x14ac:dyDescent="0.2">
      <c r="A282" t="s">
        <v>1767</v>
      </c>
      <c r="B282" t="s">
        <v>1768</v>
      </c>
      <c r="C282" t="s">
        <v>1861</v>
      </c>
      <c r="D282">
        <v>4</v>
      </c>
      <c r="E282">
        <v>55.4</v>
      </c>
      <c r="F282">
        <v>55.4</v>
      </c>
      <c r="G282" t="s">
        <v>1862</v>
      </c>
      <c r="H282" t="s">
        <v>2164</v>
      </c>
      <c r="I282" t="s">
        <v>1903</v>
      </c>
      <c r="J282" t="s">
        <v>2165</v>
      </c>
      <c r="L282" t="s">
        <v>1863</v>
      </c>
    </row>
    <row r="283" spans="1:12" x14ac:dyDescent="0.2">
      <c r="A283" t="s">
        <v>1767</v>
      </c>
      <c r="B283" t="s">
        <v>1768</v>
      </c>
      <c r="C283" t="s">
        <v>1861</v>
      </c>
      <c r="D283">
        <v>4</v>
      </c>
      <c r="E283">
        <v>148.44</v>
      </c>
      <c r="F283">
        <v>148.44</v>
      </c>
      <c r="G283" t="s">
        <v>1862</v>
      </c>
      <c r="H283" t="s">
        <v>1971</v>
      </c>
      <c r="I283" t="s">
        <v>1903</v>
      </c>
      <c r="J283" t="s">
        <v>1972</v>
      </c>
      <c r="L283" t="s">
        <v>1863</v>
      </c>
    </row>
    <row r="284" spans="1:12" x14ac:dyDescent="0.2">
      <c r="A284" t="s">
        <v>1767</v>
      </c>
      <c r="B284" t="s">
        <v>1768</v>
      </c>
      <c r="C284" t="s">
        <v>1861</v>
      </c>
      <c r="D284">
        <v>4</v>
      </c>
      <c r="E284">
        <v>148.44</v>
      </c>
      <c r="F284">
        <v>148.44</v>
      </c>
      <c r="G284" t="s">
        <v>1862</v>
      </c>
      <c r="H284" t="s">
        <v>1971</v>
      </c>
      <c r="I284" t="s">
        <v>1903</v>
      </c>
      <c r="J284" t="s">
        <v>1972</v>
      </c>
      <c r="L284" t="s">
        <v>1863</v>
      </c>
    </row>
    <row r="285" spans="1:12" x14ac:dyDescent="0.2">
      <c r="A285" t="s">
        <v>1767</v>
      </c>
      <c r="B285" t="s">
        <v>1768</v>
      </c>
      <c r="C285" t="s">
        <v>1861</v>
      </c>
      <c r="D285">
        <v>4</v>
      </c>
      <c r="E285">
        <v>0.96</v>
      </c>
      <c r="F285">
        <v>0.96</v>
      </c>
      <c r="G285" t="s">
        <v>1862</v>
      </c>
      <c r="H285" t="s">
        <v>1984</v>
      </c>
      <c r="I285" t="s">
        <v>1903</v>
      </c>
      <c r="J285" t="s">
        <v>1985</v>
      </c>
      <c r="L285" t="s">
        <v>1863</v>
      </c>
    </row>
    <row r="286" spans="1:12" x14ac:dyDescent="0.2">
      <c r="A286" t="s">
        <v>1767</v>
      </c>
      <c r="B286" t="s">
        <v>1768</v>
      </c>
      <c r="C286" t="s">
        <v>1861</v>
      </c>
      <c r="D286">
        <v>4</v>
      </c>
      <c r="E286">
        <v>43</v>
      </c>
      <c r="F286">
        <v>43</v>
      </c>
      <c r="G286" t="s">
        <v>1862</v>
      </c>
      <c r="H286" t="s">
        <v>2166</v>
      </c>
      <c r="I286" t="s">
        <v>1903</v>
      </c>
      <c r="J286" t="s">
        <v>2167</v>
      </c>
      <c r="L286" t="s">
        <v>1863</v>
      </c>
    </row>
    <row r="287" spans="1:12" x14ac:dyDescent="0.2">
      <c r="A287" t="s">
        <v>1767</v>
      </c>
      <c r="B287" t="s">
        <v>1768</v>
      </c>
      <c r="C287" t="s">
        <v>1861</v>
      </c>
      <c r="D287">
        <v>4</v>
      </c>
      <c r="E287">
        <v>52.82</v>
      </c>
      <c r="F287">
        <v>52.82</v>
      </c>
      <c r="G287" t="s">
        <v>1862</v>
      </c>
      <c r="H287" t="s">
        <v>2168</v>
      </c>
      <c r="I287" t="s">
        <v>1903</v>
      </c>
      <c r="J287" t="s">
        <v>2169</v>
      </c>
      <c r="L287" t="s">
        <v>1863</v>
      </c>
    </row>
    <row r="288" spans="1:12" x14ac:dyDescent="0.2">
      <c r="A288" t="s">
        <v>1767</v>
      </c>
      <c r="B288" t="s">
        <v>1768</v>
      </c>
      <c r="C288" t="s">
        <v>1861</v>
      </c>
      <c r="D288">
        <v>4</v>
      </c>
      <c r="E288">
        <v>224</v>
      </c>
      <c r="F288">
        <v>224</v>
      </c>
      <c r="G288" t="s">
        <v>1862</v>
      </c>
      <c r="H288" t="s">
        <v>2170</v>
      </c>
      <c r="I288" t="s">
        <v>1903</v>
      </c>
      <c r="J288" t="s">
        <v>2171</v>
      </c>
      <c r="L288" t="s">
        <v>1863</v>
      </c>
    </row>
    <row r="289" spans="1:12" x14ac:dyDescent="0.2">
      <c r="A289" t="s">
        <v>1767</v>
      </c>
      <c r="B289" t="s">
        <v>1768</v>
      </c>
      <c r="C289" t="s">
        <v>1861</v>
      </c>
      <c r="D289">
        <v>4</v>
      </c>
      <c r="E289">
        <v>791.8</v>
      </c>
      <c r="F289">
        <v>791.8</v>
      </c>
      <c r="G289" t="s">
        <v>1862</v>
      </c>
      <c r="H289" t="s">
        <v>2172</v>
      </c>
      <c r="I289" t="s">
        <v>1903</v>
      </c>
      <c r="J289" t="s">
        <v>2173</v>
      </c>
      <c r="L289" t="s">
        <v>1863</v>
      </c>
    </row>
    <row r="290" spans="1:12" x14ac:dyDescent="0.2">
      <c r="A290" t="s">
        <v>1767</v>
      </c>
      <c r="B290" t="s">
        <v>1768</v>
      </c>
      <c r="C290" t="s">
        <v>1861</v>
      </c>
      <c r="D290">
        <v>4</v>
      </c>
      <c r="E290">
        <v>26.75</v>
      </c>
      <c r="F290">
        <v>26.75</v>
      </c>
      <c r="G290" t="s">
        <v>1862</v>
      </c>
      <c r="H290" t="s">
        <v>2120</v>
      </c>
      <c r="I290" t="s">
        <v>1903</v>
      </c>
      <c r="J290" t="s">
        <v>2174</v>
      </c>
      <c r="L290" t="s">
        <v>1863</v>
      </c>
    </row>
    <row r="291" spans="1:12" x14ac:dyDescent="0.2">
      <c r="A291" t="s">
        <v>1767</v>
      </c>
      <c r="B291" t="s">
        <v>1768</v>
      </c>
      <c r="C291" t="s">
        <v>1861</v>
      </c>
      <c r="D291">
        <v>4</v>
      </c>
      <c r="E291">
        <v>26.75</v>
      </c>
      <c r="F291">
        <v>26.75</v>
      </c>
      <c r="G291" t="s">
        <v>1862</v>
      </c>
      <c r="H291" t="s">
        <v>2120</v>
      </c>
      <c r="I291" t="s">
        <v>1903</v>
      </c>
      <c r="J291" t="s">
        <v>2175</v>
      </c>
      <c r="L291" t="s">
        <v>1863</v>
      </c>
    </row>
    <row r="292" spans="1:12" x14ac:dyDescent="0.2">
      <c r="A292" t="s">
        <v>1767</v>
      </c>
      <c r="B292" t="s">
        <v>1768</v>
      </c>
      <c r="C292" t="s">
        <v>1861</v>
      </c>
      <c r="D292">
        <v>4</v>
      </c>
      <c r="E292">
        <v>42.8</v>
      </c>
      <c r="F292">
        <v>42.8</v>
      </c>
      <c r="G292" t="s">
        <v>1862</v>
      </c>
      <c r="H292" t="s">
        <v>1965</v>
      </c>
      <c r="I292" t="s">
        <v>1903</v>
      </c>
      <c r="J292" t="s">
        <v>2176</v>
      </c>
      <c r="L292" t="s">
        <v>1863</v>
      </c>
    </row>
    <row r="293" spans="1:12" x14ac:dyDescent="0.2">
      <c r="A293" t="s">
        <v>1767</v>
      </c>
      <c r="B293" t="s">
        <v>1768</v>
      </c>
      <c r="C293" t="s">
        <v>1861</v>
      </c>
      <c r="D293">
        <v>4</v>
      </c>
      <c r="E293">
        <v>6.3</v>
      </c>
      <c r="F293">
        <v>6.3</v>
      </c>
      <c r="G293" t="s">
        <v>1862</v>
      </c>
      <c r="H293" t="s">
        <v>1988</v>
      </c>
      <c r="I293" t="s">
        <v>1903</v>
      </c>
      <c r="J293" t="s">
        <v>1989</v>
      </c>
      <c r="L293" t="s">
        <v>1863</v>
      </c>
    </row>
    <row r="294" spans="1:12" x14ac:dyDescent="0.2">
      <c r="A294" t="s">
        <v>1767</v>
      </c>
      <c r="B294" t="s">
        <v>1768</v>
      </c>
      <c r="C294" t="s">
        <v>1861</v>
      </c>
      <c r="D294">
        <v>4</v>
      </c>
      <c r="E294">
        <v>7694</v>
      </c>
      <c r="F294">
        <v>7694</v>
      </c>
      <c r="G294" t="s">
        <v>1862</v>
      </c>
      <c r="H294" t="s">
        <v>2177</v>
      </c>
      <c r="I294" t="s">
        <v>1903</v>
      </c>
      <c r="J294" t="s">
        <v>2178</v>
      </c>
      <c r="L294" t="s">
        <v>1863</v>
      </c>
    </row>
    <row r="295" spans="1:12" x14ac:dyDescent="0.2">
      <c r="A295" t="s">
        <v>1767</v>
      </c>
      <c r="B295" t="s">
        <v>1768</v>
      </c>
      <c r="C295" t="s">
        <v>1861</v>
      </c>
      <c r="D295">
        <v>4</v>
      </c>
      <c r="E295">
        <v>1.39</v>
      </c>
      <c r="F295">
        <v>1.39</v>
      </c>
      <c r="G295" t="s">
        <v>1862</v>
      </c>
      <c r="H295" t="s">
        <v>2179</v>
      </c>
      <c r="I295" t="s">
        <v>1903</v>
      </c>
      <c r="J295" t="s">
        <v>2180</v>
      </c>
      <c r="L295" t="s">
        <v>1863</v>
      </c>
    </row>
    <row r="296" spans="1:12" x14ac:dyDescent="0.2">
      <c r="A296" t="s">
        <v>1767</v>
      </c>
      <c r="B296" t="s">
        <v>1768</v>
      </c>
      <c r="C296" t="s">
        <v>1861</v>
      </c>
      <c r="D296">
        <v>4</v>
      </c>
      <c r="E296">
        <v>41.96</v>
      </c>
      <c r="F296">
        <v>41.96</v>
      </c>
      <c r="G296" t="s">
        <v>1862</v>
      </c>
      <c r="H296" t="s">
        <v>2041</v>
      </c>
      <c r="I296" t="s">
        <v>1903</v>
      </c>
      <c r="J296" t="s">
        <v>2042</v>
      </c>
      <c r="L296" t="s">
        <v>1863</v>
      </c>
    </row>
    <row r="297" spans="1:12" x14ac:dyDescent="0.2">
      <c r="A297" t="s">
        <v>1767</v>
      </c>
      <c r="B297" t="s">
        <v>1768</v>
      </c>
      <c r="C297" t="s">
        <v>1861</v>
      </c>
      <c r="D297">
        <v>4</v>
      </c>
      <c r="E297">
        <v>52.82</v>
      </c>
      <c r="F297">
        <v>52.82</v>
      </c>
      <c r="G297" t="s">
        <v>1862</v>
      </c>
      <c r="H297" t="s">
        <v>2168</v>
      </c>
      <c r="I297" t="s">
        <v>1903</v>
      </c>
      <c r="J297" t="s">
        <v>2169</v>
      </c>
      <c r="L297" t="s">
        <v>1863</v>
      </c>
    </row>
    <row r="298" spans="1:12" x14ac:dyDescent="0.2">
      <c r="A298" t="s">
        <v>1767</v>
      </c>
      <c r="B298" t="s">
        <v>1768</v>
      </c>
      <c r="C298" t="s">
        <v>1861</v>
      </c>
      <c r="D298">
        <v>4</v>
      </c>
      <c r="E298">
        <v>485.94</v>
      </c>
      <c r="F298">
        <v>485.94</v>
      </c>
      <c r="G298" t="s">
        <v>1862</v>
      </c>
      <c r="H298" t="s">
        <v>2181</v>
      </c>
      <c r="I298" t="s">
        <v>1903</v>
      </c>
      <c r="J298" t="s">
        <v>2182</v>
      </c>
      <c r="L298" t="s">
        <v>1863</v>
      </c>
    </row>
    <row r="299" spans="1:12" x14ac:dyDescent="0.2">
      <c r="A299" t="s">
        <v>1767</v>
      </c>
      <c r="B299" t="s">
        <v>1768</v>
      </c>
      <c r="C299" t="s">
        <v>1861</v>
      </c>
      <c r="D299">
        <v>4</v>
      </c>
      <c r="E299">
        <v>49</v>
      </c>
      <c r="F299">
        <v>49</v>
      </c>
      <c r="G299" t="s">
        <v>1862</v>
      </c>
      <c r="H299" t="s">
        <v>2183</v>
      </c>
      <c r="I299" t="s">
        <v>1903</v>
      </c>
      <c r="J299" t="s">
        <v>2184</v>
      </c>
      <c r="L299" t="s">
        <v>1863</v>
      </c>
    </row>
    <row r="300" spans="1:12" x14ac:dyDescent="0.2">
      <c r="A300" t="s">
        <v>1767</v>
      </c>
      <c r="B300" t="s">
        <v>1768</v>
      </c>
      <c r="C300" t="s">
        <v>1861</v>
      </c>
      <c r="D300">
        <v>4</v>
      </c>
      <c r="E300">
        <v>9.44</v>
      </c>
      <c r="F300">
        <v>9.44</v>
      </c>
      <c r="G300" t="s">
        <v>1862</v>
      </c>
      <c r="H300" t="s">
        <v>2185</v>
      </c>
      <c r="I300" t="s">
        <v>1903</v>
      </c>
      <c r="J300" t="s">
        <v>2186</v>
      </c>
      <c r="L300" t="s">
        <v>1863</v>
      </c>
    </row>
    <row r="301" spans="1:12" x14ac:dyDescent="0.2">
      <c r="A301" t="s">
        <v>1767</v>
      </c>
      <c r="B301" t="s">
        <v>1768</v>
      </c>
      <c r="C301" t="s">
        <v>1861</v>
      </c>
      <c r="D301">
        <v>4</v>
      </c>
      <c r="E301">
        <v>297.45999999999998</v>
      </c>
      <c r="F301">
        <v>297.45999999999998</v>
      </c>
      <c r="G301" t="s">
        <v>1862</v>
      </c>
      <c r="H301" t="s">
        <v>1997</v>
      </c>
      <c r="I301" t="s">
        <v>1903</v>
      </c>
      <c r="J301" t="s">
        <v>1998</v>
      </c>
      <c r="L301" t="s">
        <v>1863</v>
      </c>
    </row>
    <row r="302" spans="1:12" x14ac:dyDescent="0.2">
      <c r="A302" t="s">
        <v>1767</v>
      </c>
      <c r="B302" t="s">
        <v>1768</v>
      </c>
      <c r="C302" t="s">
        <v>1861</v>
      </c>
      <c r="D302">
        <v>4</v>
      </c>
      <c r="E302">
        <v>-297.45999999999998</v>
      </c>
      <c r="F302">
        <v>-297.45999999999998</v>
      </c>
      <c r="G302" t="s">
        <v>1862</v>
      </c>
      <c r="H302" t="s">
        <v>1999</v>
      </c>
      <c r="I302" t="s">
        <v>1903</v>
      </c>
      <c r="J302" t="s">
        <v>2000</v>
      </c>
      <c r="L302" t="s">
        <v>1863</v>
      </c>
    </row>
    <row r="303" spans="1:12" x14ac:dyDescent="0.2">
      <c r="A303" t="s">
        <v>1767</v>
      </c>
      <c r="B303" t="s">
        <v>1768</v>
      </c>
      <c r="C303" t="s">
        <v>1861</v>
      </c>
      <c r="D303">
        <v>4</v>
      </c>
      <c r="E303">
        <v>297.45999999999998</v>
      </c>
      <c r="F303">
        <v>297.45999999999998</v>
      </c>
      <c r="G303" t="s">
        <v>1862</v>
      </c>
      <c r="H303" t="s">
        <v>1997</v>
      </c>
      <c r="I303" t="s">
        <v>1903</v>
      </c>
      <c r="J303" t="s">
        <v>1998</v>
      </c>
      <c r="L303" t="s">
        <v>1863</v>
      </c>
    </row>
    <row r="304" spans="1:12" x14ac:dyDescent="0.2">
      <c r="A304" t="s">
        <v>1767</v>
      </c>
      <c r="B304" t="s">
        <v>1768</v>
      </c>
      <c r="C304" t="s">
        <v>1861</v>
      </c>
      <c r="D304">
        <v>4</v>
      </c>
      <c r="E304">
        <v>0</v>
      </c>
      <c r="F304">
        <v>0</v>
      </c>
      <c r="G304" t="s">
        <v>1862</v>
      </c>
      <c r="H304" t="s">
        <v>1864</v>
      </c>
      <c r="I304" t="s">
        <v>1903</v>
      </c>
      <c r="J304" t="s">
        <v>2072</v>
      </c>
      <c r="L304" t="s">
        <v>1863</v>
      </c>
    </row>
    <row r="305" spans="1:12" x14ac:dyDescent="0.2">
      <c r="A305" t="s">
        <v>1767</v>
      </c>
      <c r="B305" t="s">
        <v>1768</v>
      </c>
      <c r="C305" t="s">
        <v>1861</v>
      </c>
      <c r="D305">
        <v>4</v>
      </c>
      <c r="E305">
        <v>6.88</v>
      </c>
      <c r="F305">
        <v>6.88</v>
      </c>
      <c r="G305" t="s">
        <v>1862</v>
      </c>
      <c r="H305" t="s">
        <v>2043</v>
      </c>
      <c r="I305" t="s">
        <v>1903</v>
      </c>
      <c r="J305" t="s">
        <v>2044</v>
      </c>
      <c r="L305" t="s">
        <v>1863</v>
      </c>
    </row>
    <row r="306" spans="1:12" x14ac:dyDescent="0.2">
      <c r="A306" t="s">
        <v>1767</v>
      </c>
      <c r="B306" t="s">
        <v>1768</v>
      </c>
      <c r="C306" t="s">
        <v>1861</v>
      </c>
      <c r="D306">
        <v>4</v>
      </c>
      <c r="E306">
        <v>5839</v>
      </c>
      <c r="F306">
        <v>5839</v>
      </c>
      <c r="G306" t="s">
        <v>1862</v>
      </c>
      <c r="H306" t="s">
        <v>2118</v>
      </c>
      <c r="I306" t="s">
        <v>1903</v>
      </c>
      <c r="J306" t="s">
        <v>2119</v>
      </c>
      <c r="L306" t="s">
        <v>1863</v>
      </c>
    </row>
    <row r="307" spans="1:12" x14ac:dyDescent="0.2">
      <c r="A307" t="s">
        <v>1767</v>
      </c>
      <c r="B307" t="s">
        <v>1768</v>
      </c>
      <c r="C307" t="s">
        <v>1861</v>
      </c>
      <c r="D307">
        <v>4</v>
      </c>
      <c r="E307">
        <v>42.8</v>
      </c>
      <c r="F307">
        <v>42.8</v>
      </c>
      <c r="G307" t="s">
        <v>1862</v>
      </c>
      <c r="H307" t="s">
        <v>1965</v>
      </c>
      <c r="I307" t="s">
        <v>1903</v>
      </c>
      <c r="J307" t="s">
        <v>2047</v>
      </c>
      <c r="L307" t="s">
        <v>1863</v>
      </c>
    </row>
    <row r="308" spans="1:12" x14ac:dyDescent="0.2">
      <c r="A308" t="s">
        <v>1767</v>
      </c>
      <c r="B308" t="s">
        <v>1768</v>
      </c>
      <c r="C308" t="s">
        <v>1861</v>
      </c>
      <c r="D308">
        <v>4</v>
      </c>
      <c r="E308">
        <v>85.6</v>
      </c>
      <c r="F308">
        <v>85.6</v>
      </c>
      <c r="G308" t="s">
        <v>1862</v>
      </c>
      <c r="H308" t="s">
        <v>1990</v>
      </c>
      <c r="I308" t="s">
        <v>1903</v>
      </c>
      <c r="J308" t="s">
        <v>1991</v>
      </c>
      <c r="L308" t="s">
        <v>1863</v>
      </c>
    </row>
    <row r="309" spans="1:12" x14ac:dyDescent="0.2">
      <c r="A309" t="s">
        <v>1767</v>
      </c>
      <c r="B309" t="s">
        <v>1768</v>
      </c>
      <c r="C309" t="s">
        <v>1861</v>
      </c>
      <c r="D309">
        <v>4</v>
      </c>
      <c r="E309">
        <v>43.32</v>
      </c>
      <c r="F309">
        <v>43.32</v>
      </c>
      <c r="G309" t="s">
        <v>1862</v>
      </c>
      <c r="H309" t="s">
        <v>1977</v>
      </c>
      <c r="I309" t="s">
        <v>1903</v>
      </c>
      <c r="J309" t="s">
        <v>1978</v>
      </c>
      <c r="L309" t="s">
        <v>1863</v>
      </c>
    </row>
    <row r="310" spans="1:12" x14ac:dyDescent="0.2">
      <c r="A310" t="s">
        <v>1767</v>
      </c>
      <c r="B310" t="s">
        <v>1768</v>
      </c>
      <c r="C310" t="s">
        <v>1861</v>
      </c>
      <c r="D310">
        <v>4</v>
      </c>
      <c r="E310">
        <v>43.32</v>
      </c>
      <c r="F310">
        <v>43.32</v>
      </c>
      <c r="G310" t="s">
        <v>1862</v>
      </c>
      <c r="H310" t="s">
        <v>1977</v>
      </c>
      <c r="I310" t="s">
        <v>1903</v>
      </c>
      <c r="J310" t="s">
        <v>1978</v>
      </c>
      <c r="L310" t="s">
        <v>1863</v>
      </c>
    </row>
    <row r="311" spans="1:12" x14ac:dyDescent="0.2">
      <c r="A311" t="s">
        <v>1767</v>
      </c>
      <c r="B311" t="s">
        <v>1768</v>
      </c>
      <c r="C311" t="s">
        <v>1861</v>
      </c>
      <c r="D311">
        <v>4</v>
      </c>
      <c r="E311">
        <v>594.91999999999996</v>
      </c>
      <c r="F311">
        <v>594.91999999999996</v>
      </c>
      <c r="G311" t="s">
        <v>1862</v>
      </c>
      <c r="H311" t="s">
        <v>2153</v>
      </c>
      <c r="I311" t="s">
        <v>1903</v>
      </c>
      <c r="J311" t="s">
        <v>2154</v>
      </c>
      <c r="L311" t="s">
        <v>1863</v>
      </c>
    </row>
    <row r="312" spans="1:12" x14ac:dyDescent="0.2">
      <c r="A312" t="s">
        <v>1767</v>
      </c>
      <c r="B312" t="s">
        <v>1768</v>
      </c>
      <c r="C312" t="s">
        <v>1861</v>
      </c>
      <c r="D312">
        <v>4</v>
      </c>
      <c r="E312">
        <v>297.45999999999998</v>
      </c>
      <c r="F312">
        <v>297.45999999999998</v>
      </c>
      <c r="G312" t="s">
        <v>1862</v>
      </c>
      <c r="H312" t="s">
        <v>1997</v>
      </c>
      <c r="I312" t="s">
        <v>1903</v>
      </c>
      <c r="J312" t="s">
        <v>1998</v>
      </c>
      <c r="L312" t="s">
        <v>1863</v>
      </c>
    </row>
    <row r="313" spans="1:12" x14ac:dyDescent="0.2">
      <c r="A313" t="s">
        <v>1767</v>
      </c>
      <c r="B313" t="s">
        <v>1768</v>
      </c>
      <c r="C313" t="s">
        <v>1861</v>
      </c>
      <c r="D313">
        <v>4</v>
      </c>
      <c r="E313">
        <v>-297.45999999999998</v>
      </c>
      <c r="F313">
        <v>-297.45999999999998</v>
      </c>
      <c r="G313" t="s">
        <v>1862</v>
      </c>
      <c r="H313" t="s">
        <v>1999</v>
      </c>
      <c r="I313" t="s">
        <v>1903</v>
      </c>
      <c r="J313" t="s">
        <v>2000</v>
      </c>
      <c r="L313" t="s">
        <v>1863</v>
      </c>
    </row>
    <row r="314" spans="1:12" x14ac:dyDescent="0.2">
      <c r="A314" t="s">
        <v>1767</v>
      </c>
      <c r="B314" t="s">
        <v>1768</v>
      </c>
      <c r="C314" t="s">
        <v>1861</v>
      </c>
      <c r="D314">
        <v>4</v>
      </c>
      <c r="E314">
        <v>297.45999999999998</v>
      </c>
      <c r="F314">
        <v>297.45999999999998</v>
      </c>
      <c r="G314" t="s">
        <v>1862</v>
      </c>
      <c r="H314" t="s">
        <v>1997</v>
      </c>
      <c r="I314" t="s">
        <v>1903</v>
      </c>
      <c r="J314" t="s">
        <v>1998</v>
      </c>
      <c r="L314" t="s">
        <v>1863</v>
      </c>
    </row>
    <row r="315" spans="1:12" x14ac:dyDescent="0.2">
      <c r="A315" t="s">
        <v>1767</v>
      </c>
      <c r="B315" t="s">
        <v>1768</v>
      </c>
      <c r="C315" t="s">
        <v>1861</v>
      </c>
      <c r="D315">
        <v>4</v>
      </c>
      <c r="E315">
        <v>6.3</v>
      </c>
      <c r="F315">
        <v>6.3</v>
      </c>
      <c r="G315" t="s">
        <v>1862</v>
      </c>
      <c r="H315" t="s">
        <v>1988</v>
      </c>
      <c r="I315" t="s">
        <v>1903</v>
      </c>
      <c r="J315" t="s">
        <v>1989</v>
      </c>
      <c r="L315" t="s">
        <v>1863</v>
      </c>
    </row>
    <row r="316" spans="1:12" x14ac:dyDescent="0.2">
      <c r="A316" t="s">
        <v>1767</v>
      </c>
      <c r="B316" t="s">
        <v>1768</v>
      </c>
      <c r="C316" t="s">
        <v>1861</v>
      </c>
      <c r="D316">
        <v>4</v>
      </c>
      <c r="E316">
        <v>6481</v>
      </c>
      <c r="F316">
        <v>6481</v>
      </c>
      <c r="G316" t="s">
        <v>1862</v>
      </c>
      <c r="H316" t="s">
        <v>2187</v>
      </c>
      <c r="I316" t="s">
        <v>1903</v>
      </c>
      <c r="J316" t="s">
        <v>2188</v>
      </c>
      <c r="L316" t="s">
        <v>1863</v>
      </c>
    </row>
    <row r="317" spans="1:12" x14ac:dyDescent="0.2">
      <c r="A317" t="s">
        <v>1767</v>
      </c>
      <c r="B317" t="s">
        <v>1768</v>
      </c>
      <c r="C317" t="s">
        <v>1861</v>
      </c>
      <c r="D317">
        <v>4</v>
      </c>
      <c r="E317">
        <v>42.8</v>
      </c>
      <c r="F317">
        <v>42.8</v>
      </c>
      <c r="G317" t="s">
        <v>1862</v>
      </c>
      <c r="H317" t="s">
        <v>1965</v>
      </c>
      <c r="I317" t="s">
        <v>1903</v>
      </c>
      <c r="J317" t="s">
        <v>2189</v>
      </c>
      <c r="L317" t="s">
        <v>1863</v>
      </c>
    </row>
    <row r="318" spans="1:12" x14ac:dyDescent="0.2">
      <c r="A318" t="s">
        <v>1767</v>
      </c>
      <c r="B318" t="s">
        <v>1768</v>
      </c>
      <c r="C318" t="s">
        <v>1861</v>
      </c>
      <c r="D318">
        <v>4</v>
      </c>
      <c r="E318">
        <v>42.8</v>
      </c>
      <c r="F318">
        <v>42.8</v>
      </c>
      <c r="G318" t="s">
        <v>1862</v>
      </c>
      <c r="H318" t="s">
        <v>1965</v>
      </c>
      <c r="I318" t="s">
        <v>1903</v>
      </c>
      <c r="J318" t="s">
        <v>2190</v>
      </c>
      <c r="L318" t="s">
        <v>1863</v>
      </c>
    </row>
    <row r="319" spans="1:12" x14ac:dyDescent="0.2">
      <c r="A319" t="s">
        <v>1767</v>
      </c>
      <c r="B319" t="s">
        <v>1768</v>
      </c>
      <c r="C319" t="s">
        <v>1861</v>
      </c>
      <c r="D319">
        <v>4</v>
      </c>
      <c r="E319">
        <v>43.32</v>
      </c>
      <c r="F319">
        <v>43.32</v>
      </c>
      <c r="G319" t="s">
        <v>1862</v>
      </c>
      <c r="H319" t="s">
        <v>1977</v>
      </c>
      <c r="I319" t="s">
        <v>1903</v>
      </c>
      <c r="J319" t="s">
        <v>1978</v>
      </c>
      <c r="L319" t="s">
        <v>1863</v>
      </c>
    </row>
    <row r="320" spans="1:12" x14ac:dyDescent="0.2">
      <c r="A320" t="s">
        <v>1767</v>
      </c>
      <c r="B320" t="s">
        <v>1768</v>
      </c>
      <c r="C320" t="s">
        <v>1861</v>
      </c>
      <c r="D320">
        <v>4</v>
      </c>
      <c r="E320">
        <v>43.32</v>
      </c>
      <c r="F320">
        <v>43.32</v>
      </c>
      <c r="G320" t="s">
        <v>1862</v>
      </c>
      <c r="H320" t="s">
        <v>1977</v>
      </c>
      <c r="I320" t="s">
        <v>1903</v>
      </c>
      <c r="J320" t="s">
        <v>1978</v>
      </c>
      <c r="L320" t="s">
        <v>1863</v>
      </c>
    </row>
    <row r="321" spans="1:12" x14ac:dyDescent="0.2">
      <c r="A321" t="s">
        <v>1767</v>
      </c>
      <c r="B321" t="s">
        <v>1768</v>
      </c>
      <c r="C321" t="s">
        <v>1861</v>
      </c>
      <c r="D321">
        <v>4</v>
      </c>
      <c r="E321">
        <v>64.2</v>
      </c>
      <c r="F321">
        <v>64.2</v>
      </c>
      <c r="G321" t="s">
        <v>1862</v>
      </c>
      <c r="H321" t="s">
        <v>2098</v>
      </c>
      <c r="I321" t="s">
        <v>1903</v>
      </c>
      <c r="J321" t="s">
        <v>2191</v>
      </c>
      <c r="L321" t="s">
        <v>1863</v>
      </c>
    </row>
    <row r="322" spans="1:12" x14ac:dyDescent="0.2">
      <c r="A322" t="s">
        <v>1767</v>
      </c>
      <c r="B322" t="s">
        <v>1768</v>
      </c>
      <c r="C322" t="s">
        <v>1861</v>
      </c>
      <c r="D322">
        <v>4</v>
      </c>
      <c r="E322">
        <v>892.38</v>
      </c>
      <c r="F322">
        <v>892.38</v>
      </c>
      <c r="G322" t="s">
        <v>1862</v>
      </c>
      <c r="H322" t="s">
        <v>1995</v>
      </c>
      <c r="I322" t="s">
        <v>1903</v>
      </c>
      <c r="J322" t="s">
        <v>1996</v>
      </c>
      <c r="L322" t="s">
        <v>1863</v>
      </c>
    </row>
    <row r="323" spans="1:12" x14ac:dyDescent="0.2">
      <c r="A323" t="s">
        <v>1767</v>
      </c>
      <c r="B323" t="s">
        <v>1768</v>
      </c>
      <c r="C323" t="s">
        <v>1861</v>
      </c>
      <c r="D323">
        <v>4</v>
      </c>
      <c r="E323">
        <v>297.45999999999998</v>
      </c>
      <c r="F323">
        <v>297.45999999999998</v>
      </c>
      <c r="G323" t="s">
        <v>1862</v>
      </c>
      <c r="H323" t="s">
        <v>1997</v>
      </c>
      <c r="I323" t="s">
        <v>1903</v>
      </c>
      <c r="J323" t="s">
        <v>1998</v>
      </c>
      <c r="L323" t="s">
        <v>1863</v>
      </c>
    </row>
    <row r="324" spans="1:12" x14ac:dyDescent="0.2">
      <c r="A324" t="s">
        <v>1767</v>
      </c>
      <c r="B324" t="s">
        <v>1768</v>
      </c>
      <c r="C324" t="s">
        <v>1861</v>
      </c>
      <c r="D324">
        <v>4</v>
      </c>
      <c r="E324">
        <v>-297.45999999999998</v>
      </c>
      <c r="F324">
        <v>-297.45999999999998</v>
      </c>
      <c r="G324" t="s">
        <v>1862</v>
      </c>
      <c r="H324" t="s">
        <v>1999</v>
      </c>
      <c r="I324" t="s">
        <v>1903</v>
      </c>
      <c r="J324" t="s">
        <v>2000</v>
      </c>
      <c r="L324" t="s">
        <v>1863</v>
      </c>
    </row>
    <row r="325" spans="1:12" x14ac:dyDescent="0.2">
      <c r="A325" t="s">
        <v>1767</v>
      </c>
      <c r="B325" t="s">
        <v>1768</v>
      </c>
      <c r="C325" t="s">
        <v>1861</v>
      </c>
      <c r="D325">
        <v>4</v>
      </c>
      <c r="E325">
        <v>42.8</v>
      </c>
      <c r="F325">
        <v>42.8</v>
      </c>
      <c r="G325" t="s">
        <v>1862</v>
      </c>
      <c r="H325" t="s">
        <v>1965</v>
      </c>
      <c r="I325" t="s">
        <v>1903</v>
      </c>
      <c r="J325" t="s">
        <v>2192</v>
      </c>
      <c r="L325" t="s">
        <v>1863</v>
      </c>
    </row>
    <row r="326" spans="1:12" x14ac:dyDescent="0.2">
      <c r="A326" t="s">
        <v>1767</v>
      </c>
      <c r="B326" t="s">
        <v>1768</v>
      </c>
      <c r="C326" t="s">
        <v>1861</v>
      </c>
      <c r="D326">
        <v>4</v>
      </c>
      <c r="E326">
        <v>1.92</v>
      </c>
      <c r="F326">
        <v>1.92</v>
      </c>
      <c r="G326" t="s">
        <v>1862</v>
      </c>
      <c r="H326" t="s">
        <v>2193</v>
      </c>
      <c r="I326" t="s">
        <v>1903</v>
      </c>
      <c r="J326" t="s">
        <v>2194</v>
      </c>
      <c r="L326" t="s">
        <v>1863</v>
      </c>
    </row>
    <row r="327" spans="1:12" x14ac:dyDescent="0.2">
      <c r="A327" t="s">
        <v>1767</v>
      </c>
      <c r="B327" t="s">
        <v>1768</v>
      </c>
      <c r="C327" t="s">
        <v>1861</v>
      </c>
      <c r="D327">
        <v>4</v>
      </c>
      <c r="E327">
        <v>336</v>
      </c>
      <c r="F327">
        <v>336</v>
      </c>
      <c r="G327" t="s">
        <v>1862</v>
      </c>
      <c r="H327" t="s">
        <v>2195</v>
      </c>
      <c r="I327" t="s">
        <v>1903</v>
      </c>
      <c r="J327" t="s">
        <v>2196</v>
      </c>
      <c r="L327" t="s">
        <v>1863</v>
      </c>
    </row>
    <row r="328" spans="1:12" x14ac:dyDescent="0.2">
      <c r="A328" t="s">
        <v>1767</v>
      </c>
      <c r="B328" t="s">
        <v>1768</v>
      </c>
      <c r="C328" t="s">
        <v>1861</v>
      </c>
      <c r="D328">
        <v>4</v>
      </c>
      <c r="E328">
        <v>26.75</v>
      </c>
      <c r="F328">
        <v>26.75</v>
      </c>
      <c r="G328" t="s">
        <v>1862</v>
      </c>
      <c r="H328" t="s">
        <v>2120</v>
      </c>
      <c r="I328" t="s">
        <v>1903</v>
      </c>
      <c r="J328" t="s">
        <v>2197</v>
      </c>
      <c r="L328" t="s">
        <v>1863</v>
      </c>
    </row>
    <row r="329" spans="1:12" x14ac:dyDescent="0.2">
      <c r="A329" t="s">
        <v>1767</v>
      </c>
      <c r="B329" t="s">
        <v>1768</v>
      </c>
      <c r="C329" t="s">
        <v>1861</v>
      </c>
      <c r="D329">
        <v>4</v>
      </c>
      <c r="E329">
        <v>42.8</v>
      </c>
      <c r="F329">
        <v>42.8</v>
      </c>
      <c r="G329" t="s">
        <v>1862</v>
      </c>
      <c r="H329" t="s">
        <v>1965</v>
      </c>
      <c r="I329" t="s">
        <v>1903</v>
      </c>
      <c r="J329" t="s">
        <v>1992</v>
      </c>
      <c r="L329" t="s">
        <v>1863</v>
      </c>
    </row>
    <row r="330" spans="1:12" x14ac:dyDescent="0.2">
      <c r="A330" t="s">
        <v>1767</v>
      </c>
      <c r="B330" t="s">
        <v>1768</v>
      </c>
      <c r="C330" t="s">
        <v>1861</v>
      </c>
      <c r="D330">
        <v>4</v>
      </c>
      <c r="E330">
        <v>129.96</v>
      </c>
      <c r="F330">
        <v>129.96</v>
      </c>
      <c r="G330" t="s">
        <v>1862</v>
      </c>
      <c r="H330" t="s">
        <v>2198</v>
      </c>
      <c r="I330" t="s">
        <v>1903</v>
      </c>
      <c r="J330" t="s">
        <v>2199</v>
      </c>
      <c r="L330" t="s">
        <v>1863</v>
      </c>
    </row>
    <row r="331" spans="1:12" x14ac:dyDescent="0.2">
      <c r="A331" t="s">
        <v>1767</v>
      </c>
      <c r="B331" t="s">
        <v>1768</v>
      </c>
      <c r="C331" t="s">
        <v>1861</v>
      </c>
      <c r="D331">
        <v>4</v>
      </c>
      <c r="E331">
        <v>43.32</v>
      </c>
      <c r="F331">
        <v>43.32</v>
      </c>
      <c r="G331" t="s">
        <v>1862</v>
      </c>
      <c r="H331" t="s">
        <v>1977</v>
      </c>
      <c r="I331" t="s">
        <v>1903</v>
      </c>
      <c r="J331" t="s">
        <v>1978</v>
      </c>
      <c r="L331" t="s">
        <v>1863</v>
      </c>
    </row>
    <row r="332" spans="1:12" x14ac:dyDescent="0.2">
      <c r="A332" t="s">
        <v>1767</v>
      </c>
      <c r="B332" t="s">
        <v>1768</v>
      </c>
      <c r="C332" t="s">
        <v>1861</v>
      </c>
      <c r="D332">
        <v>4</v>
      </c>
      <c r="E332">
        <v>892.38</v>
      </c>
      <c r="F332">
        <v>892.38</v>
      </c>
      <c r="G332" t="s">
        <v>1862</v>
      </c>
      <c r="H332" t="s">
        <v>1995</v>
      </c>
      <c r="I332" t="s">
        <v>1903</v>
      </c>
      <c r="J332" t="s">
        <v>1996</v>
      </c>
      <c r="L332" t="s">
        <v>1863</v>
      </c>
    </row>
    <row r="333" spans="1:12" x14ac:dyDescent="0.2">
      <c r="A333" t="s">
        <v>1767</v>
      </c>
      <c r="B333" t="s">
        <v>1768</v>
      </c>
      <c r="C333" t="s">
        <v>1861</v>
      </c>
      <c r="D333">
        <v>4</v>
      </c>
      <c r="E333">
        <v>297.45999999999998</v>
      </c>
      <c r="F333">
        <v>297.45999999999998</v>
      </c>
      <c r="G333" t="s">
        <v>1862</v>
      </c>
      <c r="H333" t="s">
        <v>1997</v>
      </c>
      <c r="I333" t="s">
        <v>1903</v>
      </c>
      <c r="J333" t="s">
        <v>1998</v>
      </c>
      <c r="L333" t="s">
        <v>1863</v>
      </c>
    </row>
    <row r="334" spans="1:12" x14ac:dyDescent="0.2">
      <c r="A334" t="s">
        <v>1767</v>
      </c>
      <c r="B334" t="s">
        <v>1768</v>
      </c>
      <c r="C334" t="s">
        <v>1861</v>
      </c>
      <c r="D334">
        <v>4</v>
      </c>
      <c r="E334">
        <v>-297.45999999999998</v>
      </c>
      <c r="F334">
        <v>-297.45999999999998</v>
      </c>
      <c r="G334" t="s">
        <v>1862</v>
      </c>
      <c r="H334" t="s">
        <v>1999</v>
      </c>
      <c r="I334" t="s">
        <v>1903</v>
      </c>
      <c r="J334" t="s">
        <v>2000</v>
      </c>
      <c r="L334" t="s">
        <v>1863</v>
      </c>
    </row>
    <row r="335" spans="1:12" x14ac:dyDescent="0.2">
      <c r="A335" t="s">
        <v>1767</v>
      </c>
      <c r="B335" t="s">
        <v>1768</v>
      </c>
      <c r="C335" t="s">
        <v>1861</v>
      </c>
      <c r="D335">
        <v>4</v>
      </c>
      <c r="E335">
        <v>297.45999999999998</v>
      </c>
      <c r="F335">
        <v>297.45999999999998</v>
      </c>
      <c r="G335" t="s">
        <v>1862</v>
      </c>
      <c r="H335" t="s">
        <v>1997</v>
      </c>
      <c r="I335" t="s">
        <v>1903</v>
      </c>
      <c r="J335" t="s">
        <v>1998</v>
      </c>
      <c r="L335" t="s">
        <v>1863</v>
      </c>
    </row>
    <row r="336" spans="1:12" x14ac:dyDescent="0.2">
      <c r="A336" t="s">
        <v>1767</v>
      </c>
      <c r="B336" t="s">
        <v>1768</v>
      </c>
      <c r="C336" t="s">
        <v>1861</v>
      </c>
      <c r="D336">
        <v>4</v>
      </c>
      <c r="E336">
        <v>145.52000000000001</v>
      </c>
      <c r="F336">
        <v>145.52000000000001</v>
      </c>
      <c r="G336" t="s">
        <v>1862</v>
      </c>
      <c r="H336" t="s">
        <v>2031</v>
      </c>
      <c r="I336" t="s">
        <v>1903</v>
      </c>
      <c r="J336" t="s">
        <v>2032</v>
      </c>
      <c r="L336" t="s">
        <v>1863</v>
      </c>
    </row>
    <row r="337" spans="1:12" x14ac:dyDescent="0.2">
      <c r="A337" t="s">
        <v>1767</v>
      </c>
      <c r="B337" t="s">
        <v>1768</v>
      </c>
      <c r="C337" t="s">
        <v>1861</v>
      </c>
      <c r="D337">
        <v>4</v>
      </c>
      <c r="E337">
        <v>0</v>
      </c>
      <c r="F337">
        <v>0</v>
      </c>
      <c r="G337" t="s">
        <v>1862</v>
      </c>
      <c r="H337" t="s">
        <v>1864</v>
      </c>
      <c r="I337" t="s">
        <v>1903</v>
      </c>
      <c r="J337" t="s">
        <v>2200</v>
      </c>
      <c r="L337" t="s">
        <v>1863</v>
      </c>
    </row>
    <row r="338" spans="1:12" x14ac:dyDescent="0.2">
      <c r="A338" t="s">
        <v>1767</v>
      </c>
      <c r="B338" t="s">
        <v>1768</v>
      </c>
      <c r="C338" t="s">
        <v>1861</v>
      </c>
      <c r="D338">
        <v>4</v>
      </c>
      <c r="E338">
        <v>582.08000000000004</v>
      </c>
      <c r="F338">
        <v>582.08000000000004</v>
      </c>
      <c r="G338" t="s">
        <v>1862</v>
      </c>
      <c r="H338" t="s">
        <v>2201</v>
      </c>
      <c r="I338" t="s">
        <v>1903</v>
      </c>
      <c r="J338" t="s">
        <v>2202</v>
      </c>
      <c r="L338" t="s">
        <v>1863</v>
      </c>
    </row>
    <row r="339" spans="1:12" x14ac:dyDescent="0.2">
      <c r="A339" t="s">
        <v>1767</v>
      </c>
      <c r="B339" t="s">
        <v>1768</v>
      </c>
      <c r="C339" t="s">
        <v>1861</v>
      </c>
      <c r="D339">
        <v>4</v>
      </c>
      <c r="E339">
        <v>-42.8</v>
      </c>
      <c r="F339">
        <v>-42.8</v>
      </c>
      <c r="G339" t="s">
        <v>1862</v>
      </c>
      <c r="H339" t="s">
        <v>1993</v>
      </c>
      <c r="I339" t="s">
        <v>1903</v>
      </c>
      <c r="J339" t="s">
        <v>1994</v>
      </c>
      <c r="L339" t="s">
        <v>1863</v>
      </c>
    </row>
    <row r="340" spans="1:12" x14ac:dyDescent="0.2">
      <c r="A340" t="s">
        <v>1767</v>
      </c>
      <c r="B340" t="s">
        <v>1768</v>
      </c>
      <c r="C340" t="s">
        <v>1861</v>
      </c>
      <c r="D340">
        <v>4</v>
      </c>
      <c r="E340">
        <v>0</v>
      </c>
      <c r="F340">
        <v>0</v>
      </c>
      <c r="G340" t="s">
        <v>1862</v>
      </c>
      <c r="H340" t="s">
        <v>1864</v>
      </c>
      <c r="I340" t="s">
        <v>1903</v>
      </c>
      <c r="J340" t="s">
        <v>2203</v>
      </c>
      <c r="L340" t="s">
        <v>1863</v>
      </c>
    </row>
    <row r="341" spans="1:12" x14ac:dyDescent="0.2">
      <c r="A341" t="s">
        <v>1767</v>
      </c>
      <c r="B341" t="s">
        <v>1768</v>
      </c>
      <c r="C341" t="s">
        <v>1861</v>
      </c>
      <c r="D341">
        <v>4</v>
      </c>
      <c r="E341">
        <v>45.26</v>
      </c>
      <c r="F341">
        <v>45.26</v>
      </c>
      <c r="G341" t="s">
        <v>1862</v>
      </c>
      <c r="H341" t="s">
        <v>2204</v>
      </c>
      <c r="I341" t="s">
        <v>1903</v>
      </c>
      <c r="J341" t="s">
        <v>2205</v>
      </c>
      <c r="L341" t="s">
        <v>1863</v>
      </c>
    </row>
    <row r="342" spans="1:12" x14ac:dyDescent="0.2">
      <c r="A342" t="s">
        <v>1767</v>
      </c>
      <c r="B342" t="s">
        <v>1768</v>
      </c>
      <c r="C342" t="s">
        <v>1861</v>
      </c>
      <c r="D342">
        <v>4</v>
      </c>
      <c r="E342">
        <v>13892</v>
      </c>
      <c r="F342">
        <v>13892</v>
      </c>
      <c r="G342" t="s">
        <v>1862</v>
      </c>
      <c r="H342" t="s">
        <v>2206</v>
      </c>
      <c r="I342" t="s">
        <v>1903</v>
      </c>
      <c r="J342" t="s">
        <v>2207</v>
      </c>
      <c r="L342" t="s">
        <v>1863</v>
      </c>
    </row>
    <row r="343" spans="1:12" x14ac:dyDescent="0.2">
      <c r="A343" t="s">
        <v>1767</v>
      </c>
      <c r="B343" t="s">
        <v>1768</v>
      </c>
      <c r="C343" t="s">
        <v>1861</v>
      </c>
      <c r="D343">
        <v>4</v>
      </c>
      <c r="E343">
        <v>13892</v>
      </c>
      <c r="F343">
        <v>13892</v>
      </c>
      <c r="G343" t="s">
        <v>1862</v>
      </c>
      <c r="H343" t="s">
        <v>2206</v>
      </c>
      <c r="I343" t="s">
        <v>1903</v>
      </c>
      <c r="J343" t="s">
        <v>2207</v>
      </c>
      <c r="L343" t="s">
        <v>1863</v>
      </c>
    </row>
    <row r="344" spans="1:12" x14ac:dyDescent="0.2">
      <c r="A344" t="s">
        <v>1767</v>
      </c>
      <c r="B344" t="s">
        <v>1768</v>
      </c>
      <c r="C344" t="s">
        <v>1861</v>
      </c>
      <c r="D344">
        <v>4</v>
      </c>
      <c r="E344">
        <v>7.32</v>
      </c>
      <c r="F344">
        <v>7.32</v>
      </c>
      <c r="G344" t="s">
        <v>1862</v>
      </c>
      <c r="H344" t="s">
        <v>2208</v>
      </c>
      <c r="I344" t="s">
        <v>1903</v>
      </c>
      <c r="J344" t="s">
        <v>2209</v>
      </c>
      <c r="L344" t="s">
        <v>1863</v>
      </c>
    </row>
    <row r="345" spans="1:12" x14ac:dyDescent="0.2">
      <c r="A345" t="s">
        <v>1767</v>
      </c>
      <c r="B345" t="s">
        <v>1768</v>
      </c>
      <c r="C345" t="s">
        <v>1861</v>
      </c>
      <c r="D345">
        <v>4</v>
      </c>
      <c r="E345">
        <v>3.96</v>
      </c>
      <c r="F345">
        <v>3.96</v>
      </c>
      <c r="G345" t="s">
        <v>1862</v>
      </c>
      <c r="H345" t="s">
        <v>2210</v>
      </c>
      <c r="I345" t="s">
        <v>1903</v>
      </c>
      <c r="J345" t="s">
        <v>2211</v>
      </c>
      <c r="L345" t="s">
        <v>1863</v>
      </c>
    </row>
    <row r="346" spans="1:12" x14ac:dyDescent="0.2">
      <c r="A346" t="s">
        <v>1767</v>
      </c>
      <c r="B346" t="s">
        <v>1768</v>
      </c>
      <c r="C346" t="s">
        <v>1861</v>
      </c>
      <c r="D346">
        <v>4</v>
      </c>
      <c r="E346">
        <v>83.92</v>
      </c>
      <c r="F346">
        <v>83.92</v>
      </c>
      <c r="G346" t="s">
        <v>1862</v>
      </c>
      <c r="H346" t="s">
        <v>2212</v>
      </c>
      <c r="I346" t="s">
        <v>1903</v>
      </c>
      <c r="J346" t="s">
        <v>2213</v>
      </c>
      <c r="L346" t="s">
        <v>1863</v>
      </c>
    </row>
    <row r="347" spans="1:12" x14ac:dyDescent="0.2">
      <c r="A347" t="s">
        <v>1767</v>
      </c>
      <c r="B347" t="s">
        <v>1768</v>
      </c>
      <c r="C347" t="s">
        <v>1861</v>
      </c>
      <c r="D347">
        <v>4</v>
      </c>
      <c r="E347">
        <v>383.8</v>
      </c>
      <c r="F347">
        <v>383.8</v>
      </c>
      <c r="G347" t="s">
        <v>1862</v>
      </c>
      <c r="H347" t="s">
        <v>2214</v>
      </c>
      <c r="I347" t="s">
        <v>1903</v>
      </c>
      <c r="J347" t="s">
        <v>2215</v>
      </c>
      <c r="L347" t="s">
        <v>1863</v>
      </c>
    </row>
    <row r="348" spans="1:12" x14ac:dyDescent="0.2">
      <c r="A348" t="s">
        <v>1767</v>
      </c>
      <c r="B348" t="s">
        <v>1768</v>
      </c>
      <c r="C348" t="s">
        <v>1861</v>
      </c>
      <c r="D348">
        <v>4</v>
      </c>
      <c r="E348">
        <v>55.4</v>
      </c>
      <c r="F348">
        <v>55.4</v>
      </c>
      <c r="G348" t="s">
        <v>1862</v>
      </c>
      <c r="H348" t="s">
        <v>2164</v>
      </c>
      <c r="I348" t="s">
        <v>1903</v>
      </c>
      <c r="J348" t="s">
        <v>2165</v>
      </c>
      <c r="L348" t="s">
        <v>1863</v>
      </c>
    </row>
    <row r="349" spans="1:12" x14ac:dyDescent="0.2">
      <c r="A349" t="s">
        <v>1767</v>
      </c>
      <c r="B349" t="s">
        <v>1768</v>
      </c>
      <c r="C349" t="s">
        <v>1861</v>
      </c>
      <c r="D349">
        <v>4</v>
      </c>
      <c r="E349">
        <v>148.44</v>
      </c>
      <c r="F349">
        <v>148.44</v>
      </c>
      <c r="G349" t="s">
        <v>1862</v>
      </c>
      <c r="H349" t="s">
        <v>1971</v>
      </c>
      <c r="I349" t="s">
        <v>1903</v>
      </c>
      <c r="J349" t="s">
        <v>1972</v>
      </c>
      <c r="L349" t="s">
        <v>1863</v>
      </c>
    </row>
    <row r="350" spans="1:12" x14ac:dyDescent="0.2">
      <c r="A350" t="s">
        <v>1767</v>
      </c>
      <c r="B350" t="s">
        <v>1768</v>
      </c>
      <c r="C350" t="s">
        <v>1861</v>
      </c>
      <c r="D350">
        <v>4</v>
      </c>
      <c r="E350">
        <v>6.14</v>
      </c>
      <c r="F350">
        <v>6.14</v>
      </c>
      <c r="G350" t="s">
        <v>1862</v>
      </c>
      <c r="H350" t="s">
        <v>2216</v>
      </c>
      <c r="I350" t="s">
        <v>1903</v>
      </c>
      <c r="J350" t="s">
        <v>2217</v>
      </c>
      <c r="L350" t="s">
        <v>1863</v>
      </c>
    </row>
    <row r="351" spans="1:12" x14ac:dyDescent="0.2">
      <c r="A351" t="s">
        <v>1767</v>
      </c>
      <c r="B351" t="s">
        <v>1768</v>
      </c>
      <c r="C351" t="s">
        <v>1861</v>
      </c>
      <c r="D351">
        <v>4</v>
      </c>
      <c r="E351">
        <v>38.549999999999997</v>
      </c>
      <c r="F351">
        <v>38.549999999999997</v>
      </c>
      <c r="G351" t="s">
        <v>1862</v>
      </c>
      <c r="H351" t="s">
        <v>2218</v>
      </c>
      <c r="I351" t="s">
        <v>1903</v>
      </c>
      <c r="J351" t="s">
        <v>2219</v>
      </c>
      <c r="L351" t="s">
        <v>1863</v>
      </c>
    </row>
    <row r="352" spans="1:12" x14ac:dyDescent="0.2">
      <c r="A352" t="s">
        <v>1767</v>
      </c>
      <c r="B352" t="s">
        <v>1768</v>
      </c>
      <c r="C352" t="s">
        <v>1861</v>
      </c>
      <c r="D352">
        <v>4</v>
      </c>
      <c r="E352">
        <v>1.92</v>
      </c>
      <c r="F352">
        <v>1.92</v>
      </c>
      <c r="G352" t="s">
        <v>1862</v>
      </c>
      <c r="H352" t="s">
        <v>2193</v>
      </c>
      <c r="I352" t="s">
        <v>1903</v>
      </c>
      <c r="J352" t="s">
        <v>2194</v>
      </c>
      <c r="L352" t="s">
        <v>1863</v>
      </c>
    </row>
    <row r="353" spans="1:12" x14ac:dyDescent="0.2">
      <c r="A353" t="s">
        <v>1767</v>
      </c>
      <c r="B353" t="s">
        <v>1768</v>
      </c>
      <c r="C353" t="s">
        <v>1861</v>
      </c>
      <c r="D353">
        <v>4</v>
      </c>
      <c r="E353">
        <v>42.8</v>
      </c>
      <c r="F353">
        <v>42.8</v>
      </c>
      <c r="G353" t="s">
        <v>1862</v>
      </c>
      <c r="H353" t="s">
        <v>1965</v>
      </c>
      <c r="I353" t="s">
        <v>1903</v>
      </c>
      <c r="J353" t="s">
        <v>1992</v>
      </c>
      <c r="L353" t="s">
        <v>1863</v>
      </c>
    </row>
    <row r="354" spans="1:12" x14ac:dyDescent="0.2">
      <c r="A354" t="s">
        <v>1767</v>
      </c>
      <c r="B354" t="s">
        <v>1768</v>
      </c>
      <c r="C354" t="s">
        <v>1861</v>
      </c>
      <c r="D354">
        <v>4</v>
      </c>
      <c r="E354">
        <v>21.4</v>
      </c>
      <c r="F354">
        <v>21.4</v>
      </c>
      <c r="G354" t="s">
        <v>1862</v>
      </c>
      <c r="H354" t="s">
        <v>2082</v>
      </c>
      <c r="I354" t="s">
        <v>1903</v>
      </c>
      <c r="J354" t="s">
        <v>2220</v>
      </c>
      <c r="L354" t="s">
        <v>1863</v>
      </c>
    </row>
    <row r="355" spans="1:12" x14ac:dyDescent="0.2">
      <c r="A355" t="s">
        <v>1767</v>
      </c>
      <c r="B355" t="s">
        <v>1768</v>
      </c>
      <c r="C355" t="s">
        <v>1861</v>
      </c>
      <c r="D355">
        <v>4</v>
      </c>
      <c r="E355">
        <v>1067.54</v>
      </c>
      <c r="F355">
        <v>1067.54</v>
      </c>
      <c r="G355" t="s">
        <v>1862</v>
      </c>
      <c r="H355" t="s">
        <v>2221</v>
      </c>
      <c r="I355" t="s">
        <v>1903</v>
      </c>
      <c r="J355" t="s">
        <v>2222</v>
      </c>
      <c r="L355" t="s">
        <v>1863</v>
      </c>
    </row>
    <row r="356" spans="1:12" x14ac:dyDescent="0.2">
      <c r="A356" t="s">
        <v>1767</v>
      </c>
      <c r="B356" t="s">
        <v>1768</v>
      </c>
      <c r="C356" t="s">
        <v>1861</v>
      </c>
      <c r="D356">
        <v>4</v>
      </c>
      <c r="E356">
        <v>6.54</v>
      </c>
      <c r="F356">
        <v>6.54</v>
      </c>
      <c r="G356" t="s">
        <v>1862</v>
      </c>
      <c r="H356" t="s">
        <v>2223</v>
      </c>
      <c r="I356" t="s">
        <v>1903</v>
      </c>
      <c r="J356" t="s">
        <v>2224</v>
      </c>
      <c r="L356" t="s">
        <v>1863</v>
      </c>
    </row>
    <row r="357" spans="1:12" x14ac:dyDescent="0.2">
      <c r="A357" t="s">
        <v>1767</v>
      </c>
      <c r="B357" t="s">
        <v>1768</v>
      </c>
      <c r="C357" t="s">
        <v>1861</v>
      </c>
      <c r="D357">
        <v>4</v>
      </c>
      <c r="E357">
        <v>5474</v>
      </c>
      <c r="F357">
        <v>5474</v>
      </c>
      <c r="G357" t="s">
        <v>1862</v>
      </c>
      <c r="H357" t="s">
        <v>2225</v>
      </c>
      <c r="I357" t="s">
        <v>1903</v>
      </c>
      <c r="J357" t="s">
        <v>2226</v>
      </c>
      <c r="L357" t="s">
        <v>1863</v>
      </c>
    </row>
    <row r="358" spans="1:12" x14ac:dyDescent="0.2">
      <c r="A358" t="s">
        <v>1767</v>
      </c>
      <c r="B358" t="s">
        <v>1768</v>
      </c>
      <c r="C358" t="s">
        <v>1861</v>
      </c>
      <c r="D358">
        <v>4</v>
      </c>
      <c r="E358">
        <v>26.75</v>
      </c>
      <c r="F358">
        <v>26.75</v>
      </c>
      <c r="G358" t="s">
        <v>1862</v>
      </c>
      <c r="H358" t="s">
        <v>2120</v>
      </c>
      <c r="I358" t="s">
        <v>1903</v>
      </c>
      <c r="J358" t="s">
        <v>2227</v>
      </c>
      <c r="L358" t="s">
        <v>1863</v>
      </c>
    </row>
    <row r="359" spans="1:12" x14ac:dyDescent="0.2">
      <c r="A359" t="s">
        <v>1767</v>
      </c>
      <c r="B359" t="s">
        <v>1768</v>
      </c>
      <c r="C359" t="s">
        <v>1861</v>
      </c>
      <c r="D359">
        <v>4</v>
      </c>
      <c r="E359">
        <v>26.75</v>
      </c>
      <c r="F359">
        <v>26.75</v>
      </c>
      <c r="G359" t="s">
        <v>1862</v>
      </c>
      <c r="H359" t="s">
        <v>2120</v>
      </c>
      <c r="I359" t="s">
        <v>1903</v>
      </c>
      <c r="J359" t="s">
        <v>2197</v>
      </c>
      <c r="L359" t="s">
        <v>1863</v>
      </c>
    </row>
    <row r="360" spans="1:12" x14ac:dyDescent="0.2">
      <c r="A360" t="s">
        <v>1767</v>
      </c>
      <c r="B360" t="s">
        <v>1768</v>
      </c>
      <c r="C360" t="s">
        <v>1861</v>
      </c>
      <c r="D360">
        <v>4</v>
      </c>
      <c r="E360">
        <v>42.8</v>
      </c>
      <c r="F360">
        <v>42.8</v>
      </c>
      <c r="G360" t="s">
        <v>1862</v>
      </c>
      <c r="H360" t="s">
        <v>1965</v>
      </c>
      <c r="I360" t="s">
        <v>1903</v>
      </c>
      <c r="J360" t="s">
        <v>2192</v>
      </c>
      <c r="L360" t="s">
        <v>1863</v>
      </c>
    </row>
    <row r="361" spans="1:12" x14ac:dyDescent="0.2">
      <c r="A361" t="s">
        <v>1767</v>
      </c>
      <c r="B361" t="s">
        <v>1768</v>
      </c>
      <c r="C361" t="s">
        <v>1861</v>
      </c>
      <c r="D361">
        <v>4</v>
      </c>
      <c r="E361">
        <v>21.4</v>
      </c>
      <c r="F361">
        <v>21.4</v>
      </c>
      <c r="G361" t="s">
        <v>1862</v>
      </c>
      <c r="H361" t="s">
        <v>2082</v>
      </c>
      <c r="I361" t="s">
        <v>1903</v>
      </c>
      <c r="J361" t="s">
        <v>2228</v>
      </c>
      <c r="L361" t="s">
        <v>1863</v>
      </c>
    </row>
    <row r="362" spans="1:12" x14ac:dyDescent="0.2">
      <c r="A362" t="s">
        <v>1767</v>
      </c>
      <c r="B362" t="s">
        <v>1768</v>
      </c>
      <c r="C362" t="s">
        <v>1861</v>
      </c>
      <c r="D362">
        <v>4</v>
      </c>
      <c r="E362">
        <v>43.32</v>
      </c>
      <c r="F362">
        <v>43.32</v>
      </c>
      <c r="G362" t="s">
        <v>1862</v>
      </c>
      <c r="H362" t="s">
        <v>1977</v>
      </c>
      <c r="I362" t="s">
        <v>1903</v>
      </c>
      <c r="J362" t="s">
        <v>1978</v>
      </c>
      <c r="L362" t="s">
        <v>1863</v>
      </c>
    </row>
    <row r="363" spans="1:12" x14ac:dyDescent="0.2">
      <c r="A363" t="s">
        <v>1767</v>
      </c>
      <c r="B363" t="s">
        <v>1768</v>
      </c>
      <c r="C363" t="s">
        <v>1861</v>
      </c>
      <c r="D363">
        <v>4</v>
      </c>
      <c r="E363">
        <v>637.72</v>
      </c>
      <c r="F363">
        <v>637.72</v>
      </c>
      <c r="G363" t="s">
        <v>1862</v>
      </c>
      <c r="H363" t="s">
        <v>2229</v>
      </c>
      <c r="I363" t="s">
        <v>1903</v>
      </c>
      <c r="J363" t="s">
        <v>2230</v>
      </c>
      <c r="L363" t="s">
        <v>1863</v>
      </c>
    </row>
    <row r="364" spans="1:12" x14ac:dyDescent="0.2">
      <c r="A364" t="s">
        <v>1767</v>
      </c>
      <c r="B364" t="s">
        <v>1768</v>
      </c>
      <c r="C364" t="s">
        <v>1861</v>
      </c>
      <c r="D364">
        <v>4</v>
      </c>
      <c r="E364">
        <v>152.51</v>
      </c>
      <c r="F364">
        <v>152.51</v>
      </c>
      <c r="G364" t="s">
        <v>1862</v>
      </c>
      <c r="H364" t="s">
        <v>2231</v>
      </c>
      <c r="I364" t="s">
        <v>1903</v>
      </c>
      <c r="J364" t="s">
        <v>2232</v>
      </c>
      <c r="L364" t="s">
        <v>1863</v>
      </c>
    </row>
    <row r="365" spans="1:12" x14ac:dyDescent="0.2">
      <c r="A365" t="s">
        <v>1767</v>
      </c>
      <c r="B365" t="s">
        <v>1768</v>
      </c>
      <c r="C365" t="s">
        <v>1861</v>
      </c>
      <c r="D365">
        <v>4</v>
      </c>
      <c r="E365">
        <v>42.8</v>
      </c>
      <c r="F365">
        <v>42.8</v>
      </c>
      <c r="G365" t="s">
        <v>1862</v>
      </c>
      <c r="H365" t="s">
        <v>1965</v>
      </c>
      <c r="I365" t="s">
        <v>1903</v>
      </c>
      <c r="J365" t="s">
        <v>1992</v>
      </c>
      <c r="L365" t="s">
        <v>1863</v>
      </c>
    </row>
    <row r="366" spans="1:12" x14ac:dyDescent="0.2">
      <c r="A366" t="s">
        <v>1767</v>
      </c>
      <c r="B366" t="s">
        <v>1768</v>
      </c>
      <c r="C366" t="s">
        <v>1861</v>
      </c>
      <c r="D366">
        <v>4</v>
      </c>
      <c r="E366">
        <v>6.88</v>
      </c>
      <c r="F366">
        <v>6.88</v>
      </c>
      <c r="G366" t="s">
        <v>1862</v>
      </c>
      <c r="H366" t="s">
        <v>2043</v>
      </c>
      <c r="I366" t="s">
        <v>1903</v>
      </c>
      <c r="J366" t="s">
        <v>2044</v>
      </c>
      <c r="L366" t="s">
        <v>1863</v>
      </c>
    </row>
    <row r="367" spans="1:12" x14ac:dyDescent="0.2">
      <c r="A367" t="s">
        <v>1767</v>
      </c>
      <c r="B367" t="s">
        <v>1768</v>
      </c>
      <c r="C367" t="s">
        <v>1861</v>
      </c>
      <c r="D367">
        <v>4</v>
      </c>
      <c r="E367">
        <v>148.44</v>
      </c>
      <c r="F367">
        <v>148.44</v>
      </c>
      <c r="G367" t="s">
        <v>1862</v>
      </c>
      <c r="H367" t="s">
        <v>1971</v>
      </c>
      <c r="I367" t="s">
        <v>1903</v>
      </c>
      <c r="J367" t="s">
        <v>1972</v>
      </c>
      <c r="L367" t="s">
        <v>1863</v>
      </c>
    </row>
    <row r="368" spans="1:12" x14ac:dyDescent="0.2">
      <c r="A368" t="s">
        <v>1767</v>
      </c>
      <c r="B368" t="s">
        <v>1768</v>
      </c>
      <c r="C368" t="s">
        <v>1861</v>
      </c>
      <c r="D368">
        <v>4</v>
      </c>
      <c r="E368">
        <v>13.07</v>
      </c>
      <c r="F368">
        <v>13.07</v>
      </c>
      <c r="G368" t="s">
        <v>1862</v>
      </c>
      <c r="H368" t="s">
        <v>2233</v>
      </c>
      <c r="I368" t="s">
        <v>1903</v>
      </c>
      <c r="J368" t="s">
        <v>2234</v>
      </c>
      <c r="L368" t="s">
        <v>1863</v>
      </c>
    </row>
    <row r="369" spans="1:12" x14ac:dyDescent="0.2">
      <c r="A369" t="s">
        <v>1767</v>
      </c>
      <c r="B369" t="s">
        <v>1768</v>
      </c>
      <c r="C369" t="s">
        <v>1861</v>
      </c>
      <c r="D369">
        <v>4</v>
      </c>
      <c r="E369">
        <v>4564</v>
      </c>
      <c r="F369">
        <v>4564</v>
      </c>
      <c r="G369" t="s">
        <v>1862</v>
      </c>
      <c r="H369" t="s">
        <v>2235</v>
      </c>
      <c r="I369" t="s">
        <v>1903</v>
      </c>
      <c r="J369" t="s">
        <v>2236</v>
      </c>
      <c r="L369" t="s">
        <v>1863</v>
      </c>
    </row>
    <row r="370" spans="1:12" x14ac:dyDescent="0.2">
      <c r="A370" t="s">
        <v>1767</v>
      </c>
      <c r="B370" t="s">
        <v>1768</v>
      </c>
      <c r="C370" t="s">
        <v>1861</v>
      </c>
      <c r="D370">
        <v>4</v>
      </c>
      <c r="E370">
        <v>4564</v>
      </c>
      <c r="F370">
        <v>4564</v>
      </c>
      <c r="G370" t="s">
        <v>1862</v>
      </c>
      <c r="H370" t="s">
        <v>2235</v>
      </c>
      <c r="I370" t="s">
        <v>1903</v>
      </c>
      <c r="J370" t="s">
        <v>2237</v>
      </c>
      <c r="L370" t="s">
        <v>1863</v>
      </c>
    </row>
    <row r="371" spans="1:12" x14ac:dyDescent="0.2">
      <c r="A371" t="s">
        <v>1767</v>
      </c>
      <c r="B371" t="s">
        <v>1768</v>
      </c>
      <c r="C371" t="s">
        <v>1861</v>
      </c>
      <c r="D371">
        <v>4</v>
      </c>
      <c r="E371">
        <v>21.4</v>
      </c>
      <c r="F371">
        <v>21.4</v>
      </c>
      <c r="G371" t="s">
        <v>1862</v>
      </c>
      <c r="H371" t="s">
        <v>2082</v>
      </c>
      <c r="I371" t="s">
        <v>1903</v>
      </c>
      <c r="J371" t="s">
        <v>2238</v>
      </c>
      <c r="L371" t="s">
        <v>1863</v>
      </c>
    </row>
    <row r="372" spans="1:12" x14ac:dyDescent="0.2">
      <c r="A372" t="s">
        <v>1767</v>
      </c>
      <c r="B372" t="s">
        <v>1768</v>
      </c>
      <c r="C372" t="s">
        <v>1861</v>
      </c>
      <c r="D372">
        <v>4</v>
      </c>
      <c r="E372">
        <v>-21.4</v>
      </c>
      <c r="F372">
        <v>-21.4</v>
      </c>
      <c r="G372" t="s">
        <v>1862</v>
      </c>
      <c r="H372" t="s">
        <v>2239</v>
      </c>
      <c r="I372" t="s">
        <v>1903</v>
      </c>
      <c r="J372" t="s">
        <v>2240</v>
      </c>
      <c r="L372" t="s">
        <v>1863</v>
      </c>
    </row>
    <row r="373" spans="1:12" x14ac:dyDescent="0.2">
      <c r="A373" t="s">
        <v>1767</v>
      </c>
      <c r="B373" t="s">
        <v>1768</v>
      </c>
      <c r="C373" t="s">
        <v>1861</v>
      </c>
      <c r="D373">
        <v>4</v>
      </c>
      <c r="E373">
        <v>21.4</v>
      </c>
      <c r="F373">
        <v>21.4</v>
      </c>
      <c r="G373" t="s">
        <v>1862</v>
      </c>
      <c r="H373" t="s">
        <v>2082</v>
      </c>
      <c r="I373" t="s">
        <v>1903</v>
      </c>
      <c r="J373" t="s">
        <v>2238</v>
      </c>
      <c r="L373" t="s">
        <v>1863</v>
      </c>
    </row>
    <row r="374" spans="1:12" x14ac:dyDescent="0.2">
      <c r="A374" t="s">
        <v>1767</v>
      </c>
      <c r="B374" t="s">
        <v>1768</v>
      </c>
      <c r="C374" t="s">
        <v>1861</v>
      </c>
      <c r="D374">
        <v>4</v>
      </c>
      <c r="E374">
        <v>21.4</v>
      </c>
      <c r="F374">
        <v>21.4</v>
      </c>
      <c r="G374" t="s">
        <v>1862</v>
      </c>
      <c r="H374" t="s">
        <v>2082</v>
      </c>
      <c r="I374" t="s">
        <v>1903</v>
      </c>
      <c r="J374" t="s">
        <v>2220</v>
      </c>
      <c r="L374" t="s">
        <v>1863</v>
      </c>
    </row>
    <row r="375" spans="1:12" x14ac:dyDescent="0.2">
      <c r="A375" t="s">
        <v>1767</v>
      </c>
      <c r="B375" t="s">
        <v>1768</v>
      </c>
      <c r="C375" t="s">
        <v>1861</v>
      </c>
      <c r="D375">
        <v>4</v>
      </c>
      <c r="E375">
        <v>21.4</v>
      </c>
      <c r="F375">
        <v>21.4</v>
      </c>
      <c r="G375" t="s">
        <v>1862</v>
      </c>
      <c r="H375" t="s">
        <v>2082</v>
      </c>
      <c r="I375" t="s">
        <v>1903</v>
      </c>
      <c r="J375" t="s">
        <v>2220</v>
      </c>
      <c r="L375" t="s">
        <v>1863</v>
      </c>
    </row>
    <row r="376" spans="1:12" x14ac:dyDescent="0.2">
      <c r="A376" t="s">
        <v>1767</v>
      </c>
      <c r="B376" t="s">
        <v>1768</v>
      </c>
      <c r="C376" t="s">
        <v>1861</v>
      </c>
      <c r="D376">
        <v>4</v>
      </c>
      <c r="E376">
        <v>-21.4</v>
      </c>
      <c r="F376">
        <v>-21.4</v>
      </c>
      <c r="G376" t="s">
        <v>1862</v>
      </c>
      <c r="H376" t="s">
        <v>2239</v>
      </c>
      <c r="I376" t="s">
        <v>1903</v>
      </c>
      <c r="J376" t="s">
        <v>2241</v>
      </c>
      <c r="L376" t="s">
        <v>1863</v>
      </c>
    </row>
    <row r="377" spans="1:12" x14ac:dyDescent="0.2">
      <c r="A377" t="s">
        <v>1767</v>
      </c>
      <c r="B377" t="s">
        <v>1768</v>
      </c>
      <c r="C377" t="s">
        <v>1861</v>
      </c>
      <c r="D377">
        <v>4</v>
      </c>
      <c r="E377">
        <v>6.88</v>
      </c>
      <c r="F377">
        <v>6.88</v>
      </c>
      <c r="G377" t="s">
        <v>1862</v>
      </c>
      <c r="H377" t="s">
        <v>2043</v>
      </c>
      <c r="I377" t="s">
        <v>1903</v>
      </c>
      <c r="J377" t="s">
        <v>2044</v>
      </c>
      <c r="L377" t="s">
        <v>1863</v>
      </c>
    </row>
    <row r="378" spans="1:12" x14ac:dyDescent="0.2">
      <c r="A378" t="s">
        <v>1767</v>
      </c>
      <c r="B378" t="s">
        <v>1768</v>
      </c>
      <c r="C378" t="s">
        <v>1861</v>
      </c>
      <c r="D378">
        <v>4</v>
      </c>
      <c r="E378">
        <v>637.72</v>
      </c>
      <c r="F378">
        <v>637.72</v>
      </c>
      <c r="G378" t="s">
        <v>1862</v>
      </c>
      <c r="H378" t="s">
        <v>2229</v>
      </c>
      <c r="I378" t="s">
        <v>1903</v>
      </c>
      <c r="J378" t="s">
        <v>2230</v>
      </c>
      <c r="L378" t="s">
        <v>1863</v>
      </c>
    </row>
    <row r="379" spans="1:12" x14ac:dyDescent="0.2">
      <c r="A379" t="s">
        <v>1767</v>
      </c>
      <c r="B379" t="s">
        <v>1768</v>
      </c>
      <c r="C379" t="s">
        <v>1861</v>
      </c>
      <c r="D379">
        <v>4</v>
      </c>
      <c r="E379">
        <v>264.10000000000002</v>
      </c>
      <c r="F379">
        <v>264.10000000000002</v>
      </c>
      <c r="G379" t="s">
        <v>1862</v>
      </c>
      <c r="H379" t="s">
        <v>2242</v>
      </c>
      <c r="I379" t="s">
        <v>1903</v>
      </c>
      <c r="J379" t="s">
        <v>2243</v>
      </c>
      <c r="L379" t="s">
        <v>1863</v>
      </c>
    </row>
    <row r="380" spans="1:12" x14ac:dyDescent="0.2">
      <c r="A380" t="s">
        <v>1767</v>
      </c>
      <c r="B380" t="s">
        <v>1768</v>
      </c>
      <c r="C380" t="s">
        <v>1861</v>
      </c>
      <c r="D380">
        <v>4</v>
      </c>
      <c r="E380">
        <v>42.8</v>
      </c>
      <c r="F380">
        <v>42.8</v>
      </c>
      <c r="G380" t="s">
        <v>1862</v>
      </c>
      <c r="H380" t="s">
        <v>1965</v>
      </c>
      <c r="I380" t="s">
        <v>1903</v>
      </c>
      <c r="J380" t="s">
        <v>2192</v>
      </c>
      <c r="L380" t="s">
        <v>1863</v>
      </c>
    </row>
    <row r="381" spans="1:12" x14ac:dyDescent="0.2">
      <c r="A381" t="s">
        <v>1767</v>
      </c>
      <c r="B381" t="s">
        <v>1768</v>
      </c>
      <c r="C381" t="s">
        <v>1861</v>
      </c>
      <c r="D381">
        <v>4</v>
      </c>
      <c r="E381">
        <v>13.07</v>
      </c>
      <c r="F381">
        <v>13.07</v>
      </c>
      <c r="G381" t="s">
        <v>1862</v>
      </c>
      <c r="H381" t="s">
        <v>2233</v>
      </c>
      <c r="I381" t="s">
        <v>1903</v>
      </c>
      <c r="J381" t="s">
        <v>2234</v>
      </c>
      <c r="L381" t="s">
        <v>1863</v>
      </c>
    </row>
    <row r="382" spans="1:12" x14ac:dyDescent="0.2">
      <c r="A382" t="s">
        <v>1767</v>
      </c>
      <c r="B382" t="s">
        <v>1768</v>
      </c>
      <c r="C382" t="s">
        <v>1861</v>
      </c>
      <c r="D382">
        <v>4</v>
      </c>
      <c r="E382">
        <v>145.52000000000001</v>
      </c>
      <c r="F382">
        <v>145.52000000000001</v>
      </c>
      <c r="G382" t="s">
        <v>1862</v>
      </c>
      <c r="H382" t="s">
        <v>2031</v>
      </c>
      <c r="I382" t="s">
        <v>1903</v>
      </c>
      <c r="J382" t="s">
        <v>2032</v>
      </c>
      <c r="L382" t="s">
        <v>1863</v>
      </c>
    </row>
    <row r="383" spans="1:12" x14ac:dyDescent="0.2">
      <c r="A383" t="s">
        <v>1767</v>
      </c>
      <c r="B383" t="s">
        <v>1768</v>
      </c>
      <c r="C383" t="s">
        <v>1861</v>
      </c>
      <c r="D383">
        <v>4</v>
      </c>
      <c r="E383">
        <v>52.82</v>
      </c>
      <c r="F383">
        <v>52.82</v>
      </c>
      <c r="G383" t="s">
        <v>1862</v>
      </c>
      <c r="H383" t="s">
        <v>2168</v>
      </c>
      <c r="I383" t="s">
        <v>1903</v>
      </c>
      <c r="J383" t="s">
        <v>2169</v>
      </c>
      <c r="L383" t="s">
        <v>1863</v>
      </c>
    </row>
    <row r="384" spans="1:12" x14ac:dyDescent="0.2">
      <c r="A384" t="s">
        <v>1767</v>
      </c>
      <c r="B384" t="s">
        <v>1768</v>
      </c>
      <c r="C384" t="s">
        <v>1861</v>
      </c>
      <c r="D384">
        <v>4</v>
      </c>
      <c r="E384">
        <v>42.8</v>
      </c>
      <c r="F384">
        <v>42.8</v>
      </c>
      <c r="G384" t="s">
        <v>1862</v>
      </c>
      <c r="H384" t="s">
        <v>1965</v>
      </c>
      <c r="I384" t="s">
        <v>1903</v>
      </c>
      <c r="J384" t="s">
        <v>2095</v>
      </c>
      <c r="L384" t="s">
        <v>1863</v>
      </c>
    </row>
    <row r="385" spans="1:12" x14ac:dyDescent="0.2">
      <c r="A385" t="s">
        <v>1767</v>
      </c>
      <c r="B385" t="s">
        <v>1768</v>
      </c>
      <c r="C385" t="s">
        <v>1861</v>
      </c>
      <c r="D385">
        <v>4</v>
      </c>
      <c r="E385">
        <v>4386.8</v>
      </c>
      <c r="F385">
        <v>4386.8</v>
      </c>
      <c r="G385" t="s">
        <v>1862</v>
      </c>
      <c r="H385" t="s">
        <v>2244</v>
      </c>
      <c r="I385" t="s">
        <v>1903</v>
      </c>
      <c r="J385" t="s">
        <v>2245</v>
      </c>
      <c r="L385" t="s">
        <v>1863</v>
      </c>
    </row>
    <row r="386" spans="1:12" x14ac:dyDescent="0.2">
      <c r="A386" t="s">
        <v>1767</v>
      </c>
      <c r="B386" t="s">
        <v>1768</v>
      </c>
      <c r="C386" t="s">
        <v>1861</v>
      </c>
      <c r="D386">
        <v>4</v>
      </c>
      <c r="E386">
        <v>8086</v>
      </c>
      <c r="F386">
        <v>8086</v>
      </c>
      <c r="G386" t="s">
        <v>1862</v>
      </c>
      <c r="H386" t="s">
        <v>2246</v>
      </c>
      <c r="I386" t="s">
        <v>1903</v>
      </c>
      <c r="J386" t="s">
        <v>2247</v>
      </c>
      <c r="L386" t="s">
        <v>1863</v>
      </c>
    </row>
    <row r="387" spans="1:12" x14ac:dyDescent="0.2">
      <c r="A387" t="s">
        <v>1767</v>
      </c>
      <c r="B387" t="s">
        <v>1768</v>
      </c>
      <c r="C387" t="s">
        <v>1861</v>
      </c>
      <c r="D387">
        <v>4</v>
      </c>
      <c r="E387">
        <v>8086</v>
      </c>
      <c r="F387">
        <v>8086</v>
      </c>
      <c r="G387" t="s">
        <v>1862</v>
      </c>
      <c r="H387" t="s">
        <v>2246</v>
      </c>
      <c r="I387" t="s">
        <v>1903</v>
      </c>
      <c r="J387" t="s">
        <v>2247</v>
      </c>
      <c r="L387" t="s">
        <v>1863</v>
      </c>
    </row>
    <row r="388" spans="1:12" x14ac:dyDescent="0.2">
      <c r="A388" t="s">
        <v>1767</v>
      </c>
      <c r="B388" t="s">
        <v>1768</v>
      </c>
      <c r="C388" t="s">
        <v>1861</v>
      </c>
      <c r="D388">
        <v>4</v>
      </c>
      <c r="E388">
        <v>211.28</v>
      </c>
      <c r="F388">
        <v>211.28</v>
      </c>
      <c r="G388" t="s">
        <v>1862</v>
      </c>
      <c r="H388" t="s">
        <v>2248</v>
      </c>
      <c r="I388" t="s">
        <v>1903</v>
      </c>
      <c r="J388" t="s">
        <v>2249</v>
      </c>
      <c r="L388" t="s">
        <v>1863</v>
      </c>
    </row>
    <row r="389" spans="1:12" x14ac:dyDescent="0.2">
      <c r="A389" t="s">
        <v>1767</v>
      </c>
      <c r="B389" t="s">
        <v>1768</v>
      </c>
      <c r="C389" t="s">
        <v>1861</v>
      </c>
      <c r="D389">
        <v>4</v>
      </c>
      <c r="E389">
        <v>26.75</v>
      </c>
      <c r="F389">
        <v>26.75</v>
      </c>
      <c r="G389" t="s">
        <v>1862</v>
      </c>
      <c r="H389" t="s">
        <v>2120</v>
      </c>
      <c r="I389" t="s">
        <v>1903</v>
      </c>
      <c r="J389" t="s">
        <v>2227</v>
      </c>
      <c r="L389" t="s">
        <v>1863</v>
      </c>
    </row>
    <row r="390" spans="1:12" x14ac:dyDescent="0.2">
      <c r="A390" t="s">
        <v>1767</v>
      </c>
      <c r="B390" t="s">
        <v>1768</v>
      </c>
      <c r="C390" t="s">
        <v>1861</v>
      </c>
      <c r="D390">
        <v>4</v>
      </c>
      <c r="E390">
        <v>26.75</v>
      </c>
      <c r="F390">
        <v>26.75</v>
      </c>
      <c r="G390" t="s">
        <v>1862</v>
      </c>
      <c r="H390" t="s">
        <v>2120</v>
      </c>
      <c r="I390" t="s">
        <v>1903</v>
      </c>
      <c r="J390" t="s">
        <v>2197</v>
      </c>
      <c r="L390" t="s">
        <v>1863</v>
      </c>
    </row>
    <row r="391" spans="1:12" x14ac:dyDescent="0.2">
      <c r="A391" t="s">
        <v>1767</v>
      </c>
      <c r="B391" t="s">
        <v>1768</v>
      </c>
      <c r="C391" t="s">
        <v>1861</v>
      </c>
      <c r="D391">
        <v>4</v>
      </c>
      <c r="E391">
        <v>1220.04</v>
      </c>
      <c r="F391">
        <v>1220.04</v>
      </c>
      <c r="G391" t="s">
        <v>1862</v>
      </c>
      <c r="H391" t="s">
        <v>2250</v>
      </c>
      <c r="I391" t="s">
        <v>1903</v>
      </c>
      <c r="J391" t="s">
        <v>2251</v>
      </c>
      <c r="L391" t="s">
        <v>1863</v>
      </c>
    </row>
    <row r="392" spans="1:12" x14ac:dyDescent="0.2">
      <c r="A392" t="s">
        <v>1767</v>
      </c>
      <c r="B392" t="s">
        <v>1768</v>
      </c>
      <c r="C392" t="s">
        <v>1861</v>
      </c>
      <c r="D392">
        <v>4</v>
      </c>
      <c r="E392">
        <v>42.8</v>
      </c>
      <c r="F392">
        <v>42.8</v>
      </c>
      <c r="G392" t="s">
        <v>1862</v>
      </c>
      <c r="H392" t="s">
        <v>1965</v>
      </c>
      <c r="I392" t="s">
        <v>1903</v>
      </c>
      <c r="J392" t="s">
        <v>2095</v>
      </c>
      <c r="L392" t="s">
        <v>1863</v>
      </c>
    </row>
    <row r="393" spans="1:12" x14ac:dyDescent="0.2">
      <c r="A393" t="s">
        <v>1767</v>
      </c>
      <c r="B393" t="s">
        <v>1768</v>
      </c>
      <c r="C393" t="s">
        <v>1861</v>
      </c>
      <c r="D393">
        <v>4</v>
      </c>
      <c r="E393">
        <v>80.25</v>
      </c>
      <c r="F393">
        <v>80.25</v>
      </c>
      <c r="G393" t="s">
        <v>1862</v>
      </c>
      <c r="H393" t="s">
        <v>2079</v>
      </c>
      <c r="I393" t="s">
        <v>1903</v>
      </c>
      <c r="J393" t="s">
        <v>2252</v>
      </c>
      <c r="L393" t="s">
        <v>1863</v>
      </c>
    </row>
    <row r="394" spans="1:12" x14ac:dyDescent="0.2">
      <c r="A394" t="s">
        <v>1767</v>
      </c>
      <c r="B394" t="s">
        <v>1768</v>
      </c>
      <c r="C394" t="s">
        <v>1861</v>
      </c>
      <c r="D394">
        <v>4</v>
      </c>
      <c r="E394">
        <v>524.29999999999995</v>
      </c>
      <c r="F394">
        <v>524.29999999999995</v>
      </c>
      <c r="G394" t="s">
        <v>1862</v>
      </c>
      <c r="H394" t="s">
        <v>2253</v>
      </c>
      <c r="I394" t="s">
        <v>1903</v>
      </c>
      <c r="J394" t="s">
        <v>2254</v>
      </c>
      <c r="L394" t="s">
        <v>1863</v>
      </c>
    </row>
    <row r="395" spans="1:12" x14ac:dyDescent="0.2">
      <c r="A395" t="s">
        <v>1767</v>
      </c>
      <c r="B395" t="s">
        <v>1768</v>
      </c>
      <c r="C395" t="s">
        <v>1861</v>
      </c>
      <c r="D395">
        <v>4</v>
      </c>
      <c r="E395">
        <v>4386.8</v>
      </c>
      <c r="F395">
        <v>4386.8</v>
      </c>
      <c r="G395" t="s">
        <v>1862</v>
      </c>
      <c r="H395" t="s">
        <v>2244</v>
      </c>
      <c r="I395" t="s">
        <v>1903</v>
      </c>
      <c r="J395" t="s">
        <v>2255</v>
      </c>
      <c r="L395" t="s">
        <v>1863</v>
      </c>
    </row>
    <row r="396" spans="1:12" x14ac:dyDescent="0.2">
      <c r="A396" t="s">
        <v>1767</v>
      </c>
      <c r="B396" t="s">
        <v>1768</v>
      </c>
      <c r="C396" t="s">
        <v>1861</v>
      </c>
      <c r="D396">
        <v>4</v>
      </c>
      <c r="E396">
        <v>129.96</v>
      </c>
      <c r="F396">
        <v>129.96</v>
      </c>
      <c r="G396" t="s">
        <v>1862</v>
      </c>
      <c r="H396" t="s">
        <v>2198</v>
      </c>
      <c r="I396" t="s">
        <v>1903</v>
      </c>
      <c r="J396" t="s">
        <v>2199</v>
      </c>
      <c r="L396" t="s">
        <v>1863</v>
      </c>
    </row>
    <row r="397" spans="1:12" x14ac:dyDescent="0.2">
      <c r="A397" t="s">
        <v>1767</v>
      </c>
      <c r="B397" t="s">
        <v>1768</v>
      </c>
      <c r="C397" t="s">
        <v>1861</v>
      </c>
      <c r="D397">
        <v>4</v>
      </c>
      <c r="E397">
        <v>43.32</v>
      </c>
      <c r="F397">
        <v>43.32</v>
      </c>
      <c r="G397" t="s">
        <v>1862</v>
      </c>
      <c r="H397" t="s">
        <v>1977</v>
      </c>
      <c r="I397" t="s">
        <v>1903</v>
      </c>
      <c r="J397" t="s">
        <v>1978</v>
      </c>
      <c r="L397" t="s">
        <v>1863</v>
      </c>
    </row>
    <row r="398" spans="1:12" x14ac:dyDescent="0.2">
      <c r="A398" t="s">
        <v>1767</v>
      </c>
      <c r="B398" t="s">
        <v>1768</v>
      </c>
      <c r="C398" t="s">
        <v>1861</v>
      </c>
      <c r="D398">
        <v>4</v>
      </c>
      <c r="E398">
        <v>406.6</v>
      </c>
      <c r="F398">
        <v>406.6</v>
      </c>
      <c r="G398" t="s">
        <v>1862</v>
      </c>
      <c r="H398" t="s">
        <v>2256</v>
      </c>
      <c r="I398" t="s">
        <v>1903</v>
      </c>
      <c r="J398" t="s">
        <v>2257</v>
      </c>
      <c r="L398" t="s">
        <v>1863</v>
      </c>
    </row>
    <row r="399" spans="1:12" x14ac:dyDescent="0.2">
      <c r="A399" t="s">
        <v>1767</v>
      </c>
      <c r="B399" t="s">
        <v>1768</v>
      </c>
      <c r="C399" t="s">
        <v>1861</v>
      </c>
      <c r="D399">
        <v>4</v>
      </c>
      <c r="E399">
        <v>684.8</v>
      </c>
      <c r="F399">
        <v>684.8</v>
      </c>
      <c r="G399" t="s">
        <v>1862</v>
      </c>
      <c r="H399" t="s">
        <v>2258</v>
      </c>
      <c r="I399" t="s">
        <v>1903</v>
      </c>
      <c r="J399" t="s">
        <v>2259</v>
      </c>
      <c r="L399" t="s">
        <v>1863</v>
      </c>
    </row>
    <row r="400" spans="1:12" x14ac:dyDescent="0.2">
      <c r="A400" t="s">
        <v>1767</v>
      </c>
      <c r="B400" t="s">
        <v>1768</v>
      </c>
      <c r="C400" t="s">
        <v>1861</v>
      </c>
      <c r="D400">
        <v>4</v>
      </c>
      <c r="E400">
        <v>1220.04</v>
      </c>
      <c r="F400">
        <v>1220.04</v>
      </c>
      <c r="G400" t="s">
        <v>1862</v>
      </c>
      <c r="H400" t="s">
        <v>2250</v>
      </c>
      <c r="I400" t="s">
        <v>1903</v>
      </c>
      <c r="J400" t="s">
        <v>2251</v>
      </c>
      <c r="L400" t="s">
        <v>1863</v>
      </c>
    </row>
    <row r="401" spans="1:12" x14ac:dyDescent="0.2">
      <c r="A401" t="s">
        <v>1767</v>
      </c>
      <c r="B401" t="s">
        <v>1768</v>
      </c>
      <c r="C401" t="s">
        <v>1861</v>
      </c>
      <c r="D401">
        <v>4</v>
      </c>
      <c r="E401">
        <v>13.07</v>
      </c>
      <c r="F401">
        <v>13.07</v>
      </c>
      <c r="G401" t="s">
        <v>1862</v>
      </c>
      <c r="H401" t="s">
        <v>2233</v>
      </c>
      <c r="I401" t="s">
        <v>1903</v>
      </c>
      <c r="J401" t="s">
        <v>2234</v>
      </c>
      <c r="L401" t="s">
        <v>1863</v>
      </c>
    </row>
    <row r="402" spans="1:12" x14ac:dyDescent="0.2">
      <c r="A402" t="s">
        <v>1767</v>
      </c>
      <c r="B402" t="s">
        <v>1768</v>
      </c>
      <c r="C402" t="s">
        <v>1861</v>
      </c>
      <c r="D402">
        <v>4</v>
      </c>
      <c r="E402">
        <v>26.75</v>
      </c>
      <c r="F402">
        <v>26.75</v>
      </c>
      <c r="G402" t="s">
        <v>1862</v>
      </c>
      <c r="H402" t="s">
        <v>2120</v>
      </c>
      <c r="I402" t="s">
        <v>1903</v>
      </c>
      <c r="J402" t="s">
        <v>2227</v>
      </c>
      <c r="L402" t="s">
        <v>1863</v>
      </c>
    </row>
    <row r="403" spans="1:12" x14ac:dyDescent="0.2">
      <c r="A403" t="s">
        <v>1767</v>
      </c>
      <c r="B403" t="s">
        <v>1768</v>
      </c>
      <c r="C403" t="s">
        <v>1861</v>
      </c>
      <c r="D403">
        <v>4</v>
      </c>
      <c r="E403">
        <v>53.5</v>
      </c>
      <c r="F403">
        <v>53.5</v>
      </c>
      <c r="G403" t="s">
        <v>1862</v>
      </c>
      <c r="H403" t="s">
        <v>1979</v>
      </c>
      <c r="I403" t="s">
        <v>1903</v>
      </c>
      <c r="J403" t="s">
        <v>1981</v>
      </c>
      <c r="L403" t="s">
        <v>1863</v>
      </c>
    </row>
    <row r="404" spans="1:12" x14ac:dyDescent="0.2">
      <c r="A404" t="s">
        <v>1767</v>
      </c>
      <c r="B404" t="s">
        <v>1768</v>
      </c>
      <c r="C404" t="s">
        <v>1861</v>
      </c>
      <c r="D404">
        <v>4</v>
      </c>
      <c r="E404">
        <v>211.28</v>
      </c>
      <c r="F404">
        <v>211.28</v>
      </c>
      <c r="G404" t="s">
        <v>1862</v>
      </c>
      <c r="H404" t="s">
        <v>2248</v>
      </c>
      <c r="I404" t="s">
        <v>1903</v>
      </c>
      <c r="J404" t="s">
        <v>2249</v>
      </c>
      <c r="L404" t="s">
        <v>1863</v>
      </c>
    </row>
    <row r="405" spans="1:12" x14ac:dyDescent="0.2">
      <c r="A405" t="s">
        <v>1767</v>
      </c>
      <c r="B405" t="s">
        <v>1768</v>
      </c>
      <c r="C405" t="s">
        <v>1861</v>
      </c>
      <c r="D405">
        <v>4</v>
      </c>
      <c r="E405">
        <v>342.4</v>
      </c>
      <c r="F405">
        <v>342.4</v>
      </c>
      <c r="G405" t="s">
        <v>1862</v>
      </c>
      <c r="H405" t="s">
        <v>2260</v>
      </c>
      <c r="I405" t="s">
        <v>1903</v>
      </c>
      <c r="J405" t="s">
        <v>2261</v>
      </c>
      <c r="L405" t="s">
        <v>1863</v>
      </c>
    </row>
    <row r="406" spans="1:12" x14ac:dyDescent="0.2">
      <c r="A406" t="s">
        <v>1767</v>
      </c>
      <c r="B406" t="s">
        <v>1768</v>
      </c>
      <c r="C406" t="s">
        <v>1861</v>
      </c>
      <c r="D406">
        <v>4</v>
      </c>
      <c r="E406">
        <v>43.32</v>
      </c>
      <c r="F406">
        <v>43.32</v>
      </c>
      <c r="G406" t="s">
        <v>1862</v>
      </c>
      <c r="H406" t="s">
        <v>1977</v>
      </c>
      <c r="I406" t="s">
        <v>1903</v>
      </c>
      <c r="J406" t="s">
        <v>1978</v>
      </c>
      <c r="L406" t="s">
        <v>1863</v>
      </c>
    </row>
    <row r="407" spans="1:12" x14ac:dyDescent="0.2">
      <c r="A407" t="s">
        <v>1767</v>
      </c>
      <c r="B407" t="s">
        <v>1768</v>
      </c>
      <c r="C407" t="s">
        <v>1861</v>
      </c>
      <c r="D407">
        <v>4</v>
      </c>
      <c r="E407">
        <v>42.8</v>
      </c>
      <c r="F407">
        <v>42.8</v>
      </c>
      <c r="G407" t="s">
        <v>1862</v>
      </c>
      <c r="H407" t="s">
        <v>1965</v>
      </c>
      <c r="I407" t="s">
        <v>1903</v>
      </c>
      <c r="J407" t="s">
        <v>2095</v>
      </c>
      <c r="L407" t="s">
        <v>1863</v>
      </c>
    </row>
    <row r="408" spans="1:12" x14ac:dyDescent="0.2">
      <c r="A408" t="s">
        <v>1767</v>
      </c>
      <c r="B408" t="s">
        <v>1768</v>
      </c>
      <c r="C408" t="s">
        <v>1861</v>
      </c>
      <c r="D408">
        <v>4</v>
      </c>
      <c r="E408">
        <v>107</v>
      </c>
      <c r="F408">
        <v>107</v>
      </c>
      <c r="G408" t="s">
        <v>1862</v>
      </c>
      <c r="H408" t="s">
        <v>2262</v>
      </c>
      <c r="I408" t="s">
        <v>1903</v>
      </c>
      <c r="J408" t="s">
        <v>2263</v>
      </c>
      <c r="L408" t="s">
        <v>1863</v>
      </c>
    </row>
    <row r="409" spans="1:12" x14ac:dyDescent="0.2">
      <c r="A409" t="s">
        <v>1767</v>
      </c>
      <c r="B409" t="s">
        <v>1768</v>
      </c>
      <c r="C409" t="s">
        <v>1861</v>
      </c>
      <c r="D409">
        <v>4</v>
      </c>
      <c r="E409">
        <v>107</v>
      </c>
      <c r="F409">
        <v>107</v>
      </c>
      <c r="G409" t="s">
        <v>1862</v>
      </c>
      <c r="H409" t="s">
        <v>2262</v>
      </c>
      <c r="I409" t="s">
        <v>1903</v>
      </c>
      <c r="J409" t="s">
        <v>2264</v>
      </c>
      <c r="L409" t="s">
        <v>1863</v>
      </c>
    </row>
    <row r="410" spans="1:12" x14ac:dyDescent="0.2">
      <c r="A410" t="s">
        <v>1767</v>
      </c>
      <c r="B410" t="s">
        <v>1768</v>
      </c>
      <c r="C410" t="s">
        <v>1861</v>
      </c>
      <c r="D410">
        <v>4</v>
      </c>
      <c r="E410">
        <v>42.8</v>
      </c>
      <c r="F410">
        <v>42.8</v>
      </c>
      <c r="G410" t="s">
        <v>1862</v>
      </c>
      <c r="H410" t="s">
        <v>1965</v>
      </c>
      <c r="I410" t="s">
        <v>1903</v>
      </c>
      <c r="J410" t="s">
        <v>1992</v>
      </c>
      <c r="L410" t="s">
        <v>1863</v>
      </c>
    </row>
    <row r="411" spans="1:12" x14ac:dyDescent="0.2">
      <c r="A411" t="s">
        <v>1767</v>
      </c>
      <c r="B411" t="s">
        <v>1768</v>
      </c>
      <c r="C411" t="s">
        <v>1861</v>
      </c>
      <c r="D411">
        <v>4</v>
      </c>
      <c r="E411">
        <v>108.7</v>
      </c>
      <c r="F411">
        <v>108.7</v>
      </c>
      <c r="G411" t="s">
        <v>1862</v>
      </c>
      <c r="H411" t="s">
        <v>2265</v>
      </c>
      <c r="I411" t="s">
        <v>1903</v>
      </c>
      <c r="J411" t="s">
        <v>2266</v>
      </c>
      <c r="L411" t="s">
        <v>1863</v>
      </c>
    </row>
    <row r="412" spans="1:12" x14ac:dyDescent="0.2">
      <c r="A412" t="s">
        <v>1767</v>
      </c>
      <c r="B412" t="s">
        <v>1768</v>
      </c>
      <c r="C412" t="s">
        <v>1861</v>
      </c>
      <c r="D412">
        <v>4</v>
      </c>
      <c r="E412">
        <v>425.98</v>
      </c>
      <c r="F412">
        <v>425.98</v>
      </c>
      <c r="G412" t="s">
        <v>1862</v>
      </c>
      <c r="H412" t="s">
        <v>2267</v>
      </c>
      <c r="I412" t="s">
        <v>1903</v>
      </c>
      <c r="J412" t="s">
        <v>2268</v>
      </c>
      <c r="L412" t="s">
        <v>1863</v>
      </c>
    </row>
    <row r="413" spans="1:12" x14ac:dyDescent="0.2">
      <c r="A413" t="s">
        <v>1767</v>
      </c>
      <c r="B413" t="s">
        <v>1768</v>
      </c>
      <c r="C413" t="s">
        <v>1861</v>
      </c>
      <c r="D413">
        <v>4</v>
      </c>
      <c r="E413">
        <v>0</v>
      </c>
      <c r="F413">
        <v>0</v>
      </c>
      <c r="G413" t="s">
        <v>1862</v>
      </c>
      <c r="H413" t="s">
        <v>1864</v>
      </c>
      <c r="I413" t="s">
        <v>1903</v>
      </c>
      <c r="J413" t="s">
        <v>2269</v>
      </c>
      <c r="L413" t="s">
        <v>1863</v>
      </c>
    </row>
    <row r="414" spans="1:12" x14ac:dyDescent="0.2">
      <c r="A414" t="s">
        <v>1767</v>
      </c>
      <c r="B414" t="s">
        <v>1768</v>
      </c>
      <c r="C414" t="s">
        <v>1861</v>
      </c>
      <c r="D414">
        <v>4</v>
      </c>
      <c r="E414">
        <v>372.36</v>
      </c>
      <c r="F414">
        <v>372.36</v>
      </c>
      <c r="G414" t="s">
        <v>1862</v>
      </c>
      <c r="H414" t="s">
        <v>2270</v>
      </c>
      <c r="I414" t="s">
        <v>1903</v>
      </c>
      <c r="J414" t="s">
        <v>2271</v>
      </c>
      <c r="L414" t="s">
        <v>1863</v>
      </c>
    </row>
    <row r="415" spans="1:12" x14ac:dyDescent="0.2">
      <c r="A415" t="s">
        <v>1767</v>
      </c>
      <c r="B415" t="s">
        <v>1768</v>
      </c>
      <c r="C415" t="s">
        <v>1861</v>
      </c>
      <c r="D415">
        <v>4</v>
      </c>
      <c r="E415">
        <v>406.6</v>
      </c>
      <c r="F415">
        <v>406.6</v>
      </c>
      <c r="G415" t="s">
        <v>1862</v>
      </c>
      <c r="H415" t="s">
        <v>2256</v>
      </c>
      <c r="I415" t="s">
        <v>1903</v>
      </c>
      <c r="J415" t="s">
        <v>2257</v>
      </c>
      <c r="L415" t="s">
        <v>1863</v>
      </c>
    </row>
    <row r="416" spans="1:12" x14ac:dyDescent="0.2">
      <c r="A416" t="s">
        <v>1767</v>
      </c>
      <c r="B416" t="s">
        <v>1768</v>
      </c>
      <c r="C416" t="s">
        <v>1861</v>
      </c>
      <c r="D416">
        <v>4</v>
      </c>
      <c r="E416">
        <v>684.8</v>
      </c>
      <c r="F416">
        <v>684.8</v>
      </c>
      <c r="G416" t="s">
        <v>1862</v>
      </c>
      <c r="H416" t="s">
        <v>2258</v>
      </c>
      <c r="I416" t="s">
        <v>1903</v>
      </c>
      <c r="J416" t="s">
        <v>2259</v>
      </c>
      <c r="L416" t="s">
        <v>1863</v>
      </c>
    </row>
    <row r="417" spans="1:12" x14ac:dyDescent="0.2">
      <c r="A417" t="s">
        <v>1767</v>
      </c>
      <c r="B417" t="s">
        <v>1768</v>
      </c>
      <c r="C417" t="s">
        <v>1861</v>
      </c>
      <c r="D417">
        <v>4</v>
      </c>
      <c r="E417">
        <v>43.32</v>
      </c>
      <c r="F417">
        <v>43.32</v>
      </c>
      <c r="G417" t="s">
        <v>1862</v>
      </c>
      <c r="H417" t="s">
        <v>1977</v>
      </c>
      <c r="I417" t="s">
        <v>1903</v>
      </c>
      <c r="J417" t="s">
        <v>1978</v>
      </c>
      <c r="L417" t="s">
        <v>1863</v>
      </c>
    </row>
    <row r="418" spans="1:12" x14ac:dyDescent="0.2">
      <c r="A418" t="s">
        <v>1767</v>
      </c>
      <c r="B418" t="s">
        <v>1768</v>
      </c>
      <c r="C418" t="s">
        <v>1861</v>
      </c>
      <c r="D418">
        <v>4</v>
      </c>
      <c r="E418">
        <v>582.08000000000004</v>
      </c>
      <c r="F418">
        <v>582.08000000000004</v>
      </c>
      <c r="G418" t="s">
        <v>1862</v>
      </c>
      <c r="H418" t="s">
        <v>2201</v>
      </c>
      <c r="I418" t="s">
        <v>1903</v>
      </c>
      <c r="J418" t="s">
        <v>2272</v>
      </c>
      <c r="L418" t="s">
        <v>1863</v>
      </c>
    </row>
    <row r="419" spans="1:12" x14ac:dyDescent="0.2">
      <c r="A419" t="s">
        <v>1767</v>
      </c>
      <c r="B419" t="s">
        <v>1768</v>
      </c>
      <c r="C419" t="s">
        <v>1861</v>
      </c>
      <c r="D419">
        <v>4</v>
      </c>
      <c r="E419">
        <v>13.07</v>
      </c>
      <c r="F419">
        <v>13.07</v>
      </c>
      <c r="G419" t="s">
        <v>1862</v>
      </c>
      <c r="H419" t="s">
        <v>2233</v>
      </c>
      <c r="I419" t="s">
        <v>1903</v>
      </c>
      <c r="J419" t="s">
        <v>2234</v>
      </c>
      <c r="L419" t="s">
        <v>1863</v>
      </c>
    </row>
    <row r="420" spans="1:12" x14ac:dyDescent="0.2">
      <c r="A420" t="s">
        <v>1767</v>
      </c>
      <c r="B420" t="s">
        <v>1768</v>
      </c>
      <c r="C420" t="s">
        <v>1861</v>
      </c>
      <c r="D420">
        <v>4</v>
      </c>
      <c r="E420">
        <v>1078</v>
      </c>
      <c r="F420">
        <v>1078</v>
      </c>
      <c r="G420" t="s">
        <v>1862</v>
      </c>
      <c r="H420" t="s">
        <v>2273</v>
      </c>
      <c r="I420" t="s">
        <v>1903</v>
      </c>
      <c r="J420" t="s">
        <v>2274</v>
      </c>
      <c r="L420" t="s">
        <v>1863</v>
      </c>
    </row>
    <row r="421" spans="1:12" x14ac:dyDescent="0.2">
      <c r="A421" t="s">
        <v>1767</v>
      </c>
      <c r="B421" t="s">
        <v>1768</v>
      </c>
      <c r="C421" t="s">
        <v>1861</v>
      </c>
      <c r="D421">
        <v>4</v>
      </c>
      <c r="E421">
        <v>0</v>
      </c>
      <c r="F421">
        <v>0</v>
      </c>
      <c r="G421" t="s">
        <v>1862</v>
      </c>
      <c r="H421" t="s">
        <v>1864</v>
      </c>
      <c r="I421" t="s">
        <v>1903</v>
      </c>
      <c r="J421" t="s">
        <v>2203</v>
      </c>
      <c r="L421" t="s">
        <v>1863</v>
      </c>
    </row>
    <row r="422" spans="1:12" x14ac:dyDescent="0.2">
      <c r="A422" t="s">
        <v>1767</v>
      </c>
      <c r="B422" t="s">
        <v>1768</v>
      </c>
      <c r="C422" t="s">
        <v>1861</v>
      </c>
      <c r="D422">
        <v>4</v>
      </c>
      <c r="E422">
        <v>0</v>
      </c>
      <c r="F422">
        <v>0</v>
      </c>
      <c r="G422" t="s">
        <v>1862</v>
      </c>
      <c r="H422" t="s">
        <v>1864</v>
      </c>
      <c r="I422" t="s">
        <v>1903</v>
      </c>
      <c r="J422" t="s">
        <v>2269</v>
      </c>
      <c r="L422" t="s">
        <v>1863</v>
      </c>
    </row>
    <row r="423" spans="1:12" x14ac:dyDescent="0.2">
      <c r="A423" t="s">
        <v>1767</v>
      </c>
      <c r="B423" t="s">
        <v>1768</v>
      </c>
      <c r="C423" t="s">
        <v>1861</v>
      </c>
      <c r="D423">
        <v>4</v>
      </c>
      <c r="E423">
        <v>4469</v>
      </c>
      <c r="F423">
        <v>4469</v>
      </c>
      <c r="G423" t="s">
        <v>1862</v>
      </c>
      <c r="H423" t="s">
        <v>2275</v>
      </c>
      <c r="I423" t="s">
        <v>1903</v>
      </c>
      <c r="J423" t="s">
        <v>2276</v>
      </c>
      <c r="L423" t="s">
        <v>1863</v>
      </c>
    </row>
    <row r="424" spans="1:12" x14ac:dyDescent="0.2">
      <c r="A424" t="s">
        <v>1767</v>
      </c>
      <c r="B424" t="s">
        <v>1768</v>
      </c>
      <c r="C424" t="s">
        <v>1861</v>
      </c>
      <c r="D424">
        <v>4</v>
      </c>
      <c r="E424">
        <v>4469</v>
      </c>
      <c r="F424">
        <v>4469</v>
      </c>
      <c r="G424" t="s">
        <v>1862</v>
      </c>
      <c r="H424" t="s">
        <v>2275</v>
      </c>
      <c r="I424" t="s">
        <v>1903</v>
      </c>
      <c r="J424" t="s">
        <v>2276</v>
      </c>
      <c r="L424" t="s">
        <v>1863</v>
      </c>
    </row>
    <row r="425" spans="1:12" x14ac:dyDescent="0.2">
      <c r="A425" t="s">
        <v>1767</v>
      </c>
      <c r="B425" t="s">
        <v>1768</v>
      </c>
      <c r="C425" t="s">
        <v>1861</v>
      </c>
      <c r="D425">
        <v>4</v>
      </c>
      <c r="E425">
        <v>128.4</v>
      </c>
      <c r="F425">
        <v>128.4</v>
      </c>
      <c r="G425" t="s">
        <v>1862</v>
      </c>
      <c r="H425" t="s">
        <v>2277</v>
      </c>
      <c r="I425" t="s">
        <v>1903</v>
      </c>
      <c r="J425" t="s">
        <v>2278</v>
      </c>
      <c r="L425" t="s">
        <v>1863</v>
      </c>
    </row>
    <row r="426" spans="1:12" x14ac:dyDescent="0.2">
      <c r="A426" t="s">
        <v>1767</v>
      </c>
      <c r="B426" t="s">
        <v>1768</v>
      </c>
      <c r="C426" t="s">
        <v>1861</v>
      </c>
      <c r="D426">
        <v>4</v>
      </c>
      <c r="E426">
        <v>26.75</v>
      </c>
      <c r="F426">
        <v>26.75</v>
      </c>
      <c r="G426" t="s">
        <v>1862</v>
      </c>
      <c r="H426" t="s">
        <v>2120</v>
      </c>
      <c r="I426" t="s">
        <v>1903</v>
      </c>
      <c r="J426" t="s">
        <v>2279</v>
      </c>
      <c r="L426" t="s">
        <v>1863</v>
      </c>
    </row>
    <row r="427" spans="1:12" x14ac:dyDescent="0.2">
      <c r="A427" t="s">
        <v>1767</v>
      </c>
      <c r="B427" t="s">
        <v>1768</v>
      </c>
      <c r="C427" t="s">
        <v>1861</v>
      </c>
      <c r="D427">
        <v>4</v>
      </c>
      <c r="E427">
        <v>26.75</v>
      </c>
      <c r="F427">
        <v>26.75</v>
      </c>
      <c r="G427" t="s">
        <v>1862</v>
      </c>
      <c r="H427" t="s">
        <v>2120</v>
      </c>
      <c r="I427" t="s">
        <v>1903</v>
      </c>
      <c r="J427" t="s">
        <v>2280</v>
      </c>
      <c r="L427" t="s">
        <v>1863</v>
      </c>
    </row>
    <row r="428" spans="1:12" x14ac:dyDescent="0.2">
      <c r="A428" t="s">
        <v>1767</v>
      </c>
      <c r="B428" t="s">
        <v>1768</v>
      </c>
      <c r="C428" t="s">
        <v>1861</v>
      </c>
      <c r="D428">
        <v>4</v>
      </c>
      <c r="E428">
        <v>590</v>
      </c>
      <c r="F428">
        <v>590</v>
      </c>
      <c r="G428" t="s">
        <v>1862</v>
      </c>
      <c r="H428" t="s">
        <v>2281</v>
      </c>
      <c r="I428" t="s">
        <v>1903</v>
      </c>
      <c r="J428" t="s">
        <v>2282</v>
      </c>
      <c r="L428" t="s">
        <v>1863</v>
      </c>
    </row>
    <row r="429" spans="1:12" x14ac:dyDescent="0.2">
      <c r="A429" t="s">
        <v>1767</v>
      </c>
      <c r="B429" t="s">
        <v>1768</v>
      </c>
      <c r="C429" t="s">
        <v>1861</v>
      </c>
      <c r="D429">
        <v>4</v>
      </c>
      <c r="E429">
        <v>1525.05</v>
      </c>
      <c r="F429">
        <v>1525.05</v>
      </c>
      <c r="G429" t="s">
        <v>1862</v>
      </c>
      <c r="H429" t="s">
        <v>2283</v>
      </c>
      <c r="I429" t="s">
        <v>1903</v>
      </c>
      <c r="J429" t="s">
        <v>2284</v>
      </c>
      <c r="L429" t="s">
        <v>1863</v>
      </c>
    </row>
    <row r="430" spans="1:12" x14ac:dyDescent="0.2">
      <c r="A430" t="s">
        <v>1767</v>
      </c>
      <c r="B430" t="s">
        <v>1768</v>
      </c>
      <c r="C430" t="s">
        <v>1861</v>
      </c>
      <c r="D430">
        <v>4</v>
      </c>
      <c r="E430">
        <v>684.8</v>
      </c>
      <c r="F430">
        <v>684.8</v>
      </c>
      <c r="G430" t="s">
        <v>1862</v>
      </c>
      <c r="H430" t="s">
        <v>2258</v>
      </c>
      <c r="I430" t="s">
        <v>1903</v>
      </c>
      <c r="J430" t="s">
        <v>2259</v>
      </c>
      <c r="L430" t="s">
        <v>1863</v>
      </c>
    </row>
    <row r="431" spans="1:12" x14ac:dyDescent="0.2">
      <c r="A431" t="s">
        <v>1767</v>
      </c>
      <c r="B431" t="s">
        <v>1768</v>
      </c>
      <c r="C431" t="s">
        <v>1861</v>
      </c>
      <c r="D431">
        <v>4</v>
      </c>
      <c r="E431">
        <v>21.4</v>
      </c>
      <c r="F431">
        <v>21.4</v>
      </c>
      <c r="G431" t="s">
        <v>1862</v>
      </c>
      <c r="H431" t="s">
        <v>2082</v>
      </c>
      <c r="I431" t="s">
        <v>1903</v>
      </c>
      <c r="J431" t="s">
        <v>2238</v>
      </c>
      <c r="L431" t="s">
        <v>1863</v>
      </c>
    </row>
    <row r="432" spans="1:12" x14ac:dyDescent="0.2">
      <c r="A432" t="s">
        <v>1767</v>
      </c>
      <c r="B432" t="s">
        <v>1768</v>
      </c>
      <c r="C432" t="s">
        <v>1861</v>
      </c>
      <c r="D432">
        <v>4</v>
      </c>
      <c r="E432">
        <v>86.64</v>
      </c>
      <c r="F432">
        <v>86.64</v>
      </c>
      <c r="G432" t="s">
        <v>1862</v>
      </c>
      <c r="H432" t="s">
        <v>2084</v>
      </c>
      <c r="I432" t="s">
        <v>1903</v>
      </c>
      <c r="J432" t="s">
        <v>2085</v>
      </c>
      <c r="L432" t="s">
        <v>1863</v>
      </c>
    </row>
    <row r="433" spans="1:12" x14ac:dyDescent="0.2">
      <c r="A433" t="s">
        <v>1767</v>
      </c>
      <c r="B433" t="s">
        <v>1768</v>
      </c>
      <c r="C433" t="s">
        <v>1861</v>
      </c>
      <c r="D433">
        <v>4</v>
      </c>
      <c r="E433">
        <v>229.68</v>
      </c>
      <c r="F433">
        <v>229.68</v>
      </c>
      <c r="G433" t="s">
        <v>1862</v>
      </c>
      <c r="H433" t="s">
        <v>2054</v>
      </c>
      <c r="I433" t="s">
        <v>1903</v>
      </c>
      <c r="J433" t="s">
        <v>2055</v>
      </c>
      <c r="L433" t="s">
        <v>1863</v>
      </c>
    </row>
    <row r="434" spans="1:12" x14ac:dyDescent="0.2">
      <c r="A434" t="s">
        <v>1767</v>
      </c>
      <c r="B434" t="s">
        <v>1768</v>
      </c>
      <c r="C434" t="s">
        <v>1861</v>
      </c>
      <c r="D434">
        <v>4</v>
      </c>
      <c r="E434">
        <v>448</v>
      </c>
      <c r="F434">
        <v>448</v>
      </c>
      <c r="G434" t="s">
        <v>1862</v>
      </c>
      <c r="H434" t="s">
        <v>2056</v>
      </c>
      <c r="I434" t="s">
        <v>1903</v>
      </c>
      <c r="J434" t="s">
        <v>2057</v>
      </c>
      <c r="L434" t="s">
        <v>1863</v>
      </c>
    </row>
    <row r="435" spans="1:12" x14ac:dyDescent="0.2">
      <c r="A435" t="s">
        <v>1767</v>
      </c>
      <c r="B435" t="s">
        <v>1768</v>
      </c>
      <c r="C435" t="s">
        <v>1861</v>
      </c>
      <c r="D435">
        <v>4</v>
      </c>
      <c r="E435">
        <v>110.8</v>
      </c>
      <c r="F435">
        <v>110.8</v>
      </c>
      <c r="G435" t="s">
        <v>1862</v>
      </c>
      <c r="H435" t="s">
        <v>2285</v>
      </c>
      <c r="I435" t="s">
        <v>1903</v>
      </c>
      <c r="J435" t="s">
        <v>2286</v>
      </c>
      <c r="L435" t="s">
        <v>1863</v>
      </c>
    </row>
    <row r="436" spans="1:12" x14ac:dyDescent="0.2">
      <c r="A436" t="s">
        <v>1767</v>
      </c>
      <c r="B436" t="s">
        <v>1768</v>
      </c>
      <c r="C436" t="s">
        <v>1861</v>
      </c>
      <c r="D436">
        <v>4</v>
      </c>
      <c r="E436">
        <v>55.4</v>
      </c>
      <c r="F436">
        <v>55.4</v>
      </c>
      <c r="G436" t="s">
        <v>1862</v>
      </c>
      <c r="H436" t="s">
        <v>2164</v>
      </c>
      <c r="I436" t="s">
        <v>1903</v>
      </c>
      <c r="J436" t="s">
        <v>2165</v>
      </c>
      <c r="L436" t="s">
        <v>1863</v>
      </c>
    </row>
    <row r="437" spans="1:12" x14ac:dyDescent="0.2">
      <c r="A437" t="s">
        <v>1767</v>
      </c>
      <c r="B437" t="s">
        <v>1768</v>
      </c>
      <c r="C437" t="s">
        <v>1861</v>
      </c>
      <c r="D437">
        <v>4</v>
      </c>
      <c r="E437">
        <v>43.32</v>
      </c>
      <c r="F437">
        <v>43.32</v>
      </c>
      <c r="G437" t="s">
        <v>1862</v>
      </c>
      <c r="H437" t="s">
        <v>1977</v>
      </c>
      <c r="I437" t="s">
        <v>1903</v>
      </c>
      <c r="J437" t="s">
        <v>1978</v>
      </c>
      <c r="L437" t="s">
        <v>1863</v>
      </c>
    </row>
    <row r="438" spans="1:12" x14ac:dyDescent="0.2">
      <c r="A438" t="s">
        <v>1767</v>
      </c>
      <c r="B438" t="s">
        <v>1768</v>
      </c>
      <c r="C438" t="s">
        <v>1861</v>
      </c>
      <c r="D438">
        <v>4</v>
      </c>
      <c r="E438">
        <v>148.44</v>
      </c>
      <c r="F438">
        <v>148.44</v>
      </c>
      <c r="G438" t="s">
        <v>1862</v>
      </c>
      <c r="H438" t="s">
        <v>1971</v>
      </c>
      <c r="I438" t="s">
        <v>1903</v>
      </c>
      <c r="J438" t="s">
        <v>1972</v>
      </c>
      <c r="L438" t="s">
        <v>1863</v>
      </c>
    </row>
    <row r="439" spans="1:12" x14ac:dyDescent="0.2">
      <c r="A439" t="s">
        <v>1767</v>
      </c>
      <c r="B439" t="s">
        <v>1768</v>
      </c>
      <c r="C439" t="s">
        <v>1861</v>
      </c>
      <c r="D439">
        <v>4</v>
      </c>
      <c r="E439">
        <v>148.44</v>
      </c>
      <c r="F439">
        <v>148.44</v>
      </c>
      <c r="G439" t="s">
        <v>1862</v>
      </c>
      <c r="H439" t="s">
        <v>1971</v>
      </c>
      <c r="I439" t="s">
        <v>1903</v>
      </c>
      <c r="J439" t="s">
        <v>1972</v>
      </c>
      <c r="L439" t="s">
        <v>1863</v>
      </c>
    </row>
    <row r="440" spans="1:12" x14ac:dyDescent="0.2">
      <c r="A440" t="s">
        <v>1767</v>
      </c>
      <c r="B440" t="s">
        <v>1768</v>
      </c>
      <c r="C440" t="s">
        <v>1861</v>
      </c>
      <c r="D440">
        <v>4</v>
      </c>
      <c r="E440">
        <v>43.32</v>
      </c>
      <c r="F440">
        <v>43.32</v>
      </c>
      <c r="G440" t="s">
        <v>1862</v>
      </c>
      <c r="H440" t="s">
        <v>1977</v>
      </c>
      <c r="I440" t="s">
        <v>1903</v>
      </c>
      <c r="J440" t="s">
        <v>1978</v>
      </c>
      <c r="L440" t="s">
        <v>1863</v>
      </c>
    </row>
    <row r="441" spans="1:12" x14ac:dyDescent="0.2">
      <c r="A441" t="s">
        <v>1767</v>
      </c>
      <c r="B441" t="s">
        <v>1768</v>
      </c>
      <c r="C441" t="s">
        <v>1861</v>
      </c>
      <c r="D441">
        <v>4</v>
      </c>
      <c r="E441">
        <v>12866</v>
      </c>
      <c r="F441">
        <v>12866</v>
      </c>
      <c r="G441" t="s">
        <v>1862</v>
      </c>
      <c r="H441" t="s">
        <v>2287</v>
      </c>
      <c r="I441" t="s">
        <v>1903</v>
      </c>
      <c r="J441" t="s">
        <v>2288</v>
      </c>
      <c r="L441" t="s">
        <v>1863</v>
      </c>
    </row>
    <row r="442" spans="1:12" x14ac:dyDescent="0.2">
      <c r="A442" t="s">
        <v>1767</v>
      </c>
      <c r="B442" t="s">
        <v>1768</v>
      </c>
      <c r="C442" t="s">
        <v>1861</v>
      </c>
      <c r="D442">
        <v>4</v>
      </c>
      <c r="E442">
        <v>52.82</v>
      </c>
      <c r="F442">
        <v>52.82</v>
      </c>
      <c r="G442" t="s">
        <v>1862</v>
      </c>
      <c r="H442" t="s">
        <v>2168</v>
      </c>
      <c r="I442" t="s">
        <v>1903</v>
      </c>
      <c r="J442" t="s">
        <v>2169</v>
      </c>
      <c r="L442" t="s">
        <v>1863</v>
      </c>
    </row>
    <row r="443" spans="1:12" x14ac:dyDescent="0.2">
      <c r="A443" t="s">
        <v>1767</v>
      </c>
      <c r="B443" t="s">
        <v>1768</v>
      </c>
      <c r="C443" t="s">
        <v>1861</v>
      </c>
      <c r="D443">
        <v>4</v>
      </c>
      <c r="E443">
        <v>27.53</v>
      </c>
      <c r="F443">
        <v>27.53</v>
      </c>
      <c r="G443" t="s">
        <v>1862</v>
      </c>
      <c r="H443" t="s">
        <v>2289</v>
      </c>
      <c r="I443" t="s">
        <v>1903</v>
      </c>
      <c r="J443" t="s">
        <v>2290</v>
      </c>
      <c r="L443" t="s">
        <v>1863</v>
      </c>
    </row>
    <row r="444" spans="1:12" x14ac:dyDescent="0.2">
      <c r="A444" t="s">
        <v>1767</v>
      </c>
      <c r="B444" t="s">
        <v>1768</v>
      </c>
      <c r="C444" t="s">
        <v>1861</v>
      </c>
      <c r="D444">
        <v>4</v>
      </c>
      <c r="E444">
        <v>53.5</v>
      </c>
      <c r="F444">
        <v>53.5</v>
      </c>
      <c r="G444" t="s">
        <v>1862</v>
      </c>
      <c r="H444" t="s">
        <v>1979</v>
      </c>
      <c r="I444" t="s">
        <v>1903</v>
      </c>
      <c r="J444" t="s">
        <v>2020</v>
      </c>
      <c r="L444" t="s">
        <v>1863</v>
      </c>
    </row>
    <row r="445" spans="1:12" x14ac:dyDescent="0.2">
      <c r="A445" t="s">
        <v>1767</v>
      </c>
      <c r="B445" t="s">
        <v>1768</v>
      </c>
      <c r="C445" t="s">
        <v>1861</v>
      </c>
      <c r="D445">
        <v>4</v>
      </c>
      <c r="E445">
        <v>42.8</v>
      </c>
      <c r="F445">
        <v>42.8</v>
      </c>
      <c r="G445" t="s">
        <v>1862</v>
      </c>
      <c r="H445" t="s">
        <v>1965</v>
      </c>
      <c r="I445" t="s">
        <v>1903</v>
      </c>
      <c r="J445" t="s">
        <v>2192</v>
      </c>
      <c r="L445" t="s">
        <v>1863</v>
      </c>
    </row>
    <row r="446" spans="1:12" x14ac:dyDescent="0.2">
      <c r="A446" t="s">
        <v>1767</v>
      </c>
      <c r="B446" t="s">
        <v>1768</v>
      </c>
      <c r="C446" t="s">
        <v>1861</v>
      </c>
      <c r="D446">
        <v>4</v>
      </c>
      <c r="E446">
        <v>21.4</v>
      </c>
      <c r="F446">
        <v>21.4</v>
      </c>
      <c r="G446" t="s">
        <v>1862</v>
      </c>
      <c r="H446" t="s">
        <v>2082</v>
      </c>
      <c r="I446" t="s">
        <v>1903</v>
      </c>
      <c r="J446" t="s">
        <v>2228</v>
      </c>
      <c r="L446" t="s">
        <v>1863</v>
      </c>
    </row>
    <row r="447" spans="1:12" x14ac:dyDescent="0.2">
      <c r="A447" t="s">
        <v>1767</v>
      </c>
      <c r="B447" t="s">
        <v>1768</v>
      </c>
      <c r="C447" t="s">
        <v>1861</v>
      </c>
      <c r="D447">
        <v>4</v>
      </c>
      <c r="E447">
        <v>43.32</v>
      </c>
      <c r="F447">
        <v>43.32</v>
      </c>
      <c r="G447" t="s">
        <v>1862</v>
      </c>
      <c r="H447" t="s">
        <v>1977</v>
      </c>
      <c r="I447" t="s">
        <v>1903</v>
      </c>
      <c r="J447" t="s">
        <v>1978</v>
      </c>
      <c r="L447" t="s">
        <v>1863</v>
      </c>
    </row>
    <row r="448" spans="1:12" x14ac:dyDescent="0.2">
      <c r="A448" t="s">
        <v>1767</v>
      </c>
      <c r="B448" t="s">
        <v>1768</v>
      </c>
      <c r="C448" t="s">
        <v>1861</v>
      </c>
      <c r="D448">
        <v>4</v>
      </c>
      <c r="E448">
        <v>406.6</v>
      </c>
      <c r="F448">
        <v>406.6</v>
      </c>
      <c r="G448" t="s">
        <v>1862</v>
      </c>
      <c r="H448" t="s">
        <v>2256</v>
      </c>
      <c r="I448" t="s">
        <v>1903</v>
      </c>
      <c r="J448" t="s">
        <v>2257</v>
      </c>
      <c r="L448" t="s">
        <v>1863</v>
      </c>
    </row>
    <row r="449" spans="1:12" x14ac:dyDescent="0.2">
      <c r="A449" t="s">
        <v>1767</v>
      </c>
      <c r="B449" t="s">
        <v>1768</v>
      </c>
      <c r="C449" t="s">
        <v>1861</v>
      </c>
      <c r="D449">
        <v>4</v>
      </c>
      <c r="E449">
        <v>637.72</v>
      </c>
      <c r="F449">
        <v>637.72</v>
      </c>
      <c r="G449" t="s">
        <v>1862</v>
      </c>
      <c r="H449" t="s">
        <v>2229</v>
      </c>
      <c r="I449" t="s">
        <v>1903</v>
      </c>
      <c r="J449" t="s">
        <v>2230</v>
      </c>
      <c r="L449" t="s">
        <v>1863</v>
      </c>
    </row>
    <row r="450" spans="1:12" x14ac:dyDescent="0.2">
      <c r="A450" t="s">
        <v>1767</v>
      </c>
      <c r="B450" t="s">
        <v>1768</v>
      </c>
      <c r="C450" t="s">
        <v>1861</v>
      </c>
      <c r="D450">
        <v>4</v>
      </c>
      <c r="E450">
        <v>152.51</v>
      </c>
      <c r="F450">
        <v>152.51</v>
      </c>
      <c r="G450" t="s">
        <v>1862</v>
      </c>
      <c r="H450" t="s">
        <v>2231</v>
      </c>
      <c r="I450" t="s">
        <v>1903</v>
      </c>
      <c r="J450" t="s">
        <v>2232</v>
      </c>
      <c r="L450" t="s">
        <v>1863</v>
      </c>
    </row>
    <row r="451" spans="1:12" x14ac:dyDescent="0.2">
      <c r="A451" t="s">
        <v>1767</v>
      </c>
      <c r="B451" t="s">
        <v>1768</v>
      </c>
      <c r="C451" t="s">
        <v>1861</v>
      </c>
      <c r="D451">
        <v>4</v>
      </c>
      <c r="E451">
        <v>152.51</v>
      </c>
      <c r="F451">
        <v>152.51</v>
      </c>
      <c r="G451" t="s">
        <v>1862</v>
      </c>
      <c r="H451" t="s">
        <v>2231</v>
      </c>
      <c r="I451" t="s">
        <v>1903</v>
      </c>
      <c r="J451" t="s">
        <v>2232</v>
      </c>
      <c r="L451" t="s">
        <v>1863</v>
      </c>
    </row>
    <row r="452" spans="1:12" x14ac:dyDescent="0.2">
      <c r="A452" t="s">
        <v>1767</v>
      </c>
      <c r="B452" t="s">
        <v>1768</v>
      </c>
      <c r="C452" t="s">
        <v>1861</v>
      </c>
      <c r="D452">
        <v>4</v>
      </c>
      <c r="E452">
        <v>5466</v>
      </c>
      <c r="F452">
        <v>5466</v>
      </c>
      <c r="G452" t="s">
        <v>1862</v>
      </c>
      <c r="H452" t="s">
        <v>2291</v>
      </c>
      <c r="I452" t="s">
        <v>1903</v>
      </c>
      <c r="J452" t="s">
        <v>2292</v>
      </c>
      <c r="L452" t="s">
        <v>1863</v>
      </c>
    </row>
    <row r="453" spans="1:12" x14ac:dyDescent="0.2">
      <c r="A453" t="s">
        <v>1767</v>
      </c>
      <c r="B453" t="s">
        <v>1768</v>
      </c>
      <c r="C453" t="s">
        <v>1861</v>
      </c>
      <c r="D453">
        <v>4</v>
      </c>
      <c r="E453">
        <v>26.75</v>
      </c>
      <c r="F453">
        <v>26.75</v>
      </c>
      <c r="G453" t="s">
        <v>1862</v>
      </c>
      <c r="H453" t="s">
        <v>2120</v>
      </c>
      <c r="I453" t="s">
        <v>1903</v>
      </c>
      <c r="J453" t="s">
        <v>2227</v>
      </c>
      <c r="L453" t="s">
        <v>1863</v>
      </c>
    </row>
    <row r="454" spans="1:12" x14ac:dyDescent="0.2">
      <c r="A454" t="s">
        <v>1767</v>
      </c>
      <c r="B454" t="s">
        <v>1768</v>
      </c>
      <c r="C454" t="s">
        <v>1861</v>
      </c>
      <c r="D454">
        <v>4</v>
      </c>
      <c r="E454">
        <v>26.75</v>
      </c>
      <c r="F454">
        <v>26.75</v>
      </c>
      <c r="G454" t="s">
        <v>1862</v>
      </c>
      <c r="H454" t="s">
        <v>2120</v>
      </c>
      <c r="I454" t="s">
        <v>1903</v>
      </c>
      <c r="J454" t="s">
        <v>2197</v>
      </c>
      <c r="L454" t="s">
        <v>1863</v>
      </c>
    </row>
    <row r="455" spans="1:12" x14ac:dyDescent="0.2">
      <c r="A455" t="s">
        <v>1767</v>
      </c>
      <c r="B455" t="s">
        <v>1768</v>
      </c>
      <c r="C455" t="s">
        <v>1861</v>
      </c>
      <c r="D455">
        <v>4</v>
      </c>
      <c r="E455">
        <v>53.5</v>
      </c>
      <c r="F455">
        <v>53.5</v>
      </c>
      <c r="G455" t="s">
        <v>1862</v>
      </c>
      <c r="H455" t="s">
        <v>1979</v>
      </c>
      <c r="I455" t="s">
        <v>1903</v>
      </c>
      <c r="J455" t="s">
        <v>2003</v>
      </c>
      <c r="L455" t="s">
        <v>1863</v>
      </c>
    </row>
    <row r="456" spans="1:12" x14ac:dyDescent="0.2">
      <c r="A456" t="s">
        <v>1767</v>
      </c>
      <c r="B456" t="s">
        <v>1768</v>
      </c>
      <c r="C456" t="s">
        <v>1861</v>
      </c>
      <c r="D456">
        <v>4</v>
      </c>
      <c r="E456">
        <v>99.92</v>
      </c>
      <c r="F456">
        <v>99.92</v>
      </c>
      <c r="G456" t="s">
        <v>1862</v>
      </c>
      <c r="H456" t="s">
        <v>2293</v>
      </c>
      <c r="I456" t="s">
        <v>1903</v>
      </c>
      <c r="J456" t="s">
        <v>2294</v>
      </c>
      <c r="L456" t="s">
        <v>1863</v>
      </c>
    </row>
    <row r="457" spans="1:12" x14ac:dyDescent="0.2">
      <c r="A457" t="s">
        <v>1767</v>
      </c>
      <c r="B457" t="s">
        <v>1768</v>
      </c>
      <c r="C457" t="s">
        <v>1861</v>
      </c>
      <c r="D457">
        <v>4</v>
      </c>
      <c r="E457">
        <v>118.82</v>
      </c>
      <c r="F457">
        <v>118.82</v>
      </c>
      <c r="G457" t="s">
        <v>1862</v>
      </c>
      <c r="H457" t="s">
        <v>2295</v>
      </c>
      <c r="I457" t="s">
        <v>1903</v>
      </c>
      <c r="J457" t="s">
        <v>2296</v>
      </c>
      <c r="L457" t="s">
        <v>1863</v>
      </c>
    </row>
    <row r="458" spans="1:12" x14ac:dyDescent="0.2">
      <c r="A458" t="s">
        <v>1767</v>
      </c>
      <c r="B458" t="s">
        <v>1768</v>
      </c>
      <c r="C458" t="s">
        <v>1861</v>
      </c>
      <c r="D458">
        <v>4</v>
      </c>
      <c r="E458">
        <v>0.96</v>
      </c>
      <c r="F458">
        <v>0.96</v>
      </c>
      <c r="G458" t="s">
        <v>1862</v>
      </c>
      <c r="H458" t="s">
        <v>1984</v>
      </c>
      <c r="I458" t="s">
        <v>1903</v>
      </c>
      <c r="J458" t="s">
        <v>1985</v>
      </c>
      <c r="L458" t="s">
        <v>1863</v>
      </c>
    </row>
    <row r="459" spans="1:12" x14ac:dyDescent="0.2">
      <c r="A459" t="s">
        <v>1767</v>
      </c>
      <c r="B459" t="s">
        <v>1768</v>
      </c>
      <c r="C459" t="s">
        <v>1861</v>
      </c>
      <c r="D459">
        <v>4</v>
      </c>
      <c r="E459">
        <v>42.8</v>
      </c>
      <c r="F459">
        <v>42.8</v>
      </c>
      <c r="G459" t="s">
        <v>1862</v>
      </c>
      <c r="H459" t="s">
        <v>1965</v>
      </c>
      <c r="I459" t="s">
        <v>1903</v>
      </c>
      <c r="J459" t="s">
        <v>2192</v>
      </c>
      <c r="L459" t="s">
        <v>1863</v>
      </c>
    </row>
    <row r="460" spans="1:12" x14ac:dyDescent="0.2">
      <c r="A460" t="s">
        <v>1767</v>
      </c>
      <c r="B460" t="s">
        <v>1768</v>
      </c>
      <c r="C460" t="s">
        <v>1861</v>
      </c>
      <c r="D460">
        <v>4</v>
      </c>
      <c r="E460">
        <v>21.4</v>
      </c>
      <c r="F460">
        <v>21.4</v>
      </c>
      <c r="G460" t="s">
        <v>1862</v>
      </c>
      <c r="H460" t="s">
        <v>2082</v>
      </c>
      <c r="I460" t="s">
        <v>1903</v>
      </c>
      <c r="J460" t="s">
        <v>2228</v>
      </c>
      <c r="L460" t="s">
        <v>1863</v>
      </c>
    </row>
    <row r="461" spans="1:12" x14ac:dyDescent="0.2">
      <c r="A461" t="s">
        <v>1767</v>
      </c>
      <c r="B461" t="s">
        <v>1768</v>
      </c>
      <c r="C461" t="s">
        <v>1861</v>
      </c>
      <c r="D461">
        <v>4</v>
      </c>
      <c r="E461">
        <v>43.32</v>
      </c>
      <c r="F461">
        <v>43.32</v>
      </c>
      <c r="G461" t="s">
        <v>1862</v>
      </c>
      <c r="H461" t="s">
        <v>1977</v>
      </c>
      <c r="I461" t="s">
        <v>1903</v>
      </c>
      <c r="J461" t="s">
        <v>1978</v>
      </c>
      <c r="L461" t="s">
        <v>1863</v>
      </c>
    </row>
    <row r="462" spans="1:12" x14ac:dyDescent="0.2">
      <c r="A462" t="s">
        <v>1767</v>
      </c>
      <c r="B462" t="s">
        <v>1768</v>
      </c>
      <c r="C462" t="s">
        <v>1861</v>
      </c>
      <c r="D462">
        <v>4</v>
      </c>
      <c r="E462">
        <v>372.36</v>
      </c>
      <c r="F462">
        <v>372.36</v>
      </c>
      <c r="G462" t="s">
        <v>1862</v>
      </c>
      <c r="H462" t="s">
        <v>2270</v>
      </c>
      <c r="I462" t="s">
        <v>1903</v>
      </c>
      <c r="J462" t="s">
        <v>2271</v>
      </c>
      <c r="L462" t="s">
        <v>1863</v>
      </c>
    </row>
    <row r="463" spans="1:12" x14ac:dyDescent="0.2">
      <c r="A463" t="s">
        <v>1767</v>
      </c>
      <c r="B463" t="s">
        <v>1768</v>
      </c>
      <c r="C463" t="s">
        <v>1861</v>
      </c>
      <c r="D463">
        <v>4</v>
      </c>
      <c r="E463">
        <v>0</v>
      </c>
      <c r="F463">
        <v>0</v>
      </c>
      <c r="G463" t="s">
        <v>1862</v>
      </c>
      <c r="H463" t="s">
        <v>1864</v>
      </c>
      <c r="I463" t="s">
        <v>1903</v>
      </c>
      <c r="J463" t="s">
        <v>2297</v>
      </c>
      <c r="L463" t="s">
        <v>1863</v>
      </c>
    </row>
    <row r="464" spans="1:12" x14ac:dyDescent="0.2">
      <c r="A464" t="s">
        <v>1767</v>
      </c>
      <c r="B464" t="s">
        <v>1768</v>
      </c>
      <c r="C464" t="s">
        <v>1861</v>
      </c>
      <c r="D464">
        <v>4</v>
      </c>
      <c r="E464">
        <v>7.32</v>
      </c>
      <c r="F464">
        <v>7.32</v>
      </c>
      <c r="G464" t="s">
        <v>1862</v>
      </c>
      <c r="H464" t="s">
        <v>2208</v>
      </c>
      <c r="I464" t="s">
        <v>1903</v>
      </c>
      <c r="J464" t="s">
        <v>2298</v>
      </c>
      <c r="L464" t="s">
        <v>1863</v>
      </c>
    </row>
    <row r="465" spans="1:12" x14ac:dyDescent="0.2">
      <c r="A465" t="s">
        <v>1767</v>
      </c>
      <c r="B465" t="s">
        <v>1768</v>
      </c>
      <c r="C465" t="s">
        <v>1861</v>
      </c>
      <c r="D465">
        <v>4</v>
      </c>
      <c r="E465">
        <v>637.72</v>
      </c>
      <c r="F465">
        <v>637.72</v>
      </c>
      <c r="G465" t="s">
        <v>1862</v>
      </c>
      <c r="H465" t="s">
        <v>2229</v>
      </c>
      <c r="I465" t="s">
        <v>1903</v>
      </c>
      <c r="J465" t="s">
        <v>2230</v>
      </c>
      <c r="L465" t="s">
        <v>1863</v>
      </c>
    </row>
    <row r="466" spans="1:12" x14ac:dyDescent="0.2">
      <c r="A466" t="s">
        <v>1767</v>
      </c>
      <c r="B466" t="s">
        <v>1768</v>
      </c>
      <c r="C466" t="s">
        <v>1861</v>
      </c>
      <c r="D466">
        <v>4</v>
      </c>
      <c r="E466">
        <v>152.51</v>
      </c>
      <c r="F466">
        <v>152.51</v>
      </c>
      <c r="G466" t="s">
        <v>1862</v>
      </c>
      <c r="H466" t="s">
        <v>2231</v>
      </c>
      <c r="I466" t="s">
        <v>1903</v>
      </c>
      <c r="J466" t="s">
        <v>2232</v>
      </c>
      <c r="L466" t="s">
        <v>1863</v>
      </c>
    </row>
    <row r="467" spans="1:12" x14ac:dyDescent="0.2">
      <c r="A467" t="s">
        <v>1767</v>
      </c>
      <c r="B467" t="s">
        <v>1768</v>
      </c>
      <c r="C467" t="s">
        <v>1861</v>
      </c>
      <c r="D467">
        <v>4</v>
      </c>
      <c r="E467">
        <v>6.54</v>
      </c>
      <c r="F467">
        <v>6.54</v>
      </c>
      <c r="G467" t="s">
        <v>1862</v>
      </c>
      <c r="H467" t="s">
        <v>2223</v>
      </c>
      <c r="I467" t="s">
        <v>1903</v>
      </c>
      <c r="J467" t="s">
        <v>2224</v>
      </c>
      <c r="L467" t="s">
        <v>1863</v>
      </c>
    </row>
    <row r="468" spans="1:12" x14ac:dyDescent="0.2">
      <c r="A468" t="s">
        <v>1767</v>
      </c>
      <c r="B468" t="s">
        <v>1768</v>
      </c>
      <c r="C468" t="s">
        <v>1861</v>
      </c>
      <c r="D468">
        <v>4</v>
      </c>
      <c r="E468">
        <v>123</v>
      </c>
      <c r="F468">
        <v>123</v>
      </c>
      <c r="G468" t="s">
        <v>1862</v>
      </c>
      <c r="H468" t="s">
        <v>2299</v>
      </c>
      <c r="I468" t="s">
        <v>1903</v>
      </c>
      <c r="J468" t="s">
        <v>2300</v>
      </c>
      <c r="L468" t="s">
        <v>1863</v>
      </c>
    </row>
    <row r="469" spans="1:12" x14ac:dyDescent="0.2">
      <c r="A469" t="s">
        <v>1767</v>
      </c>
      <c r="B469" t="s">
        <v>1768</v>
      </c>
      <c r="C469" t="s">
        <v>1861</v>
      </c>
      <c r="D469">
        <v>4</v>
      </c>
      <c r="E469">
        <v>0.77</v>
      </c>
      <c r="F469">
        <v>0.77</v>
      </c>
      <c r="G469" t="s">
        <v>1862</v>
      </c>
      <c r="H469" t="s">
        <v>2301</v>
      </c>
      <c r="I469" t="s">
        <v>1903</v>
      </c>
      <c r="J469" t="s">
        <v>2302</v>
      </c>
      <c r="L469" t="s">
        <v>1863</v>
      </c>
    </row>
    <row r="470" spans="1:12" x14ac:dyDescent="0.2">
      <c r="A470" t="s">
        <v>1767</v>
      </c>
      <c r="B470" t="s">
        <v>1768</v>
      </c>
      <c r="C470" t="s">
        <v>1861</v>
      </c>
      <c r="D470">
        <v>4</v>
      </c>
      <c r="E470">
        <v>6.3</v>
      </c>
      <c r="F470">
        <v>6.3</v>
      </c>
      <c r="G470" t="s">
        <v>1862</v>
      </c>
      <c r="H470" t="s">
        <v>1988</v>
      </c>
      <c r="I470" t="s">
        <v>1903</v>
      </c>
      <c r="J470" t="s">
        <v>1989</v>
      </c>
      <c r="L470" t="s">
        <v>1863</v>
      </c>
    </row>
    <row r="471" spans="1:12" x14ac:dyDescent="0.2">
      <c r="A471" t="s">
        <v>1767</v>
      </c>
      <c r="B471" t="s">
        <v>1768</v>
      </c>
      <c r="C471" t="s">
        <v>1861</v>
      </c>
      <c r="D471">
        <v>4</v>
      </c>
      <c r="E471">
        <v>7126</v>
      </c>
      <c r="F471">
        <v>7126</v>
      </c>
      <c r="G471" t="s">
        <v>1862</v>
      </c>
      <c r="H471" t="s">
        <v>2303</v>
      </c>
      <c r="I471" t="s">
        <v>1903</v>
      </c>
      <c r="J471" t="s">
        <v>2304</v>
      </c>
      <c r="L471" t="s">
        <v>1863</v>
      </c>
    </row>
    <row r="472" spans="1:12" x14ac:dyDescent="0.2">
      <c r="A472" t="s">
        <v>1767</v>
      </c>
      <c r="B472" t="s">
        <v>1768</v>
      </c>
      <c r="C472" t="s">
        <v>1861</v>
      </c>
      <c r="D472">
        <v>4</v>
      </c>
      <c r="E472">
        <v>30</v>
      </c>
      <c r="F472">
        <v>30</v>
      </c>
      <c r="G472" t="s">
        <v>1862</v>
      </c>
      <c r="H472" t="s">
        <v>2305</v>
      </c>
      <c r="I472" t="s">
        <v>1903</v>
      </c>
      <c r="J472" t="s">
        <v>2306</v>
      </c>
      <c r="L472" t="s">
        <v>1863</v>
      </c>
    </row>
    <row r="473" spans="1:12" x14ac:dyDescent="0.2">
      <c r="A473" t="s">
        <v>1767</v>
      </c>
      <c r="B473" t="s">
        <v>1768</v>
      </c>
      <c r="C473" t="s">
        <v>1861</v>
      </c>
      <c r="D473">
        <v>4</v>
      </c>
      <c r="E473">
        <v>30</v>
      </c>
      <c r="F473">
        <v>30</v>
      </c>
      <c r="G473" t="s">
        <v>1862</v>
      </c>
      <c r="H473" t="s">
        <v>2305</v>
      </c>
      <c r="I473" t="s">
        <v>1903</v>
      </c>
      <c r="J473" t="s">
        <v>2307</v>
      </c>
      <c r="L473" t="s">
        <v>1863</v>
      </c>
    </row>
    <row r="474" spans="1:12" x14ac:dyDescent="0.2">
      <c r="A474" t="s">
        <v>1767</v>
      </c>
      <c r="B474" t="s">
        <v>1768</v>
      </c>
      <c r="C474" t="s">
        <v>1861</v>
      </c>
      <c r="D474">
        <v>4</v>
      </c>
      <c r="E474">
        <v>26.75</v>
      </c>
      <c r="F474">
        <v>26.75</v>
      </c>
      <c r="G474" t="s">
        <v>1862</v>
      </c>
      <c r="H474" t="s">
        <v>2120</v>
      </c>
      <c r="I474" t="s">
        <v>1903</v>
      </c>
      <c r="J474" t="s">
        <v>2227</v>
      </c>
      <c r="L474" t="s">
        <v>1863</v>
      </c>
    </row>
    <row r="475" spans="1:12" x14ac:dyDescent="0.2">
      <c r="A475" t="s">
        <v>1767</v>
      </c>
      <c r="B475" t="s">
        <v>1768</v>
      </c>
      <c r="C475" t="s">
        <v>1861</v>
      </c>
      <c r="D475">
        <v>4</v>
      </c>
      <c r="E475">
        <v>26.75</v>
      </c>
      <c r="F475">
        <v>26.75</v>
      </c>
      <c r="G475" t="s">
        <v>1862</v>
      </c>
      <c r="H475" t="s">
        <v>2120</v>
      </c>
      <c r="I475" t="s">
        <v>1903</v>
      </c>
      <c r="J475" t="s">
        <v>2197</v>
      </c>
      <c r="L475" t="s">
        <v>1863</v>
      </c>
    </row>
    <row r="476" spans="1:12" x14ac:dyDescent="0.2">
      <c r="A476" t="s">
        <v>1767</v>
      </c>
      <c r="B476" t="s">
        <v>1768</v>
      </c>
      <c r="C476" t="s">
        <v>1861</v>
      </c>
      <c r="D476">
        <v>4</v>
      </c>
      <c r="E476">
        <v>42.8</v>
      </c>
      <c r="F476">
        <v>42.8</v>
      </c>
      <c r="G476" t="s">
        <v>1862</v>
      </c>
      <c r="H476" t="s">
        <v>1965</v>
      </c>
      <c r="I476" t="s">
        <v>1903</v>
      </c>
      <c r="J476" t="s">
        <v>2192</v>
      </c>
      <c r="L476" t="s">
        <v>1863</v>
      </c>
    </row>
    <row r="477" spans="1:12" x14ac:dyDescent="0.2">
      <c r="A477" t="s">
        <v>1767</v>
      </c>
      <c r="B477" t="s">
        <v>1768</v>
      </c>
      <c r="C477" t="s">
        <v>1861</v>
      </c>
      <c r="D477">
        <v>4</v>
      </c>
      <c r="E477">
        <v>21.4</v>
      </c>
      <c r="F477">
        <v>21.4</v>
      </c>
      <c r="G477" t="s">
        <v>1862</v>
      </c>
      <c r="H477" t="s">
        <v>2082</v>
      </c>
      <c r="I477" t="s">
        <v>1903</v>
      </c>
      <c r="J477" t="s">
        <v>2228</v>
      </c>
      <c r="L477" t="s">
        <v>1863</v>
      </c>
    </row>
    <row r="478" spans="1:12" x14ac:dyDescent="0.2">
      <c r="A478" t="s">
        <v>1767</v>
      </c>
      <c r="B478" t="s">
        <v>1768</v>
      </c>
      <c r="C478" t="s">
        <v>1861</v>
      </c>
      <c r="D478">
        <v>4</v>
      </c>
      <c r="E478">
        <v>21.66</v>
      </c>
      <c r="F478">
        <v>21.66</v>
      </c>
      <c r="G478" t="s">
        <v>1862</v>
      </c>
      <c r="H478" t="s">
        <v>2104</v>
      </c>
      <c r="I478" t="s">
        <v>1903</v>
      </c>
      <c r="J478" t="s">
        <v>2105</v>
      </c>
      <c r="L478" t="s">
        <v>1863</v>
      </c>
    </row>
    <row r="479" spans="1:12" x14ac:dyDescent="0.2">
      <c r="A479" t="s">
        <v>1767</v>
      </c>
      <c r="B479" t="s">
        <v>1768</v>
      </c>
      <c r="C479" t="s">
        <v>1861</v>
      </c>
      <c r="D479">
        <v>4</v>
      </c>
      <c r="E479">
        <v>43.32</v>
      </c>
      <c r="F479">
        <v>43.32</v>
      </c>
      <c r="G479" t="s">
        <v>1862</v>
      </c>
      <c r="H479" t="s">
        <v>1977</v>
      </c>
      <c r="I479" t="s">
        <v>1903</v>
      </c>
      <c r="J479" t="s">
        <v>1978</v>
      </c>
      <c r="L479" t="s">
        <v>1863</v>
      </c>
    </row>
    <row r="480" spans="1:12" x14ac:dyDescent="0.2">
      <c r="A480" t="s">
        <v>1767</v>
      </c>
      <c r="B480" t="s">
        <v>1768</v>
      </c>
      <c r="C480" t="s">
        <v>1861</v>
      </c>
      <c r="D480">
        <v>4</v>
      </c>
      <c r="E480">
        <v>956.58</v>
      </c>
      <c r="F480">
        <v>956.58</v>
      </c>
      <c r="G480" t="s">
        <v>1862</v>
      </c>
      <c r="H480" t="s">
        <v>2308</v>
      </c>
      <c r="I480" t="s">
        <v>1903</v>
      </c>
      <c r="J480" t="s">
        <v>2309</v>
      </c>
      <c r="L480" t="s">
        <v>1863</v>
      </c>
    </row>
    <row r="481" spans="1:12" x14ac:dyDescent="0.2">
      <c r="A481" t="s">
        <v>1767</v>
      </c>
      <c r="B481" t="s">
        <v>1768</v>
      </c>
      <c r="C481" t="s">
        <v>1861</v>
      </c>
      <c r="D481">
        <v>4</v>
      </c>
      <c r="E481">
        <v>152.51</v>
      </c>
      <c r="F481">
        <v>152.51</v>
      </c>
      <c r="G481" t="s">
        <v>1862</v>
      </c>
      <c r="H481" t="s">
        <v>2231</v>
      </c>
      <c r="I481" t="s">
        <v>1903</v>
      </c>
      <c r="J481" t="s">
        <v>2232</v>
      </c>
      <c r="L481" t="s">
        <v>1863</v>
      </c>
    </row>
    <row r="482" spans="1:12" x14ac:dyDescent="0.2">
      <c r="A482" t="s">
        <v>1767</v>
      </c>
      <c r="B482" t="s">
        <v>1768</v>
      </c>
      <c r="C482" t="s">
        <v>1861</v>
      </c>
      <c r="D482">
        <v>4</v>
      </c>
      <c r="E482">
        <v>42.8</v>
      </c>
      <c r="F482">
        <v>42.8</v>
      </c>
      <c r="G482" t="s">
        <v>1862</v>
      </c>
      <c r="H482" t="s">
        <v>1965</v>
      </c>
      <c r="I482" t="s">
        <v>1903</v>
      </c>
      <c r="J482" t="s">
        <v>2192</v>
      </c>
      <c r="L482" t="s">
        <v>1863</v>
      </c>
    </row>
    <row r="483" spans="1:12" x14ac:dyDescent="0.2">
      <c r="A483" t="s">
        <v>1767</v>
      </c>
      <c r="B483" t="s">
        <v>1768</v>
      </c>
      <c r="C483" t="s">
        <v>1861</v>
      </c>
      <c r="D483">
        <v>4</v>
      </c>
      <c r="E483">
        <v>21.4</v>
      </c>
      <c r="F483">
        <v>21.4</v>
      </c>
      <c r="G483" t="s">
        <v>1862</v>
      </c>
      <c r="H483" t="s">
        <v>2082</v>
      </c>
      <c r="I483" t="s">
        <v>1903</v>
      </c>
      <c r="J483" t="s">
        <v>2228</v>
      </c>
      <c r="L483" t="s">
        <v>1863</v>
      </c>
    </row>
    <row r="484" spans="1:12" x14ac:dyDescent="0.2">
      <c r="A484" t="s">
        <v>1767</v>
      </c>
      <c r="B484" t="s">
        <v>1768</v>
      </c>
      <c r="C484" t="s">
        <v>1861</v>
      </c>
      <c r="D484">
        <v>4</v>
      </c>
      <c r="E484">
        <v>5.28</v>
      </c>
      <c r="F484">
        <v>5.28</v>
      </c>
      <c r="G484" t="s">
        <v>1862</v>
      </c>
      <c r="H484" t="s">
        <v>2090</v>
      </c>
      <c r="I484" t="s">
        <v>1903</v>
      </c>
      <c r="J484" t="s">
        <v>2091</v>
      </c>
      <c r="L484" t="s">
        <v>1863</v>
      </c>
    </row>
    <row r="485" spans="1:12" x14ac:dyDescent="0.2">
      <c r="A485" t="s">
        <v>1767</v>
      </c>
      <c r="B485" t="s">
        <v>1768</v>
      </c>
      <c r="C485" t="s">
        <v>1861</v>
      </c>
      <c r="D485">
        <v>4</v>
      </c>
      <c r="E485">
        <v>797.15</v>
      </c>
      <c r="F485">
        <v>797.15</v>
      </c>
      <c r="G485" t="s">
        <v>1862</v>
      </c>
      <c r="H485" t="s">
        <v>2088</v>
      </c>
      <c r="I485" t="s">
        <v>1903</v>
      </c>
      <c r="J485" t="s">
        <v>2089</v>
      </c>
      <c r="L485" t="s">
        <v>1863</v>
      </c>
    </row>
    <row r="486" spans="1:12" x14ac:dyDescent="0.2">
      <c r="A486" t="s">
        <v>1767</v>
      </c>
      <c r="B486" t="s">
        <v>1768</v>
      </c>
      <c r="C486" t="s">
        <v>1861</v>
      </c>
      <c r="D486">
        <v>4</v>
      </c>
      <c r="E486">
        <v>21.4</v>
      </c>
      <c r="F486">
        <v>21.4</v>
      </c>
      <c r="G486" t="s">
        <v>1862</v>
      </c>
      <c r="H486" t="s">
        <v>2082</v>
      </c>
      <c r="I486" t="s">
        <v>1903</v>
      </c>
      <c r="J486" t="s">
        <v>2238</v>
      </c>
      <c r="L486" t="s">
        <v>1863</v>
      </c>
    </row>
    <row r="487" spans="1:12" x14ac:dyDescent="0.2">
      <c r="A487" t="s">
        <v>1767</v>
      </c>
      <c r="B487" t="s">
        <v>1768</v>
      </c>
      <c r="C487" t="s">
        <v>1861</v>
      </c>
      <c r="D487">
        <v>4</v>
      </c>
      <c r="E487">
        <v>21.4</v>
      </c>
      <c r="F487">
        <v>21.4</v>
      </c>
      <c r="G487" t="s">
        <v>1862</v>
      </c>
      <c r="H487" t="s">
        <v>2082</v>
      </c>
      <c r="I487" t="s">
        <v>1903</v>
      </c>
      <c r="J487" t="s">
        <v>2220</v>
      </c>
      <c r="L487" t="s">
        <v>1863</v>
      </c>
    </row>
    <row r="488" spans="1:12" x14ac:dyDescent="0.2">
      <c r="A488" t="s">
        <v>1767</v>
      </c>
      <c r="B488" t="s">
        <v>1768</v>
      </c>
      <c r="C488" t="s">
        <v>1861</v>
      </c>
      <c r="D488">
        <v>4</v>
      </c>
      <c r="E488">
        <v>448</v>
      </c>
      <c r="F488">
        <v>448</v>
      </c>
      <c r="G488" t="s">
        <v>1862</v>
      </c>
      <c r="H488" t="s">
        <v>2056</v>
      </c>
      <c r="I488" t="s">
        <v>1903</v>
      </c>
      <c r="J488" t="s">
        <v>2057</v>
      </c>
      <c r="L488" t="s">
        <v>1863</v>
      </c>
    </row>
    <row r="489" spans="1:12" x14ac:dyDescent="0.2">
      <c r="A489" t="s">
        <v>1767</v>
      </c>
      <c r="B489" t="s">
        <v>1768</v>
      </c>
      <c r="C489" t="s">
        <v>1861</v>
      </c>
      <c r="D489">
        <v>4</v>
      </c>
      <c r="E489">
        <v>43.32</v>
      </c>
      <c r="F489">
        <v>43.32</v>
      </c>
      <c r="G489" t="s">
        <v>1862</v>
      </c>
      <c r="H489" t="s">
        <v>1977</v>
      </c>
      <c r="I489" t="s">
        <v>1903</v>
      </c>
      <c r="J489" t="s">
        <v>1978</v>
      </c>
      <c r="L489" t="s">
        <v>1863</v>
      </c>
    </row>
    <row r="490" spans="1:12" x14ac:dyDescent="0.2">
      <c r="A490" t="s">
        <v>1767</v>
      </c>
      <c r="B490" t="s">
        <v>1768</v>
      </c>
      <c r="C490" t="s">
        <v>1861</v>
      </c>
      <c r="D490">
        <v>4</v>
      </c>
      <c r="E490">
        <v>395.9</v>
      </c>
      <c r="F490">
        <v>395.9</v>
      </c>
      <c r="G490" t="s">
        <v>1862</v>
      </c>
      <c r="H490" t="s">
        <v>2310</v>
      </c>
      <c r="I490" t="s">
        <v>1903</v>
      </c>
      <c r="J490" t="s">
        <v>2311</v>
      </c>
      <c r="L490" t="s">
        <v>1863</v>
      </c>
    </row>
    <row r="491" spans="1:12" x14ac:dyDescent="0.2">
      <c r="A491" t="s">
        <v>1767</v>
      </c>
      <c r="B491" t="s">
        <v>1768</v>
      </c>
      <c r="C491" t="s">
        <v>1861</v>
      </c>
      <c r="D491">
        <v>4</v>
      </c>
      <c r="E491">
        <v>637.72</v>
      </c>
      <c r="F491">
        <v>637.72</v>
      </c>
      <c r="G491" t="s">
        <v>1862</v>
      </c>
      <c r="H491" t="s">
        <v>2229</v>
      </c>
      <c r="I491" t="s">
        <v>1903</v>
      </c>
      <c r="J491" t="s">
        <v>2230</v>
      </c>
      <c r="L491" t="s">
        <v>1863</v>
      </c>
    </row>
    <row r="492" spans="1:12" x14ac:dyDescent="0.2">
      <c r="A492" t="s">
        <v>1767</v>
      </c>
      <c r="B492" t="s">
        <v>1768</v>
      </c>
      <c r="C492" t="s">
        <v>1861</v>
      </c>
      <c r="D492">
        <v>4</v>
      </c>
      <c r="E492">
        <v>152.51</v>
      </c>
      <c r="F492">
        <v>152.51</v>
      </c>
      <c r="G492" t="s">
        <v>1862</v>
      </c>
      <c r="H492" t="s">
        <v>2231</v>
      </c>
      <c r="I492" t="s">
        <v>1903</v>
      </c>
      <c r="J492" t="s">
        <v>2232</v>
      </c>
      <c r="L492" t="s">
        <v>1863</v>
      </c>
    </row>
    <row r="493" spans="1:12" x14ac:dyDescent="0.2">
      <c r="A493" t="s">
        <v>1767</v>
      </c>
      <c r="B493" t="s">
        <v>1768</v>
      </c>
      <c r="C493" t="s">
        <v>1861</v>
      </c>
      <c r="D493">
        <v>4</v>
      </c>
      <c r="E493">
        <v>297.45999999999998</v>
      </c>
      <c r="F493">
        <v>297.45999999999998</v>
      </c>
      <c r="G493" t="s">
        <v>1862</v>
      </c>
      <c r="H493" t="s">
        <v>1997</v>
      </c>
      <c r="I493" t="s">
        <v>1903</v>
      </c>
      <c r="J493" t="s">
        <v>1998</v>
      </c>
      <c r="L493" t="s">
        <v>1863</v>
      </c>
    </row>
    <row r="494" spans="1:12" x14ac:dyDescent="0.2">
      <c r="A494" t="s">
        <v>1767</v>
      </c>
      <c r="B494" t="s">
        <v>1768</v>
      </c>
      <c r="C494" t="s">
        <v>1861</v>
      </c>
      <c r="D494">
        <v>4</v>
      </c>
      <c r="E494">
        <v>363.8</v>
      </c>
      <c r="F494">
        <v>363.8</v>
      </c>
      <c r="G494" t="s">
        <v>1862</v>
      </c>
      <c r="H494" t="s">
        <v>2312</v>
      </c>
      <c r="I494" t="s">
        <v>1903</v>
      </c>
      <c r="J494" t="s">
        <v>2313</v>
      </c>
      <c r="L494" t="s">
        <v>1863</v>
      </c>
    </row>
    <row r="495" spans="1:12" x14ac:dyDescent="0.2">
      <c r="A495" t="s">
        <v>1767</v>
      </c>
      <c r="B495" t="s">
        <v>1768</v>
      </c>
      <c r="C495" t="s">
        <v>1861</v>
      </c>
      <c r="D495">
        <v>4</v>
      </c>
      <c r="E495">
        <v>6.54</v>
      </c>
      <c r="F495">
        <v>6.54</v>
      </c>
      <c r="G495" t="s">
        <v>1862</v>
      </c>
      <c r="H495" t="s">
        <v>2223</v>
      </c>
      <c r="I495" t="s">
        <v>1903</v>
      </c>
      <c r="J495" t="s">
        <v>2224</v>
      </c>
      <c r="L495" t="s">
        <v>1863</v>
      </c>
    </row>
    <row r="496" spans="1:12" x14ac:dyDescent="0.2">
      <c r="A496" t="s">
        <v>1767</v>
      </c>
      <c r="B496" t="s">
        <v>1768</v>
      </c>
      <c r="C496" t="s">
        <v>1861</v>
      </c>
      <c r="D496">
        <v>4</v>
      </c>
      <c r="E496">
        <v>21.4</v>
      </c>
      <c r="F496">
        <v>21.4</v>
      </c>
      <c r="G496" t="s">
        <v>1862</v>
      </c>
      <c r="H496" t="s">
        <v>2082</v>
      </c>
      <c r="I496" t="s">
        <v>1903</v>
      </c>
      <c r="J496" t="s">
        <v>2228</v>
      </c>
      <c r="L496" t="s">
        <v>1863</v>
      </c>
    </row>
    <row r="497" spans="1:12" x14ac:dyDescent="0.2">
      <c r="A497" t="s">
        <v>1767</v>
      </c>
      <c r="B497" t="s">
        <v>1768</v>
      </c>
      <c r="C497" t="s">
        <v>1861</v>
      </c>
      <c r="D497">
        <v>4</v>
      </c>
      <c r="E497">
        <v>448</v>
      </c>
      <c r="F497">
        <v>448</v>
      </c>
      <c r="G497" t="s">
        <v>1862</v>
      </c>
      <c r="H497" t="s">
        <v>2056</v>
      </c>
      <c r="I497" t="s">
        <v>1903</v>
      </c>
      <c r="J497" t="s">
        <v>2057</v>
      </c>
      <c r="L497" t="s">
        <v>1863</v>
      </c>
    </row>
    <row r="498" spans="1:12" x14ac:dyDescent="0.2">
      <c r="A498" t="s">
        <v>1767</v>
      </c>
      <c r="B498" t="s">
        <v>1768</v>
      </c>
      <c r="C498" t="s">
        <v>1861</v>
      </c>
      <c r="D498">
        <v>4</v>
      </c>
      <c r="E498">
        <v>12099</v>
      </c>
      <c r="F498">
        <v>12099</v>
      </c>
      <c r="G498" t="s">
        <v>1862</v>
      </c>
      <c r="H498" t="s">
        <v>2314</v>
      </c>
      <c r="I498" t="s">
        <v>1903</v>
      </c>
      <c r="J498" t="s">
        <v>2315</v>
      </c>
      <c r="L498" t="s">
        <v>1863</v>
      </c>
    </row>
    <row r="499" spans="1:12" x14ac:dyDescent="0.2">
      <c r="A499" t="s">
        <v>1767</v>
      </c>
      <c r="B499" t="s">
        <v>1768</v>
      </c>
      <c r="C499" t="s">
        <v>1861</v>
      </c>
      <c r="D499">
        <v>4</v>
      </c>
      <c r="E499">
        <v>110.8</v>
      </c>
      <c r="F499">
        <v>110.8</v>
      </c>
      <c r="G499" t="s">
        <v>1862</v>
      </c>
      <c r="H499" t="s">
        <v>2285</v>
      </c>
      <c r="I499" t="s">
        <v>1903</v>
      </c>
      <c r="J499" t="s">
        <v>2286</v>
      </c>
      <c r="L499" t="s">
        <v>1863</v>
      </c>
    </row>
    <row r="500" spans="1:12" x14ac:dyDescent="0.2">
      <c r="A500" t="s">
        <v>1767</v>
      </c>
      <c r="B500" t="s">
        <v>1768</v>
      </c>
      <c r="C500" t="s">
        <v>1861</v>
      </c>
      <c r="D500">
        <v>4</v>
      </c>
      <c r="E500">
        <v>55.4</v>
      </c>
      <c r="F500">
        <v>55.4</v>
      </c>
      <c r="G500" t="s">
        <v>1862</v>
      </c>
      <c r="H500" t="s">
        <v>2164</v>
      </c>
      <c r="I500" t="s">
        <v>1903</v>
      </c>
      <c r="J500" t="s">
        <v>2165</v>
      </c>
      <c r="L500" t="s">
        <v>1863</v>
      </c>
    </row>
    <row r="501" spans="1:12" x14ac:dyDescent="0.2">
      <c r="A501" t="s">
        <v>1767</v>
      </c>
      <c r="B501" t="s">
        <v>1768</v>
      </c>
      <c r="C501" t="s">
        <v>1861</v>
      </c>
      <c r="D501">
        <v>4</v>
      </c>
      <c r="E501">
        <v>148.44</v>
      </c>
      <c r="F501">
        <v>148.44</v>
      </c>
      <c r="G501" t="s">
        <v>1862</v>
      </c>
      <c r="H501" t="s">
        <v>1971</v>
      </c>
      <c r="I501" t="s">
        <v>1903</v>
      </c>
      <c r="J501" t="s">
        <v>1972</v>
      </c>
      <c r="L501" t="s">
        <v>1863</v>
      </c>
    </row>
    <row r="502" spans="1:12" x14ac:dyDescent="0.2">
      <c r="A502" t="s">
        <v>1767</v>
      </c>
      <c r="B502" t="s">
        <v>1768</v>
      </c>
      <c r="C502" t="s">
        <v>1861</v>
      </c>
      <c r="D502">
        <v>4</v>
      </c>
      <c r="E502">
        <v>43.32</v>
      </c>
      <c r="F502">
        <v>43.32</v>
      </c>
      <c r="G502" t="s">
        <v>1862</v>
      </c>
      <c r="H502" t="s">
        <v>1977</v>
      </c>
      <c r="I502" t="s">
        <v>1903</v>
      </c>
      <c r="J502" t="s">
        <v>1978</v>
      </c>
      <c r="L502" t="s">
        <v>1863</v>
      </c>
    </row>
    <row r="503" spans="1:12" x14ac:dyDescent="0.2">
      <c r="A503" t="s">
        <v>1767</v>
      </c>
      <c r="B503" t="s">
        <v>1768</v>
      </c>
      <c r="C503" t="s">
        <v>1861</v>
      </c>
      <c r="D503">
        <v>4</v>
      </c>
      <c r="E503">
        <v>0</v>
      </c>
      <c r="F503">
        <v>0</v>
      </c>
      <c r="G503" t="s">
        <v>1862</v>
      </c>
      <c r="H503" t="s">
        <v>1864</v>
      </c>
      <c r="I503" t="s">
        <v>1903</v>
      </c>
      <c r="J503" t="s">
        <v>2316</v>
      </c>
      <c r="L503" t="s">
        <v>1863</v>
      </c>
    </row>
    <row r="504" spans="1:12" x14ac:dyDescent="0.2">
      <c r="A504" t="s">
        <v>1767</v>
      </c>
      <c r="B504" t="s">
        <v>1768</v>
      </c>
      <c r="C504" t="s">
        <v>1861</v>
      </c>
      <c r="D504">
        <v>4</v>
      </c>
      <c r="E504">
        <v>64.2</v>
      </c>
      <c r="F504">
        <v>64.2</v>
      </c>
      <c r="G504" t="s">
        <v>1862</v>
      </c>
      <c r="H504" t="s">
        <v>2098</v>
      </c>
      <c r="I504" t="s">
        <v>1903</v>
      </c>
      <c r="J504" t="s">
        <v>2317</v>
      </c>
      <c r="L504" t="s">
        <v>1863</v>
      </c>
    </row>
    <row r="505" spans="1:12" x14ac:dyDescent="0.2">
      <c r="A505" t="s">
        <v>1767</v>
      </c>
      <c r="B505" t="s">
        <v>1768</v>
      </c>
      <c r="C505" t="s">
        <v>1861</v>
      </c>
      <c r="D505">
        <v>4</v>
      </c>
      <c r="E505">
        <v>26.75</v>
      </c>
      <c r="F505">
        <v>26.75</v>
      </c>
      <c r="G505" t="s">
        <v>1862</v>
      </c>
      <c r="H505" t="s">
        <v>2120</v>
      </c>
      <c r="I505" t="s">
        <v>1903</v>
      </c>
      <c r="J505" t="s">
        <v>2279</v>
      </c>
      <c r="L505" t="s">
        <v>1863</v>
      </c>
    </row>
    <row r="506" spans="1:12" x14ac:dyDescent="0.2">
      <c r="A506" t="s">
        <v>1767</v>
      </c>
      <c r="B506" t="s">
        <v>1768</v>
      </c>
      <c r="C506" t="s">
        <v>1861</v>
      </c>
      <c r="D506">
        <v>4</v>
      </c>
      <c r="E506">
        <v>53.5</v>
      </c>
      <c r="F506">
        <v>53.5</v>
      </c>
      <c r="G506" t="s">
        <v>1862</v>
      </c>
      <c r="H506" t="s">
        <v>1979</v>
      </c>
      <c r="I506" t="s">
        <v>1903</v>
      </c>
      <c r="J506" t="s">
        <v>1980</v>
      </c>
      <c r="L506" t="s">
        <v>1863</v>
      </c>
    </row>
    <row r="507" spans="1:12" x14ac:dyDescent="0.2">
      <c r="A507" t="s">
        <v>1767</v>
      </c>
      <c r="B507" t="s">
        <v>1768</v>
      </c>
      <c r="C507" t="s">
        <v>1861</v>
      </c>
      <c r="D507">
        <v>4</v>
      </c>
      <c r="E507">
        <v>138.04</v>
      </c>
      <c r="F507">
        <v>138.04</v>
      </c>
      <c r="G507" t="s">
        <v>1862</v>
      </c>
      <c r="H507" t="s">
        <v>2318</v>
      </c>
      <c r="I507" t="s">
        <v>1903</v>
      </c>
      <c r="J507" t="s">
        <v>2319</v>
      </c>
      <c r="L507" t="s">
        <v>1863</v>
      </c>
    </row>
    <row r="508" spans="1:12" x14ac:dyDescent="0.2">
      <c r="A508" t="s">
        <v>1767</v>
      </c>
      <c r="B508" t="s">
        <v>1768</v>
      </c>
      <c r="C508" t="s">
        <v>1861</v>
      </c>
      <c r="D508">
        <v>4</v>
      </c>
      <c r="E508">
        <v>252.84</v>
      </c>
      <c r="F508">
        <v>252.84</v>
      </c>
      <c r="G508" t="s">
        <v>1862</v>
      </c>
      <c r="H508" t="s">
        <v>2320</v>
      </c>
      <c r="I508" t="s">
        <v>1903</v>
      </c>
      <c r="J508" t="s">
        <v>2321</v>
      </c>
      <c r="L508" t="s">
        <v>1863</v>
      </c>
    </row>
    <row r="509" spans="1:12" x14ac:dyDescent="0.2">
      <c r="A509" t="s">
        <v>1767</v>
      </c>
      <c r="B509" t="s">
        <v>1768</v>
      </c>
      <c r="C509" t="s">
        <v>1861</v>
      </c>
      <c r="D509">
        <v>4</v>
      </c>
      <c r="E509">
        <v>42.8</v>
      </c>
      <c r="F509">
        <v>42.8</v>
      </c>
      <c r="G509" t="s">
        <v>1862</v>
      </c>
      <c r="H509" t="s">
        <v>1965</v>
      </c>
      <c r="I509" t="s">
        <v>1903</v>
      </c>
      <c r="J509" t="s">
        <v>2322</v>
      </c>
      <c r="L509" t="s">
        <v>1863</v>
      </c>
    </row>
    <row r="510" spans="1:12" x14ac:dyDescent="0.2">
      <c r="A510" t="s">
        <v>1767</v>
      </c>
      <c r="B510" t="s">
        <v>1768</v>
      </c>
      <c r="C510" t="s">
        <v>1861</v>
      </c>
      <c r="D510">
        <v>4</v>
      </c>
      <c r="E510">
        <v>64.2</v>
      </c>
      <c r="F510">
        <v>64.2</v>
      </c>
      <c r="G510" t="s">
        <v>1862</v>
      </c>
      <c r="H510" t="s">
        <v>2098</v>
      </c>
      <c r="I510" t="s">
        <v>1903</v>
      </c>
      <c r="J510" t="s">
        <v>2323</v>
      </c>
      <c r="L510" t="s">
        <v>1863</v>
      </c>
    </row>
    <row r="511" spans="1:12" x14ac:dyDescent="0.2">
      <c r="A511" t="s">
        <v>1767</v>
      </c>
      <c r="B511" t="s">
        <v>1768</v>
      </c>
      <c r="C511" t="s">
        <v>1861</v>
      </c>
      <c r="D511">
        <v>4</v>
      </c>
      <c r="E511">
        <v>26.75</v>
      </c>
      <c r="F511">
        <v>26.75</v>
      </c>
      <c r="G511" t="s">
        <v>1862</v>
      </c>
      <c r="H511" t="s">
        <v>2120</v>
      </c>
      <c r="I511" t="s">
        <v>1903</v>
      </c>
      <c r="J511" t="s">
        <v>2197</v>
      </c>
      <c r="L511" t="s">
        <v>1863</v>
      </c>
    </row>
    <row r="512" spans="1:12" x14ac:dyDescent="0.2">
      <c r="A512" t="s">
        <v>1767</v>
      </c>
      <c r="B512" t="s">
        <v>1768</v>
      </c>
      <c r="C512" t="s">
        <v>1861</v>
      </c>
      <c r="D512">
        <v>4</v>
      </c>
      <c r="E512">
        <v>6.54</v>
      </c>
      <c r="F512">
        <v>6.54</v>
      </c>
      <c r="G512" t="s">
        <v>1862</v>
      </c>
      <c r="H512" t="s">
        <v>2223</v>
      </c>
      <c r="I512" t="s">
        <v>1903</v>
      </c>
      <c r="J512" t="s">
        <v>2224</v>
      </c>
      <c r="L512" t="s">
        <v>1863</v>
      </c>
    </row>
    <row r="513" spans="1:12" x14ac:dyDescent="0.2">
      <c r="A513" t="s">
        <v>1767</v>
      </c>
      <c r="B513" t="s">
        <v>1768</v>
      </c>
      <c r="C513" t="s">
        <v>1861</v>
      </c>
      <c r="D513">
        <v>4</v>
      </c>
      <c r="E513">
        <v>42.8</v>
      </c>
      <c r="F513">
        <v>42.8</v>
      </c>
      <c r="G513" t="s">
        <v>1862</v>
      </c>
      <c r="H513" t="s">
        <v>1965</v>
      </c>
      <c r="I513" t="s">
        <v>1903</v>
      </c>
      <c r="J513" t="s">
        <v>2192</v>
      </c>
      <c r="L513" t="s">
        <v>1863</v>
      </c>
    </row>
    <row r="514" spans="1:12" x14ac:dyDescent="0.2">
      <c r="A514" t="s">
        <v>1767</v>
      </c>
      <c r="B514" t="s">
        <v>1768</v>
      </c>
      <c r="C514" t="s">
        <v>1861</v>
      </c>
      <c r="D514">
        <v>4</v>
      </c>
      <c r="E514">
        <v>6.88</v>
      </c>
      <c r="F514">
        <v>6.88</v>
      </c>
      <c r="G514" t="s">
        <v>1862</v>
      </c>
      <c r="H514" t="s">
        <v>2043</v>
      </c>
      <c r="I514" t="s">
        <v>1903</v>
      </c>
      <c r="J514" t="s">
        <v>2044</v>
      </c>
      <c r="L514" t="s">
        <v>1863</v>
      </c>
    </row>
    <row r="515" spans="1:12" x14ac:dyDescent="0.2">
      <c r="A515" t="s">
        <v>1767</v>
      </c>
      <c r="B515" t="s">
        <v>1768</v>
      </c>
      <c r="C515" t="s">
        <v>1861</v>
      </c>
      <c r="D515">
        <v>4</v>
      </c>
      <c r="E515">
        <v>4871</v>
      </c>
      <c r="F515">
        <v>4871</v>
      </c>
      <c r="G515" t="s">
        <v>1862</v>
      </c>
      <c r="H515" t="s">
        <v>2050</v>
      </c>
      <c r="I515" t="s">
        <v>1903</v>
      </c>
      <c r="J515" t="s">
        <v>2324</v>
      </c>
      <c r="L515" t="s">
        <v>1863</v>
      </c>
    </row>
    <row r="516" spans="1:12" x14ac:dyDescent="0.2">
      <c r="A516" t="s">
        <v>1767</v>
      </c>
      <c r="B516" t="s">
        <v>1768</v>
      </c>
      <c r="C516" t="s">
        <v>1861</v>
      </c>
      <c r="D516">
        <v>4</v>
      </c>
      <c r="E516">
        <v>42.8</v>
      </c>
      <c r="F516">
        <v>42.8</v>
      </c>
      <c r="G516" t="s">
        <v>1862</v>
      </c>
      <c r="H516" t="s">
        <v>1965</v>
      </c>
      <c r="I516" t="s">
        <v>1903</v>
      </c>
      <c r="J516" t="s">
        <v>1992</v>
      </c>
      <c r="L516" t="s">
        <v>1863</v>
      </c>
    </row>
    <row r="517" spans="1:12" x14ac:dyDescent="0.2">
      <c r="A517" t="s">
        <v>1767</v>
      </c>
      <c r="B517" t="s">
        <v>1768</v>
      </c>
      <c r="C517" t="s">
        <v>1861</v>
      </c>
      <c r="D517">
        <v>4</v>
      </c>
      <c r="E517">
        <v>42.8</v>
      </c>
      <c r="F517">
        <v>42.8</v>
      </c>
      <c r="G517" t="s">
        <v>1862</v>
      </c>
      <c r="H517" t="s">
        <v>1965</v>
      </c>
      <c r="I517" t="s">
        <v>1903</v>
      </c>
      <c r="J517" t="s">
        <v>1992</v>
      </c>
      <c r="L517" t="s">
        <v>1863</v>
      </c>
    </row>
    <row r="518" spans="1:12" x14ac:dyDescent="0.2">
      <c r="A518" t="s">
        <v>1767</v>
      </c>
      <c r="B518" t="s">
        <v>1768</v>
      </c>
      <c r="C518" t="s">
        <v>1861</v>
      </c>
      <c r="D518">
        <v>4</v>
      </c>
      <c r="E518">
        <v>-42.8</v>
      </c>
      <c r="F518">
        <v>-42.8</v>
      </c>
      <c r="G518" t="s">
        <v>1862</v>
      </c>
      <c r="H518" t="s">
        <v>1993</v>
      </c>
      <c r="I518" t="s">
        <v>1903</v>
      </c>
      <c r="J518" t="s">
        <v>1994</v>
      </c>
      <c r="L518" t="s">
        <v>1863</v>
      </c>
    </row>
    <row r="519" spans="1:12" x14ac:dyDescent="0.2">
      <c r="A519" t="s">
        <v>1767</v>
      </c>
      <c r="B519" t="s">
        <v>1768</v>
      </c>
      <c r="C519" t="s">
        <v>1861</v>
      </c>
      <c r="D519">
        <v>4</v>
      </c>
      <c r="E519">
        <v>42.8</v>
      </c>
      <c r="F519">
        <v>42.8</v>
      </c>
      <c r="G519" t="s">
        <v>1862</v>
      </c>
      <c r="H519" t="s">
        <v>1965</v>
      </c>
      <c r="I519" t="s">
        <v>1903</v>
      </c>
      <c r="J519" t="s">
        <v>1992</v>
      </c>
      <c r="L519" t="s">
        <v>1863</v>
      </c>
    </row>
    <row r="520" spans="1:12" x14ac:dyDescent="0.2">
      <c r="A520" t="s">
        <v>1767</v>
      </c>
      <c r="B520" t="s">
        <v>1768</v>
      </c>
      <c r="C520" t="s">
        <v>1861</v>
      </c>
      <c r="D520">
        <v>4</v>
      </c>
      <c r="E520">
        <v>43.32</v>
      </c>
      <c r="F520">
        <v>43.32</v>
      </c>
      <c r="G520" t="s">
        <v>1862</v>
      </c>
      <c r="H520" t="s">
        <v>1977</v>
      </c>
      <c r="I520" t="s">
        <v>1903</v>
      </c>
      <c r="J520" t="s">
        <v>1978</v>
      </c>
      <c r="L520" t="s">
        <v>1863</v>
      </c>
    </row>
    <row r="521" spans="1:12" x14ac:dyDescent="0.2">
      <c r="A521" t="s">
        <v>1767</v>
      </c>
      <c r="B521" t="s">
        <v>1768</v>
      </c>
      <c r="C521" t="s">
        <v>1861</v>
      </c>
      <c r="D521">
        <v>4</v>
      </c>
      <c r="E521">
        <v>43.32</v>
      </c>
      <c r="F521">
        <v>43.32</v>
      </c>
      <c r="G521" t="s">
        <v>1862</v>
      </c>
      <c r="H521" t="s">
        <v>1977</v>
      </c>
      <c r="I521" t="s">
        <v>1903</v>
      </c>
      <c r="J521" t="s">
        <v>1978</v>
      </c>
      <c r="L521" t="s">
        <v>1863</v>
      </c>
    </row>
    <row r="522" spans="1:12" x14ac:dyDescent="0.2">
      <c r="A522" t="s">
        <v>1767</v>
      </c>
      <c r="B522" t="s">
        <v>1768</v>
      </c>
      <c r="C522" t="s">
        <v>1861</v>
      </c>
      <c r="D522">
        <v>4</v>
      </c>
      <c r="E522">
        <v>892.38</v>
      </c>
      <c r="F522">
        <v>892.38</v>
      </c>
      <c r="G522" t="s">
        <v>1862</v>
      </c>
      <c r="H522" t="s">
        <v>1995</v>
      </c>
      <c r="I522" t="s">
        <v>1903</v>
      </c>
      <c r="J522" t="s">
        <v>1996</v>
      </c>
      <c r="L522" t="s">
        <v>1863</v>
      </c>
    </row>
    <row r="523" spans="1:12" x14ac:dyDescent="0.2">
      <c r="A523" t="s">
        <v>1767</v>
      </c>
      <c r="B523" t="s">
        <v>1768</v>
      </c>
      <c r="C523" t="s">
        <v>1861</v>
      </c>
      <c r="D523">
        <v>4</v>
      </c>
      <c r="E523">
        <v>85.6</v>
      </c>
      <c r="F523">
        <v>85.6</v>
      </c>
      <c r="G523" t="s">
        <v>1862</v>
      </c>
      <c r="H523" t="s">
        <v>1990</v>
      </c>
      <c r="I523" t="s">
        <v>1903</v>
      </c>
      <c r="J523" t="s">
        <v>1991</v>
      </c>
      <c r="L523" t="s">
        <v>1863</v>
      </c>
    </row>
    <row r="524" spans="1:12" x14ac:dyDescent="0.2">
      <c r="A524" t="s">
        <v>1767</v>
      </c>
      <c r="B524" t="s">
        <v>1768</v>
      </c>
      <c r="C524" t="s">
        <v>1861</v>
      </c>
      <c r="D524">
        <v>4</v>
      </c>
      <c r="E524">
        <v>-297.45999999999998</v>
      </c>
      <c r="F524">
        <v>-297.45999999999998</v>
      </c>
      <c r="G524" t="s">
        <v>1862</v>
      </c>
      <c r="H524" t="s">
        <v>1999</v>
      </c>
      <c r="I524" t="s">
        <v>1903</v>
      </c>
      <c r="J524" t="s">
        <v>2000</v>
      </c>
      <c r="L524" t="s">
        <v>1863</v>
      </c>
    </row>
    <row r="525" spans="1:12" x14ac:dyDescent="0.2">
      <c r="A525" t="s">
        <v>1767</v>
      </c>
      <c r="B525" t="s">
        <v>1768</v>
      </c>
      <c r="C525" t="s">
        <v>1861</v>
      </c>
      <c r="D525">
        <v>4</v>
      </c>
      <c r="E525">
        <v>297.45999999999998</v>
      </c>
      <c r="F525">
        <v>297.45999999999998</v>
      </c>
      <c r="G525" t="s">
        <v>1862</v>
      </c>
      <c r="H525" t="s">
        <v>1997</v>
      </c>
      <c r="I525" t="s">
        <v>1903</v>
      </c>
      <c r="J525" t="s">
        <v>1998</v>
      </c>
      <c r="L525" t="s">
        <v>1863</v>
      </c>
    </row>
    <row r="526" spans="1:12" x14ac:dyDescent="0.2">
      <c r="A526" t="s">
        <v>1767</v>
      </c>
      <c r="B526" t="s">
        <v>1768</v>
      </c>
      <c r="C526" t="s">
        <v>1861</v>
      </c>
      <c r="D526">
        <v>4</v>
      </c>
      <c r="E526">
        <v>26.75</v>
      </c>
      <c r="F526">
        <v>26.75</v>
      </c>
      <c r="G526" t="s">
        <v>1862</v>
      </c>
      <c r="H526" t="s">
        <v>2120</v>
      </c>
      <c r="I526" t="s">
        <v>1903</v>
      </c>
      <c r="J526" t="s">
        <v>2227</v>
      </c>
      <c r="L526" t="s">
        <v>1863</v>
      </c>
    </row>
    <row r="527" spans="1:12" x14ac:dyDescent="0.2">
      <c r="A527" t="s">
        <v>1767</v>
      </c>
      <c r="B527" t="s">
        <v>1768</v>
      </c>
      <c r="C527" t="s">
        <v>1861</v>
      </c>
      <c r="D527">
        <v>4</v>
      </c>
      <c r="E527">
        <v>148.44</v>
      </c>
      <c r="F527">
        <v>148.44</v>
      </c>
      <c r="G527" t="s">
        <v>1862</v>
      </c>
      <c r="H527" t="s">
        <v>1971</v>
      </c>
      <c r="I527" t="s">
        <v>1903</v>
      </c>
      <c r="J527" t="s">
        <v>1972</v>
      </c>
      <c r="L527" t="s">
        <v>1863</v>
      </c>
    </row>
    <row r="528" spans="1:12" x14ac:dyDescent="0.2">
      <c r="A528" t="s">
        <v>1767</v>
      </c>
      <c r="B528" t="s">
        <v>1768</v>
      </c>
      <c r="C528" t="s">
        <v>1861</v>
      </c>
      <c r="D528">
        <v>4</v>
      </c>
      <c r="E528">
        <v>144.19999999999999</v>
      </c>
      <c r="F528">
        <v>144.19999999999999</v>
      </c>
      <c r="G528" t="s">
        <v>1862</v>
      </c>
      <c r="H528" t="s">
        <v>2325</v>
      </c>
      <c r="I528" t="s">
        <v>1903</v>
      </c>
      <c r="J528" t="s">
        <v>2326</v>
      </c>
      <c r="L528" t="s">
        <v>1863</v>
      </c>
    </row>
    <row r="529" spans="1:12" x14ac:dyDescent="0.2">
      <c r="A529" t="s">
        <v>1767</v>
      </c>
      <c r="B529" t="s">
        <v>1768</v>
      </c>
      <c r="C529" t="s">
        <v>1861</v>
      </c>
      <c r="D529">
        <v>4</v>
      </c>
      <c r="E529">
        <v>278.39999999999998</v>
      </c>
      <c r="F529">
        <v>278.39999999999998</v>
      </c>
      <c r="G529" t="s">
        <v>1862</v>
      </c>
      <c r="H529" t="s">
        <v>2327</v>
      </c>
      <c r="I529" t="s">
        <v>1903</v>
      </c>
      <c r="J529" t="s">
        <v>2328</v>
      </c>
      <c r="L529" t="s">
        <v>1863</v>
      </c>
    </row>
    <row r="530" spans="1:12" x14ac:dyDescent="0.2">
      <c r="A530" t="s">
        <v>1767</v>
      </c>
      <c r="B530" t="s">
        <v>1768</v>
      </c>
      <c r="C530" t="s">
        <v>1861</v>
      </c>
      <c r="D530">
        <v>4</v>
      </c>
      <c r="E530">
        <v>14786</v>
      </c>
      <c r="F530">
        <v>14786</v>
      </c>
      <c r="G530" t="s">
        <v>1862</v>
      </c>
      <c r="H530" t="s">
        <v>2329</v>
      </c>
      <c r="I530" t="s">
        <v>1903</v>
      </c>
      <c r="J530" t="s">
        <v>2330</v>
      </c>
      <c r="L530" t="s">
        <v>1863</v>
      </c>
    </row>
    <row r="531" spans="1:12" x14ac:dyDescent="0.2">
      <c r="A531" t="s">
        <v>1767</v>
      </c>
      <c r="B531" t="s">
        <v>1768</v>
      </c>
      <c r="C531" t="s">
        <v>1861</v>
      </c>
      <c r="D531">
        <v>4</v>
      </c>
      <c r="E531">
        <v>6.54</v>
      </c>
      <c r="F531">
        <v>6.54</v>
      </c>
      <c r="G531" t="s">
        <v>1862</v>
      </c>
      <c r="H531" t="s">
        <v>2223</v>
      </c>
      <c r="I531" t="s">
        <v>1903</v>
      </c>
      <c r="J531" t="s">
        <v>2224</v>
      </c>
      <c r="L531" t="s">
        <v>1863</v>
      </c>
    </row>
    <row r="532" spans="1:12" x14ac:dyDescent="0.2">
      <c r="A532" t="s">
        <v>1767</v>
      </c>
      <c r="B532" t="s">
        <v>1768</v>
      </c>
      <c r="C532" t="s">
        <v>1861</v>
      </c>
      <c r="D532">
        <v>4</v>
      </c>
      <c r="E532">
        <v>297.45999999999998</v>
      </c>
      <c r="F532">
        <v>297.45999999999998</v>
      </c>
      <c r="G532" t="s">
        <v>1862</v>
      </c>
      <c r="H532" t="s">
        <v>1997</v>
      </c>
      <c r="I532" t="s">
        <v>1903</v>
      </c>
      <c r="J532" t="s">
        <v>1998</v>
      </c>
      <c r="L532" t="s">
        <v>1863</v>
      </c>
    </row>
    <row r="533" spans="1:12" x14ac:dyDescent="0.2">
      <c r="A533" t="s">
        <v>1767</v>
      </c>
      <c r="B533" t="s">
        <v>1768</v>
      </c>
      <c r="C533" t="s">
        <v>1861</v>
      </c>
      <c r="D533">
        <v>4</v>
      </c>
      <c r="E533">
        <v>52.82</v>
      </c>
      <c r="F533">
        <v>52.82</v>
      </c>
      <c r="G533" t="s">
        <v>1862</v>
      </c>
      <c r="H533" t="s">
        <v>2168</v>
      </c>
      <c r="I533" t="s">
        <v>1903</v>
      </c>
      <c r="J533" t="s">
        <v>2169</v>
      </c>
      <c r="L533" t="s">
        <v>1863</v>
      </c>
    </row>
    <row r="534" spans="1:12" x14ac:dyDescent="0.2">
      <c r="A534" t="s">
        <v>1767</v>
      </c>
      <c r="B534" t="s">
        <v>1768</v>
      </c>
      <c r="C534" t="s">
        <v>2331</v>
      </c>
      <c r="D534">
        <v>1</v>
      </c>
      <c r="E534">
        <v>0</v>
      </c>
      <c r="F534">
        <v>0</v>
      </c>
      <c r="G534" t="s">
        <v>2332</v>
      </c>
      <c r="L534" t="s">
        <v>2333</v>
      </c>
    </row>
    <row r="535" spans="1:12" x14ac:dyDescent="0.2">
      <c r="A535" t="s">
        <v>1767</v>
      </c>
      <c r="B535" t="s">
        <v>1768</v>
      </c>
      <c r="C535" t="s">
        <v>2331</v>
      </c>
      <c r="D535">
        <v>3</v>
      </c>
      <c r="E535">
        <v>48</v>
      </c>
      <c r="F535">
        <v>48</v>
      </c>
      <c r="G535" t="s">
        <v>2332</v>
      </c>
      <c r="H535" t="s">
        <v>2334</v>
      </c>
      <c r="I535" t="s">
        <v>2335</v>
      </c>
      <c r="L535" t="s">
        <v>2333</v>
      </c>
    </row>
    <row r="536" spans="1:12" x14ac:dyDescent="0.2">
      <c r="A536" t="s">
        <v>1767</v>
      </c>
      <c r="B536" t="s">
        <v>1768</v>
      </c>
      <c r="C536" t="s">
        <v>2331</v>
      </c>
      <c r="D536">
        <v>3</v>
      </c>
      <c r="E536">
        <v>247.23</v>
      </c>
      <c r="F536">
        <v>247.23</v>
      </c>
      <c r="G536" t="s">
        <v>2332</v>
      </c>
      <c r="H536" t="s">
        <v>2336</v>
      </c>
      <c r="I536" t="s">
        <v>2337</v>
      </c>
      <c r="L536" t="s">
        <v>2333</v>
      </c>
    </row>
    <row r="537" spans="1:12" x14ac:dyDescent="0.2">
      <c r="A537" t="s">
        <v>1767</v>
      </c>
      <c r="B537" t="s">
        <v>1768</v>
      </c>
      <c r="C537" t="s">
        <v>2331</v>
      </c>
      <c r="D537">
        <v>3</v>
      </c>
      <c r="E537">
        <v>5.44</v>
      </c>
      <c r="F537">
        <v>5.44</v>
      </c>
      <c r="G537" t="s">
        <v>2332</v>
      </c>
      <c r="H537" t="s">
        <v>2338</v>
      </c>
      <c r="I537" t="s">
        <v>2339</v>
      </c>
      <c r="L537" t="s">
        <v>2333</v>
      </c>
    </row>
    <row r="538" spans="1:12" x14ac:dyDescent="0.2">
      <c r="A538" t="s">
        <v>1767</v>
      </c>
      <c r="B538" t="s">
        <v>1768</v>
      </c>
      <c r="C538" t="s">
        <v>2331</v>
      </c>
      <c r="D538">
        <v>3</v>
      </c>
      <c r="E538">
        <v>0</v>
      </c>
      <c r="F538">
        <v>0</v>
      </c>
      <c r="G538" t="s">
        <v>2332</v>
      </c>
      <c r="H538" t="s">
        <v>2340</v>
      </c>
      <c r="I538" t="s">
        <v>2341</v>
      </c>
      <c r="L538" t="s">
        <v>2333</v>
      </c>
    </row>
    <row r="539" spans="1:12" x14ac:dyDescent="0.2">
      <c r="A539" t="s">
        <v>1767</v>
      </c>
      <c r="B539" t="s">
        <v>1768</v>
      </c>
      <c r="C539" t="s">
        <v>2331</v>
      </c>
      <c r="D539">
        <v>3</v>
      </c>
      <c r="E539">
        <v>0.95</v>
      </c>
      <c r="F539">
        <v>0.95</v>
      </c>
      <c r="G539" t="s">
        <v>2332</v>
      </c>
      <c r="H539" t="s">
        <v>2342</v>
      </c>
      <c r="I539" t="s">
        <v>2343</v>
      </c>
      <c r="L539" t="s">
        <v>2333</v>
      </c>
    </row>
    <row r="540" spans="1:12" x14ac:dyDescent="0.2">
      <c r="A540" t="s">
        <v>1767</v>
      </c>
      <c r="B540" t="s">
        <v>1768</v>
      </c>
      <c r="C540" t="s">
        <v>2331</v>
      </c>
      <c r="D540">
        <v>3</v>
      </c>
      <c r="E540">
        <v>2.4</v>
      </c>
      <c r="F540">
        <v>2.4</v>
      </c>
      <c r="G540" t="s">
        <v>2332</v>
      </c>
      <c r="H540" t="s">
        <v>2344</v>
      </c>
      <c r="I540" t="s">
        <v>2345</v>
      </c>
      <c r="L540" t="s">
        <v>2333</v>
      </c>
    </row>
    <row r="541" spans="1:12" x14ac:dyDescent="0.2">
      <c r="A541" t="s">
        <v>1767</v>
      </c>
      <c r="B541" t="s">
        <v>1768</v>
      </c>
      <c r="C541" t="s">
        <v>2331</v>
      </c>
      <c r="D541">
        <v>3</v>
      </c>
      <c r="E541">
        <v>163.75</v>
      </c>
      <c r="F541">
        <v>163.75</v>
      </c>
      <c r="G541" t="s">
        <v>2332</v>
      </c>
      <c r="H541" t="s">
        <v>2346</v>
      </c>
      <c r="I541" t="s">
        <v>2347</v>
      </c>
      <c r="L541" t="s">
        <v>2333</v>
      </c>
    </row>
    <row r="542" spans="1:12" x14ac:dyDescent="0.2">
      <c r="A542" t="s">
        <v>1767</v>
      </c>
      <c r="B542" t="s">
        <v>1768</v>
      </c>
      <c r="C542" t="s">
        <v>2331</v>
      </c>
      <c r="D542">
        <v>3</v>
      </c>
      <c r="E542">
        <v>162.4</v>
      </c>
      <c r="F542">
        <v>162.4</v>
      </c>
      <c r="G542" t="s">
        <v>2332</v>
      </c>
      <c r="H542" t="s">
        <v>2348</v>
      </c>
      <c r="I542" t="s">
        <v>2349</v>
      </c>
      <c r="L542" t="s">
        <v>2333</v>
      </c>
    </row>
    <row r="543" spans="1:12" x14ac:dyDescent="0.2">
      <c r="A543" t="s">
        <v>1767</v>
      </c>
      <c r="B543" t="s">
        <v>1768</v>
      </c>
      <c r="C543" t="s">
        <v>2331</v>
      </c>
      <c r="D543">
        <v>3</v>
      </c>
      <c r="E543">
        <v>0.11</v>
      </c>
      <c r="F543">
        <v>0.11</v>
      </c>
      <c r="G543" t="s">
        <v>2332</v>
      </c>
      <c r="H543" t="s">
        <v>2350</v>
      </c>
      <c r="I543" t="s">
        <v>2351</v>
      </c>
      <c r="L543" t="s">
        <v>2333</v>
      </c>
    </row>
    <row r="544" spans="1:12" x14ac:dyDescent="0.2">
      <c r="A544" t="s">
        <v>1767</v>
      </c>
      <c r="B544" t="s">
        <v>1768</v>
      </c>
      <c r="C544" t="s">
        <v>2331</v>
      </c>
      <c r="D544">
        <v>3</v>
      </c>
      <c r="E544">
        <v>243.6</v>
      </c>
      <c r="F544">
        <v>243.6</v>
      </c>
      <c r="G544" t="s">
        <v>2332</v>
      </c>
      <c r="H544" t="s">
        <v>2352</v>
      </c>
      <c r="I544" t="s">
        <v>2353</v>
      </c>
      <c r="L544" t="s">
        <v>2333</v>
      </c>
    </row>
    <row r="545" spans="1:12" x14ac:dyDescent="0.2">
      <c r="A545" t="s">
        <v>1767</v>
      </c>
      <c r="B545" t="s">
        <v>1768</v>
      </c>
      <c r="C545" t="s">
        <v>2331</v>
      </c>
      <c r="D545">
        <v>3</v>
      </c>
      <c r="E545">
        <v>22.5</v>
      </c>
      <c r="F545">
        <v>22.5</v>
      </c>
      <c r="G545" t="s">
        <v>2332</v>
      </c>
      <c r="H545" t="s">
        <v>2354</v>
      </c>
      <c r="I545" t="s">
        <v>2355</v>
      </c>
      <c r="L545" t="s">
        <v>2333</v>
      </c>
    </row>
    <row r="546" spans="1:12" x14ac:dyDescent="0.2">
      <c r="A546" t="s">
        <v>1767</v>
      </c>
      <c r="B546" t="s">
        <v>1768</v>
      </c>
      <c r="C546" t="s">
        <v>2331</v>
      </c>
      <c r="D546">
        <v>3</v>
      </c>
      <c r="E546">
        <v>60</v>
      </c>
      <c r="F546">
        <v>60</v>
      </c>
      <c r="G546" t="s">
        <v>2332</v>
      </c>
      <c r="H546" t="s">
        <v>2356</v>
      </c>
      <c r="I546" t="s">
        <v>2357</v>
      </c>
      <c r="L546" t="s">
        <v>2333</v>
      </c>
    </row>
    <row r="547" spans="1:12" x14ac:dyDescent="0.2">
      <c r="A547" t="s">
        <v>1767</v>
      </c>
      <c r="B547" t="s">
        <v>1768</v>
      </c>
      <c r="C547" t="s">
        <v>2331</v>
      </c>
      <c r="D547">
        <v>3</v>
      </c>
      <c r="E547">
        <v>1520</v>
      </c>
      <c r="F547">
        <v>1520</v>
      </c>
      <c r="G547" t="s">
        <v>2332</v>
      </c>
      <c r="H547" t="s">
        <v>2358</v>
      </c>
      <c r="I547" t="s">
        <v>2359</v>
      </c>
      <c r="L547" t="s">
        <v>2333</v>
      </c>
    </row>
    <row r="548" spans="1:12" x14ac:dyDescent="0.2">
      <c r="A548" t="s">
        <v>1767</v>
      </c>
      <c r="B548" t="s">
        <v>1768</v>
      </c>
      <c r="C548" t="s">
        <v>2331</v>
      </c>
      <c r="D548">
        <v>3</v>
      </c>
      <c r="E548">
        <v>1</v>
      </c>
      <c r="F548">
        <v>1</v>
      </c>
      <c r="G548" t="s">
        <v>2332</v>
      </c>
      <c r="H548" t="s">
        <v>2360</v>
      </c>
      <c r="I548" t="s">
        <v>2361</v>
      </c>
      <c r="L548" t="s">
        <v>2333</v>
      </c>
    </row>
    <row r="549" spans="1:12" x14ac:dyDescent="0.2">
      <c r="A549" t="s">
        <v>1767</v>
      </c>
      <c r="B549" t="s">
        <v>1768</v>
      </c>
      <c r="C549" t="s">
        <v>2331</v>
      </c>
      <c r="D549">
        <v>3</v>
      </c>
      <c r="E549">
        <v>2.58</v>
      </c>
      <c r="F549">
        <v>2.58</v>
      </c>
      <c r="G549" t="s">
        <v>2332</v>
      </c>
      <c r="H549" t="s">
        <v>2362</v>
      </c>
      <c r="I549" t="s">
        <v>2363</v>
      </c>
      <c r="L549" t="s">
        <v>2333</v>
      </c>
    </row>
    <row r="550" spans="1:12" x14ac:dyDescent="0.2">
      <c r="A550" t="s">
        <v>1767</v>
      </c>
      <c r="B550" t="s">
        <v>1768</v>
      </c>
      <c r="C550" t="s">
        <v>2331</v>
      </c>
      <c r="D550">
        <v>3</v>
      </c>
      <c r="E550">
        <v>0</v>
      </c>
      <c r="F550">
        <v>0</v>
      </c>
      <c r="G550" t="s">
        <v>2332</v>
      </c>
      <c r="H550" t="s">
        <v>2340</v>
      </c>
      <c r="I550" t="s">
        <v>2364</v>
      </c>
      <c r="L550" t="s">
        <v>2333</v>
      </c>
    </row>
    <row r="551" spans="1:12" x14ac:dyDescent="0.2">
      <c r="A551" t="s">
        <v>1767</v>
      </c>
      <c r="B551" t="s">
        <v>1768</v>
      </c>
      <c r="C551" t="s">
        <v>2331</v>
      </c>
      <c r="D551">
        <v>3</v>
      </c>
      <c r="E551">
        <v>0</v>
      </c>
      <c r="F551">
        <v>0</v>
      </c>
      <c r="G551" t="s">
        <v>2332</v>
      </c>
      <c r="H551" t="s">
        <v>2340</v>
      </c>
      <c r="I551" t="s">
        <v>2365</v>
      </c>
      <c r="L551" t="s">
        <v>2333</v>
      </c>
    </row>
    <row r="552" spans="1:12" x14ac:dyDescent="0.2">
      <c r="A552" t="s">
        <v>1767</v>
      </c>
      <c r="B552" t="s">
        <v>1768</v>
      </c>
      <c r="C552" t="s">
        <v>2331</v>
      </c>
      <c r="D552">
        <v>3</v>
      </c>
      <c r="E552">
        <v>20.98</v>
      </c>
      <c r="F552">
        <v>20.98</v>
      </c>
      <c r="G552" t="s">
        <v>2332</v>
      </c>
      <c r="H552" t="s">
        <v>2366</v>
      </c>
      <c r="I552" t="s">
        <v>2367</v>
      </c>
      <c r="L552" t="s">
        <v>2333</v>
      </c>
    </row>
    <row r="553" spans="1:12" x14ac:dyDescent="0.2">
      <c r="A553" t="s">
        <v>1767</v>
      </c>
      <c r="B553" t="s">
        <v>1768</v>
      </c>
      <c r="C553" t="s">
        <v>2331</v>
      </c>
      <c r="D553">
        <v>3</v>
      </c>
      <c r="E553">
        <v>8.2200000000000006</v>
      </c>
      <c r="F553">
        <v>8.2200000000000006</v>
      </c>
      <c r="G553" t="s">
        <v>2332</v>
      </c>
      <c r="H553" t="s">
        <v>2368</v>
      </c>
      <c r="I553" t="s">
        <v>2369</v>
      </c>
      <c r="L553" t="s">
        <v>2333</v>
      </c>
    </row>
    <row r="554" spans="1:12" x14ac:dyDescent="0.2">
      <c r="A554" t="s">
        <v>1767</v>
      </c>
      <c r="B554" t="s">
        <v>1768</v>
      </c>
      <c r="C554" t="s">
        <v>2331</v>
      </c>
      <c r="D554">
        <v>3</v>
      </c>
      <c r="E554">
        <v>3.78</v>
      </c>
      <c r="F554">
        <v>3.78</v>
      </c>
      <c r="G554" t="s">
        <v>2332</v>
      </c>
      <c r="H554" t="s">
        <v>2370</v>
      </c>
      <c r="I554" t="s">
        <v>2371</v>
      </c>
      <c r="L554" t="s">
        <v>2333</v>
      </c>
    </row>
    <row r="555" spans="1:12" x14ac:dyDescent="0.2">
      <c r="A555" t="s">
        <v>1767</v>
      </c>
      <c r="B555" t="s">
        <v>1768</v>
      </c>
      <c r="C555" t="s">
        <v>2331</v>
      </c>
      <c r="D555">
        <v>3</v>
      </c>
      <c r="E555">
        <v>0</v>
      </c>
      <c r="F555">
        <v>0</v>
      </c>
      <c r="G555" t="s">
        <v>2332</v>
      </c>
      <c r="H555" t="s">
        <v>2340</v>
      </c>
      <c r="I555" t="s">
        <v>2372</v>
      </c>
      <c r="L555" t="s">
        <v>2333</v>
      </c>
    </row>
    <row r="556" spans="1:12" x14ac:dyDescent="0.2">
      <c r="A556" t="s">
        <v>1767</v>
      </c>
      <c r="B556" t="s">
        <v>1768</v>
      </c>
      <c r="C556" t="s">
        <v>2331</v>
      </c>
      <c r="D556">
        <v>3</v>
      </c>
      <c r="E556">
        <v>159.47999999999999</v>
      </c>
      <c r="F556">
        <v>159.47999999999999</v>
      </c>
      <c r="G556" t="s">
        <v>2332</v>
      </c>
      <c r="H556" t="s">
        <v>2373</v>
      </c>
      <c r="I556" t="s">
        <v>2374</v>
      </c>
      <c r="L556" t="s">
        <v>2333</v>
      </c>
    </row>
    <row r="557" spans="1:12" x14ac:dyDescent="0.2">
      <c r="A557" t="s">
        <v>1767</v>
      </c>
      <c r="B557" t="s">
        <v>1768</v>
      </c>
      <c r="C557" t="s">
        <v>2331</v>
      </c>
      <c r="D557">
        <v>3</v>
      </c>
      <c r="E557">
        <v>55.8</v>
      </c>
      <c r="F557">
        <v>55.8</v>
      </c>
      <c r="G557" t="s">
        <v>2332</v>
      </c>
      <c r="H557" t="s">
        <v>2375</v>
      </c>
      <c r="I557" t="s">
        <v>2376</v>
      </c>
      <c r="L557" t="s">
        <v>2333</v>
      </c>
    </row>
    <row r="558" spans="1:12" x14ac:dyDescent="0.2">
      <c r="A558" t="s">
        <v>1767</v>
      </c>
      <c r="B558" t="s">
        <v>1768</v>
      </c>
      <c r="C558" t="s">
        <v>2331</v>
      </c>
      <c r="D558">
        <v>3</v>
      </c>
      <c r="E558">
        <v>6</v>
      </c>
      <c r="F558">
        <v>6</v>
      </c>
      <c r="G558" t="s">
        <v>2332</v>
      </c>
      <c r="H558" t="s">
        <v>2377</v>
      </c>
      <c r="I558" t="s">
        <v>2378</v>
      </c>
      <c r="L558" t="s">
        <v>2333</v>
      </c>
    </row>
    <row r="559" spans="1:12" x14ac:dyDescent="0.2">
      <c r="A559" t="s">
        <v>1767</v>
      </c>
      <c r="B559" t="s">
        <v>1768</v>
      </c>
      <c r="C559" t="s">
        <v>2331</v>
      </c>
      <c r="D559">
        <v>3</v>
      </c>
      <c r="E559">
        <v>9.3000000000000007</v>
      </c>
      <c r="F559">
        <v>9.3000000000000007</v>
      </c>
      <c r="G559" t="s">
        <v>2332</v>
      </c>
      <c r="H559" t="s">
        <v>2379</v>
      </c>
      <c r="I559" t="s">
        <v>2380</v>
      </c>
      <c r="L559" t="s">
        <v>2333</v>
      </c>
    </row>
    <row r="560" spans="1:12" x14ac:dyDescent="0.2">
      <c r="A560" t="s">
        <v>1767</v>
      </c>
      <c r="B560" t="s">
        <v>1768</v>
      </c>
      <c r="C560" t="s">
        <v>2331</v>
      </c>
      <c r="D560">
        <v>3</v>
      </c>
      <c r="E560">
        <v>14.14</v>
      </c>
      <c r="F560">
        <v>14.14</v>
      </c>
      <c r="G560" t="s">
        <v>2332</v>
      </c>
      <c r="H560" t="s">
        <v>2381</v>
      </c>
      <c r="I560" t="s">
        <v>2382</v>
      </c>
      <c r="L560" t="s">
        <v>2333</v>
      </c>
    </row>
    <row r="561" spans="1:12" x14ac:dyDescent="0.2">
      <c r="A561" t="s">
        <v>1767</v>
      </c>
      <c r="B561" t="s">
        <v>1768</v>
      </c>
      <c r="C561" t="s">
        <v>2331</v>
      </c>
      <c r="D561">
        <v>3</v>
      </c>
      <c r="E561">
        <v>0</v>
      </c>
      <c r="F561">
        <v>0</v>
      </c>
      <c r="G561" t="s">
        <v>2332</v>
      </c>
      <c r="H561" t="s">
        <v>2340</v>
      </c>
      <c r="I561" t="s">
        <v>2383</v>
      </c>
      <c r="L561" t="s">
        <v>2333</v>
      </c>
    </row>
    <row r="562" spans="1:12" x14ac:dyDescent="0.2">
      <c r="A562" t="s">
        <v>1767</v>
      </c>
      <c r="B562" t="s">
        <v>1768</v>
      </c>
      <c r="C562" t="s">
        <v>2331</v>
      </c>
      <c r="D562">
        <v>3</v>
      </c>
      <c r="E562">
        <v>81</v>
      </c>
      <c r="F562">
        <v>81</v>
      </c>
      <c r="G562" t="s">
        <v>2332</v>
      </c>
      <c r="H562" t="s">
        <v>2384</v>
      </c>
      <c r="I562" t="s">
        <v>2385</v>
      </c>
      <c r="L562" t="s">
        <v>2333</v>
      </c>
    </row>
    <row r="563" spans="1:12" x14ac:dyDescent="0.2">
      <c r="A563" t="s">
        <v>1767</v>
      </c>
      <c r="B563" t="s">
        <v>1768</v>
      </c>
      <c r="C563" t="s">
        <v>2331</v>
      </c>
      <c r="D563">
        <v>3</v>
      </c>
      <c r="E563">
        <v>33.6</v>
      </c>
      <c r="F563">
        <v>33.6</v>
      </c>
      <c r="G563" t="s">
        <v>2332</v>
      </c>
      <c r="H563" t="s">
        <v>2386</v>
      </c>
      <c r="I563" t="s">
        <v>2387</v>
      </c>
      <c r="L563" t="s">
        <v>2333</v>
      </c>
    </row>
    <row r="564" spans="1:12" x14ac:dyDescent="0.2">
      <c r="A564" t="s">
        <v>1767</v>
      </c>
      <c r="B564" t="s">
        <v>1768</v>
      </c>
      <c r="C564" t="s">
        <v>2331</v>
      </c>
      <c r="D564">
        <v>3</v>
      </c>
      <c r="E564">
        <v>14.3</v>
      </c>
      <c r="F564">
        <v>14.3</v>
      </c>
      <c r="G564" t="s">
        <v>2332</v>
      </c>
      <c r="H564" t="s">
        <v>2388</v>
      </c>
      <c r="I564" t="s">
        <v>2389</v>
      </c>
      <c r="L564" t="s">
        <v>2333</v>
      </c>
    </row>
    <row r="565" spans="1:12" x14ac:dyDescent="0.2">
      <c r="A565" t="s">
        <v>1767</v>
      </c>
      <c r="B565" t="s">
        <v>1768</v>
      </c>
      <c r="C565" t="s">
        <v>2331</v>
      </c>
      <c r="D565">
        <v>3</v>
      </c>
      <c r="E565">
        <v>0.74</v>
      </c>
      <c r="F565">
        <v>0.74</v>
      </c>
      <c r="G565" t="s">
        <v>2332</v>
      </c>
      <c r="H565" t="s">
        <v>2390</v>
      </c>
      <c r="I565" t="s">
        <v>2391</v>
      </c>
      <c r="L565" t="s">
        <v>2333</v>
      </c>
    </row>
    <row r="566" spans="1:12" x14ac:dyDescent="0.2">
      <c r="A566" t="s">
        <v>1767</v>
      </c>
      <c r="B566" t="s">
        <v>1768</v>
      </c>
      <c r="C566" t="s">
        <v>2331</v>
      </c>
      <c r="D566">
        <v>3</v>
      </c>
      <c r="E566">
        <v>0.55000000000000004</v>
      </c>
      <c r="F566">
        <v>0.55000000000000004</v>
      </c>
      <c r="G566" t="s">
        <v>2332</v>
      </c>
      <c r="H566" t="s">
        <v>2392</v>
      </c>
      <c r="I566" t="s">
        <v>2393</v>
      </c>
      <c r="L566" t="s">
        <v>2333</v>
      </c>
    </row>
    <row r="567" spans="1:12" x14ac:dyDescent="0.2">
      <c r="A567" t="s">
        <v>1767</v>
      </c>
      <c r="B567" t="s">
        <v>1768</v>
      </c>
      <c r="C567" t="s">
        <v>2331</v>
      </c>
      <c r="D567">
        <v>3</v>
      </c>
      <c r="E567">
        <v>26.9</v>
      </c>
      <c r="F567">
        <v>26.9</v>
      </c>
      <c r="G567" t="s">
        <v>2332</v>
      </c>
      <c r="H567" t="s">
        <v>2394</v>
      </c>
      <c r="I567" t="s">
        <v>2395</v>
      </c>
      <c r="L567" t="s">
        <v>2333</v>
      </c>
    </row>
    <row r="568" spans="1:12" x14ac:dyDescent="0.2">
      <c r="A568" t="s">
        <v>1767</v>
      </c>
      <c r="B568" t="s">
        <v>1768</v>
      </c>
      <c r="C568" t="s">
        <v>2331</v>
      </c>
      <c r="D568">
        <v>3</v>
      </c>
      <c r="E568">
        <v>50</v>
      </c>
      <c r="F568">
        <v>50</v>
      </c>
      <c r="G568" t="s">
        <v>2332</v>
      </c>
      <c r="H568" t="s">
        <v>2396</v>
      </c>
      <c r="I568" t="s">
        <v>2397</v>
      </c>
      <c r="L568" t="s">
        <v>2333</v>
      </c>
    </row>
    <row r="569" spans="1:12" x14ac:dyDescent="0.2">
      <c r="A569" t="s">
        <v>1767</v>
      </c>
      <c r="B569" t="s">
        <v>1768</v>
      </c>
      <c r="C569" t="s">
        <v>2331</v>
      </c>
      <c r="D569">
        <v>3</v>
      </c>
      <c r="E569">
        <v>0.35</v>
      </c>
      <c r="F569">
        <v>0.35</v>
      </c>
      <c r="G569" t="s">
        <v>2332</v>
      </c>
      <c r="H569" t="s">
        <v>2398</v>
      </c>
      <c r="I569" t="s">
        <v>2399</v>
      </c>
      <c r="L569" t="s">
        <v>2333</v>
      </c>
    </row>
    <row r="570" spans="1:12" x14ac:dyDescent="0.2">
      <c r="A570" t="s">
        <v>1767</v>
      </c>
      <c r="B570" t="s">
        <v>1768</v>
      </c>
      <c r="C570" t="s">
        <v>2331</v>
      </c>
      <c r="D570">
        <v>3</v>
      </c>
      <c r="E570">
        <v>0</v>
      </c>
      <c r="F570">
        <v>0</v>
      </c>
      <c r="G570" t="s">
        <v>2332</v>
      </c>
      <c r="H570" t="s">
        <v>2340</v>
      </c>
      <c r="I570" t="s">
        <v>2400</v>
      </c>
      <c r="L570" t="s">
        <v>2333</v>
      </c>
    </row>
    <row r="571" spans="1:12" x14ac:dyDescent="0.2">
      <c r="A571" t="s">
        <v>1767</v>
      </c>
      <c r="B571" t="s">
        <v>1768</v>
      </c>
      <c r="C571" t="s">
        <v>2331</v>
      </c>
      <c r="D571">
        <v>3</v>
      </c>
      <c r="E571">
        <v>17.46</v>
      </c>
      <c r="F571">
        <v>17.46</v>
      </c>
      <c r="G571" t="s">
        <v>2332</v>
      </c>
      <c r="H571" t="s">
        <v>2401</v>
      </c>
      <c r="I571" t="s">
        <v>2402</v>
      </c>
      <c r="L571" t="s">
        <v>2333</v>
      </c>
    </row>
    <row r="572" spans="1:12" x14ac:dyDescent="0.2">
      <c r="A572" t="s">
        <v>1767</v>
      </c>
      <c r="B572" t="s">
        <v>1768</v>
      </c>
      <c r="C572" t="s">
        <v>2331</v>
      </c>
      <c r="D572">
        <v>3</v>
      </c>
      <c r="E572">
        <v>192</v>
      </c>
      <c r="F572">
        <v>192</v>
      </c>
      <c r="G572" t="s">
        <v>2332</v>
      </c>
      <c r="H572" t="s">
        <v>2403</v>
      </c>
      <c r="I572" t="s">
        <v>2404</v>
      </c>
      <c r="L572" t="s">
        <v>2333</v>
      </c>
    </row>
    <row r="573" spans="1:12" x14ac:dyDescent="0.2">
      <c r="A573" t="s">
        <v>1767</v>
      </c>
      <c r="B573" t="s">
        <v>1768</v>
      </c>
      <c r="C573" t="s">
        <v>2331</v>
      </c>
      <c r="D573">
        <v>3</v>
      </c>
      <c r="E573">
        <v>4.8</v>
      </c>
      <c r="F573">
        <v>4.8</v>
      </c>
      <c r="G573" t="s">
        <v>2332</v>
      </c>
      <c r="H573" t="s">
        <v>2405</v>
      </c>
      <c r="I573" t="s">
        <v>2406</v>
      </c>
      <c r="L573" t="s">
        <v>2333</v>
      </c>
    </row>
    <row r="574" spans="1:12" x14ac:dyDescent="0.2">
      <c r="A574" t="s">
        <v>1767</v>
      </c>
      <c r="B574" t="s">
        <v>1768</v>
      </c>
      <c r="C574" t="s">
        <v>2331</v>
      </c>
      <c r="D574">
        <v>3</v>
      </c>
      <c r="E574">
        <v>1.3</v>
      </c>
      <c r="F574">
        <v>1.3</v>
      </c>
      <c r="G574" t="s">
        <v>2332</v>
      </c>
      <c r="H574" t="s">
        <v>2407</v>
      </c>
      <c r="I574" t="s">
        <v>2408</v>
      </c>
      <c r="L574" t="s">
        <v>2333</v>
      </c>
    </row>
    <row r="575" spans="1:12" x14ac:dyDescent="0.2">
      <c r="A575" t="s">
        <v>1767</v>
      </c>
      <c r="B575" t="s">
        <v>1768</v>
      </c>
      <c r="C575" t="s">
        <v>2331</v>
      </c>
      <c r="D575">
        <v>3</v>
      </c>
      <c r="E575">
        <v>54.5</v>
      </c>
      <c r="F575">
        <v>54.5</v>
      </c>
      <c r="G575" t="s">
        <v>2332</v>
      </c>
      <c r="H575" t="s">
        <v>2409</v>
      </c>
      <c r="I575" t="s">
        <v>2410</v>
      </c>
      <c r="L575" t="s">
        <v>2333</v>
      </c>
    </row>
    <row r="576" spans="1:12" x14ac:dyDescent="0.2">
      <c r="A576" t="s">
        <v>1767</v>
      </c>
      <c r="B576" t="s">
        <v>1768</v>
      </c>
      <c r="C576" t="s">
        <v>2331</v>
      </c>
      <c r="D576">
        <v>3</v>
      </c>
      <c r="E576">
        <v>0.72</v>
      </c>
      <c r="F576">
        <v>0.72</v>
      </c>
      <c r="G576" t="s">
        <v>2332</v>
      </c>
      <c r="H576" t="s">
        <v>2411</v>
      </c>
      <c r="I576" t="s">
        <v>2412</v>
      </c>
      <c r="L576" t="s">
        <v>2333</v>
      </c>
    </row>
    <row r="577" spans="1:12" x14ac:dyDescent="0.2">
      <c r="A577" t="s">
        <v>1767</v>
      </c>
      <c r="B577" t="s">
        <v>1768</v>
      </c>
      <c r="C577" t="s">
        <v>2331</v>
      </c>
      <c r="D577">
        <v>3</v>
      </c>
      <c r="E577">
        <v>0</v>
      </c>
      <c r="F577">
        <v>0</v>
      </c>
      <c r="G577" t="s">
        <v>2332</v>
      </c>
      <c r="H577" t="s">
        <v>2340</v>
      </c>
      <c r="I577" t="s">
        <v>2413</v>
      </c>
      <c r="L577" t="s">
        <v>2333</v>
      </c>
    </row>
    <row r="578" spans="1:12" x14ac:dyDescent="0.2">
      <c r="A578" t="s">
        <v>1767</v>
      </c>
      <c r="B578" t="s">
        <v>1768</v>
      </c>
      <c r="C578" t="s">
        <v>2331</v>
      </c>
      <c r="D578">
        <v>3</v>
      </c>
      <c r="E578">
        <v>0</v>
      </c>
      <c r="F578">
        <v>0</v>
      </c>
      <c r="G578" t="s">
        <v>2332</v>
      </c>
      <c r="H578" t="s">
        <v>2340</v>
      </c>
      <c r="I578" t="s">
        <v>2414</v>
      </c>
      <c r="L578" t="s">
        <v>2333</v>
      </c>
    </row>
    <row r="579" spans="1:12" x14ac:dyDescent="0.2">
      <c r="A579" t="s">
        <v>1767</v>
      </c>
      <c r="B579" t="s">
        <v>1768</v>
      </c>
      <c r="C579" t="s">
        <v>2331</v>
      </c>
      <c r="D579">
        <v>3</v>
      </c>
      <c r="E579">
        <v>0</v>
      </c>
      <c r="F579">
        <v>0</v>
      </c>
      <c r="G579" t="s">
        <v>2332</v>
      </c>
      <c r="H579" t="s">
        <v>2340</v>
      </c>
      <c r="I579" t="s">
        <v>2415</v>
      </c>
      <c r="L579" t="s">
        <v>2333</v>
      </c>
    </row>
    <row r="580" spans="1:12" x14ac:dyDescent="0.2">
      <c r="A580" t="s">
        <v>1767</v>
      </c>
      <c r="B580" t="s">
        <v>1768</v>
      </c>
      <c r="C580" t="s">
        <v>2331</v>
      </c>
      <c r="D580">
        <v>3</v>
      </c>
      <c r="E580">
        <v>0</v>
      </c>
      <c r="F580">
        <v>0</v>
      </c>
      <c r="G580" t="s">
        <v>2332</v>
      </c>
      <c r="H580" t="s">
        <v>2340</v>
      </c>
      <c r="I580" t="s">
        <v>2416</v>
      </c>
      <c r="L580" t="s">
        <v>2333</v>
      </c>
    </row>
    <row r="581" spans="1:12" x14ac:dyDescent="0.2">
      <c r="A581" t="s">
        <v>1767</v>
      </c>
      <c r="B581" t="s">
        <v>1768</v>
      </c>
      <c r="C581" t="s">
        <v>2331</v>
      </c>
      <c r="D581">
        <v>3</v>
      </c>
      <c r="E581">
        <v>0</v>
      </c>
      <c r="F581">
        <v>0</v>
      </c>
      <c r="G581" t="s">
        <v>2332</v>
      </c>
      <c r="H581" t="s">
        <v>2340</v>
      </c>
      <c r="I581" t="s">
        <v>2417</v>
      </c>
      <c r="L581" t="s">
        <v>2333</v>
      </c>
    </row>
    <row r="582" spans="1:12" x14ac:dyDescent="0.2">
      <c r="A582" t="s">
        <v>1767</v>
      </c>
      <c r="B582" t="s">
        <v>1768</v>
      </c>
      <c r="C582" t="s">
        <v>2331</v>
      </c>
      <c r="D582">
        <v>3</v>
      </c>
      <c r="E582">
        <v>0</v>
      </c>
      <c r="F582">
        <v>0</v>
      </c>
      <c r="G582" t="s">
        <v>2332</v>
      </c>
      <c r="H582" t="s">
        <v>2340</v>
      </c>
      <c r="I582" t="s">
        <v>2418</v>
      </c>
      <c r="L582" t="s">
        <v>2333</v>
      </c>
    </row>
    <row r="583" spans="1:12" x14ac:dyDescent="0.2">
      <c r="A583" t="s">
        <v>1767</v>
      </c>
      <c r="B583" t="s">
        <v>1768</v>
      </c>
      <c r="C583" t="s">
        <v>2331</v>
      </c>
      <c r="D583">
        <v>3</v>
      </c>
      <c r="E583">
        <v>0</v>
      </c>
      <c r="F583">
        <v>0</v>
      </c>
      <c r="G583" t="s">
        <v>2332</v>
      </c>
      <c r="H583" t="s">
        <v>2340</v>
      </c>
      <c r="I583" t="s">
        <v>2419</v>
      </c>
      <c r="L583" t="s">
        <v>2333</v>
      </c>
    </row>
    <row r="584" spans="1:12" x14ac:dyDescent="0.2">
      <c r="A584" t="s">
        <v>1767</v>
      </c>
      <c r="B584" t="s">
        <v>1768</v>
      </c>
      <c r="C584" t="s">
        <v>2331</v>
      </c>
      <c r="D584">
        <v>3</v>
      </c>
      <c r="E584">
        <v>0</v>
      </c>
      <c r="F584">
        <v>0</v>
      </c>
      <c r="G584" t="s">
        <v>2332</v>
      </c>
      <c r="H584" t="s">
        <v>2340</v>
      </c>
      <c r="I584" t="s">
        <v>2420</v>
      </c>
      <c r="L584" t="s">
        <v>2333</v>
      </c>
    </row>
    <row r="585" spans="1:12" x14ac:dyDescent="0.2">
      <c r="A585" t="s">
        <v>1767</v>
      </c>
      <c r="B585" t="s">
        <v>1768</v>
      </c>
      <c r="C585" t="s">
        <v>2331</v>
      </c>
      <c r="D585">
        <v>3</v>
      </c>
      <c r="E585">
        <v>0</v>
      </c>
      <c r="F585">
        <v>0</v>
      </c>
      <c r="G585" t="s">
        <v>2332</v>
      </c>
      <c r="H585" t="s">
        <v>2340</v>
      </c>
      <c r="I585" t="s">
        <v>2421</v>
      </c>
      <c r="L585" t="s">
        <v>2333</v>
      </c>
    </row>
    <row r="586" spans="1:12" x14ac:dyDescent="0.2">
      <c r="A586" t="s">
        <v>1767</v>
      </c>
      <c r="B586" t="s">
        <v>1768</v>
      </c>
      <c r="C586" t="s">
        <v>2331</v>
      </c>
      <c r="D586">
        <v>3</v>
      </c>
      <c r="E586">
        <v>0</v>
      </c>
      <c r="F586">
        <v>0</v>
      </c>
      <c r="G586" t="s">
        <v>2332</v>
      </c>
      <c r="H586" t="s">
        <v>2340</v>
      </c>
      <c r="I586" t="s">
        <v>2422</v>
      </c>
      <c r="L586" t="s">
        <v>2333</v>
      </c>
    </row>
    <row r="587" spans="1:12" x14ac:dyDescent="0.2">
      <c r="A587" t="s">
        <v>1767</v>
      </c>
      <c r="B587" t="s">
        <v>1768</v>
      </c>
      <c r="C587" t="s">
        <v>2331</v>
      </c>
      <c r="D587">
        <v>3</v>
      </c>
      <c r="E587">
        <v>6200</v>
      </c>
      <c r="F587">
        <v>6200</v>
      </c>
      <c r="G587" t="s">
        <v>2332</v>
      </c>
      <c r="H587" t="s">
        <v>2423</v>
      </c>
      <c r="I587" t="s">
        <v>2424</v>
      </c>
      <c r="L587" t="s">
        <v>2333</v>
      </c>
    </row>
    <row r="588" spans="1:12" x14ac:dyDescent="0.2">
      <c r="A588" t="s">
        <v>1767</v>
      </c>
      <c r="B588" t="s">
        <v>1768</v>
      </c>
      <c r="C588" t="s">
        <v>2331</v>
      </c>
      <c r="D588">
        <v>3</v>
      </c>
      <c r="E588">
        <v>12400</v>
      </c>
      <c r="F588">
        <v>12400</v>
      </c>
      <c r="G588" t="s">
        <v>2332</v>
      </c>
      <c r="H588" t="s">
        <v>2425</v>
      </c>
      <c r="I588" t="s">
        <v>2426</v>
      </c>
      <c r="L588" t="s">
        <v>2333</v>
      </c>
    </row>
    <row r="589" spans="1:12" x14ac:dyDescent="0.2">
      <c r="A589" t="s">
        <v>1767</v>
      </c>
      <c r="B589" t="s">
        <v>1768</v>
      </c>
      <c r="C589" t="s">
        <v>2331</v>
      </c>
      <c r="D589">
        <v>3</v>
      </c>
      <c r="E589">
        <v>12400</v>
      </c>
      <c r="F589">
        <v>12400</v>
      </c>
      <c r="G589" t="s">
        <v>2332</v>
      </c>
      <c r="H589" t="s">
        <v>2425</v>
      </c>
      <c r="I589" t="s">
        <v>2426</v>
      </c>
      <c r="L589" t="s">
        <v>2333</v>
      </c>
    </row>
    <row r="590" spans="1:12" x14ac:dyDescent="0.2">
      <c r="A590" t="s">
        <v>1767</v>
      </c>
      <c r="B590" t="s">
        <v>1768</v>
      </c>
      <c r="C590" t="s">
        <v>2331</v>
      </c>
      <c r="D590">
        <v>3</v>
      </c>
      <c r="E590">
        <v>11919</v>
      </c>
      <c r="F590">
        <v>11919</v>
      </c>
      <c r="G590" t="s">
        <v>2332</v>
      </c>
      <c r="H590" t="s">
        <v>2427</v>
      </c>
      <c r="I590" t="s">
        <v>2428</v>
      </c>
      <c r="L590" t="s">
        <v>2333</v>
      </c>
    </row>
    <row r="591" spans="1:12" x14ac:dyDescent="0.2">
      <c r="A591" t="s">
        <v>1767</v>
      </c>
      <c r="B591" t="s">
        <v>1768</v>
      </c>
      <c r="C591" t="s">
        <v>2331</v>
      </c>
      <c r="D591">
        <v>3</v>
      </c>
      <c r="E591">
        <v>411</v>
      </c>
      <c r="F591">
        <v>411</v>
      </c>
      <c r="G591" t="s">
        <v>2332</v>
      </c>
      <c r="H591" t="s">
        <v>2429</v>
      </c>
      <c r="I591" t="s">
        <v>2430</v>
      </c>
      <c r="L591" t="s">
        <v>2333</v>
      </c>
    </row>
    <row r="592" spans="1:12" x14ac:dyDescent="0.2">
      <c r="A592" t="s">
        <v>1767</v>
      </c>
      <c r="B592" t="s">
        <v>1768</v>
      </c>
      <c r="C592" t="s">
        <v>2331</v>
      </c>
      <c r="D592">
        <v>3</v>
      </c>
      <c r="E592">
        <v>2.78</v>
      </c>
      <c r="F592">
        <v>2.78</v>
      </c>
      <c r="G592" t="s">
        <v>2332</v>
      </c>
      <c r="H592" t="s">
        <v>2431</v>
      </c>
      <c r="I592" t="s">
        <v>2432</v>
      </c>
      <c r="L592" t="s">
        <v>2333</v>
      </c>
    </row>
    <row r="593" spans="1:12" x14ac:dyDescent="0.2">
      <c r="A593" t="s">
        <v>1767</v>
      </c>
      <c r="B593" t="s">
        <v>1768</v>
      </c>
      <c r="C593" t="s">
        <v>2331</v>
      </c>
      <c r="D593">
        <v>3</v>
      </c>
      <c r="E593">
        <v>0</v>
      </c>
      <c r="F593">
        <v>0</v>
      </c>
      <c r="G593" t="s">
        <v>2332</v>
      </c>
      <c r="H593" t="s">
        <v>2340</v>
      </c>
      <c r="I593" t="s">
        <v>2433</v>
      </c>
      <c r="L593" t="s">
        <v>2333</v>
      </c>
    </row>
    <row r="594" spans="1:12" x14ac:dyDescent="0.2">
      <c r="A594" t="s">
        <v>1767</v>
      </c>
      <c r="B594" t="s">
        <v>1768</v>
      </c>
      <c r="C594" t="s">
        <v>2331</v>
      </c>
      <c r="D594">
        <v>3</v>
      </c>
      <c r="E594">
        <v>0</v>
      </c>
      <c r="F594">
        <v>0</v>
      </c>
      <c r="G594" t="s">
        <v>2332</v>
      </c>
      <c r="H594" t="s">
        <v>2340</v>
      </c>
      <c r="I594" t="s">
        <v>2434</v>
      </c>
      <c r="L594" t="s">
        <v>2333</v>
      </c>
    </row>
    <row r="595" spans="1:12" x14ac:dyDescent="0.2">
      <c r="A595" t="s">
        <v>1767</v>
      </c>
      <c r="B595" t="s">
        <v>1768</v>
      </c>
      <c r="C595" t="s">
        <v>2331</v>
      </c>
      <c r="D595">
        <v>3</v>
      </c>
      <c r="E595">
        <v>3900</v>
      </c>
      <c r="F595">
        <v>3900</v>
      </c>
      <c r="G595" t="s">
        <v>2332</v>
      </c>
      <c r="H595" t="s">
        <v>2435</v>
      </c>
      <c r="I595" t="s">
        <v>2436</v>
      </c>
      <c r="L595" t="s">
        <v>2333</v>
      </c>
    </row>
    <row r="596" spans="1:12" x14ac:dyDescent="0.2">
      <c r="A596" t="s">
        <v>1767</v>
      </c>
      <c r="B596" t="s">
        <v>1768</v>
      </c>
      <c r="C596" t="s">
        <v>2331</v>
      </c>
      <c r="D596">
        <v>3</v>
      </c>
      <c r="E596">
        <v>8.52</v>
      </c>
      <c r="F596">
        <v>8.52</v>
      </c>
      <c r="G596" t="s">
        <v>2332</v>
      </c>
      <c r="H596" t="s">
        <v>2437</v>
      </c>
      <c r="I596" t="s">
        <v>2438</v>
      </c>
      <c r="L596" t="s">
        <v>2333</v>
      </c>
    </row>
    <row r="597" spans="1:12" x14ac:dyDescent="0.2">
      <c r="A597" t="s">
        <v>1767</v>
      </c>
      <c r="B597" t="s">
        <v>1768</v>
      </c>
      <c r="C597" t="s">
        <v>2331</v>
      </c>
      <c r="D597">
        <v>3</v>
      </c>
      <c r="E597">
        <v>0.09</v>
      </c>
      <c r="F597">
        <v>0.09</v>
      </c>
      <c r="G597" t="s">
        <v>2332</v>
      </c>
      <c r="H597" t="s">
        <v>2439</v>
      </c>
      <c r="I597" t="s">
        <v>2440</v>
      </c>
      <c r="L597" t="s">
        <v>2333</v>
      </c>
    </row>
    <row r="598" spans="1:12" x14ac:dyDescent="0.2">
      <c r="A598" t="s">
        <v>1767</v>
      </c>
      <c r="B598" t="s">
        <v>1768</v>
      </c>
      <c r="C598" t="s">
        <v>2331</v>
      </c>
      <c r="D598">
        <v>3</v>
      </c>
      <c r="E598">
        <v>60.45</v>
      </c>
      <c r="F598">
        <v>60.45</v>
      </c>
      <c r="G598" t="s">
        <v>2332</v>
      </c>
      <c r="H598" t="s">
        <v>2441</v>
      </c>
      <c r="I598" t="s">
        <v>2442</v>
      </c>
      <c r="L598" t="s">
        <v>2333</v>
      </c>
    </row>
    <row r="599" spans="1:12" x14ac:dyDescent="0.2">
      <c r="A599" t="s">
        <v>1767</v>
      </c>
      <c r="B599" t="s">
        <v>1768</v>
      </c>
      <c r="C599" t="s">
        <v>2331</v>
      </c>
      <c r="D599">
        <v>3</v>
      </c>
      <c r="E599">
        <v>12.12</v>
      </c>
      <c r="F599">
        <v>12.12</v>
      </c>
      <c r="G599" t="s">
        <v>2332</v>
      </c>
      <c r="H599" t="s">
        <v>2443</v>
      </c>
      <c r="I599" t="s">
        <v>2444</v>
      </c>
      <c r="L599" t="s">
        <v>2333</v>
      </c>
    </row>
    <row r="600" spans="1:12" x14ac:dyDescent="0.2">
      <c r="A600" t="s">
        <v>1767</v>
      </c>
      <c r="B600" t="s">
        <v>1768</v>
      </c>
      <c r="C600" t="s">
        <v>2331</v>
      </c>
      <c r="D600">
        <v>3</v>
      </c>
      <c r="E600">
        <v>4.5</v>
      </c>
      <c r="F600">
        <v>4.5</v>
      </c>
      <c r="G600" t="s">
        <v>2332</v>
      </c>
      <c r="H600" t="s">
        <v>2445</v>
      </c>
      <c r="I600" t="s">
        <v>2446</v>
      </c>
      <c r="L600" t="s">
        <v>2333</v>
      </c>
    </row>
    <row r="601" spans="1:12" x14ac:dyDescent="0.2">
      <c r="A601" t="s">
        <v>1767</v>
      </c>
      <c r="B601" t="s">
        <v>1768</v>
      </c>
      <c r="C601" t="s">
        <v>2331</v>
      </c>
      <c r="D601">
        <v>3</v>
      </c>
      <c r="E601">
        <v>0</v>
      </c>
      <c r="F601">
        <v>0</v>
      </c>
      <c r="G601" t="s">
        <v>2332</v>
      </c>
      <c r="H601" t="s">
        <v>2340</v>
      </c>
      <c r="I601" t="s">
        <v>2447</v>
      </c>
      <c r="L601" t="s">
        <v>2333</v>
      </c>
    </row>
    <row r="602" spans="1:12" x14ac:dyDescent="0.2">
      <c r="A602" t="s">
        <v>1767</v>
      </c>
      <c r="B602" t="s">
        <v>1768</v>
      </c>
      <c r="C602" t="s">
        <v>2331</v>
      </c>
      <c r="D602">
        <v>3</v>
      </c>
      <c r="E602">
        <v>0</v>
      </c>
      <c r="F602">
        <v>0</v>
      </c>
      <c r="G602" t="s">
        <v>2332</v>
      </c>
      <c r="H602" t="s">
        <v>2340</v>
      </c>
      <c r="I602" t="s">
        <v>2448</v>
      </c>
      <c r="L602" t="s">
        <v>2333</v>
      </c>
    </row>
    <row r="603" spans="1:12" x14ac:dyDescent="0.2">
      <c r="A603" t="s">
        <v>1767</v>
      </c>
      <c r="B603" t="s">
        <v>1768</v>
      </c>
      <c r="C603" t="s">
        <v>2331</v>
      </c>
      <c r="D603">
        <v>3</v>
      </c>
      <c r="E603">
        <v>27.31</v>
      </c>
      <c r="F603">
        <v>27.31</v>
      </c>
      <c r="G603" t="s">
        <v>2332</v>
      </c>
      <c r="H603" t="s">
        <v>2449</v>
      </c>
      <c r="I603" t="s">
        <v>2450</v>
      </c>
      <c r="L603" t="s">
        <v>2333</v>
      </c>
    </row>
    <row r="604" spans="1:12" x14ac:dyDescent="0.2">
      <c r="A604" t="s">
        <v>1767</v>
      </c>
      <c r="B604" t="s">
        <v>1768</v>
      </c>
      <c r="C604" t="s">
        <v>2331</v>
      </c>
      <c r="D604">
        <v>3</v>
      </c>
      <c r="E604">
        <v>20</v>
      </c>
      <c r="F604">
        <v>20</v>
      </c>
      <c r="G604" t="s">
        <v>2332</v>
      </c>
      <c r="H604" t="s">
        <v>2451</v>
      </c>
      <c r="I604" t="s">
        <v>2452</v>
      </c>
      <c r="L604" t="s">
        <v>2333</v>
      </c>
    </row>
    <row r="605" spans="1:12" x14ac:dyDescent="0.2">
      <c r="A605" t="s">
        <v>1767</v>
      </c>
      <c r="B605" t="s">
        <v>1768</v>
      </c>
      <c r="C605" t="s">
        <v>2331</v>
      </c>
      <c r="D605">
        <v>3</v>
      </c>
      <c r="E605">
        <v>0</v>
      </c>
      <c r="F605">
        <v>0</v>
      </c>
      <c r="G605" t="s">
        <v>2332</v>
      </c>
      <c r="H605" t="s">
        <v>2340</v>
      </c>
      <c r="I605" t="s">
        <v>2453</v>
      </c>
      <c r="L605" t="s">
        <v>2333</v>
      </c>
    </row>
    <row r="606" spans="1:12" x14ac:dyDescent="0.2">
      <c r="A606" t="s">
        <v>1767</v>
      </c>
      <c r="B606" t="s">
        <v>1768</v>
      </c>
      <c r="C606" t="s">
        <v>2331</v>
      </c>
      <c r="D606">
        <v>3</v>
      </c>
      <c r="E606">
        <v>1340</v>
      </c>
      <c r="F606">
        <v>1340</v>
      </c>
      <c r="G606" t="s">
        <v>2332</v>
      </c>
      <c r="H606" t="s">
        <v>2454</v>
      </c>
      <c r="I606" t="s">
        <v>2455</v>
      </c>
      <c r="L606" t="s">
        <v>2333</v>
      </c>
    </row>
    <row r="607" spans="1:12" x14ac:dyDescent="0.2">
      <c r="A607" t="s">
        <v>1767</v>
      </c>
      <c r="B607" t="s">
        <v>1768</v>
      </c>
      <c r="C607" t="s">
        <v>2331</v>
      </c>
      <c r="D607">
        <v>3</v>
      </c>
      <c r="E607">
        <v>6840</v>
      </c>
      <c r="F607">
        <v>6840</v>
      </c>
      <c r="G607" t="s">
        <v>2332</v>
      </c>
      <c r="H607" t="s">
        <v>2456</v>
      </c>
      <c r="I607" t="s">
        <v>2457</v>
      </c>
      <c r="L607" t="s">
        <v>2333</v>
      </c>
    </row>
    <row r="608" spans="1:12" x14ac:dyDescent="0.2">
      <c r="A608" t="s">
        <v>1767</v>
      </c>
      <c r="B608" t="s">
        <v>1768</v>
      </c>
      <c r="C608" t="s">
        <v>2331</v>
      </c>
      <c r="D608">
        <v>3</v>
      </c>
      <c r="E608">
        <v>20.94</v>
      </c>
      <c r="F608">
        <v>20.94</v>
      </c>
      <c r="G608" t="s">
        <v>2332</v>
      </c>
      <c r="H608" t="s">
        <v>2458</v>
      </c>
      <c r="I608" t="s">
        <v>2459</v>
      </c>
      <c r="L608" t="s">
        <v>2333</v>
      </c>
    </row>
    <row r="609" spans="1:12" x14ac:dyDescent="0.2">
      <c r="A609" t="s">
        <v>1767</v>
      </c>
      <c r="B609" t="s">
        <v>1768</v>
      </c>
      <c r="C609" t="s">
        <v>2331</v>
      </c>
      <c r="D609">
        <v>3</v>
      </c>
      <c r="E609">
        <v>0</v>
      </c>
      <c r="F609">
        <v>0</v>
      </c>
      <c r="G609" t="s">
        <v>2332</v>
      </c>
      <c r="H609" t="s">
        <v>2340</v>
      </c>
      <c r="I609" t="s">
        <v>2364</v>
      </c>
      <c r="L609" t="s">
        <v>2333</v>
      </c>
    </row>
    <row r="610" spans="1:12" x14ac:dyDescent="0.2">
      <c r="A610" t="s">
        <v>1767</v>
      </c>
      <c r="B610" t="s">
        <v>1768</v>
      </c>
      <c r="C610" t="s">
        <v>2331</v>
      </c>
      <c r="D610">
        <v>3</v>
      </c>
      <c r="E610">
        <v>0</v>
      </c>
      <c r="F610">
        <v>0</v>
      </c>
      <c r="G610" t="s">
        <v>2332</v>
      </c>
      <c r="H610" t="s">
        <v>2340</v>
      </c>
      <c r="I610" t="s">
        <v>2460</v>
      </c>
      <c r="L610" t="s">
        <v>2333</v>
      </c>
    </row>
    <row r="611" spans="1:12" x14ac:dyDescent="0.2">
      <c r="A611" t="s">
        <v>1767</v>
      </c>
      <c r="B611" t="s">
        <v>1768</v>
      </c>
      <c r="C611" t="s">
        <v>2331</v>
      </c>
      <c r="D611">
        <v>3</v>
      </c>
      <c r="E611">
        <v>36.9</v>
      </c>
      <c r="F611">
        <v>36.9</v>
      </c>
      <c r="G611" t="s">
        <v>2332</v>
      </c>
      <c r="H611" t="s">
        <v>2461</v>
      </c>
      <c r="I611" t="s">
        <v>2462</v>
      </c>
      <c r="L611" t="s">
        <v>2333</v>
      </c>
    </row>
    <row r="612" spans="1:12" x14ac:dyDescent="0.2">
      <c r="A612" t="s">
        <v>1767</v>
      </c>
      <c r="B612" t="s">
        <v>1768</v>
      </c>
      <c r="C612" t="s">
        <v>2331</v>
      </c>
      <c r="D612">
        <v>3</v>
      </c>
      <c r="E612">
        <v>0</v>
      </c>
      <c r="F612">
        <v>0</v>
      </c>
      <c r="G612" t="s">
        <v>2332</v>
      </c>
      <c r="H612" t="s">
        <v>2340</v>
      </c>
      <c r="I612" t="s">
        <v>2463</v>
      </c>
      <c r="L612" t="s">
        <v>2333</v>
      </c>
    </row>
    <row r="613" spans="1:12" x14ac:dyDescent="0.2">
      <c r="A613" t="s">
        <v>1767</v>
      </c>
      <c r="B613" t="s">
        <v>1768</v>
      </c>
      <c r="C613" t="s">
        <v>2331</v>
      </c>
      <c r="D613">
        <v>3</v>
      </c>
      <c r="E613">
        <v>35.04</v>
      </c>
      <c r="F613">
        <v>35.04</v>
      </c>
      <c r="G613" t="s">
        <v>2332</v>
      </c>
      <c r="H613" t="s">
        <v>2464</v>
      </c>
      <c r="I613" t="s">
        <v>2465</v>
      </c>
      <c r="L613" t="s">
        <v>2333</v>
      </c>
    </row>
    <row r="614" spans="1:12" x14ac:dyDescent="0.2">
      <c r="A614" t="s">
        <v>1767</v>
      </c>
      <c r="B614" t="s">
        <v>1768</v>
      </c>
      <c r="C614" t="s">
        <v>2331</v>
      </c>
      <c r="D614">
        <v>4</v>
      </c>
      <c r="E614">
        <v>55.8</v>
      </c>
      <c r="F614">
        <v>55.8</v>
      </c>
      <c r="G614" t="s">
        <v>2332</v>
      </c>
      <c r="H614" t="s">
        <v>2375</v>
      </c>
      <c r="I614" t="s">
        <v>2374</v>
      </c>
      <c r="J614" t="s">
        <v>2466</v>
      </c>
      <c r="L614" t="s">
        <v>2333</v>
      </c>
    </row>
    <row r="615" spans="1:12" x14ac:dyDescent="0.2">
      <c r="A615" t="s">
        <v>1767</v>
      </c>
      <c r="B615" t="s">
        <v>1768</v>
      </c>
      <c r="C615" t="s">
        <v>2331</v>
      </c>
      <c r="D615">
        <v>4</v>
      </c>
      <c r="E615">
        <v>1.1000000000000001</v>
      </c>
      <c r="F615">
        <v>1.1000000000000001</v>
      </c>
      <c r="G615" t="s">
        <v>2332</v>
      </c>
      <c r="H615" t="s">
        <v>2467</v>
      </c>
      <c r="I615" t="s">
        <v>2374</v>
      </c>
      <c r="J615" t="s">
        <v>2468</v>
      </c>
      <c r="L615" t="s">
        <v>2333</v>
      </c>
    </row>
    <row r="616" spans="1:12" x14ac:dyDescent="0.2">
      <c r="A616" t="s">
        <v>1767</v>
      </c>
      <c r="B616" t="s">
        <v>1768</v>
      </c>
      <c r="C616" t="s">
        <v>2331</v>
      </c>
      <c r="D616">
        <v>4</v>
      </c>
      <c r="E616">
        <v>52.38</v>
      </c>
      <c r="F616">
        <v>52.38</v>
      </c>
      <c r="G616" t="s">
        <v>2332</v>
      </c>
      <c r="H616" t="s">
        <v>2469</v>
      </c>
      <c r="I616" t="s">
        <v>2374</v>
      </c>
      <c r="J616" t="s">
        <v>2470</v>
      </c>
      <c r="L616" t="s">
        <v>2333</v>
      </c>
    </row>
    <row r="617" spans="1:12" x14ac:dyDescent="0.2">
      <c r="A617" t="s">
        <v>1767</v>
      </c>
      <c r="B617" t="s">
        <v>1768</v>
      </c>
      <c r="C617" t="s">
        <v>2331</v>
      </c>
      <c r="D617">
        <v>4</v>
      </c>
      <c r="E617">
        <v>0</v>
      </c>
      <c r="F617">
        <v>0</v>
      </c>
      <c r="G617" t="s">
        <v>2332</v>
      </c>
      <c r="H617" t="s">
        <v>2340</v>
      </c>
      <c r="I617" t="s">
        <v>2374</v>
      </c>
      <c r="J617" t="s">
        <v>2471</v>
      </c>
      <c r="L617" t="s">
        <v>2333</v>
      </c>
    </row>
    <row r="618" spans="1:12" x14ac:dyDescent="0.2">
      <c r="A618" t="s">
        <v>1767</v>
      </c>
      <c r="B618" t="s">
        <v>1768</v>
      </c>
      <c r="C618" t="s">
        <v>2331</v>
      </c>
      <c r="D618">
        <v>4</v>
      </c>
      <c r="E618">
        <v>91.85</v>
      </c>
      <c r="F618">
        <v>91.85</v>
      </c>
      <c r="G618" t="s">
        <v>2332</v>
      </c>
      <c r="H618" t="s">
        <v>2472</v>
      </c>
      <c r="I618" t="s">
        <v>2374</v>
      </c>
      <c r="J618" t="s">
        <v>2473</v>
      </c>
      <c r="L618" t="s">
        <v>2333</v>
      </c>
    </row>
    <row r="619" spans="1:12" x14ac:dyDescent="0.2">
      <c r="A619" t="s">
        <v>1767</v>
      </c>
      <c r="B619" t="s">
        <v>1768</v>
      </c>
      <c r="C619" t="s">
        <v>2331</v>
      </c>
      <c r="D619">
        <v>4</v>
      </c>
      <c r="E619">
        <v>20</v>
      </c>
      <c r="F619">
        <v>20</v>
      </c>
      <c r="G619" t="s">
        <v>2332</v>
      </c>
      <c r="H619" t="s">
        <v>2451</v>
      </c>
      <c r="I619" t="s">
        <v>2374</v>
      </c>
      <c r="J619" t="s">
        <v>2474</v>
      </c>
      <c r="L619" t="s">
        <v>2333</v>
      </c>
    </row>
    <row r="620" spans="1:12" x14ac:dyDescent="0.2">
      <c r="A620" t="s">
        <v>1767</v>
      </c>
      <c r="B620" t="s">
        <v>1768</v>
      </c>
      <c r="C620" t="s">
        <v>2331</v>
      </c>
      <c r="D620">
        <v>4</v>
      </c>
      <c r="E620">
        <v>38.880000000000003</v>
      </c>
      <c r="F620">
        <v>38.880000000000003</v>
      </c>
      <c r="G620" t="s">
        <v>2332</v>
      </c>
      <c r="H620" t="s">
        <v>2475</v>
      </c>
      <c r="I620" t="s">
        <v>2374</v>
      </c>
      <c r="J620" t="s">
        <v>2476</v>
      </c>
      <c r="L620" t="s">
        <v>2333</v>
      </c>
    </row>
    <row r="621" spans="1:12" x14ac:dyDescent="0.2">
      <c r="A621" t="s">
        <v>1767</v>
      </c>
      <c r="B621" t="s">
        <v>1768</v>
      </c>
      <c r="C621" t="s">
        <v>2331</v>
      </c>
      <c r="D621">
        <v>4</v>
      </c>
      <c r="E621">
        <v>27.9</v>
      </c>
      <c r="F621">
        <v>27.9</v>
      </c>
      <c r="G621" t="s">
        <v>2332</v>
      </c>
      <c r="H621" t="s">
        <v>2477</v>
      </c>
      <c r="I621" t="s">
        <v>2374</v>
      </c>
      <c r="J621" t="s">
        <v>2478</v>
      </c>
      <c r="L621" t="s">
        <v>2333</v>
      </c>
    </row>
    <row r="622" spans="1:12" x14ac:dyDescent="0.2">
      <c r="A622" t="s">
        <v>1767</v>
      </c>
      <c r="B622" t="s">
        <v>1768</v>
      </c>
      <c r="C622" t="s">
        <v>2331</v>
      </c>
      <c r="D622">
        <v>4</v>
      </c>
      <c r="E622">
        <v>105</v>
      </c>
      <c r="F622">
        <v>105</v>
      </c>
      <c r="G622" t="s">
        <v>2332</v>
      </c>
      <c r="H622" t="s">
        <v>2479</v>
      </c>
      <c r="I622" t="s">
        <v>2374</v>
      </c>
      <c r="J622" t="s">
        <v>2480</v>
      </c>
      <c r="L622" t="s">
        <v>2333</v>
      </c>
    </row>
    <row r="623" spans="1:12" x14ac:dyDescent="0.2">
      <c r="A623" t="s">
        <v>1767</v>
      </c>
      <c r="B623" t="s">
        <v>1768</v>
      </c>
      <c r="C623" t="s">
        <v>2331</v>
      </c>
      <c r="D623">
        <v>4</v>
      </c>
      <c r="E623">
        <v>0</v>
      </c>
      <c r="F623">
        <v>0</v>
      </c>
      <c r="G623" t="s">
        <v>2332</v>
      </c>
      <c r="H623" t="s">
        <v>2340</v>
      </c>
      <c r="I623" t="s">
        <v>2374</v>
      </c>
      <c r="J623" t="s">
        <v>2471</v>
      </c>
      <c r="L623" t="s">
        <v>2333</v>
      </c>
    </row>
    <row r="624" spans="1:12" x14ac:dyDescent="0.2">
      <c r="A624" t="s">
        <v>1767</v>
      </c>
      <c r="B624" t="s">
        <v>1768</v>
      </c>
      <c r="C624" t="s">
        <v>2331</v>
      </c>
      <c r="D624">
        <v>4</v>
      </c>
      <c r="E624">
        <v>52.49</v>
      </c>
      <c r="F624">
        <v>52.49</v>
      </c>
      <c r="G624" t="s">
        <v>2332</v>
      </c>
      <c r="H624" t="s">
        <v>2481</v>
      </c>
      <c r="I624" t="s">
        <v>2374</v>
      </c>
      <c r="J624" t="s">
        <v>2482</v>
      </c>
      <c r="L624" t="s">
        <v>2333</v>
      </c>
    </row>
    <row r="625" spans="1:12" x14ac:dyDescent="0.2">
      <c r="A625" t="s">
        <v>1767</v>
      </c>
      <c r="B625" t="s">
        <v>1768</v>
      </c>
      <c r="C625" t="s">
        <v>2331</v>
      </c>
      <c r="D625">
        <v>4</v>
      </c>
      <c r="E625">
        <v>287.8</v>
      </c>
      <c r="F625">
        <v>287.8</v>
      </c>
      <c r="G625" t="s">
        <v>2332</v>
      </c>
      <c r="H625" t="s">
        <v>2483</v>
      </c>
      <c r="I625" t="s">
        <v>2374</v>
      </c>
      <c r="J625" t="s">
        <v>2484</v>
      </c>
      <c r="L625" t="s">
        <v>2333</v>
      </c>
    </row>
    <row r="626" spans="1:12" x14ac:dyDescent="0.2">
      <c r="A626" t="s">
        <v>1767</v>
      </c>
      <c r="B626" t="s">
        <v>1768</v>
      </c>
      <c r="C626" t="s">
        <v>2331</v>
      </c>
      <c r="D626">
        <v>4</v>
      </c>
      <c r="E626">
        <v>33.6</v>
      </c>
      <c r="F626">
        <v>33.6</v>
      </c>
      <c r="G626" t="s">
        <v>2332</v>
      </c>
      <c r="H626" t="s">
        <v>2386</v>
      </c>
      <c r="I626" t="s">
        <v>2374</v>
      </c>
      <c r="J626" t="s">
        <v>2485</v>
      </c>
      <c r="L626" t="s">
        <v>2333</v>
      </c>
    </row>
    <row r="627" spans="1:12" x14ac:dyDescent="0.2">
      <c r="A627" t="s">
        <v>1767</v>
      </c>
      <c r="B627" t="s">
        <v>1768</v>
      </c>
      <c r="C627" t="s">
        <v>2331</v>
      </c>
      <c r="D627">
        <v>4</v>
      </c>
      <c r="E627">
        <v>274</v>
      </c>
      <c r="F627">
        <v>274</v>
      </c>
      <c r="G627" t="s">
        <v>2332</v>
      </c>
      <c r="H627" t="s">
        <v>2486</v>
      </c>
      <c r="I627" t="s">
        <v>2374</v>
      </c>
      <c r="J627" t="s">
        <v>2487</v>
      </c>
      <c r="L627" t="s">
        <v>2333</v>
      </c>
    </row>
    <row r="628" spans="1:12" x14ac:dyDescent="0.2">
      <c r="A628" t="s">
        <v>1767</v>
      </c>
      <c r="B628" t="s">
        <v>1768</v>
      </c>
      <c r="C628" t="s">
        <v>2331</v>
      </c>
      <c r="D628">
        <v>4</v>
      </c>
      <c r="E628">
        <v>10</v>
      </c>
      <c r="F628">
        <v>10</v>
      </c>
      <c r="G628" t="s">
        <v>2332</v>
      </c>
      <c r="H628" t="s">
        <v>2488</v>
      </c>
      <c r="I628" t="s">
        <v>2374</v>
      </c>
      <c r="J628" t="s">
        <v>2489</v>
      </c>
      <c r="L628" t="s">
        <v>2333</v>
      </c>
    </row>
    <row r="629" spans="1:12" x14ac:dyDescent="0.2">
      <c r="A629" t="s">
        <v>1767</v>
      </c>
      <c r="B629" t="s">
        <v>1768</v>
      </c>
      <c r="C629" t="s">
        <v>2331</v>
      </c>
      <c r="D629">
        <v>4</v>
      </c>
      <c r="E629">
        <v>185</v>
      </c>
      <c r="F629">
        <v>185</v>
      </c>
      <c r="G629" t="s">
        <v>2332</v>
      </c>
      <c r="H629" t="s">
        <v>2490</v>
      </c>
      <c r="I629" t="s">
        <v>2374</v>
      </c>
      <c r="J629" t="s">
        <v>2491</v>
      </c>
      <c r="L629" t="s">
        <v>2333</v>
      </c>
    </row>
    <row r="630" spans="1:12" x14ac:dyDescent="0.2">
      <c r="A630" t="s">
        <v>1767</v>
      </c>
      <c r="B630" t="s">
        <v>1768</v>
      </c>
      <c r="C630" t="s">
        <v>2331</v>
      </c>
      <c r="D630">
        <v>4</v>
      </c>
      <c r="E630">
        <v>52.8</v>
      </c>
      <c r="F630">
        <v>52.8</v>
      </c>
      <c r="G630" t="s">
        <v>2332</v>
      </c>
      <c r="H630" t="s">
        <v>2492</v>
      </c>
      <c r="I630" t="s">
        <v>2374</v>
      </c>
      <c r="J630" t="s">
        <v>2493</v>
      </c>
      <c r="L630" t="s">
        <v>2333</v>
      </c>
    </row>
    <row r="631" spans="1:12" x14ac:dyDescent="0.2">
      <c r="A631" t="s">
        <v>1767</v>
      </c>
      <c r="B631" t="s">
        <v>1768</v>
      </c>
      <c r="C631" t="s">
        <v>2331</v>
      </c>
      <c r="D631">
        <v>4</v>
      </c>
      <c r="E631">
        <v>204.48</v>
      </c>
      <c r="F631">
        <v>204.48</v>
      </c>
      <c r="G631" t="s">
        <v>2332</v>
      </c>
      <c r="H631" t="s">
        <v>2494</v>
      </c>
      <c r="I631" t="s">
        <v>2374</v>
      </c>
      <c r="J631" t="s">
        <v>2495</v>
      </c>
      <c r="L631" t="s">
        <v>2333</v>
      </c>
    </row>
    <row r="632" spans="1:12" x14ac:dyDescent="0.2">
      <c r="A632" t="s">
        <v>1767</v>
      </c>
      <c r="B632" t="s">
        <v>1768</v>
      </c>
      <c r="C632" t="s">
        <v>2331</v>
      </c>
      <c r="D632">
        <v>4</v>
      </c>
      <c r="E632">
        <v>118.72</v>
      </c>
      <c r="F632">
        <v>118.72</v>
      </c>
      <c r="G632" t="s">
        <v>2332</v>
      </c>
      <c r="H632" t="s">
        <v>2496</v>
      </c>
      <c r="I632" t="s">
        <v>2374</v>
      </c>
      <c r="J632" t="s">
        <v>2497</v>
      </c>
      <c r="L632" t="s">
        <v>2333</v>
      </c>
    </row>
    <row r="633" spans="1:12" x14ac:dyDescent="0.2">
      <c r="A633" t="s">
        <v>1767</v>
      </c>
      <c r="B633" t="s">
        <v>1768</v>
      </c>
      <c r="C633" t="s">
        <v>2331</v>
      </c>
      <c r="D633">
        <v>4</v>
      </c>
      <c r="E633">
        <v>204.48</v>
      </c>
      <c r="F633">
        <v>204.48</v>
      </c>
      <c r="G633" t="s">
        <v>2332</v>
      </c>
      <c r="H633" t="s">
        <v>2494</v>
      </c>
      <c r="I633" t="s">
        <v>2374</v>
      </c>
      <c r="J633" t="s">
        <v>2498</v>
      </c>
      <c r="L633" t="s">
        <v>2333</v>
      </c>
    </row>
    <row r="634" spans="1:12" x14ac:dyDescent="0.2">
      <c r="A634" t="s">
        <v>1767</v>
      </c>
      <c r="B634" t="s">
        <v>1768</v>
      </c>
      <c r="C634" t="s">
        <v>2331</v>
      </c>
      <c r="D634">
        <v>4</v>
      </c>
      <c r="E634">
        <v>484.34</v>
      </c>
      <c r="F634">
        <v>484.34</v>
      </c>
      <c r="G634" t="s">
        <v>2332</v>
      </c>
      <c r="H634" t="s">
        <v>2499</v>
      </c>
      <c r="I634" t="s">
        <v>2374</v>
      </c>
      <c r="J634" t="s">
        <v>2500</v>
      </c>
      <c r="L634" t="s">
        <v>2333</v>
      </c>
    </row>
    <row r="635" spans="1:12" x14ac:dyDescent="0.2">
      <c r="A635" t="s">
        <v>1767</v>
      </c>
      <c r="B635" t="s">
        <v>1768</v>
      </c>
      <c r="C635" t="s">
        <v>2331</v>
      </c>
      <c r="D635">
        <v>4</v>
      </c>
      <c r="E635">
        <v>496.92</v>
      </c>
      <c r="F635">
        <v>496.92</v>
      </c>
      <c r="G635" t="s">
        <v>2332</v>
      </c>
      <c r="H635" t="s">
        <v>2501</v>
      </c>
      <c r="I635" t="s">
        <v>2374</v>
      </c>
      <c r="J635" t="s">
        <v>2502</v>
      </c>
      <c r="L635" t="s">
        <v>2333</v>
      </c>
    </row>
    <row r="636" spans="1:12" x14ac:dyDescent="0.2">
      <c r="A636" t="s">
        <v>1767</v>
      </c>
      <c r="B636" t="s">
        <v>1768</v>
      </c>
      <c r="C636" t="s">
        <v>2331</v>
      </c>
      <c r="D636">
        <v>4</v>
      </c>
      <c r="E636">
        <v>684.15</v>
      </c>
      <c r="F636">
        <v>684.15</v>
      </c>
      <c r="G636" t="s">
        <v>2332</v>
      </c>
      <c r="H636" t="s">
        <v>2503</v>
      </c>
      <c r="I636" t="s">
        <v>2374</v>
      </c>
      <c r="J636" t="s">
        <v>2504</v>
      </c>
      <c r="L636" t="s">
        <v>2333</v>
      </c>
    </row>
    <row r="637" spans="1:12" x14ac:dyDescent="0.2">
      <c r="A637" t="s">
        <v>1767</v>
      </c>
      <c r="B637" t="s">
        <v>1768</v>
      </c>
      <c r="C637" t="s">
        <v>2331</v>
      </c>
      <c r="D637">
        <v>4</v>
      </c>
      <c r="E637">
        <v>32.700000000000003</v>
      </c>
      <c r="F637">
        <v>32.700000000000003</v>
      </c>
      <c r="G637" t="s">
        <v>2332</v>
      </c>
      <c r="H637" t="s">
        <v>2505</v>
      </c>
      <c r="I637" t="s">
        <v>2374</v>
      </c>
      <c r="J637" t="s">
        <v>2506</v>
      </c>
      <c r="L637" t="s">
        <v>2333</v>
      </c>
    </row>
    <row r="638" spans="1:12" x14ac:dyDescent="0.2">
      <c r="A638" t="s">
        <v>1767</v>
      </c>
      <c r="B638" t="s">
        <v>1768</v>
      </c>
      <c r="C638" t="s">
        <v>2331</v>
      </c>
      <c r="D638">
        <v>4</v>
      </c>
      <c r="E638">
        <v>7.02</v>
      </c>
      <c r="F638">
        <v>7.02</v>
      </c>
      <c r="G638" t="s">
        <v>2332</v>
      </c>
      <c r="H638" t="s">
        <v>2507</v>
      </c>
      <c r="I638" t="s">
        <v>2374</v>
      </c>
      <c r="J638" t="s">
        <v>2508</v>
      </c>
      <c r="L638" t="s">
        <v>2333</v>
      </c>
    </row>
    <row r="639" spans="1:12" x14ac:dyDescent="0.2">
      <c r="A639" t="s">
        <v>1767</v>
      </c>
      <c r="B639" t="s">
        <v>1768</v>
      </c>
      <c r="C639" t="s">
        <v>2331</v>
      </c>
      <c r="D639">
        <v>4</v>
      </c>
      <c r="E639">
        <v>4.9000000000000004</v>
      </c>
      <c r="F639">
        <v>4.9000000000000004</v>
      </c>
      <c r="G639" t="s">
        <v>2332</v>
      </c>
      <c r="H639" t="s">
        <v>2509</v>
      </c>
      <c r="I639" t="s">
        <v>2374</v>
      </c>
      <c r="J639" t="s">
        <v>2510</v>
      </c>
      <c r="L639" t="s">
        <v>2333</v>
      </c>
    </row>
    <row r="640" spans="1:12" x14ac:dyDescent="0.2">
      <c r="A640" t="s">
        <v>1767</v>
      </c>
      <c r="B640" t="s">
        <v>1768</v>
      </c>
      <c r="C640" t="s">
        <v>2331</v>
      </c>
      <c r="D640">
        <v>4</v>
      </c>
      <c r="E640">
        <v>3</v>
      </c>
      <c r="F640">
        <v>3</v>
      </c>
      <c r="G640" t="s">
        <v>2332</v>
      </c>
      <c r="H640" t="s">
        <v>2511</v>
      </c>
      <c r="I640" t="s">
        <v>2374</v>
      </c>
      <c r="J640" t="s">
        <v>2512</v>
      </c>
      <c r="L640" t="s">
        <v>2333</v>
      </c>
    </row>
    <row r="641" spans="1:12" x14ac:dyDescent="0.2">
      <c r="A641" t="s">
        <v>1767</v>
      </c>
      <c r="B641" t="s">
        <v>1768</v>
      </c>
      <c r="C641" t="s">
        <v>2331</v>
      </c>
      <c r="D641">
        <v>4</v>
      </c>
      <c r="E641">
        <v>966.42</v>
      </c>
      <c r="F641">
        <v>966.42</v>
      </c>
      <c r="G641" t="s">
        <v>2332</v>
      </c>
      <c r="H641" t="s">
        <v>2513</v>
      </c>
      <c r="I641" t="s">
        <v>2374</v>
      </c>
      <c r="J641" t="s">
        <v>2514</v>
      </c>
      <c r="L641" t="s">
        <v>2333</v>
      </c>
    </row>
    <row r="642" spans="1:12" x14ac:dyDescent="0.2">
      <c r="A642" t="s">
        <v>1767</v>
      </c>
      <c r="B642" t="s">
        <v>1768</v>
      </c>
      <c r="C642" t="s">
        <v>2331</v>
      </c>
      <c r="D642">
        <v>4</v>
      </c>
      <c r="E642">
        <v>484.34</v>
      </c>
      <c r="F642">
        <v>484.34</v>
      </c>
      <c r="G642" t="s">
        <v>2332</v>
      </c>
      <c r="H642" t="s">
        <v>2499</v>
      </c>
      <c r="I642" t="s">
        <v>2374</v>
      </c>
      <c r="J642" t="s">
        <v>2500</v>
      </c>
      <c r="L642" t="s">
        <v>2333</v>
      </c>
    </row>
    <row r="643" spans="1:12" x14ac:dyDescent="0.2">
      <c r="A643" t="s">
        <v>1767</v>
      </c>
      <c r="B643" t="s">
        <v>1768</v>
      </c>
      <c r="C643" t="s">
        <v>2331</v>
      </c>
      <c r="D643">
        <v>4</v>
      </c>
      <c r="E643">
        <v>25.92</v>
      </c>
      <c r="F643">
        <v>25.92</v>
      </c>
      <c r="G643" t="s">
        <v>2332</v>
      </c>
      <c r="H643" t="s">
        <v>2515</v>
      </c>
      <c r="I643" t="s">
        <v>2374</v>
      </c>
      <c r="J643" t="s">
        <v>2516</v>
      </c>
      <c r="L643" t="s">
        <v>2333</v>
      </c>
    </row>
    <row r="644" spans="1:12" x14ac:dyDescent="0.2">
      <c r="A644" t="s">
        <v>1767</v>
      </c>
      <c r="B644" t="s">
        <v>1768</v>
      </c>
      <c r="C644" t="s">
        <v>2331</v>
      </c>
      <c r="D644">
        <v>4</v>
      </c>
      <c r="E644">
        <v>28.5</v>
      </c>
      <c r="F644">
        <v>28.5</v>
      </c>
      <c r="G644" t="s">
        <v>2332</v>
      </c>
      <c r="H644" t="s">
        <v>2517</v>
      </c>
      <c r="I644" t="s">
        <v>2374</v>
      </c>
      <c r="J644" t="s">
        <v>2518</v>
      </c>
      <c r="L644" t="s">
        <v>2333</v>
      </c>
    </row>
    <row r="645" spans="1:12" x14ac:dyDescent="0.2">
      <c r="A645" t="s">
        <v>1767</v>
      </c>
      <c r="B645" t="s">
        <v>1768</v>
      </c>
      <c r="C645" t="s">
        <v>2331</v>
      </c>
      <c r="D645">
        <v>4</v>
      </c>
      <c r="E645">
        <v>28.5</v>
      </c>
      <c r="F645">
        <v>28.5</v>
      </c>
      <c r="G645" t="s">
        <v>2332</v>
      </c>
      <c r="H645" t="s">
        <v>2517</v>
      </c>
      <c r="I645" t="s">
        <v>2374</v>
      </c>
      <c r="J645" t="s">
        <v>2518</v>
      </c>
      <c r="L645" t="s">
        <v>2333</v>
      </c>
    </row>
    <row r="646" spans="1:12" x14ac:dyDescent="0.2">
      <c r="A646" t="s">
        <v>1767</v>
      </c>
      <c r="B646" t="s">
        <v>1768</v>
      </c>
      <c r="C646" t="s">
        <v>2331</v>
      </c>
      <c r="D646">
        <v>4</v>
      </c>
      <c r="E646">
        <v>-22.8</v>
      </c>
      <c r="F646">
        <v>-22.8</v>
      </c>
      <c r="G646" t="s">
        <v>2332</v>
      </c>
      <c r="H646" t="s">
        <v>2519</v>
      </c>
      <c r="I646" t="s">
        <v>2374</v>
      </c>
      <c r="J646" t="s">
        <v>2520</v>
      </c>
      <c r="L646" t="s">
        <v>2333</v>
      </c>
    </row>
    <row r="647" spans="1:12" x14ac:dyDescent="0.2">
      <c r="A647" t="s">
        <v>1767</v>
      </c>
      <c r="B647" t="s">
        <v>1768</v>
      </c>
      <c r="C647" t="s">
        <v>2331</v>
      </c>
      <c r="D647">
        <v>4</v>
      </c>
      <c r="E647">
        <v>22.8</v>
      </c>
      <c r="F647">
        <v>22.8</v>
      </c>
      <c r="G647" t="s">
        <v>2332</v>
      </c>
      <c r="H647" t="s">
        <v>2521</v>
      </c>
      <c r="I647" t="s">
        <v>2374</v>
      </c>
      <c r="J647" t="s">
        <v>2522</v>
      </c>
      <c r="L647" t="s">
        <v>2333</v>
      </c>
    </row>
    <row r="648" spans="1:12" x14ac:dyDescent="0.2">
      <c r="A648" t="s">
        <v>1767</v>
      </c>
      <c r="B648" t="s">
        <v>1768</v>
      </c>
      <c r="C648" t="s">
        <v>2331</v>
      </c>
      <c r="D648">
        <v>4</v>
      </c>
      <c r="E648">
        <v>6.03</v>
      </c>
      <c r="F648">
        <v>6.03</v>
      </c>
      <c r="G648" t="s">
        <v>2332</v>
      </c>
      <c r="H648" t="s">
        <v>2523</v>
      </c>
      <c r="I648" t="s">
        <v>2374</v>
      </c>
      <c r="J648" t="s">
        <v>2524</v>
      </c>
      <c r="L648" t="s">
        <v>2333</v>
      </c>
    </row>
    <row r="649" spans="1:12" x14ac:dyDescent="0.2">
      <c r="A649" t="s">
        <v>1767</v>
      </c>
      <c r="B649" t="s">
        <v>1768</v>
      </c>
      <c r="C649" t="s">
        <v>2331</v>
      </c>
      <c r="D649">
        <v>4</v>
      </c>
      <c r="E649">
        <v>12.46</v>
      </c>
      <c r="F649">
        <v>12.46</v>
      </c>
      <c r="G649" t="s">
        <v>2332</v>
      </c>
      <c r="H649" t="s">
        <v>2525</v>
      </c>
      <c r="I649" t="s">
        <v>2374</v>
      </c>
      <c r="J649" t="s">
        <v>2526</v>
      </c>
      <c r="L649" t="s">
        <v>2333</v>
      </c>
    </row>
    <row r="650" spans="1:12" x14ac:dyDescent="0.2">
      <c r="A650" t="s">
        <v>1767</v>
      </c>
      <c r="B650" t="s">
        <v>1768</v>
      </c>
      <c r="C650" t="s">
        <v>2331</v>
      </c>
      <c r="D650">
        <v>4</v>
      </c>
      <c r="E650">
        <v>484.34</v>
      </c>
      <c r="F650">
        <v>484.34</v>
      </c>
      <c r="G650" t="s">
        <v>2332</v>
      </c>
      <c r="H650" t="s">
        <v>2499</v>
      </c>
      <c r="I650" t="s">
        <v>2374</v>
      </c>
      <c r="J650" t="s">
        <v>2500</v>
      </c>
      <c r="L650" t="s">
        <v>2333</v>
      </c>
    </row>
    <row r="651" spans="1:12" x14ac:dyDescent="0.2">
      <c r="A651" t="s">
        <v>1767</v>
      </c>
      <c r="B651" t="s">
        <v>1768</v>
      </c>
      <c r="C651" t="s">
        <v>2331</v>
      </c>
      <c r="D651">
        <v>4</v>
      </c>
      <c r="E651">
        <v>637.72</v>
      </c>
      <c r="F651">
        <v>637.72</v>
      </c>
      <c r="G651" t="s">
        <v>2332</v>
      </c>
      <c r="H651" t="s">
        <v>2527</v>
      </c>
      <c r="I651" t="s">
        <v>2374</v>
      </c>
      <c r="J651" t="s">
        <v>2528</v>
      </c>
      <c r="L651" t="s">
        <v>2333</v>
      </c>
    </row>
    <row r="652" spans="1:12" x14ac:dyDescent="0.2">
      <c r="A652" t="s">
        <v>1767</v>
      </c>
      <c r="B652" t="s">
        <v>1768</v>
      </c>
      <c r="C652" t="s">
        <v>2331</v>
      </c>
      <c r="D652">
        <v>4</v>
      </c>
      <c r="E652">
        <v>4.97</v>
      </c>
      <c r="F652">
        <v>4.97</v>
      </c>
      <c r="G652" t="s">
        <v>2332</v>
      </c>
      <c r="H652" t="s">
        <v>2529</v>
      </c>
      <c r="I652" t="s">
        <v>2374</v>
      </c>
      <c r="J652" t="s">
        <v>2530</v>
      </c>
      <c r="L652" t="s">
        <v>2333</v>
      </c>
    </row>
    <row r="653" spans="1:12" x14ac:dyDescent="0.2">
      <c r="A653" t="s">
        <v>1767</v>
      </c>
      <c r="B653" t="s">
        <v>1768</v>
      </c>
      <c r="C653" t="s">
        <v>2331</v>
      </c>
      <c r="D653">
        <v>4</v>
      </c>
      <c r="E653">
        <v>3.08</v>
      </c>
      <c r="F653">
        <v>3.08</v>
      </c>
      <c r="G653" t="s">
        <v>2332</v>
      </c>
      <c r="H653" t="s">
        <v>2531</v>
      </c>
      <c r="I653" t="s">
        <v>2374</v>
      </c>
      <c r="J653" t="s">
        <v>2532</v>
      </c>
      <c r="L653" t="s">
        <v>2333</v>
      </c>
    </row>
    <row r="654" spans="1:12" x14ac:dyDescent="0.2">
      <c r="A654" t="s">
        <v>1767</v>
      </c>
      <c r="B654" t="s">
        <v>1768</v>
      </c>
      <c r="C654" t="s">
        <v>2331</v>
      </c>
      <c r="D654">
        <v>4</v>
      </c>
      <c r="E654">
        <v>43.39</v>
      </c>
      <c r="F654">
        <v>43.39</v>
      </c>
      <c r="G654" t="s">
        <v>2332</v>
      </c>
      <c r="H654" t="s">
        <v>2533</v>
      </c>
      <c r="I654" t="s">
        <v>2374</v>
      </c>
      <c r="J654" t="s">
        <v>2534</v>
      </c>
      <c r="L654" t="s">
        <v>2333</v>
      </c>
    </row>
    <row r="655" spans="1:12" x14ac:dyDescent="0.2">
      <c r="A655" t="s">
        <v>1767</v>
      </c>
      <c r="B655" t="s">
        <v>1768</v>
      </c>
      <c r="C655" t="s">
        <v>2331</v>
      </c>
      <c r="D655">
        <v>4</v>
      </c>
      <c r="E655">
        <v>0</v>
      </c>
      <c r="F655">
        <v>0</v>
      </c>
      <c r="G655" t="s">
        <v>2332</v>
      </c>
      <c r="H655" t="s">
        <v>2340</v>
      </c>
      <c r="I655" t="s">
        <v>2374</v>
      </c>
      <c r="J655" t="s">
        <v>2535</v>
      </c>
      <c r="L655" t="s">
        <v>2333</v>
      </c>
    </row>
    <row r="656" spans="1:12" x14ac:dyDescent="0.2">
      <c r="A656" t="s">
        <v>1767</v>
      </c>
      <c r="B656" t="s">
        <v>1768</v>
      </c>
      <c r="C656" t="s">
        <v>2331</v>
      </c>
      <c r="D656">
        <v>4</v>
      </c>
      <c r="E656">
        <v>0</v>
      </c>
      <c r="F656">
        <v>0</v>
      </c>
      <c r="G656" t="s">
        <v>2332</v>
      </c>
      <c r="H656" t="s">
        <v>2340</v>
      </c>
      <c r="I656" t="s">
        <v>2374</v>
      </c>
      <c r="J656" t="s">
        <v>2536</v>
      </c>
      <c r="L656" t="s">
        <v>2333</v>
      </c>
    </row>
    <row r="657" spans="1:12" x14ac:dyDescent="0.2">
      <c r="A657" t="s">
        <v>1767</v>
      </c>
      <c r="B657" t="s">
        <v>1768</v>
      </c>
      <c r="C657" t="s">
        <v>2331</v>
      </c>
      <c r="D657">
        <v>4</v>
      </c>
      <c r="E657">
        <v>0</v>
      </c>
      <c r="F657">
        <v>0</v>
      </c>
      <c r="G657" t="s">
        <v>2332</v>
      </c>
      <c r="H657" t="s">
        <v>2340</v>
      </c>
      <c r="I657" t="s">
        <v>2374</v>
      </c>
      <c r="J657" t="s">
        <v>2537</v>
      </c>
      <c r="L657" t="s">
        <v>2333</v>
      </c>
    </row>
    <row r="658" spans="1:12" x14ac:dyDescent="0.2">
      <c r="A658" t="s">
        <v>1767</v>
      </c>
      <c r="B658" t="s">
        <v>1768</v>
      </c>
      <c r="C658" t="s">
        <v>2331</v>
      </c>
      <c r="D658">
        <v>4</v>
      </c>
      <c r="E658">
        <v>41.06</v>
      </c>
      <c r="F658">
        <v>41.06</v>
      </c>
      <c r="G658" t="s">
        <v>2332</v>
      </c>
      <c r="H658" t="s">
        <v>2538</v>
      </c>
      <c r="I658" t="s">
        <v>2374</v>
      </c>
      <c r="J658" t="s">
        <v>2539</v>
      </c>
      <c r="L658" t="s">
        <v>2333</v>
      </c>
    </row>
    <row r="659" spans="1:12" x14ac:dyDescent="0.2">
      <c r="A659" t="s">
        <v>1767</v>
      </c>
      <c r="B659" t="s">
        <v>1768</v>
      </c>
      <c r="C659" t="s">
        <v>2331</v>
      </c>
      <c r="D659">
        <v>4</v>
      </c>
      <c r="E659">
        <v>206.5</v>
      </c>
      <c r="F659">
        <v>206.5</v>
      </c>
      <c r="G659" t="s">
        <v>2332</v>
      </c>
      <c r="H659" t="s">
        <v>2540</v>
      </c>
      <c r="I659" t="s">
        <v>2374</v>
      </c>
      <c r="J659" t="s">
        <v>2541</v>
      </c>
      <c r="L659" t="s">
        <v>2333</v>
      </c>
    </row>
    <row r="660" spans="1:12" x14ac:dyDescent="0.2">
      <c r="A660" t="s">
        <v>1767</v>
      </c>
      <c r="B660" t="s">
        <v>1768</v>
      </c>
      <c r="C660" t="s">
        <v>2331</v>
      </c>
      <c r="D660">
        <v>4</v>
      </c>
      <c r="E660">
        <v>99</v>
      </c>
      <c r="F660">
        <v>99</v>
      </c>
      <c r="G660" t="s">
        <v>2332</v>
      </c>
      <c r="H660" t="s">
        <v>2542</v>
      </c>
      <c r="I660" t="s">
        <v>2374</v>
      </c>
      <c r="J660" t="s">
        <v>2543</v>
      </c>
      <c r="L660" t="s">
        <v>2333</v>
      </c>
    </row>
    <row r="661" spans="1:12" x14ac:dyDescent="0.2">
      <c r="A661" t="s">
        <v>1767</v>
      </c>
      <c r="B661" t="s">
        <v>1768</v>
      </c>
      <c r="C661" t="s">
        <v>2331</v>
      </c>
      <c r="D661">
        <v>4</v>
      </c>
      <c r="E661">
        <v>484.34</v>
      </c>
      <c r="F661">
        <v>484.34</v>
      </c>
      <c r="G661" t="s">
        <v>2332</v>
      </c>
      <c r="H661" t="s">
        <v>2499</v>
      </c>
      <c r="I661" t="s">
        <v>2374</v>
      </c>
      <c r="J661" t="s">
        <v>2500</v>
      </c>
      <c r="L661" t="s">
        <v>2333</v>
      </c>
    </row>
    <row r="662" spans="1:12" x14ac:dyDescent="0.2">
      <c r="A662" t="s">
        <v>1767</v>
      </c>
      <c r="B662" t="s">
        <v>1768</v>
      </c>
      <c r="C662" t="s">
        <v>2331</v>
      </c>
      <c r="D662">
        <v>4</v>
      </c>
      <c r="E662">
        <v>377.57</v>
      </c>
      <c r="F662">
        <v>377.57</v>
      </c>
      <c r="G662" t="s">
        <v>2332</v>
      </c>
      <c r="H662" t="s">
        <v>2544</v>
      </c>
      <c r="I662" t="s">
        <v>2374</v>
      </c>
      <c r="J662" t="s">
        <v>2545</v>
      </c>
      <c r="L662" t="s">
        <v>2333</v>
      </c>
    </row>
    <row r="663" spans="1:12" x14ac:dyDescent="0.2">
      <c r="A663" t="s">
        <v>1767</v>
      </c>
      <c r="B663" t="s">
        <v>1768</v>
      </c>
      <c r="C663" t="s">
        <v>2331</v>
      </c>
      <c r="D663">
        <v>4</v>
      </c>
      <c r="E663">
        <v>447.35</v>
      </c>
      <c r="F663">
        <v>447.35</v>
      </c>
      <c r="G663" t="s">
        <v>2332</v>
      </c>
      <c r="H663" t="s">
        <v>2546</v>
      </c>
      <c r="I663" t="s">
        <v>2374</v>
      </c>
      <c r="J663" t="s">
        <v>2547</v>
      </c>
      <c r="L663" t="s">
        <v>2333</v>
      </c>
    </row>
    <row r="664" spans="1:12" x14ac:dyDescent="0.2">
      <c r="A664" t="s">
        <v>1767</v>
      </c>
      <c r="B664" t="s">
        <v>1768</v>
      </c>
      <c r="C664" t="s">
        <v>2331</v>
      </c>
      <c r="D664">
        <v>4</v>
      </c>
      <c r="E664">
        <v>45.09</v>
      </c>
      <c r="F664">
        <v>45.09</v>
      </c>
      <c r="G664" t="s">
        <v>2332</v>
      </c>
      <c r="H664" t="s">
        <v>2548</v>
      </c>
      <c r="I664" t="s">
        <v>2374</v>
      </c>
      <c r="J664" t="s">
        <v>2549</v>
      </c>
      <c r="L664" t="s">
        <v>2333</v>
      </c>
    </row>
    <row r="665" spans="1:12" x14ac:dyDescent="0.2">
      <c r="A665" t="s">
        <v>1767</v>
      </c>
      <c r="B665" t="s">
        <v>1768</v>
      </c>
      <c r="C665" t="s">
        <v>2331</v>
      </c>
      <c r="D665">
        <v>4</v>
      </c>
      <c r="E665">
        <v>32.270000000000003</v>
      </c>
      <c r="F665">
        <v>32.270000000000003</v>
      </c>
      <c r="G665" t="s">
        <v>2332</v>
      </c>
      <c r="H665" t="s">
        <v>2550</v>
      </c>
      <c r="I665" t="s">
        <v>2374</v>
      </c>
      <c r="J665" t="s">
        <v>2551</v>
      </c>
      <c r="L665" t="s">
        <v>2333</v>
      </c>
    </row>
    <row r="666" spans="1:12" x14ac:dyDescent="0.2">
      <c r="A666" t="s">
        <v>1767</v>
      </c>
      <c r="B666" t="s">
        <v>1768</v>
      </c>
      <c r="C666" t="s">
        <v>2331</v>
      </c>
      <c r="D666">
        <v>4</v>
      </c>
      <c r="E666">
        <v>16.010000000000002</v>
      </c>
      <c r="F666">
        <v>16.010000000000002</v>
      </c>
      <c r="G666" t="s">
        <v>2332</v>
      </c>
      <c r="H666" t="s">
        <v>2552</v>
      </c>
      <c r="I666" t="s">
        <v>2374</v>
      </c>
      <c r="J666" t="s">
        <v>2553</v>
      </c>
      <c r="L666" t="s">
        <v>2333</v>
      </c>
    </row>
    <row r="667" spans="1:12" x14ac:dyDescent="0.2">
      <c r="A667" t="s">
        <v>1767</v>
      </c>
      <c r="B667" t="s">
        <v>1768</v>
      </c>
      <c r="C667" t="s">
        <v>2331</v>
      </c>
      <c r="D667">
        <v>4</v>
      </c>
      <c r="E667">
        <v>172.8</v>
      </c>
      <c r="F667">
        <v>172.8</v>
      </c>
      <c r="G667" t="s">
        <v>2332</v>
      </c>
      <c r="H667" t="s">
        <v>2554</v>
      </c>
      <c r="I667" t="s">
        <v>2374</v>
      </c>
      <c r="J667" t="s">
        <v>2555</v>
      </c>
      <c r="L667" t="s">
        <v>2333</v>
      </c>
    </row>
    <row r="668" spans="1:12" x14ac:dyDescent="0.2">
      <c r="A668" t="s">
        <v>1767</v>
      </c>
      <c r="B668" t="s">
        <v>1768</v>
      </c>
      <c r="C668" t="s">
        <v>2331</v>
      </c>
      <c r="D668">
        <v>4</v>
      </c>
      <c r="E668">
        <v>447.35</v>
      </c>
      <c r="F668">
        <v>447.35</v>
      </c>
      <c r="G668" t="s">
        <v>2332</v>
      </c>
      <c r="H668" t="s">
        <v>2546</v>
      </c>
      <c r="I668" t="s">
        <v>2374</v>
      </c>
      <c r="J668" t="s">
        <v>2547</v>
      </c>
      <c r="L668" t="s">
        <v>2333</v>
      </c>
    </row>
    <row r="669" spans="1:12" x14ac:dyDescent="0.2">
      <c r="A669" t="s">
        <v>1767</v>
      </c>
      <c r="B669" t="s">
        <v>1768</v>
      </c>
      <c r="C669" t="s">
        <v>2331</v>
      </c>
      <c r="D669">
        <v>4</v>
      </c>
      <c r="E669">
        <v>64.8</v>
      </c>
      <c r="F669">
        <v>64.8</v>
      </c>
      <c r="G669" t="s">
        <v>2332</v>
      </c>
      <c r="H669" t="s">
        <v>2556</v>
      </c>
      <c r="I669" t="s">
        <v>2374</v>
      </c>
      <c r="J669" t="s">
        <v>2557</v>
      </c>
      <c r="L669" t="s">
        <v>2333</v>
      </c>
    </row>
    <row r="670" spans="1:12" x14ac:dyDescent="0.2">
      <c r="A670" t="s">
        <v>1767</v>
      </c>
      <c r="B670" t="s">
        <v>1768</v>
      </c>
      <c r="C670" t="s">
        <v>2331</v>
      </c>
      <c r="D670">
        <v>4</v>
      </c>
      <c r="E670">
        <v>383.89</v>
      </c>
      <c r="F670">
        <v>383.89</v>
      </c>
      <c r="G670" t="s">
        <v>2332</v>
      </c>
      <c r="H670" t="s">
        <v>2558</v>
      </c>
      <c r="I670" t="s">
        <v>2374</v>
      </c>
      <c r="J670" t="s">
        <v>2559</v>
      </c>
      <c r="L670" t="s">
        <v>2333</v>
      </c>
    </row>
    <row r="671" spans="1:12" x14ac:dyDescent="0.2">
      <c r="A671" t="s">
        <v>1767</v>
      </c>
      <c r="B671" t="s">
        <v>1768</v>
      </c>
      <c r="C671" t="s">
        <v>2331</v>
      </c>
      <c r="D671">
        <v>4</v>
      </c>
      <c r="E671">
        <v>109.3</v>
      </c>
      <c r="F671">
        <v>109.3</v>
      </c>
      <c r="G671" t="s">
        <v>2332</v>
      </c>
      <c r="H671" t="s">
        <v>2560</v>
      </c>
      <c r="I671" t="s">
        <v>2374</v>
      </c>
      <c r="J671" t="s">
        <v>2561</v>
      </c>
      <c r="L671" t="s">
        <v>2333</v>
      </c>
    </row>
    <row r="672" spans="1:12" x14ac:dyDescent="0.2">
      <c r="A672" t="s">
        <v>1767</v>
      </c>
      <c r="B672" t="s">
        <v>1768</v>
      </c>
      <c r="C672" t="s">
        <v>2331</v>
      </c>
      <c r="D672">
        <v>4</v>
      </c>
      <c r="E672">
        <v>135.27000000000001</v>
      </c>
      <c r="F672">
        <v>135.27000000000001</v>
      </c>
      <c r="G672" t="s">
        <v>2332</v>
      </c>
      <c r="H672" t="s">
        <v>2562</v>
      </c>
      <c r="I672" t="s">
        <v>2374</v>
      </c>
      <c r="J672" t="s">
        <v>2563</v>
      </c>
      <c r="L672" t="s">
        <v>2333</v>
      </c>
    </row>
    <row r="673" spans="1:12" x14ac:dyDescent="0.2">
      <c r="A673" t="s">
        <v>1767</v>
      </c>
      <c r="B673" t="s">
        <v>1768</v>
      </c>
      <c r="C673" t="s">
        <v>2331</v>
      </c>
      <c r="D673">
        <v>4</v>
      </c>
      <c r="E673">
        <v>117.9</v>
      </c>
      <c r="F673">
        <v>117.9</v>
      </c>
      <c r="G673" t="s">
        <v>2332</v>
      </c>
      <c r="H673" t="s">
        <v>2564</v>
      </c>
      <c r="I673" t="s">
        <v>2374</v>
      </c>
      <c r="J673" t="s">
        <v>2565</v>
      </c>
      <c r="L673" t="s">
        <v>2333</v>
      </c>
    </row>
    <row r="674" spans="1:12" x14ac:dyDescent="0.2">
      <c r="A674" t="s">
        <v>1767</v>
      </c>
      <c r="B674" t="s">
        <v>1768</v>
      </c>
      <c r="C674" t="s">
        <v>2331</v>
      </c>
      <c r="D674">
        <v>4</v>
      </c>
      <c r="E674">
        <v>113.6</v>
      </c>
      <c r="F674">
        <v>113.6</v>
      </c>
      <c r="G674" t="s">
        <v>2332</v>
      </c>
      <c r="H674" t="s">
        <v>2566</v>
      </c>
      <c r="I674" t="s">
        <v>2374</v>
      </c>
      <c r="J674" t="s">
        <v>2567</v>
      </c>
      <c r="L674" t="s">
        <v>2333</v>
      </c>
    </row>
    <row r="675" spans="1:12" x14ac:dyDescent="0.2">
      <c r="A675" t="s">
        <v>1767</v>
      </c>
      <c r="B675" t="s">
        <v>1768</v>
      </c>
      <c r="C675" t="s">
        <v>2331</v>
      </c>
      <c r="D675">
        <v>4</v>
      </c>
      <c r="E675">
        <v>406.56</v>
      </c>
      <c r="F675">
        <v>406.56</v>
      </c>
      <c r="G675" t="s">
        <v>2332</v>
      </c>
      <c r="H675" t="s">
        <v>2568</v>
      </c>
      <c r="I675" t="s">
        <v>2374</v>
      </c>
      <c r="J675" t="s">
        <v>2569</v>
      </c>
      <c r="L675" t="s">
        <v>2333</v>
      </c>
    </row>
    <row r="676" spans="1:12" x14ac:dyDescent="0.2">
      <c r="A676" t="s">
        <v>1767</v>
      </c>
      <c r="B676" t="s">
        <v>1768</v>
      </c>
      <c r="C676" t="s">
        <v>2331</v>
      </c>
      <c r="D676">
        <v>4</v>
      </c>
      <c r="E676">
        <v>392</v>
      </c>
      <c r="F676">
        <v>392</v>
      </c>
      <c r="G676" t="s">
        <v>2332</v>
      </c>
      <c r="H676" t="s">
        <v>2570</v>
      </c>
      <c r="I676" t="s">
        <v>2374</v>
      </c>
      <c r="J676" t="s">
        <v>2571</v>
      </c>
      <c r="L676" t="s">
        <v>2333</v>
      </c>
    </row>
    <row r="677" spans="1:12" x14ac:dyDescent="0.2">
      <c r="A677" t="s">
        <v>1767</v>
      </c>
      <c r="B677" t="s">
        <v>1768</v>
      </c>
      <c r="C677" t="s">
        <v>2331</v>
      </c>
      <c r="D677">
        <v>4</v>
      </c>
      <c r="E677">
        <v>273.02999999999997</v>
      </c>
      <c r="F677">
        <v>273.02999999999997</v>
      </c>
      <c r="G677" t="s">
        <v>2332</v>
      </c>
      <c r="H677" t="s">
        <v>2572</v>
      </c>
      <c r="I677" t="s">
        <v>2374</v>
      </c>
      <c r="J677" t="s">
        <v>2573</v>
      </c>
      <c r="L677" t="s">
        <v>2333</v>
      </c>
    </row>
    <row r="678" spans="1:12" x14ac:dyDescent="0.2">
      <c r="A678" t="s">
        <v>1767</v>
      </c>
      <c r="B678" t="s">
        <v>1768</v>
      </c>
      <c r="C678" t="s">
        <v>2331</v>
      </c>
      <c r="D678">
        <v>4</v>
      </c>
      <c r="E678">
        <v>303.37</v>
      </c>
      <c r="F678">
        <v>303.37</v>
      </c>
      <c r="G678" t="s">
        <v>2332</v>
      </c>
      <c r="H678" t="s">
        <v>2574</v>
      </c>
      <c r="I678" t="s">
        <v>2374</v>
      </c>
      <c r="J678" t="s">
        <v>2575</v>
      </c>
      <c r="L678" t="s">
        <v>2333</v>
      </c>
    </row>
    <row r="679" spans="1:12" x14ac:dyDescent="0.2">
      <c r="A679" t="s">
        <v>1767</v>
      </c>
      <c r="B679" t="s">
        <v>1768</v>
      </c>
      <c r="C679" t="s">
        <v>2331</v>
      </c>
      <c r="D679">
        <v>4</v>
      </c>
      <c r="E679">
        <v>-303.37</v>
      </c>
      <c r="F679">
        <v>-303.37</v>
      </c>
      <c r="G679" t="s">
        <v>2332</v>
      </c>
      <c r="H679" t="s">
        <v>2576</v>
      </c>
      <c r="I679" t="s">
        <v>2374</v>
      </c>
      <c r="J679" t="s">
        <v>2577</v>
      </c>
      <c r="L679" t="s">
        <v>2333</v>
      </c>
    </row>
    <row r="680" spans="1:12" x14ac:dyDescent="0.2">
      <c r="A680" t="s">
        <v>1767</v>
      </c>
      <c r="B680" t="s">
        <v>1768</v>
      </c>
      <c r="C680" t="s">
        <v>2331</v>
      </c>
      <c r="D680">
        <v>4</v>
      </c>
      <c r="E680">
        <v>303.37</v>
      </c>
      <c r="F680">
        <v>303.37</v>
      </c>
      <c r="G680" t="s">
        <v>2332</v>
      </c>
      <c r="H680" t="s">
        <v>2574</v>
      </c>
      <c r="I680" t="s">
        <v>2374</v>
      </c>
      <c r="J680" t="s">
        <v>2575</v>
      </c>
      <c r="L680" t="s">
        <v>2333</v>
      </c>
    </row>
    <row r="681" spans="1:12" x14ac:dyDescent="0.2">
      <c r="A681" t="s">
        <v>1767</v>
      </c>
      <c r="B681" t="s">
        <v>1768</v>
      </c>
      <c r="C681" t="s">
        <v>2331</v>
      </c>
      <c r="D681">
        <v>4</v>
      </c>
      <c r="E681">
        <v>163.95</v>
      </c>
      <c r="F681">
        <v>163.95</v>
      </c>
      <c r="G681" t="s">
        <v>2332</v>
      </c>
      <c r="H681" t="s">
        <v>2578</v>
      </c>
      <c r="I681" t="s">
        <v>2374</v>
      </c>
      <c r="J681" t="s">
        <v>2579</v>
      </c>
      <c r="L681" t="s">
        <v>2333</v>
      </c>
    </row>
    <row r="682" spans="1:12" x14ac:dyDescent="0.2">
      <c r="A682" t="s">
        <v>1767</v>
      </c>
      <c r="B682" t="s">
        <v>1768</v>
      </c>
      <c r="C682" t="s">
        <v>2331</v>
      </c>
      <c r="D682">
        <v>4</v>
      </c>
      <c r="E682">
        <v>109.3</v>
      </c>
      <c r="F682">
        <v>109.3</v>
      </c>
      <c r="G682" t="s">
        <v>2332</v>
      </c>
      <c r="H682" t="s">
        <v>2560</v>
      </c>
      <c r="I682" t="s">
        <v>2374</v>
      </c>
      <c r="J682" t="s">
        <v>2561</v>
      </c>
      <c r="L682" t="s">
        <v>2333</v>
      </c>
    </row>
    <row r="683" spans="1:12" x14ac:dyDescent="0.2">
      <c r="A683" t="s">
        <v>1767</v>
      </c>
      <c r="B683" t="s">
        <v>1768</v>
      </c>
      <c r="C683" t="s">
        <v>2331</v>
      </c>
      <c r="D683">
        <v>4</v>
      </c>
      <c r="E683">
        <v>109.3</v>
      </c>
      <c r="F683">
        <v>109.3</v>
      </c>
      <c r="G683" t="s">
        <v>2332</v>
      </c>
      <c r="H683" t="s">
        <v>2560</v>
      </c>
      <c r="I683" t="s">
        <v>2374</v>
      </c>
      <c r="J683" t="s">
        <v>2561</v>
      </c>
      <c r="L683" t="s">
        <v>2333</v>
      </c>
    </row>
    <row r="684" spans="1:12" x14ac:dyDescent="0.2">
      <c r="A684" t="s">
        <v>1767</v>
      </c>
      <c r="B684" t="s">
        <v>1768</v>
      </c>
      <c r="C684" t="s">
        <v>2331</v>
      </c>
      <c r="D684">
        <v>4</v>
      </c>
      <c r="E684">
        <v>-109.3</v>
      </c>
      <c r="F684">
        <v>-109.3</v>
      </c>
      <c r="G684" t="s">
        <v>2332</v>
      </c>
      <c r="H684" t="s">
        <v>2580</v>
      </c>
      <c r="I684" t="s">
        <v>2374</v>
      </c>
      <c r="J684" t="s">
        <v>2581</v>
      </c>
      <c r="L684" t="s">
        <v>2333</v>
      </c>
    </row>
    <row r="685" spans="1:12" x14ac:dyDescent="0.2">
      <c r="A685" t="s">
        <v>1767</v>
      </c>
      <c r="B685" t="s">
        <v>1768</v>
      </c>
      <c r="C685" t="s">
        <v>2331</v>
      </c>
      <c r="D685">
        <v>4</v>
      </c>
      <c r="E685">
        <v>109.3</v>
      </c>
      <c r="F685">
        <v>109.3</v>
      </c>
      <c r="G685" t="s">
        <v>2332</v>
      </c>
      <c r="H685" t="s">
        <v>2560</v>
      </c>
      <c r="I685" t="s">
        <v>2374</v>
      </c>
      <c r="J685" t="s">
        <v>2561</v>
      </c>
      <c r="L685" t="s">
        <v>2333</v>
      </c>
    </row>
    <row r="686" spans="1:12" x14ac:dyDescent="0.2">
      <c r="A686" t="s">
        <v>1767</v>
      </c>
      <c r="B686" t="s">
        <v>1768</v>
      </c>
      <c r="C686" t="s">
        <v>2331</v>
      </c>
      <c r="D686">
        <v>4</v>
      </c>
      <c r="E686">
        <v>4200.37</v>
      </c>
      <c r="F686">
        <v>4200.37</v>
      </c>
      <c r="G686" t="s">
        <v>2332</v>
      </c>
      <c r="H686" t="s">
        <v>2582</v>
      </c>
      <c r="I686" t="s">
        <v>2374</v>
      </c>
      <c r="J686" t="s">
        <v>2583</v>
      </c>
      <c r="L686" t="s">
        <v>2333</v>
      </c>
    </row>
    <row r="687" spans="1:12" x14ac:dyDescent="0.2">
      <c r="A687" t="s">
        <v>1767</v>
      </c>
      <c r="B687" t="s">
        <v>1768</v>
      </c>
      <c r="C687" t="s">
        <v>2331</v>
      </c>
      <c r="D687">
        <v>4</v>
      </c>
      <c r="E687">
        <v>10.11</v>
      </c>
      <c r="F687">
        <v>10.11</v>
      </c>
      <c r="G687" t="s">
        <v>2332</v>
      </c>
      <c r="H687" t="s">
        <v>2584</v>
      </c>
      <c r="I687" t="s">
        <v>2374</v>
      </c>
      <c r="J687" t="s">
        <v>2585</v>
      </c>
      <c r="L687" t="s">
        <v>2333</v>
      </c>
    </row>
    <row r="688" spans="1:12" x14ac:dyDescent="0.2">
      <c r="A688" t="s">
        <v>1767</v>
      </c>
      <c r="B688" t="s">
        <v>1768</v>
      </c>
      <c r="C688" t="s">
        <v>2331</v>
      </c>
      <c r="D688">
        <v>4</v>
      </c>
      <c r="E688">
        <v>50.54</v>
      </c>
      <c r="F688">
        <v>50.54</v>
      </c>
      <c r="G688" t="s">
        <v>2332</v>
      </c>
      <c r="H688" t="s">
        <v>2586</v>
      </c>
      <c r="I688" t="s">
        <v>2374</v>
      </c>
      <c r="J688" t="s">
        <v>2587</v>
      </c>
      <c r="L688" t="s">
        <v>2333</v>
      </c>
    </row>
    <row r="689" spans="1:12" x14ac:dyDescent="0.2">
      <c r="A689" t="s">
        <v>1767</v>
      </c>
      <c r="B689" t="s">
        <v>1768</v>
      </c>
      <c r="C689" t="s">
        <v>2331</v>
      </c>
      <c r="D689">
        <v>4</v>
      </c>
      <c r="E689">
        <v>-50.54</v>
      </c>
      <c r="F689">
        <v>-50.54</v>
      </c>
      <c r="G689" t="s">
        <v>2332</v>
      </c>
      <c r="H689" t="s">
        <v>2588</v>
      </c>
      <c r="I689" t="s">
        <v>2374</v>
      </c>
      <c r="J689" t="s">
        <v>2589</v>
      </c>
      <c r="L689" t="s">
        <v>2333</v>
      </c>
    </row>
    <row r="690" spans="1:12" x14ac:dyDescent="0.2">
      <c r="A690" t="s">
        <v>1767</v>
      </c>
      <c r="B690" t="s">
        <v>1768</v>
      </c>
      <c r="C690" t="s">
        <v>2331</v>
      </c>
      <c r="D690">
        <v>4</v>
      </c>
      <c r="E690">
        <v>50.54</v>
      </c>
      <c r="F690">
        <v>50.54</v>
      </c>
      <c r="G690" t="s">
        <v>2332</v>
      </c>
      <c r="H690" t="s">
        <v>2586</v>
      </c>
      <c r="I690" t="s">
        <v>2374</v>
      </c>
      <c r="J690" t="s">
        <v>2587</v>
      </c>
      <c r="L690" t="s">
        <v>2333</v>
      </c>
    </row>
    <row r="691" spans="1:12" x14ac:dyDescent="0.2">
      <c r="A691" t="s">
        <v>1767</v>
      </c>
      <c r="B691" t="s">
        <v>1768</v>
      </c>
      <c r="C691" t="s">
        <v>2331</v>
      </c>
      <c r="D691">
        <v>4</v>
      </c>
      <c r="E691">
        <v>137</v>
      </c>
      <c r="F691">
        <v>137</v>
      </c>
      <c r="G691" t="s">
        <v>2332</v>
      </c>
      <c r="H691" t="s">
        <v>2590</v>
      </c>
      <c r="I691" t="s">
        <v>2374</v>
      </c>
      <c r="J691" t="s">
        <v>2591</v>
      </c>
      <c r="L691" t="s">
        <v>2333</v>
      </c>
    </row>
    <row r="692" spans="1:12" x14ac:dyDescent="0.2">
      <c r="A692" t="s">
        <v>1767</v>
      </c>
      <c r="B692" t="s">
        <v>1768</v>
      </c>
      <c r="C692" t="s">
        <v>2331</v>
      </c>
      <c r="D692">
        <v>4</v>
      </c>
      <c r="E692">
        <v>147.74</v>
      </c>
      <c r="F692">
        <v>147.74</v>
      </c>
      <c r="G692" t="s">
        <v>2332</v>
      </c>
      <c r="H692" t="s">
        <v>2592</v>
      </c>
      <c r="I692" t="s">
        <v>2374</v>
      </c>
      <c r="J692" t="s">
        <v>2593</v>
      </c>
      <c r="L692" t="s">
        <v>2333</v>
      </c>
    </row>
    <row r="693" spans="1:12" x14ac:dyDescent="0.2">
      <c r="A693" t="s">
        <v>1767</v>
      </c>
      <c r="B693" t="s">
        <v>1768</v>
      </c>
      <c r="C693" t="s">
        <v>2331</v>
      </c>
      <c r="D693">
        <v>4</v>
      </c>
      <c r="E693">
        <v>447.35</v>
      </c>
      <c r="F693">
        <v>447.35</v>
      </c>
      <c r="G693" t="s">
        <v>2332</v>
      </c>
      <c r="H693" t="s">
        <v>2546</v>
      </c>
      <c r="I693" t="s">
        <v>2374</v>
      </c>
      <c r="J693" t="s">
        <v>2547</v>
      </c>
      <c r="L693" t="s">
        <v>2333</v>
      </c>
    </row>
    <row r="694" spans="1:12" x14ac:dyDescent="0.2">
      <c r="A694" t="s">
        <v>1767</v>
      </c>
      <c r="B694" t="s">
        <v>1768</v>
      </c>
      <c r="C694" t="s">
        <v>2331</v>
      </c>
      <c r="D694">
        <v>4</v>
      </c>
      <c r="E694">
        <v>-109.3</v>
      </c>
      <c r="F694">
        <v>-109.3</v>
      </c>
      <c r="G694" t="s">
        <v>2332</v>
      </c>
      <c r="H694" t="s">
        <v>2580</v>
      </c>
      <c r="I694" t="s">
        <v>2374</v>
      </c>
      <c r="J694" t="s">
        <v>2581</v>
      </c>
      <c r="L694" t="s">
        <v>2333</v>
      </c>
    </row>
    <row r="695" spans="1:12" x14ac:dyDescent="0.2">
      <c r="A695" t="s">
        <v>1767</v>
      </c>
      <c r="B695" t="s">
        <v>1768</v>
      </c>
      <c r="C695" t="s">
        <v>2331</v>
      </c>
      <c r="D695">
        <v>4</v>
      </c>
      <c r="E695">
        <v>109.3</v>
      </c>
      <c r="F695">
        <v>109.3</v>
      </c>
      <c r="G695" t="s">
        <v>2332</v>
      </c>
      <c r="H695" t="s">
        <v>2560</v>
      </c>
      <c r="I695" t="s">
        <v>2374</v>
      </c>
      <c r="J695" t="s">
        <v>2561</v>
      </c>
      <c r="L695" t="s">
        <v>2333</v>
      </c>
    </row>
    <row r="696" spans="1:12" x14ac:dyDescent="0.2">
      <c r="A696" t="s">
        <v>1767</v>
      </c>
      <c r="B696" t="s">
        <v>1768</v>
      </c>
      <c r="C696" t="s">
        <v>2331</v>
      </c>
      <c r="D696">
        <v>4</v>
      </c>
      <c r="E696">
        <v>-109.3</v>
      </c>
      <c r="F696">
        <v>-109.3</v>
      </c>
      <c r="G696" t="s">
        <v>2332</v>
      </c>
      <c r="H696" t="s">
        <v>2580</v>
      </c>
      <c r="I696" t="s">
        <v>2374</v>
      </c>
      <c r="J696" t="s">
        <v>2581</v>
      </c>
      <c r="L696" t="s">
        <v>2333</v>
      </c>
    </row>
    <row r="697" spans="1:12" x14ac:dyDescent="0.2">
      <c r="A697" t="s">
        <v>1767</v>
      </c>
      <c r="B697" t="s">
        <v>1768</v>
      </c>
      <c r="C697" t="s">
        <v>2331</v>
      </c>
      <c r="D697">
        <v>4</v>
      </c>
      <c r="E697">
        <v>109.3</v>
      </c>
      <c r="F697">
        <v>109.3</v>
      </c>
      <c r="G697" t="s">
        <v>2332</v>
      </c>
      <c r="H697" t="s">
        <v>2560</v>
      </c>
      <c r="I697" t="s">
        <v>2374</v>
      </c>
      <c r="J697" t="s">
        <v>2561</v>
      </c>
      <c r="L697" t="s">
        <v>2333</v>
      </c>
    </row>
    <row r="698" spans="1:12" x14ac:dyDescent="0.2">
      <c r="A698" t="s">
        <v>1767</v>
      </c>
      <c r="B698" t="s">
        <v>1768</v>
      </c>
      <c r="C698" t="s">
        <v>2331</v>
      </c>
      <c r="D698">
        <v>4</v>
      </c>
      <c r="E698">
        <v>1453.02</v>
      </c>
      <c r="F698">
        <v>1453.02</v>
      </c>
      <c r="G698" t="s">
        <v>2332</v>
      </c>
      <c r="H698" t="s">
        <v>2594</v>
      </c>
      <c r="I698" t="s">
        <v>2374</v>
      </c>
      <c r="J698" t="s">
        <v>2595</v>
      </c>
      <c r="L698" t="s">
        <v>2333</v>
      </c>
    </row>
    <row r="699" spans="1:12" x14ac:dyDescent="0.2">
      <c r="A699" t="s">
        <v>1767</v>
      </c>
      <c r="B699" t="s">
        <v>1768</v>
      </c>
      <c r="C699" t="s">
        <v>2331</v>
      </c>
      <c r="D699">
        <v>4</v>
      </c>
      <c r="E699">
        <v>-109.3</v>
      </c>
      <c r="F699">
        <v>-109.3</v>
      </c>
      <c r="G699" t="s">
        <v>2332</v>
      </c>
      <c r="H699" t="s">
        <v>2580</v>
      </c>
      <c r="I699" t="s">
        <v>2374</v>
      </c>
      <c r="J699" t="s">
        <v>2581</v>
      </c>
      <c r="L699" t="s">
        <v>2333</v>
      </c>
    </row>
    <row r="700" spans="1:12" x14ac:dyDescent="0.2">
      <c r="A700" t="s">
        <v>1767</v>
      </c>
      <c r="B700" t="s">
        <v>1768</v>
      </c>
      <c r="C700" t="s">
        <v>2331</v>
      </c>
      <c r="D700">
        <v>4</v>
      </c>
      <c r="E700">
        <v>496.92</v>
      </c>
      <c r="F700">
        <v>496.92</v>
      </c>
      <c r="G700" t="s">
        <v>2332</v>
      </c>
      <c r="H700" t="s">
        <v>2501</v>
      </c>
      <c r="I700" t="s">
        <v>2374</v>
      </c>
      <c r="J700" t="s">
        <v>2502</v>
      </c>
      <c r="L700" t="s">
        <v>2333</v>
      </c>
    </row>
    <row r="701" spans="1:12" x14ac:dyDescent="0.2">
      <c r="A701" t="s">
        <v>1767</v>
      </c>
      <c r="B701" t="s">
        <v>1768</v>
      </c>
      <c r="C701" t="s">
        <v>2331</v>
      </c>
      <c r="D701">
        <v>4</v>
      </c>
      <c r="E701">
        <v>684.15</v>
      </c>
      <c r="F701">
        <v>684.15</v>
      </c>
      <c r="G701" t="s">
        <v>2332</v>
      </c>
      <c r="H701" t="s">
        <v>2503</v>
      </c>
      <c r="I701" t="s">
        <v>2374</v>
      </c>
      <c r="J701" t="s">
        <v>2504</v>
      </c>
      <c r="L701" t="s">
        <v>2333</v>
      </c>
    </row>
    <row r="702" spans="1:12" x14ac:dyDescent="0.2">
      <c r="A702" t="s">
        <v>1767</v>
      </c>
      <c r="B702" t="s">
        <v>1768</v>
      </c>
      <c r="C702" t="s">
        <v>2331</v>
      </c>
      <c r="D702">
        <v>4</v>
      </c>
      <c r="E702">
        <v>1275.44</v>
      </c>
      <c r="F702">
        <v>1275.44</v>
      </c>
      <c r="G702" t="s">
        <v>2332</v>
      </c>
      <c r="H702" t="s">
        <v>2596</v>
      </c>
      <c r="I702" t="s">
        <v>2374</v>
      </c>
      <c r="J702" t="s">
        <v>2597</v>
      </c>
      <c r="L702" t="s">
        <v>2333</v>
      </c>
    </row>
    <row r="703" spans="1:12" x14ac:dyDescent="0.2">
      <c r="A703" t="s">
        <v>1767</v>
      </c>
      <c r="B703" t="s">
        <v>1768</v>
      </c>
      <c r="C703" t="s">
        <v>2331</v>
      </c>
      <c r="D703">
        <v>4</v>
      </c>
      <c r="E703">
        <v>447.35</v>
      </c>
      <c r="F703">
        <v>447.35</v>
      </c>
      <c r="G703" t="s">
        <v>2332</v>
      </c>
      <c r="H703" t="s">
        <v>2546</v>
      </c>
      <c r="I703" t="s">
        <v>2374</v>
      </c>
      <c r="J703" t="s">
        <v>2547</v>
      </c>
      <c r="L703" t="s">
        <v>2333</v>
      </c>
    </row>
    <row r="704" spans="1:12" x14ac:dyDescent="0.2">
      <c r="A704" t="s">
        <v>1767</v>
      </c>
      <c r="B704" t="s">
        <v>1768</v>
      </c>
      <c r="C704" t="s">
        <v>2331</v>
      </c>
      <c r="D704">
        <v>4</v>
      </c>
      <c r="E704">
        <v>755.14</v>
      </c>
      <c r="F704">
        <v>755.14</v>
      </c>
      <c r="G704" t="s">
        <v>2332</v>
      </c>
      <c r="H704" t="s">
        <v>2598</v>
      </c>
      <c r="I704" t="s">
        <v>2374</v>
      </c>
      <c r="J704" t="s">
        <v>2599</v>
      </c>
      <c r="L704" t="s">
        <v>2333</v>
      </c>
    </row>
    <row r="705" spans="1:12" x14ac:dyDescent="0.2">
      <c r="A705" t="s">
        <v>1767</v>
      </c>
      <c r="B705" t="s">
        <v>1768</v>
      </c>
      <c r="C705" t="s">
        <v>2331</v>
      </c>
      <c r="D705">
        <v>4</v>
      </c>
      <c r="E705">
        <v>1275.44</v>
      </c>
      <c r="F705">
        <v>1275.44</v>
      </c>
      <c r="G705" t="s">
        <v>2332</v>
      </c>
      <c r="H705" t="s">
        <v>2596</v>
      </c>
      <c r="I705" t="s">
        <v>2374</v>
      </c>
      <c r="J705" t="s">
        <v>2597</v>
      </c>
      <c r="L705" t="s">
        <v>2333</v>
      </c>
    </row>
    <row r="706" spans="1:12" x14ac:dyDescent="0.2">
      <c r="A706" t="s">
        <v>1767</v>
      </c>
      <c r="B706" t="s">
        <v>1768</v>
      </c>
      <c r="C706" t="s">
        <v>2331</v>
      </c>
      <c r="D706">
        <v>4</v>
      </c>
      <c r="E706">
        <v>2871.3</v>
      </c>
      <c r="F706">
        <v>2871.3</v>
      </c>
      <c r="G706" t="s">
        <v>2332</v>
      </c>
      <c r="H706" t="s">
        <v>2600</v>
      </c>
      <c r="I706" t="s">
        <v>2374</v>
      </c>
      <c r="J706" t="s">
        <v>2601</v>
      </c>
      <c r="L706" t="s">
        <v>2333</v>
      </c>
    </row>
    <row r="707" spans="1:12" x14ac:dyDescent="0.2">
      <c r="A707" t="s">
        <v>1767</v>
      </c>
      <c r="B707" t="s">
        <v>1768</v>
      </c>
      <c r="C707" t="s">
        <v>2331</v>
      </c>
      <c r="D707">
        <v>4</v>
      </c>
      <c r="E707">
        <v>447.35</v>
      </c>
      <c r="F707">
        <v>447.35</v>
      </c>
      <c r="G707" t="s">
        <v>2332</v>
      </c>
      <c r="H707" t="s">
        <v>2546</v>
      </c>
      <c r="I707" t="s">
        <v>2374</v>
      </c>
      <c r="J707" t="s">
        <v>2547</v>
      </c>
      <c r="L707" t="s">
        <v>2333</v>
      </c>
    </row>
    <row r="708" spans="1:12" x14ac:dyDescent="0.2">
      <c r="A708" t="s">
        <v>1767</v>
      </c>
      <c r="B708" t="s">
        <v>1768</v>
      </c>
      <c r="C708" t="s">
        <v>2331</v>
      </c>
      <c r="D708">
        <v>4</v>
      </c>
      <c r="E708">
        <v>767.78</v>
      </c>
      <c r="F708">
        <v>767.78</v>
      </c>
      <c r="G708" t="s">
        <v>2332</v>
      </c>
      <c r="H708" t="s">
        <v>2602</v>
      </c>
      <c r="I708" t="s">
        <v>2374</v>
      </c>
      <c r="J708" t="s">
        <v>2603</v>
      </c>
      <c r="L708" t="s">
        <v>2333</v>
      </c>
    </row>
    <row r="709" spans="1:12" x14ac:dyDescent="0.2">
      <c r="A709" t="s">
        <v>1767</v>
      </c>
      <c r="B709" t="s">
        <v>1768</v>
      </c>
      <c r="C709" t="s">
        <v>2331</v>
      </c>
      <c r="D709">
        <v>4</v>
      </c>
      <c r="E709">
        <v>0</v>
      </c>
      <c r="F709">
        <v>0</v>
      </c>
      <c r="G709" t="s">
        <v>2332</v>
      </c>
      <c r="H709" t="s">
        <v>2340</v>
      </c>
      <c r="I709" t="s">
        <v>2374</v>
      </c>
      <c r="J709" t="s">
        <v>2604</v>
      </c>
      <c r="L709" t="s">
        <v>2333</v>
      </c>
    </row>
    <row r="710" spans="1:12" x14ac:dyDescent="0.2">
      <c r="A710" t="s">
        <v>1767</v>
      </c>
      <c r="B710" t="s">
        <v>1768</v>
      </c>
      <c r="C710" t="s">
        <v>2331</v>
      </c>
      <c r="D710">
        <v>4</v>
      </c>
      <c r="E710">
        <v>1368.3</v>
      </c>
      <c r="F710">
        <v>1368.3</v>
      </c>
      <c r="G710" t="s">
        <v>2332</v>
      </c>
      <c r="H710" t="s">
        <v>2605</v>
      </c>
      <c r="I710" t="s">
        <v>2374</v>
      </c>
      <c r="J710" t="s">
        <v>2606</v>
      </c>
      <c r="L710" t="s">
        <v>2333</v>
      </c>
    </row>
    <row r="711" spans="1:12" x14ac:dyDescent="0.2">
      <c r="A711" t="s">
        <v>1767</v>
      </c>
      <c r="B711" t="s">
        <v>1768</v>
      </c>
      <c r="C711" t="s">
        <v>2331</v>
      </c>
      <c r="D711">
        <v>4</v>
      </c>
      <c r="E711">
        <v>169.4</v>
      </c>
      <c r="F711">
        <v>169.4</v>
      </c>
      <c r="G711" t="s">
        <v>2332</v>
      </c>
      <c r="H711" t="s">
        <v>2607</v>
      </c>
      <c r="I711" t="s">
        <v>2374</v>
      </c>
      <c r="J711" t="s">
        <v>2608</v>
      </c>
      <c r="L711" t="s">
        <v>2333</v>
      </c>
    </row>
    <row r="712" spans="1:12" x14ac:dyDescent="0.2">
      <c r="A712" t="s">
        <v>1767</v>
      </c>
      <c r="B712" t="s">
        <v>1768</v>
      </c>
      <c r="C712" t="s">
        <v>2331</v>
      </c>
      <c r="D712">
        <v>4</v>
      </c>
      <c r="E712">
        <v>273.02999999999997</v>
      </c>
      <c r="F712">
        <v>273.02999999999997</v>
      </c>
      <c r="G712" t="s">
        <v>2332</v>
      </c>
      <c r="H712" t="s">
        <v>2572</v>
      </c>
      <c r="I712" t="s">
        <v>2374</v>
      </c>
      <c r="J712" t="s">
        <v>2573</v>
      </c>
      <c r="L712" t="s">
        <v>2333</v>
      </c>
    </row>
    <row r="713" spans="1:12" x14ac:dyDescent="0.2">
      <c r="A713" t="s">
        <v>1767</v>
      </c>
      <c r="B713" t="s">
        <v>1768</v>
      </c>
      <c r="C713" t="s">
        <v>2331</v>
      </c>
      <c r="D713">
        <v>4</v>
      </c>
      <c r="E713">
        <v>-273.02999999999997</v>
      </c>
      <c r="F713">
        <v>-273.02999999999997</v>
      </c>
      <c r="G713" t="s">
        <v>2332</v>
      </c>
      <c r="H713" t="s">
        <v>2609</v>
      </c>
      <c r="I713" t="s">
        <v>2374</v>
      </c>
      <c r="J713" t="s">
        <v>2610</v>
      </c>
      <c r="L713" t="s">
        <v>2333</v>
      </c>
    </row>
    <row r="714" spans="1:12" x14ac:dyDescent="0.2">
      <c r="A714" t="s">
        <v>1767</v>
      </c>
      <c r="B714" t="s">
        <v>1768</v>
      </c>
      <c r="C714" t="s">
        <v>2331</v>
      </c>
      <c r="D714">
        <v>4</v>
      </c>
      <c r="E714">
        <v>273.02999999999997</v>
      </c>
      <c r="F714">
        <v>273.02999999999997</v>
      </c>
      <c r="G714" t="s">
        <v>2332</v>
      </c>
      <c r="H714" t="s">
        <v>2572</v>
      </c>
      <c r="I714" t="s">
        <v>2374</v>
      </c>
      <c r="J714" t="s">
        <v>2573</v>
      </c>
      <c r="L714" t="s">
        <v>2333</v>
      </c>
    </row>
    <row r="715" spans="1:12" x14ac:dyDescent="0.2">
      <c r="A715" t="s">
        <v>1767</v>
      </c>
      <c r="B715" t="s">
        <v>1768</v>
      </c>
      <c r="C715" t="s">
        <v>2331</v>
      </c>
      <c r="D715">
        <v>4</v>
      </c>
      <c r="E715">
        <v>303.37</v>
      </c>
      <c r="F715">
        <v>303.37</v>
      </c>
      <c r="G715" t="s">
        <v>2332</v>
      </c>
      <c r="H715" t="s">
        <v>2574</v>
      </c>
      <c r="I715" t="s">
        <v>2374</v>
      </c>
      <c r="J715" t="s">
        <v>2575</v>
      </c>
      <c r="L715" t="s">
        <v>2333</v>
      </c>
    </row>
    <row r="716" spans="1:12" x14ac:dyDescent="0.2">
      <c r="A716" t="s">
        <v>1767</v>
      </c>
      <c r="B716" t="s">
        <v>1768</v>
      </c>
      <c r="C716" t="s">
        <v>2331</v>
      </c>
      <c r="D716">
        <v>4</v>
      </c>
      <c r="E716">
        <v>163.95</v>
      </c>
      <c r="F716">
        <v>163.95</v>
      </c>
      <c r="G716" t="s">
        <v>2332</v>
      </c>
      <c r="H716" t="s">
        <v>2578</v>
      </c>
      <c r="I716" t="s">
        <v>2374</v>
      </c>
      <c r="J716" t="s">
        <v>2579</v>
      </c>
      <c r="L716" t="s">
        <v>2333</v>
      </c>
    </row>
    <row r="717" spans="1:12" x14ac:dyDescent="0.2">
      <c r="A717" t="s">
        <v>1767</v>
      </c>
      <c r="B717" t="s">
        <v>1768</v>
      </c>
      <c r="C717" t="s">
        <v>2331</v>
      </c>
      <c r="D717">
        <v>4</v>
      </c>
      <c r="E717">
        <v>-303.37</v>
      </c>
      <c r="F717">
        <v>-303.37</v>
      </c>
      <c r="G717" t="s">
        <v>2332</v>
      </c>
      <c r="H717" t="s">
        <v>2576</v>
      </c>
      <c r="I717" t="s">
        <v>2374</v>
      </c>
      <c r="J717" t="s">
        <v>2577</v>
      </c>
      <c r="L717" t="s">
        <v>2333</v>
      </c>
    </row>
    <row r="718" spans="1:12" x14ac:dyDescent="0.2">
      <c r="A718" t="s">
        <v>1767</v>
      </c>
      <c r="B718" t="s">
        <v>1768</v>
      </c>
      <c r="C718" t="s">
        <v>2331</v>
      </c>
      <c r="D718">
        <v>4</v>
      </c>
      <c r="E718">
        <v>303.37</v>
      </c>
      <c r="F718">
        <v>303.37</v>
      </c>
      <c r="G718" t="s">
        <v>2332</v>
      </c>
      <c r="H718" t="s">
        <v>2574</v>
      </c>
      <c r="I718" t="s">
        <v>2374</v>
      </c>
      <c r="J718" t="s">
        <v>2575</v>
      </c>
      <c r="L718" t="s">
        <v>2333</v>
      </c>
    </row>
    <row r="719" spans="1:12" x14ac:dyDescent="0.2">
      <c r="A719" t="s">
        <v>1767</v>
      </c>
      <c r="B719" t="s">
        <v>1768</v>
      </c>
      <c r="C719" t="s">
        <v>2331</v>
      </c>
      <c r="D719">
        <v>4</v>
      </c>
      <c r="E719">
        <v>112.93</v>
      </c>
      <c r="F719">
        <v>112.93</v>
      </c>
      <c r="G719" t="s">
        <v>2332</v>
      </c>
      <c r="H719" t="s">
        <v>2611</v>
      </c>
      <c r="I719" t="s">
        <v>2374</v>
      </c>
      <c r="J719" t="s">
        <v>2612</v>
      </c>
      <c r="L719" t="s">
        <v>2333</v>
      </c>
    </row>
    <row r="720" spans="1:12" x14ac:dyDescent="0.2">
      <c r="A720" t="s">
        <v>1767</v>
      </c>
      <c r="B720" t="s">
        <v>1768</v>
      </c>
      <c r="C720" t="s">
        <v>2331</v>
      </c>
      <c r="D720">
        <v>4</v>
      </c>
      <c r="E720">
        <v>163.95</v>
      </c>
      <c r="F720">
        <v>163.95</v>
      </c>
      <c r="G720" t="s">
        <v>2332</v>
      </c>
      <c r="H720" t="s">
        <v>2578</v>
      </c>
      <c r="I720" t="s">
        <v>2374</v>
      </c>
      <c r="J720" t="s">
        <v>2579</v>
      </c>
      <c r="L720" t="s">
        <v>2333</v>
      </c>
    </row>
    <row r="721" spans="1:12" x14ac:dyDescent="0.2">
      <c r="A721" t="s">
        <v>1767</v>
      </c>
      <c r="B721" t="s">
        <v>1768</v>
      </c>
      <c r="C721" t="s">
        <v>2331</v>
      </c>
      <c r="D721">
        <v>4</v>
      </c>
      <c r="E721">
        <v>-163.95</v>
      </c>
      <c r="F721">
        <v>-163.95</v>
      </c>
      <c r="G721" t="s">
        <v>2332</v>
      </c>
      <c r="H721" t="s">
        <v>2613</v>
      </c>
      <c r="I721" t="s">
        <v>2374</v>
      </c>
      <c r="J721" t="s">
        <v>2614</v>
      </c>
      <c r="L721" t="s">
        <v>2333</v>
      </c>
    </row>
    <row r="722" spans="1:12" x14ac:dyDescent="0.2">
      <c r="A722" t="s">
        <v>1767</v>
      </c>
      <c r="B722" t="s">
        <v>1768</v>
      </c>
      <c r="C722" t="s">
        <v>2331</v>
      </c>
      <c r="D722">
        <v>4</v>
      </c>
      <c r="E722">
        <v>31.35</v>
      </c>
      <c r="F722">
        <v>31.35</v>
      </c>
      <c r="G722" t="s">
        <v>2332</v>
      </c>
      <c r="H722" t="s">
        <v>2615</v>
      </c>
      <c r="I722" t="s">
        <v>2374</v>
      </c>
      <c r="J722" t="s">
        <v>2616</v>
      </c>
      <c r="L722" t="s">
        <v>2333</v>
      </c>
    </row>
    <row r="723" spans="1:12" x14ac:dyDescent="0.2">
      <c r="A723" t="s">
        <v>1767</v>
      </c>
      <c r="B723" t="s">
        <v>1768</v>
      </c>
      <c r="C723" t="s">
        <v>2617</v>
      </c>
      <c r="D723">
        <v>1</v>
      </c>
      <c r="E723">
        <v>0</v>
      </c>
      <c r="F723">
        <v>0</v>
      </c>
      <c r="G723" t="s">
        <v>2618</v>
      </c>
      <c r="L723" t="s">
        <v>2619</v>
      </c>
    </row>
    <row r="724" spans="1:12" x14ac:dyDescent="0.2">
      <c r="A724" t="s">
        <v>1767</v>
      </c>
      <c r="B724" t="s">
        <v>1768</v>
      </c>
      <c r="C724" t="s">
        <v>2617</v>
      </c>
      <c r="D724">
        <v>3</v>
      </c>
      <c r="E724">
        <v>0.42</v>
      </c>
      <c r="F724">
        <v>0.42</v>
      </c>
      <c r="G724" t="s">
        <v>2618</v>
      </c>
      <c r="H724" t="s">
        <v>2620</v>
      </c>
      <c r="I724" t="s">
        <v>2621</v>
      </c>
      <c r="L724" t="s">
        <v>2619</v>
      </c>
    </row>
    <row r="725" spans="1:12" x14ac:dyDescent="0.2">
      <c r="A725" t="s">
        <v>1767</v>
      </c>
      <c r="B725" t="s">
        <v>1768</v>
      </c>
      <c r="C725" t="s">
        <v>2617</v>
      </c>
      <c r="D725">
        <v>3</v>
      </c>
      <c r="E725">
        <v>96</v>
      </c>
      <c r="F725">
        <v>96</v>
      </c>
      <c r="G725" t="s">
        <v>2618</v>
      </c>
      <c r="H725" t="s">
        <v>2622</v>
      </c>
      <c r="I725" t="s">
        <v>2623</v>
      </c>
      <c r="L725" t="s">
        <v>2619</v>
      </c>
    </row>
    <row r="726" spans="1:12" x14ac:dyDescent="0.2">
      <c r="A726" t="s">
        <v>1767</v>
      </c>
      <c r="B726" t="s">
        <v>1768</v>
      </c>
      <c r="C726" t="s">
        <v>2617</v>
      </c>
      <c r="D726">
        <v>3</v>
      </c>
      <c r="E726">
        <v>450.03</v>
      </c>
      <c r="F726">
        <v>450.03</v>
      </c>
      <c r="G726" t="s">
        <v>2618</v>
      </c>
      <c r="H726" t="s">
        <v>2624</v>
      </c>
      <c r="I726" t="s">
        <v>2625</v>
      </c>
      <c r="L726" t="s">
        <v>2619</v>
      </c>
    </row>
    <row r="727" spans="1:12" x14ac:dyDescent="0.2">
      <c r="A727" t="s">
        <v>1767</v>
      </c>
      <c r="B727" t="s">
        <v>1768</v>
      </c>
      <c r="C727" t="s">
        <v>2617</v>
      </c>
      <c r="D727">
        <v>3</v>
      </c>
      <c r="E727">
        <v>256.27999999999997</v>
      </c>
      <c r="F727">
        <v>256.27999999999997</v>
      </c>
      <c r="G727" t="s">
        <v>2618</v>
      </c>
      <c r="H727" t="s">
        <v>2626</v>
      </c>
      <c r="I727" t="s">
        <v>2627</v>
      </c>
      <c r="L727" t="s">
        <v>2619</v>
      </c>
    </row>
    <row r="728" spans="1:12" x14ac:dyDescent="0.2">
      <c r="A728" t="s">
        <v>1767</v>
      </c>
      <c r="B728" t="s">
        <v>1768</v>
      </c>
      <c r="C728" t="s">
        <v>2617</v>
      </c>
      <c r="D728">
        <v>3</v>
      </c>
      <c r="E728">
        <v>1219.75</v>
      </c>
      <c r="F728">
        <v>1219.75</v>
      </c>
      <c r="G728" t="s">
        <v>2618</v>
      </c>
      <c r="H728" t="s">
        <v>2628</v>
      </c>
      <c r="I728" t="s">
        <v>2629</v>
      </c>
      <c r="L728" t="s">
        <v>2619</v>
      </c>
    </row>
    <row r="729" spans="1:12" x14ac:dyDescent="0.2">
      <c r="A729" t="s">
        <v>1767</v>
      </c>
      <c r="B729" t="s">
        <v>1768</v>
      </c>
      <c r="C729" t="s">
        <v>2617</v>
      </c>
      <c r="D729">
        <v>3</v>
      </c>
      <c r="E729">
        <v>446.75</v>
      </c>
      <c r="F729">
        <v>446.75</v>
      </c>
      <c r="G729" t="s">
        <v>2618</v>
      </c>
      <c r="H729" t="s">
        <v>2630</v>
      </c>
      <c r="I729" t="s">
        <v>2631</v>
      </c>
      <c r="L729" t="s">
        <v>2619</v>
      </c>
    </row>
    <row r="730" spans="1:12" x14ac:dyDescent="0.2">
      <c r="A730" t="s">
        <v>1767</v>
      </c>
      <c r="B730" t="s">
        <v>1768</v>
      </c>
      <c r="C730" t="s">
        <v>2617</v>
      </c>
      <c r="D730">
        <v>3</v>
      </c>
      <c r="E730">
        <v>1081</v>
      </c>
      <c r="F730">
        <v>1081</v>
      </c>
      <c r="G730" t="s">
        <v>2618</v>
      </c>
      <c r="H730" t="s">
        <v>2632</v>
      </c>
      <c r="I730" t="s">
        <v>2633</v>
      </c>
      <c r="L730" t="s">
        <v>2619</v>
      </c>
    </row>
    <row r="731" spans="1:12" x14ac:dyDescent="0.2">
      <c r="A731" t="s">
        <v>1767</v>
      </c>
      <c r="B731" t="s">
        <v>1768</v>
      </c>
      <c r="C731" t="s">
        <v>2617</v>
      </c>
      <c r="D731">
        <v>3</v>
      </c>
      <c r="E731">
        <v>228</v>
      </c>
      <c r="F731">
        <v>228</v>
      </c>
      <c r="G731" t="s">
        <v>2618</v>
      </c>
      <c r="H731" t="s">
        <v>2634</v>
      </c>
      <c r="I731" t="s">
        <v>2635</v>
      </c>
      <c r="L731" t="s">
        <v>2619</v>
      </c>
    </row>
    <row r="732" spans="1:12" x14ac:dyDescent="0.2">
      <c r="A732" t="s">
        <v>1767</v>
      </c>
      <c r="B732" t="s">
        <v>1768</v>
      </c>
      <c r="C732" t="s">
        <v>2617</v>
      </c>
      <c r="D732">
        <v>3</v>
      </c>
      <c r="E732">
        <v>524.25</v>
      </c>
      <c r="F732">
        <v>524.25</v>
      </c>
      <c r="G732" t="s">
        <v>2618</v>
      </c>
      <c r="H732" t="s">
        <v>2636</v>
      </c>
      <c r="I732" t="s">
        <v>2637</v>
      </c>
      <c r="L732" t="s">
        <v>2619</v>
      </c>
    </row>
    <row r="733" spans="1:12" x14ac:dyDescent="0.2">
      <c r="A733" t="s">
        <v>1767</v>
      </c>
      <c r="B733" t="s">
        <v>1768</v>
      </c>
      <c r="C733" t="s">
        <v>2617</v>
      </c>
      <c r="D733">
        <v>3</v>
      </c>
      <c r="E733">
        <v>240</v>
      </c>
      <c r="F733">
        <v>240</v>
      </c>
      <c r="G733" t="s">
        <v>2618</v>
      </c>
      <c r="H733" t="s">
        <v>2638</v>
      </c>
      <c r="I733" t="s">
        <v>2639</v>
      </c>
      <c r="L733" t="s">
        <v>2619</v>
      </c>
    </row>
    <row r="734" spans="1:12" x14ac:dyDescent="0.2">
      <c r="A734" t="s">
        <v>1767</v>
      </c>
      <c r="B734" t="s">
        <v>1768</v>
      </c>
      <c r="C734" t="s">
        <v>2617</v>
      </c>
      <c r="D734">
        <v>3</v>
      </c>
      <c r="E734">
        <v>200</v>
      </c>
      <c r="F734">
        <v>200</v>
      </c>
      <c r="G734" t="s">
        <v>2618</v>
      </c>
      <c r="H734" t="s">
        <v>2640</v>
      </c>
      <c r="I734" t="s">
        <v>2641</v>
      </c>
      <c r="L734" t="s">
        <v>2619</v>
      </c>
    </row>
    <row r="735" spans="1:12" x14ac:dyDescent="0.2">
      <c r="A735" t="s">
        <v>1767</v>
      </c>
      <c r="B735" t="s">
        <v>1768</v>
      </c>
      <c r="C735" t="s">
        <v>2617</v>
      </c>
      <c r="D735">
        <v>3</v>
      </c>
      <c r="E735">
        <v>386.25</v>
      </c>
      <c r="F735">
        <v>386.25</v>
      </c>
      <c r="G735" t="s">
        <v>2618</v>
      </c>
      <c r="H735" t="s">
        <v>2642</v>
      </c>
      <c r="I735" t="s">
        <v>2643</v>
      </c>
      <c r="L735" t="s">
        <v>2619</v>
      </c>
    </row>
    <row r="736" spans="1:12" x14ac:dyDescent="0.2">
      <c r="A736" t="s">
        <v>1767</v>
      </c>
      <c r="B736" t="s">
        <v>1768</v>
      </c>
      <c r="C736" t="s">
        <v>2617</v>
      </c>
      <c r="D736">
        <v>3</v>
      </c>
      <c r="E736">
        <v>437.5</v>
      </c>
      <c r="F736">
        <v>437.5</v>
      </c>
      <c r="G736" t="s">
        <v>2618</v>
      </c>
      <c r="H736" t="s">
        <v>2644</v>
      </c>
      <c r="I736" t="s">
        <v>2645</v>
      </c>
      <c r="L736" t="s">
        <v>2619</v>
      </c>
    </row>
    <row r="737" spans="1:12" x14ac:dyDescent="0.2">
      <c r="A737" t="s">
        <v>1767</v>
      </c>
      <c r="B737" t="s">
        <v>1768</v>
      </c>
      <c r="C737" t="s">
        <v>2617</v>
      </c>
      <c r="D737">
        <v>3</v>
      </c>
      <c r="E737">
        <v>198.25</v>
      </c>
      <c r="F737">
        <v>198.25</v>
      </c>
      <c r="G737" t="s">
        <v>2618</v>
      </c>
      <c r="H737" t="s">
        <v>2646</v>
      </c>
      <c r="I737" t="s">
        <v>2647</v>
      </c>
      <c r="L737" t="s">
        <v>2619</v>
      </c>
    </row>
    <row r="738" spans="1:12" x14ac:dyDescent="0.2">
      <c r="A738" t="s">
        <v>1767</v>
      </c>
      <c r="B738" t="s">
        <v>1768</v>
      </c>
      <c r="C738" t="s">
        <v>2617</v>
      </c>
      <c r="D738">
        <v>3</v>
      </c>
      <c r="E738">
        <v>793</v>
      </c>
      <c r="F738">
        <v>793</v>
      </c>
      <c r="G738" t="s">
        <v>2618</v>
      </c>
      <c r="H738" t="s">
        <v>2648</v>
      </c>
      <c r="I738" t="s">
        <v>2649</v>
      </c>
      <c r="L738" t="s">
        <v>2619</v>
      </c>
    </row>
    <row r="739" spans="1:12" x14ac:dyDescent="0.2">
      <c r="A739" t="s">
        <v>1767</v>
      </c>
      <c r="B739" t="s">
        <v>1768</v>
      </c>
      <c r="C739" t="s">
        <v>2617</v>
      </c>
      <c r="D739">
        <v>3</v>
      </c>
      <c r="E739">
        <v>192</v>
      </c>
      <c r="F739">
        <v>192</v>
      </c>
      <c r="G739" t="s">
        <v>2618</v>
      </c>
      <c r="H739" t="s">
        <v>2650</v>
      </c>
      <c r="I739" t="s">
        <v>2651</v>
      </c>
      <c r="L739" t="s">
        <v>2619</v>
      </c>
    </row>
    <row r="740" spans="1:12" x14ac:dyDescent="0.2">
      <c r="A740" t="s">
        <v>1767</v>
      </c>
      <c r="B740" t="s">
        <v>1768</v>
      </c>
      <c r="C740" t="s">
        <v>2617</v>
      </c>
      <c r="D740">
        <v>3</v>
      </c>
      <c r="E740">
        <v>192</v>
      </c>
      <c r="F740">
        <v>192</v>
      </c>
      <c r="G740" t="s">
        <v>2618</v>
      </c>
      <c r="H740" t="s">
        <v>2650</v>
      </c>
      <c r="I740" t="s">
        <v>2652</v>
      </c>
      <c r="L740" t="s">
        <v>2619</v>
      </c>
    </row>
    <row r="741" spans="1:12" x14ac:dyDescent="0.2">
      <c r="A741" t="s">
        <v>1767</v>
      </c>
      <c r="B741" t="s">
        <v>1768</v>
      </c>
      <c r="C741" t="s">
        <v>2617</v>
      </c>
      <c r="D741">
        <v>3</v>
      </c>
      <c r="E741">
        <v>212.5</v>
      </c>
      <c r="F741">
        <v>212.5</v>
      </c>
      <c r="G741" t="s">
        <v>2618</v>
      </c>
      <c r="H741" t="s">
        <v>2653</v>
      </c>
      <c r="I741" t="s">
        <v>2654</v>
      </c>
      <c r="L741" t="s">
        <v>2619</v>
      </c>
    </row>
    <row r="742" spans="1:12" x14ac:dyDescent="0.2">
      <c r="A742" t="s">
        <v>1767</v>
      </c>
      <c r="B742" t="s">
        <v>1768</v>
      </c>
      <c r="C742" t="s">
        <v>2617</v>
      </c>
      <c r="D742">
        <v>3</v>
      </c>
      <c r="E742">
        <v>125.39</v>
      </c>
      <c r="F742">
        <v>125.39</v>
      </c>
      <c r="G742" t="s">
        <v>2618</v>
      </c>
      <c r="H742" t="s">
        <v>2655</v>
      </c>
      <c r="I742" t="s">
        <v>2656</v>
      </c>
      <c r="L742" t="s">
        <v>2619</v>
      </c>
    </row>
    <row r="743" spans="1:12" x14ac:dyDescent="0.2">
      <c r="A743" t="s">
        <v>1767</v>
      </c>
      <c r="B743" t="s">
        <v>1768</v>
      </c>
      <c r="C743" t="s">
        <v>2617</v>
      </c>
      <c r="D743">
        <v>3</v>
      </c>
      <c r="E743">
        <v>1087.5</v>
      </c>
      <c r="F743">
        <v>1087.5</v>
      </c>
      <c r="G743" t="s">
        <v>2618</v>
      </c>
      <c r="H743" t="s">
        <v>2657</v>
      </c>
      <c r="I743" t="s">
        <v>2658</v>
      </c>
      <c r="L743" t="s">
        <v>2619</v>
      </c>
    </row>
    <row r="744" spans="1:12" x14ac:dyDescent="0.2">
      <c r="A744" t="s">
        <v>1767</v>
      </c>
      <c r="B744" t="s">
        <v>1768</v>
      </c>
      <c r="C744" t="s">
        <v>2617</v>
      </c>
      <c r="D744">
        <v>3</v>
      </c>
      <c r="E744">
        <v>1112.5</v>
      </c>
      <c r="F744">
        <v>1112.5</v>
      </c>
      <c r="G744" t="s">
        <v>2618</v>
      </c>
      <c r="H744" t="s">
        <v>2659</v>
      </c>
      <c r="I744" t="s">
        <v>2660</v>
      </c>
      <c r="L744" t="s">
        <v>2619</v>
      </c>
    </row>
    <row r="745" spans="1:12" x14ac:dyDescent="0.2">
      <c r="A745" t="s">
        <v>1767</v>
      </c>
      <c r="B745" t="s">
        <v>1768</v>
      </c>
      <c r="C745" t="s">
        <v>2617</v>
      </c>
      <c r="D745">
        <v>3</v>
      </c>
      <c r="E745">
        <v>562.5</v>
      </c>
      <c r="F745">
        <v>562.5</v>
      </c>
      <c r="G745" t="s">
        <v>2618</v>
      </c>
      <c r="H745" t="s">
        <v>2661</v>
      </c>
      <c r="I745" t="s">
        <v>2662</v>
      </c>
      <c r="L745" t="s">
        <v>2619</v>
      </c>
    </row>
    <row r="746" spans="1:12" x14ac:dyDescent="0.2">
      <c r="A746" t="s">
        <v>1767</v>
      </c>
      <c r="B746" t="s">
        <v>1768</v>
      </c>
      <c r="C746" t="s">
        <v>2617</v>
      </c>
      <c r="D746">
        <v>3</v>
      </c>
      <c r="E746">
        <v>594.75</v>
      </c>
      <c r="F746">
        <v>594.75</v>
      </c>
      <c r="G746" t="s">
        <v>2618</v>
      </c>
      <c r="H746" t="s">
        <v>2663</v>
      </c>
      <c r="I746" t="s">
        <v>2664</v>
      </c>
      <c r="L746" t="s">
        <v>2619</v>
      </c>
    </row>
    <row r="747" spans="1:12" x14ac:dyDescent="0.2">
      <c r="A747" t="s">
        <v>1767</v>
      </c>
      <c r="B747" t="s">
        <v>1768</v>
      </c>
      <c r="C747" t="s">
        <v>2617</v>
      </c>
      <c r="D747">
        <v>3</v>
      </c>
      <c r="E747">
        <v>354.75</v>
      </c>
      <c r="F747">
        <v>354.75</v>
      </c>
      <c r="G747" t="s">
        <v>2618</v>
      </c>
      <c r="H747" t="s">
        <v>2665</v>
      </c>
      <c r="I747" t="s">
        <v>2666</v>
      </c>
      <c r="L747" t="s">
        <v>2619</v>
      </c>
    </row>
    <row r="748" spans="1:12" x14ac:dyDescent="0.2">
      <c r="A748" t="s">
        <v>1767</v>
      </c>
      <c r="B748" t="s">
        <v>1768</v>
      </c>
      <c r="C748" t="s">
        <v>2617</v>
      </c>
      <c r="D748">
        <v>3</v>
      </c>
      <c r="E748">
        <v>26.62</v>
      </c>
      <c r="F748">
        <v>26.62</v>
      </c>
      <c r="G748" t="s">
        <v>2618</v>
      </c>
      <c r="H748" t="s">
        <v>2667</v>
      </c>
      <c r="I748" t="s">
        <v>2668</v>
      </c>
      <c r="L748" t="s">
        <v>2619</v>
      </c>
    </row>
    <row r="749" spans="1:12" x14ac:dyDescent="0.2">
      <c r="A749" t="s">
        <v>1767</v>
      </c>
      <c r="B749" t="s">
        <v>1768</v>
      </c>
      <c r="C749" t="s">
        <v>2617</v>
      </c>
      <c r="D749">
        <v>3</v>
      </c>
      <c r="E749">
        <v>10136.18</v>
      </c>
      <c r="F749">
        <v>10136.18</v>
      </c>
      <c r="G749" t="s">
        <v>2618</v>
      </c>
      <c r="H749" t="s">
        <v>2669</v>
      </c>
      <c r="I749" t="s">
        <v>2670</v>
      </c>
      <c r="L749" t="s">
        <v>2619</v>
      </c>
    </row>
    <row r="750" spans="1:12" x14ac:dyDescent="0.2">
      <c r="A750" t="s">
        <v>1767</v>
      </c>
      <c r="B750" t="s">
        <v>1768</v>
      </c>
      <c r="C750" t="s">
        <v>2617</v>
      </c>
      <c r="D750">
        <v>3</v>
      </c>
      <c r="E750">
        <v>8</v>
      </c>
      <c r="F750">
        <v>8</v>
      </c>
      <c r="G750" t="s">
        <v>2618</v>
      </c>
      <c r="H750" t="s">
        <v>2671</v>
      </c>
      <c r="I750" t="s">
        <v>2672</v>
      </c>
      <c r="L750" t="s">
        <v>2619</v>
      </c>
    </row>
    <row r="751" spans="1:12" x14ac:dyDescent="0.2">
      <c r="A751" t="s">
        <v>1767</v>
      </c>
      <c r="B751" t="s">
        <v>1768</v>
      </c>
      <c r="C751" t="s">
        <v>2617</v>
      </c>
      <c r="D751">
        <v>3</v>
      </c>
      <c r="E751">
        <v>150</v>
      </c>
      <c r="F751">
        <v>150</v>
      </c>
      <c r="G751" t="s">
        <v>2618</v>
      </c>
      <c r="H751" t="s">
        <v>2673</v>
      </c>
      <c r="I751" t="s">
        <v>2674</v>
      </c>
      <c r="L751" t="s">
        <v>2619</v>
      </c>
    </row>
    <row r="752" spans="1:12" x14ac:dyDescent="0.2">
      <c r="A752" t="s">
        <v>1767</v>
      </c>
      <c r="B752" t="s">
        <v>1768</v>
      </c>
      <c r="C752" t="s">
        <v>2617</v>
      </c>
      <c r="D752">
        <v>3</v>
      </c>
      <c r="E752">
        <v>2.7</v>
      </c>
      <c r="F752">
        <v>2.7</v>
      </c>
      <c r="G752" t="s">
        <v>2618</v>
      </c>
      <c r="H752" t="s">
        <v>2675</v>
      </c>
      <c r="I752" t="s">
        <v>2676</v>
      </c>
      <c r="L752" t="s">
        <v>2619</v>
      </c>
    </row>
    <row r="753" spans="1:12" x14ac:dyDescent="0.2">
      <c r="A753" t="s">
        <v>1767</v>
      </c>
      <c r="B753" t="s">
        <v>1768</v>
      </c>
      <c r="C753" t="s">
        <v>2617</v>
      </c>
      <c r="D753">
        <v>3</v>
      </c>
      <c r="E753">
        <v>342.25</v>
      </c>
      <c r="F753">
        <v>342.25</v>
      </c>
      <c r="G753" t="s">
        <v>2618</v>
      </c>
      <c r="H753" t="s">
        <v>2677</v>
      </c>
      <c r="I753" t="s">
        <v>2678</v>
      </c>
      <c r="L753" t="s">
        <v>2619</v>
      </c>
    </row>
    <row r="754" spans="1:12" x14ac:dyDescent="0.2">
      <c r="A754" t="s">
        <v>1767</v>
      </c>
      <c r="B754" t="s">
        <v>1768</v>
      </c>
      <c r="C754" t="s">
        <v>2617</v>
      </c>
      <c r="D754">
        <v>3</v>
      </c>
      <c r="E754">
        <v>17.100000000000001</v>
      </c>
      <c r="F754">
        <v>17.100000000000001</v>
      </c>
      <c r="G754" t="s">
        <v>2618</v>
      </c>
      <c r="H754" t="s">
        <v>2679</v>
      </c>
      <c r="I754" t="s">
        <v>2680</v>
      </c>
      <c r="L754" t="s">
        <v>2619</v>
      </c>
    </row>
    <row r="755" spans="1:12" x14ac:dyDescent="0.2">
      <c r="A755" t="s">
        <v>1767</v>
      </c>
      <c r="B755" t="s">
        <v>1768</v>
      </c>
      <c r="C755" t="s">
        <v>2617</v>
      </c>
      <c r="D755">
        <v>3</v>
      </c>
      <c r="E755">
        <v>0.53</v>
      </c>
      <c r="F755">
        <v>0.53</v>
      </c>
      <c r="G755" t="s">
        <v>2618</v>
      </c>
      <c r="H755" t="s">
        <v>2681</v>
      </c>
      <c r="I755" t="s">
        <v>2682</v>
      </c>
      <c r="L755" t="s">
        <v>2619</v>
      </c>
    </row>
    <row r="756" spans="1:12" x14ac:dyDescent="0.2">
      <c r="A756" t="s">
        <v>1767</v>
      </c>
      <c r="B756" t="s">
        <v>1768</v>
      </c>
      <c r="C756" t="s">
        <v>2617</v>
      </c>
      <c r="D756">
        <v>3</v>
      </c>
      <c r="E756">
        <v>4</v>
      </c>
      <c r="F756">
        <v>4</v>
      </c>
      <c r="G756" t="s">
        <v>2618</v>
      </c>
      <c r="H756" t="s">
        <v>2683</v>
      </c>
      <c r="I756" t="s">
        <v>2684</v>
      </c>
      <c r="L756" t="s">
        <v>2619</v>
      </c>
    </row>
    <row r="757" spans="1:12" x14ac:dyDescent="0.2">
      <c r="A757" t="s">
        <v>1767</v>
      </c>
      <c r="B757" t="s">
        <v>1768</v>
      </c>
      <c r="C757" t="s">
        <v>2617</v>
      </c>
      <c r="D757">
        <v>3</v>
      </c>
      <c r="E757">
        <v>0</v>
      </c>
      <c r="F757">
        <v>0</v>
      </c>
      <c r="G757" t="s">
        <v>2618</v>
      </c>
      <c r="H757" t="s">
        <v>2685</v>
      </c>
      <c r="I757" t="s">
        <v>2686</v>
      </c>
      <c r="L757" t="s">
        <v>2619</v>
      </c>
    </row>
    <row r="758" spans="1:12" x14ac:dyDescent="0.2">
      <c r="A758" t="s">
        <v>1767</v>
      </c>
      <c r="B758" t="s">
        <v>1768</v>
      </c>
      <c r="C758" t="s">
        <v>2617</v>
      </c>
      <c r="D758">
        <v>3</v>
      </c>
      <c r="E758">
        <v>0.61</v>
      </c>
      <c r="F758">
        <v>0.61</v>
      </c>
      <c r="G758" t="s">
        <v>2618</v>
      </c>
      <c r="H758" t="s">
        <v>2687</v>
      </c>
      <c r="I758" t="s">
        <v>2688</v>
      </c>
      <c r="L758" t="s">
        <v>2619</v>
      </c>
    </row>
    <row r="759" spans="1:12" x14ac:dyDescent="0.2">
      <c r="A759" t="s">
        <v>1767</v>
      </c>
      <c r="B759" t="s">
        <v>1768</v>
      </c>
      <c r="C759" t="s">
        <v>2617</v>
      </c>
      <c r="D759">
        <v>3</v>
      </c>
      <c r="E759">
        <v>0.7</v>
      </c>
      <c r="F759">
        <v>0.7</v>
      </c>
      <c r="G759" t="s">
        <v>2618</v>
      </c>
      <c r="H759" t="s">
        <v>2689</v>
      </c>
      <c r="I759" t="s">
        <v>2690</v>
      </c>
      <c r="L759" t="s">
        <v>2619</v>
      </c>
    </row>
    <row r="760" spans="1:12" x14ac:dyDescent="0.2">
      <c r="A760" t="s">
        <v>1767</v>
      </c>
      <c r="B760" t="s">
        <v>1768</v>
      </c>
      <c r="C760" t="s">
        <v>2617</v>
      </c>
      <c r="D760">
        <v>3</v>
      </c>
      <c r="E760">
        <v>19.059999999999999</v>
      </c>
      <c r="F760">
        <v>19.059999999999999</v>
      </c>
      <c r="G760" t="s">
        <v>2618</v>
      </c>
      <c r="H760" t="s">
        <v>2691</v>
      </c>
      <c r="I760" t="s">
        <v>2692</v>
      </c>
      <c r="L760" t="s">
        <v>2619</v>
      </c>
    </row>
    <row r="761" spans="1:12" x14ac:dyDescent="0.2">
      <c r="A761" t="s">
        <v>1767</v>
      </c>
      <c r="B761" t="s">
        <v>1768</v>
      </c>
      <c r="C761" t="s">
        <v>2617</v>
      </c>
      <c r="D761">
        <v>3</v>
      </c>
      <c r="E761">
        <v>6.02</v>
      </c>
      <c r="F761">
        <v>6.02</v>
      </c>
      <c r="G761" t="s">
        <v>2618</v>
      </c>
      <c r="H761" t="s">
        <v>2693</v>
      </c>
      <c r="I761" t="s">
        <v>2694</v>
      </c>
      <c r="L761" t="s">
        <v>2619</v>
      </c>
    </row>
    <row r="762" spans="1:12" x14ac:dyDescent="0.2">
      <c r="A762" t="s">
        <v>1767</v>
      </c>
      <c r="B762" t="s">
        <v>1768</v>
      </c>
      <c r="C762" t="s">
        <v>2617</v>
      </c>
      <c r="D762">
        <v>3</v>
      </c>
      <c r="E762">
        <v>1.6</v>
      </c>
      <c r="F762">
        <v>1.6</v>
      </c>
      <c r="G762" t="s">
        <v>2618</v>
      </c>
      <c r="H762" t="s">
        <v>2695</v>
      </c>
      <c r="I762" t="s">
        <v>2696</v>
      </c>
      <c r="L762" t="s">
        <v>2619</v>
      </c>
    </row>
    <row r="763" spans="1:12" x14ac:dyDescent="0.2">
      <c r="A763" t="s">
        <v>1767</v>
      </c>
      <c r="B763" t="s">
        <v>1768</v>
      </c>
      <c r="C763" t="s">
        <v>2617</v>
      </c>
      <c r="D763">
        <v>3</v>
      </c>
      <c r="E763">
        <v>96</v>
      </c>
      <c r="F763">
        <v>96</v>
      </c>
      <c r="G763" t="s">
        <v>2618</v>
      </c>
      <c r="H763" t="s">
        <v>2622</v>
      </c>
      <c r="I763" t="s">
        <v>2697</v>
      </c>
      <c r="L763" t="s">
        <v>2619</v>
      </c>
    </row>
    <row r="764" spans="1:12" x14ac:dyDescent="0.2">
      <c r="A764" t="s">
        <v>1767</v>
      </c>
      <c r="B764" t="s">
        <v>1768</v>
      </c>
      <c r="C764" t="s">
        <v>2617</v>
      </c>
      <c r="D764">
        <v>3</v>
      </c>
      <c r="E764">
        <v>144</v>
      </c>
      <c r="F764">
        <v>144</v>
      </c>
      <c r="G764" t="s">
        <v>2618</v>
      </c>
      <c r="H764" t="s">
        <v>2698</v>
      </c>
      <c r="I764" t="s">
        <v>2699</v>
      </c>
      <c r="L764" t="s">
        <v>2619</v>
      </c>
    </row>
    <row r="765" spans="1:12" x14ac:dyDescent="0.2">
      <c r="A765" t="s">
        <v>1767</v>
      </c>
      <c r="B765" t="s">
        <v>1768</v>
      </c>
      <c r="C765" t="s">
        <v>2617</v>
      </c>
      <c r="D765">
        <v>3</v>
      </c>
      <c r="E765">
        <v>144</v>
      </c>
      <c r="F765">
        <v>144</v>
      </c>
      <c r="G765" t="s">
        <v>2618</v>
      </c>
      <c r="H765" t="s">
        <v>2698</v>
      </c>
      <c r="I765" t="s">
        <v>2700</v>
      </c>
      <c r="L765" t="s">
        <v>2619</v>
      </c>
    </row>
    <row r="766" spans="1:12" x14ac:dyDescent="0.2">
      <c r="A766" t="s">
        <v>1767</v>
      </c>
      <c r="B766" t="s">
        <v>1768</v>
      </c>
      <c r="C766" t="s">
        <v>2617</v>
      </c>
      <c r="D766">
        <v>3</v>
      </c>
      <c r="E766">
        <v>1.93</v>
      </c>
      <c r="F766">
        <v>1.93</v>
      </c>
      <c r="G766" t="s">
        <v>2618</v>
      </c>
      <c r="H766" t="s">
        <v>2701</v>
      </c>
      <c r="I766" t="s">
        <v>2702</v>
      </c>
      <c r="L766" t="s">
        <v>2619</v>
      </c>
    </row>
    <row r="767" spans="1:12" x14ac:dyDescent="0.2">
      <c r="A767" t="s">
        <v>1767</v>
      </c>
      <c r="B767" t="s">
        <v>1768</v>
      </c>
      <c r="C767" t="s">
        <v>2617</v>
      </c>
      <c r="D767">
        <v>3</v>
      </c>
      <c r="E767">
        <v>216</v>
      </c>
      <c r="F767">
        <v>216</v>
      </c>
      <c r="G767" t="s">
        <v>2618</v>
      </c>
      <c r="H767" t="s">
        <v>2703</v>
      </c>
      <c r="I767" t="s">
        <v>2704</v>
      </c>
      <c r="L767" t="s">
        <v>2619</v>
      </c>
    </row>
    <row r="768" spans="1:12" x14ac:dyDescent="0.2">
      <c r="A768" t="s">
        <v>1767</v>
      </c>
      <c r="B768" t="s">
        <v>1768</v>
      </c>
      <c r="C768" t="s">
        <v>2617</v>
      </c>
      <c r="D768">
        <v>3</v>
      </c>
      <c r="E768">
        <v>4.45</v>
      </c>
      <c r="F768">
        <v>4.45</v>
      </c>
      <c r="G768" t="s">
        <v>2618</v>
      </c>
      <c r="H768" t="s">
        <v>2705</v>
      </c>
      <c r="I768" t="s">
        <v>2706</v>
      </c>
      <c r="L768" t="s">
        <v>2619</v>
      </c>
    </row>
    <row r="769" spans="1:12" x14ac:dyDescent="0.2">
      <c r="A769" t="s">
        <v>1767</v>
      </c>
      <c r="B769" t="s">
        <v>1768</v>
      </c>
      <c r="C769" t="s">
        <v>2617</v>
      </c>
      <c r="D769">
        <v>3</v>
      </c>
      <c r="E769">
        <v>1.8</v>
      </c>
      <c r="F769">
        <v>1.8</v>
      </c>
      <c r="G769" t="s">
        <v>2618</v>
      </c>
      <c r="H769" t="s">
        <v>2707</v>
      </c>
      <c r="I769" t="s">
        <v>2708</v>
      </c>
      <c r="L769" t="s">
        <v>2619</v>
      </c>
    </row>
    <row r="770" spans="1:12" x14ac:dyDescent="0.2">
      <c r="A770" t="s">
        <v>1767</v>
      </c>
      <c r="B770" t="s">
        <v>1768</v>
      </c>
      <c r="C770" t="s">
        <v>2617</v>
      </c>
      <c r="D770">
        <v>3</v>
      </c>
      <c r="E770">
        <v>772</v>
      </c>
      <c r="F770">
        <v>772</v>
      </c>
      <c r="G770" t="s">
        <v>2618</v>
      </c>
      <c r="H770" t="s">
        <v>2709</v>
      </c>
      <c r="I770" t="s">
        <v>2710</v>
      </c>
      <c r="L770" t="s">
        <v>2619</v>
      </c>
    </row>
    <row r="771" spans="1:12" x14ac:dyDescent="0.2">
      <c r="A771" t="s">
        <v>1767</v>
      </c>
      <c r="B771" t="s">
        <v>1768</v>
      </c>
      <c r="C771" t="s">
        <v>2617</v>
      </c>
      <c r="D771">
        <v>3</v>
      </c>
      <c r="E771">
        <v>611.25</v>
      </c>
      <c r="F771">
        <v>611.25</v>
      </c>
      <c r="G771" t="s">
        <v>2618</v>
      </c>
      <c r="H771" t="s">
        <v>2711</v>
      </c>
      <c r="I771" t="s">
        <v>2712</v>
      </c>
      <c r="L771" t="s">
        <v>2619</v>
      </c>
    </row>
    <row r="772" spans="1:12" x14ac:dyDescent="0.2">
      <c r="A772" t="s">
        <v>1767</v>
      </c>
      <c r="B772" t="s">
        <v>1768</v>
      </c>
      <c r="C772" t="s">
        <v>2617</v>
      </c>
      <c r="D772">
        <v>3</v>
      </c>
      <c r="E772">
        <v>0.03</v>
      </c>
      <c r="F772">
        <v>0.03</v>
      </c>
      <c r="G772" t="s">
        <v>2618</v>
      </c>
      <c r="H772" t="s">
        <v>2713</v>
      </c>
      <c r="I772" t="s">
        <v>2714</v>
      </c>
      <c r="L772" t="s">
        <v>2619</v>
      </c>
    </row>
    <row r="773" spans="1:12" x14ac:dyDescent="0.2">
      <c r="A773" t="s">
        <v>1767</v>
      </c>
      <c r="B773" t="s">
        <v>1768</v>
      </c>
      <c r="C773" t="s">
        <v>2617</v>
      </c>
      <c r="D773">
        <v>3</v>
      </c>
      <c r="E773">
        <v>0.04</v>
      </c>
      <c r="F773">
        <v>0.04</v>
      </c>
      <c r="G773" t="s">
        <v>2618</v>
      </c>
      <c r="H773" t="s">
        <v>2715</v>
      </c>
      <c r="I773" t="s">
        <v>2716</v>
      </c>
      <c r="L773" t="s">
        <v>2619</v>
      </c>
    </row>
    <row r="774" spans="1:12" x14ac:dyDescent="0.2">
      <c r="A774" t="s">
        <v>1767</v>
      </c>
      <c r="B774" t="s">
        <v>1768</v>
      </c>
      <c r="C774" t="s">
        <v>2617</v>
      </c>
      <c r="D774">
        <v>3</v>
      </c>
      <c r="E774">
        <v>0.39</v>
      </c>
      <c r="F774">
        <v>0.39</v>
      </c>
      <c r="G774" t="s">
        <v>2618</v>
      </c>
      <c r="H774" t="s">
        <v>2717</v>
      </c>
      <c r="I774" t="s">
        <v>2718</v>
      </c>
      <c r="L774" t="s">
        <v>2619</v>
      </c>
    </row>
    <row r="775" spans="1:12" x14ac:dyDescent="0.2">
      <c r="A775" t="s">
        <v>1767</v>
      </c>
      <c r="B775" t="s">
        <v>1768</v>
      </c>
      <c r="C775" t="s">
        <v>2617</v>
      </c>
      <c r="D775">
        <v>3</v>
      </c>
      <c r="E775">
        <v>972.25</v>
      </c>
      <c r="F775">
        <v>972.25</v>
      </c>
      <c r="G775" t="s">
        <v>2618</v>
      </c>
      <c r="H775" t="s">
        <v>2719</v>
      </c>
      <c r="I775" t="s">
        <v>2720</v>
      </c>
      <c r="L775" t="s">
        <v>2619</v>
      </c>
    </row>
    <row r="776" spans="1:12" x14ac:dyDescent="0.2">
      <c r="A776" t="s">
        <v>1767</v>
      </c>
      <c r="B776" t="s">
        <v>1768</v>
      </c>
      <c r="C776" t="s">
        <v>2617</v>
      </c>
      <c r="D776">
        <v>3</v>
      </c>
      <c r="E776">
        <v>396.5</v>
      </c>
      <c r="F776">
        <v>396.5</v>
      </c>
      <c r="G776" t="s">
        <v>2618</v>
      </c>
      <c r="H776" t="s">
        <v>2721</v>
      </c>
      <c r="I776" t="s">
        <v>2722</v>
      </c>
      <c r="L776" t="s">
        <v>2619</v>
      </c>
    </row>
    <row r="777" spans="1:12" x14ac:dyDescent="0.2">
      <c r="A777" t="s">
        <v>1767</v>
      </c>
      <c r="B777" t="s">
        <v>1768</v>
      </c>
      <c r="C777" t="s">
        <v>2617</v>
      </c>
      <c r="D777">
        <v>3</v>
      </c>
      <c r="E777">
        <v>144</v>
      </c>
      <c r="F777">
        <v>144</v>
      </c>
      <c r="G777" t="s">
        <v>2618</v>
      </c>
      <c r="H777" t="s">
        <v>2698</v>
      </c>
      <c r="I777" t="s">
        <v>2723</v>
      </c>
      <c r="L777" t="s">
        <v>2619</v>
      </c>
    </row>
    <row r="778" spans="1:12" x14ac:dyDescent="0.2">
      <c r="A778" t="s">
        <v>1767</v>
      </c>
      <c r="B778" t="s">
        <v>1768</v>
      </c>
      <c r="C778" t="s">
        <v>2617</v>
      </c>
      <c r="D778">
        <v>3</v>
      </c>
      <c r="E778">
        <v>96</v>
      </c>
      <c r="F778">
        <v>96</v>
      </c>
      <c r="G778" t="s">
        <v>2618</v>
      </c>
      <c r="H778" t="s">
        <v>2622</v>
      </c>
      <c r="I778" t="s">
        <v>2724</v>
      </c>
      <c r="L778" t="s">
        <v>2619</v>
      </c>
    </row>
    <row r="779" spans="1:12" x14ac:dyDescent="0.2">
      <c r="A779" t="s">
        <v>1767</v>
      </c>
      <c r="B779" t="s">
        <v>1768</v>
      </c>
      <c r="C779" t="s">
        <v>2617</v>
      </c>
      <c r="D779">
        <v>3</v>
      </c>
      <c r="E779">
        <v>33.85</v>
      </c>
      <c r="F779">
        <v>33.85</v>
      </c>
      <c r="G779" t="s">
        <v>2618</v>
      </c>
      <c r="H779" t="s">
        <v>2725</v>
      </c>
      <c r="I779" t="s">
        <v>2726</v>
      </c>
      <c r="L779" t="s">
        <v>2619</v>
      </c>
    </row>
    <row r="780" spans="1:12" x14ac:dyDescent="0.2">
      <c r="A780" t="s">
        <v>1767</v>
      </c>
      <c r="B780" t="s">
        <v>1768</v>
      </c>
      <c r="C780" t="s">
        <v>2617</v>
      </c>
      <c r="D780">
        <v>3</v>
      </c>
      <c r="E780">
        <v>96</v>
      </c>
      <c r="F780">
        <v>96</v>
      </c>
      <c r="G780" t="s">
        <v>2618</v>
      </c>
      <c r="H780" t="s">
        <v>2622</v>
      </c>
      <c r="I780" t="s">
        <v>2727</v>
      </c>
      <c r="L780" t="s">
        <v>2619</v>
      </c>
    </row>
    <row r="781" spans="1:12" x14ac:dyDescent="0.2">
      <c r="A781" t="s">
        <v>1767</v>
      </c>
      <c r="B781" t="s">
        <v>1768</v>
      </c>
      <c r="C781" t="s">
        <v>2728</v>
      </c>
      <c r="D781">
        <v>1</v>
      </c>
      <c r="E781">
        <v>0</v>
      </c>
      <c r="F781">
        <v>0</v>
      </c>
      <c r="G781" t="s">
        <v>2729</v>
      </c>
      <c r="L781" t="s">
        <v>2730</v>
      </c>
    </row>
    <row r="782" spans="1:12" x14ac:dyDescent="0.2">
      <c r="A782" t="s">
        <v>1767</v>
      </c>
      <c r="B782" t="s">
        <v>1768</v>
      </c>
      <c r="C782" t="s">
        <v>2728</v>
      </c>
      <c r="D782">
        <v>3</v>
      </c>
      <c r="E782">
        <v>75</v>
      </c>
      <c r="F782">
        <v>75</v>
      </c>
      <c r="G782" t="s">
        <v>2729</v>
      </c>
      <c r="H782" t="s">
        <v>2731</v>
      </c>
      <c r="I782" t="s">
        <v>2732</v>
      </c>
      <c r="L782" t="s">
        <v>2730</v>
      </c>
    </row>
    <row r="783" spans="1:12" x14ac:dyDescent="0.2">
      <c r="A783" t="s">
        <v>1767</v>
      </c>
      <c r="B783" t="s">
        <v>1768</v>
      </c>
      <c r="C783" t="s">
        <v>2728</v>
      </c>
      <c r="D783">
        <v>3</v>
      </c>
      <c r="E783">
        <v>493.2</v>
      </c>
      <c r="F783">
        <v>493.2</v>
      </c>
      <c r="G783" t="s">
        <v>2729</v>
      </c>
      <c r="H783" t="s">
        <v>2733</v>
      </c>
      <c r="I783" t="s">
        <v>2734</v>
      </c>
      <c r="L783" t="s">
        <v>2730</v>
      </c>
    </row>
    <row r="784" spans="1:12" x14ac:dyDescent="0.2">
      <c r="A784" t="s">
        <v>1767</v>
      </c>
      <c r="B784" t="s">
        <v>1768</v>
      </c>
      <c r="C784" t="s">
        <v>2728</v>
      </c>
      <c r="D784">
        <v>3</v>
      </c>
      <c r="E784">
        <v>190</v>
      </c>
      <c r="F784">
        <v>190</v>
      </c>
      <c r="G784" t="s">
        <v>2729</v>
      </c>
      <c r="H784" t="s">
        <v>2735</v>
      </c>
      <c r="I784" t="s">
        <v>2736</v>
      </c>
      <c r="L784" t="s">
        <v>2730</v>
      </c>
    </row>
    <row r="785" spans="1:12" x14ac:dyDescent="0.2">
      <c r="A785" t="s">
        <v>1767</v>
      </c>
      <c r="B785" t="s">
        <v>1768</v>
      </c>
      <c r="C785" t="s">
        <v>2728</v>
      </c>
      <c r="D785">
        <v>3</v>
      </c>
      <c r="E785">
        <v>68</v>
      </c>
      <c r="F785">
        <v>68</v>
      </c>
      <c r="G785" t="s">
        <v>2729</v>
      </c>
      <c r="H785" t="s">
        <v>2737</v>
      </c>
      <c r="I785" t="s">
        <v>2738</v>
      </c>
      <c r="L785" t="s">
        <v>2730</v>
      </c>
    </row>
    <row r="786" spans="1:12" x14ac:dyDescent="0.2">
      <c r="A786" t="s">
        <v>1767</v>
      </c>
      <c r="B786" t="s">
        <v>1768</v>
      </c>
      <c r="C786" t="s">
        <v>2728</v>
      </c>
      <c r="D786">
        <v>3</v>
      </c>
      <c r="E786">
        <v>75</v>
      </c>
      <c r="F786">
        <v>75</v>
      </c>
      <c r="G786" t="s">
        <v>2729</v>
      </c>
      <c r="H786" t="s">
        <v>2731</v>
      </c>
      <c r="I786" t="s">
        <v>2739</v>
      </c>
      <c r="L786" t="s">
        <v>2730</v>
      </c>
    </row>
    <row r="787" spans="1:12" x14ac:dyDescent="0.2">
      <c r="A787" t="s">
        <v>1767</v>
      </c>
      <c r="B787" t="s">
        <v>1768</v>
      </c>
      <c r="C787" t="s">
        <v>2728</v>
      </c>
      <c r="D787">
        <v>3</v>
      </c>
      <c r="E787">
        <v>168</v>
      </c>
      <c r="F787">
        <v>168</v>
      </c>
      <c r="G787" t="s">
        <v>2729</v>
      </c>
      <c r="H787" t="s">
        <v>2740</v>
      </c>
      <c r="I787" t="s">
        <v>2741</v>
      </c>
      <c r="L787" t="s">
        <v>2730</v>
      </c>
    </row>
    <row r="788" spans="1:12" x14ac:dyDescent="0.2">
      <c r="A788" t="s">
        <v>1767</v>
      </c>
      <c r="B788" t="s">
        <v>1768</v>
      </c>
      <c r="C788" t="s">
        <v>2728</v>
      </c>
      <c r="D788">
        <v>3</v>
      </c>
      <c r="E788">
        <v>604.48</v>
      </c>
      <c r="F788">
        <v>604.48</v>
      </c>
      <c r="G788" t="s">
        <v>2729</v>
      </c>
      <c r="H788" t="s">
        <v>2742</v>
      </c>
      <c r="I788" t="s">
        <v>2743</v>
      </c>
      <c r="L788" t="s">
        <v>2730</v>
      </c>
    </row>
    <row r="789" spans="1:12" x14ac:dyDescent="0.2">
      <c r="A789" t="s">
        <v>1767</v>
      </c>
      <c r="B789" t="s">
        <v>1768</v>
      </c>
      <c r="C789" t="s">
        <v>2728</v>
      </c>
      <c r="D789">
        <v>3</v>
      </c>
      <c r="E789">
        <v>72</v>
      </c>
      <c r="F789">
        <v>72</v>
      </c>
      <c r="G789" t="s">
        <v>2729</v>
      </c>
      <c r="H789" t="s">
        <v>2744</v>
      </c>
      <c r="I789" t="s">
        <v>2745</v>
      </c>
      <c r="L789" t="s">
        <v>2730</v>
      </c>
    </row>
    <row r="790" spans="1:12" x14ac:dyDescent="0.2">
      <c r="A790" t="s">
        <v>1767</v>
      </c>
      <c r="B790" t="s">
        <v>1768</v>
      </c>
      <c r="C790" t="s">
        <v>2728</v>
      </c>
      <c r="D790">
        <v>3</v>
      </c>
      <c r="E790">
        <v>72</v>
      </c>
      <c r="F790">
        <v>72</v>
      </c>
      <c r="G790" t="s">
        <v>2729</v>
      </c>
      <c r="H790" t="s">
        <v>2744</v>
      </c>
      <c r="I790" t="s">
        <v>2746</v>
      </c>
      <c r="L790" t="s">
        <v>2730</v>
      </c>
    </row>
    <row r="791" spans="1:12" x14ac:dyDescent="0.2">
      <c r="A791" t="s">
        <v>1767</v>
      </c>
      <c r="B791" t="s">
        <v>1768</v>
      </c>
      <c r="C791" t="s">
        <v>2728</v>
      </c>
      <c r="D791">
        <v>3</v>
      </c>
      <c r="E791">
        <v>1510.18</v>
      </c>
      <c r="F791">
        <v>1510.18</v>
      </c>
      <c r="G791" t="s">
        <v>2729</v>
      </c>
      <c r="H791" t="s">
        <v>2747</v>
      </c>
      <c r="I791" t="s">
        <v>2748</v>
      </c>
      <c r="L791" t="s">
        <v>2730</v>
      </c>
    </row>
    <row r="792" spans="1:12" x14ac:dyDescent="0.2">
      <c r="A792" t="s">
        <v>1767</v>
      </c>
      <c r="B792" t="s">
        <v>1768</v>
      </c>
      <c r="C792" t="s">
        <v>2728</v>
      </c>
      <c r="D792">
        <v>3</v>
      </c>
      <c r="E792">
        <v>54.25</v>
      </c>
      <c r="F792">
        <v>54.25</v>
      </c>
      <c r="G792" t="s">
        <v>2729</v>
      </c>
      <c r="H792" t="s">
        <v>2749</v>
      </c>
      <c r="I792" t="s">
        <v>2750</v>
      </c>
      <c r="L792" t="s">
        <v>2730</v>
      </c>
    </row>
    <row r="793" spans="1:12" x14ac:dyDescent="0.2">
      <c r="A793" t="s">
        <v>1767</v>
      </c>
      <c r="B793" t="s">
        <v>1768</v>
      </c>
      <c r="C793" t="s">
        <v>2728</v>
      </c>
      <c r="D793">
        <v>3</v>
      </c>
      <c r="E793">
        <v>78.55</v>
      </c>
      <c r="F793">
        <v>78.55</v>
      </c>
      <c r="G793" t="s">
        <v>2729</v>
      </c>
      <c r="H793" t="s">
        <v>2751</v>
      </c>
      <c r="I793" t="s">
        <v>2752</v>
      </c>
      <c r="L793" t="s">
        <v>2730</v>
      </c>
    </row>
    <row r="794" spans="1:12" x14ac:dyDescent="0.2">
      <c r="A794" t="s">
        <v>1767</v>
      </c>
      <c r="B794" t="s">
        <v>1768</v>
      </c>
      <c r="C794" t="s">
        <v>2728</v>
      </c>
      <c r="D794">
        <v>3</v>
      </c>
      <c r="E794">
        <v>54.25</v>
      </c>
      <c r="F794">
        <v>54.25</v>
      </c>
      <c r="G794" t="s">
        <v>2729</v>
      </c>
      <c r="H794" t="s">
        <v>2749</v>
      </c>
      <c r="I794" t="s">
        <v>2753</v>
      </c>
      <c r="L794" t="s">
        <v>2730</v>
      </c>
    </row>
    <row r="795" spans="1:12" x14ac:dyDescent="0.2">
      <c r="A795" t="s">
        <v>1767</v>
      </c>
      <c r="B795" t="s">
        <v>1768</v>
      </c>
      <c r="C795" t="s">
        <v>2728</v>
      </c>
      <c r="D795">
        <v>3</v>
      </c>
      <c r="E795">
        <v>110</v>
      </c>
      <c r="F795">
        <v>110</v>
      </c>
      <c r="G795" t="s">
        <v>2729</v>
      </c>
      <c r="H795" t="s">
        <v>2754</v>
      </c>
      <c r="I795" t="s">
        <v>2755</v>
      </c>
      <c r="L795" t="s">
        <v>2730</v>
      </c>
    </row>
    <row r="796" spans="1:12" x14ac:dyDescent="0.2">
      <c r="A796" t="s">
        <v>1767</v>
      </c>
      <c r="B796" t="s">
        <v>1768</v>
      </c>
      <c r="C796" t="s">
        <v>2728</v>
      </c>
      <c r="D796">
        <v>3</v>
      </c>
      <c r="E796">
        <v>2495.8000000000002</v>
      </c>
      <c r="F796">
        <v>2495.8000000000002</v>
      </c>
      <c r="G796" t="s">
        <v>2729</v>
      </c>
      <c r="H796" t="s">
        <v>2756</v>
      </c>
      <c r="I796" t="s">
        <v>2757</v>
      </c>
      <c r="L796" t="s">
        <v>2730</v>
      </c>
    </row>
    <row r="797" spans="1:12" x14ac:dyDescent="0.2">
      <c r="A797" t="s">
        <v>1767</v>
      </c>
      <c r="B797" t="s">
        <v>1768</v>
      </c>
      <c r="C797" t="s">
        <v>2728</v>
      </c>
      <c r="D797">
        <v>3</v>
      </c>
      <c r="E797">
        <v>136</v>
      </c>
      <c r="F797">
        <v>136</v>
      </c>
      <c r="G797" t="s">
        <v>2729</v>
      </c>
      <c r="H797" t="s">
        <v>2758</v>
      </c>
      <c r="I797" t="s">
        <v>2759</v>
      </c>
      <c r="L797" t="s">
        <v>2730</v>
      </c>
    </row>
    <row r="798" spans="1:12" x14ac:dyDescent="0.2">
      <c r="A798" t="s">
        <v>1767</v>
      </c>
      <c r="B798" t="s">
        <v>1768</v>
      </c>
      <c r="C798" t="s">
        <v>2728</v>
      </c>
      <c r="D798">
        <v>3</v>
      </c>
      <c r="E798">
        <v>1044</v>
      </c>
      <c r="F798">
        <v>1044</v>
      </c>
      <c r="G798" t="s">
        <v>2729</v>
      </c>
      <c r="H798" t="s">
        <v>2760</v>
      </c>
      <c r="I798" t="s">
        <v>2761</v>
      </c>
      <c r="L798" t="s">
        <v>2730</v>
      </c>
    </row>
    <row r="799" spans="1:12" x14ac:dyDescent="0.2">
      <c r="A799" t="s">
        <v>1767</v>
      </c>
      <c r="B799" t="s">
        <v>1768</v>
      </c>
      <c r="C799" t="s">
        <v>2728</v>
      </c>
      <c r="D799">
        <v>3</v>
      </c>
      <c r="E799">
        <v>108</v>
      </c>
      <c r="F799">
        <v>108</v>
      </c>
      <c r="G799" t="s">
        <v>2729</v>
      </c>
      <c r="H799" t="s">
        <v>2762</v>
      </c>
      <c r="I799" t="s">
        <v>2763</v>
      </c>
      <c r="L799" t="s">
        <v>2730</v>
      </c>
    </row>
    <row r="800" spans="1:12" x14ac:dyDescent="0.2">
      <c r="A800" t="s">
        <v>1767</v>
      </c>
      <c r="B800" t="s">
        <v>1768</v>
      </c>
      <c r="C800" t="s">
        <v>2728</v>
      </c>
      <c r="D800">
        <v>3</v>
      </c>
      <c r="E800">
        <v>36</v>
      </c>
      <c r="F800">
        <v>36</v>
      </c>
      <c r="G800" t="s">
        <v>2729</v>
      </c>
      <c r="H800" t="s">
        <v>2764</v>
      </c>
      <c r="I800" t="s">
        <v>2765</v>
      </c>
      <c r="L800" t="s">
        <v>2730</v>
      </c>
    </row>
    <row r="801" spans="1:12" x14ac:dyDescent="0.2">
      <c r="A801" t="s">
        <v>1767</v>
      </c>
      <c r="B801" t="s">
        <v>1768</v>
      </c>
      <c r="C801" t="s">
        <v>2728</v>
      </c>
      <c r="D801">
        <v>3</v>
      </c>
      <c r="E801">
        <v>310</v>
      </c>
      <c r="F801">
        <v>310</v>
      </c>
      <c r="G801" t="s">
        <v>2729</v>
      </c>
      <c r="H801" t="s">
        <v>2766</v>
      </c>
      <c r="I801" t="s">
        <v>2767</v>
      </c>
      <c r="L801" t="s">
        <v>2730</v>
      </c>
    </row>
    <row r="802" spans="1:12" x14ac:dyDescent="0.2">
      <c r="A802" t="s">
        <v>1767</v>
      </c>
      <c r="B802" t="s">
        <v>1768</v>
      </c>
      <c r="C802" t="s">
        <v>2728</v>
      </c>
      <c r="D802">
        <v>3</v>
      </c>
      <c r="E802">
        <v>280</v>
      </c>
      <c r="F802">
        <v>280</v>
      </c>
      <c r="G802" t="s">
        <v>2729</v>
      </c>
      <c r="H802" t="s">
        <v>2768</v>
      </c>
      <c r="I802" t="s">
        <v>2769</v>
      </c>
      <c r="L802" t="s">
        <v>2730</v>
      </c>
    </row>
    <row r="803" spans="1:12" x14ac:dyDescent="0.2">
      <c r="A803" t="s">
        <v>1767</v>
      </c>
      <c r="B803" t="s">
        <v>1768</v>
      </c>
      <c r="C803" t="s">
        <v>2728</v>
      </c>
      <c r="D803">
        <v>3</v>
      </c>
      <c r="E803">
        <v>96</v>
      </c>
      <c r="F803">
        <v>96</v>
      </c>
      <c r="G803" t="s">
        <v>2729</v>
      </c>
      <c r="H803" t="s">
        <v>2770</v>
      </c>
      <c r="I803" t="s">
        <v>2771</v>
      </c>
      <c r="L803" t="s">
        <v>2730</v>
      </c>
    </row>
    <row r="804" spans="1:12" x14ac:dyDescent="0.2">
      <c r="A804" t="s">
        <v>1767</v>
      </c>
      <c r="B804" t="s">
        <v>1768</v>
      </c>
      <c r="C804" t="s">
        <v>2728</v>
      </c>
      <c r="D804">
        <v>3</v>
      </c>
      <c r="E804">
        <v>48</v>
      </c>
      <c r="F804">
        <v>48</v>
      </c>
      <c r="G804" t="s">
        <v>2729</v>
      </c>
      <c r="H804" t="s">
        <v>2772</v>
      </c>
      <c r="I804" t="s">
        <v>2773</v>
      </c>
      <c r="L804" t="s">
        <v>2730</v>
      </c>
    </row>
    <row r="805" spans="1:12" x14ac:dyDescent="0.2">
      <c r="A805" t="s">
        <v>1767</v>
      </c>
      <c r="B805" t="s">
        <v>1768</v>
      </c>
      <c r="C805" t="s">
        <v>2728</v>
      </c>
      <c r="D805">
        <v>3</v>
      </c>
      <c r="E805">
        <v>40</v>
      </c>
      <c r="F805">
        <v>40</v>
      </c>
      <c r="G805" t="s">
        <v>2729</v>
      </c>
      <c r="H805" t="s">
        <v>2774</v>
      </c>
      <c r="I805" t="s">
        <v>2775</v>
      </c>
      <c r="L805" t="s">
        <v>2730</v>
      </c>
    </row>
    <row r="806" spans="1:12" x14ac:dyDescent="0.2">
      <c r="A806" t="s">
        <v>1767</v>
      </c>
      <c r="B806" t="s">
        <v>1768</v>
      </c>
      <c r="C806" t="s">
        <v>2728</v>
      </c>
      <c r="D806">
        <v>3</v>
      </c>
      <c r="E806">
        <v>74</v>
      </c>
      <c r="F806">
        <v>74</v>
      </c>
      <c r="G806" t="s">
        <v>2729</v>
      </c>
      <c r="H806" t="s">
        <v>2776</v>
      </c>
      <c r="I806" t="s">
        <v>2777</v>
      </c>
      <c r="L806" t="s">
        <v>2730</v>
      </c>
    </row>
    <row r="807" spans="1:12" x14ac:dyDescent="0.2">
      <c r="A807" t="s">
        <v>1767</v>
      </c>
      <c r="B807" t="s">
        <v>1768</v>
      </c>
      <c r="C807" t="s">
        <v>2728</v>
      </c>
      <c r="D807">
        <v>3</v>
      </c>
      <c r="E807">
        <v>506</v>
      </c>
      <c r="F807">
        <v>506</v>
      </c>
      <c r="G807" t="s">
        <v>2729</v>
      </c>
      <c r="H807" t="s">
        <v>2778</v>
      </c>
      <c r="I807" t="s">
        <v>2779</v>
      </c>
      <c r="L807" t="s">
        <v>2730</v>
      </c>
    </row>
    <row r="808" spans="1:12" x14ac:dyDescent="0.2">
      <c r="A808" t="s">
        <v>1767</v>
      </c>
      <c r="B808" t="s">
        <v>1768</v>
      </c>
      <c r="C808" t="s">
        <v>2728</v>
      </c>
      <c r="D808">
        <v>3</v>
      </c>
      <c r="E808">
        <v>259.75</v>
      </c>
      <c r="F808">
        <v>259.75</v>
      </c>
      <c r="G808" t="s">
        <v>2729</v>
      </c>
      <c r="H808" t="s">
        <v>2780</v>
      </c>
      <c r="I808" t="s">
        <v>2781</v>
      </c>
      <c r="L808" t="s">
        <v>2730</v>
      </c>
    </row>
    <row r="809" spans="1:12" x14ac:dyDescent="0.2">
      <c r="A809" t="s">
        <v>1767</v>
      </c>
      <c r="B809" t="s">
        <v>1768</v>
      </c>
      <c r="C809" t="s">
        <v>2782</v>
      </c>
      <c r="D809">
        <v>1</v>
      </c>
      <c r="E809">
        <v>0</v>
      </c>
      <c r="F809">
        <v>0</v>
      </c>
      <c r="G809" t="s">
        <v>2783</v>
      </c>
      <c r="L809" t="s">
        <v>2784</v>
      </c>
    </row>
    <row r="810" spans="1:12" x14ac:dyDescent="0.2">
      <c r="A810" t="s">
        <v>1767</v>
      </c>
      <c r="B810" t="s">
        <v>1768</v>
      </c>
      <c r="C810" t="s">
        <v>2782</v>
      </c>
      <c r="D810">
        <v>3</v>
      </c>
      <c r="E810">
        <v>302.24</v>
      </c>
      <c r="F810">
        <v>302.24</v>
      </c>
      <c r="G810" t="s">
        <v>2783</v>
      </c>
      <c r="H810" t="s">
        <v>2785</v>
      </c>
      <c r="I810" t="s">
        <v>2786</v>
      </c>
      <c r="L810" t="s">
        <v>2784</v>
      </c>
    </row>
    <row r="811" spans="1:12" x14ac:dyDescent="0.2">
      <c r="A811" t="s">
        <v>1767</v>
      </c>
      <c r="B811" t="s">
        <v>1768</v>
      </c>
      <c r="C811" t="s">
        <v>2782</v>
      </c>
      <c r="D811">
        <v>3</v>
      </c>
      <c r="E811">
        <v>137.46</v>
      </c>
      <c r="F811">
        <v>137.46</v>
      </c>
      <c r="G811" t="s">
        <v>2783</v>
      </c>
      <c r="H811" t="s">
        <v>2787</v>
      </c>
      <c r="I811" t="s">
        <v>2788</v>
      </c>
      <c r="L811" t="s">
        <v>2784</v>
      </c>
    </row>
    <row r="812" spans="1:12" x14ac:dyDescent="0.2">
      <c r="A812" t="s">
        <v>1767</v>
      </c>
      <c r="B812" t="s">
        <v>1768</v>
      </c>
      <c r="C812" t="s">
        <v>2789</v>
      </c>
      <c r="D812">
        <v>1</v>
      </c>
      <c r="E812">
        <v>0</v>
      </c>
      <c r="F812">
        <v>0</v>
      </c>
      <c r="G812" t="s">
        <v>2790</v>
      </c>
      <c r="L812" t="s">
        <v>2791</v>
      </c>
    </row>
    <row r="813" spans="1:12" x14ac:dyDescent="0.2">
      <c r="A813" t="s">
        <v>1767</v>
      </c>
      <c r="B813" t="s">
        <v>1768</v>
      </c>
      <c r="C813" t="s">
        <v>2792</v>
      </c>
      <c r="D813">
        <v>1</v>
      </c>
      <c r="E813">
        <v>0</v>
      </c>
      <c r="F813">
        <v>0</v>
      </c>
      <c r="G813" t="s">
        <v>2793</v>
      </c>
      <c r="L813" t="s">
        <v>2794</v>
      </c>
    </row>
    <row r="814" spans="1:12" x14ac:dyDescent="0.2">
      <c r="A814" t="s">
        <v>1767</v>
      </c>
      <c r="B814" t="s">
        <v>1769</v>
      </c>
      <c r="C814" t="s">
        <v>1779</v>
      </c>
      <c r="D814">
        <v>1</v>
      </c>
      <c r="E814">
        <v>0</v>
      </c>
      <c r="F814">
        <v>0</v>
      </c>
      <c r="G814" t="s">
        <v>2795</v>
      </c>
      <c r="L814" t="s">
        <v>2796</v>
      </c>
    </row>
    <row r="815" spans="1:12" x14ac:dyDescent="0.2">
      <c r="A815" t="s">
        <v>1767</v>
      </c>
      <c r="B815" t="s">
        <v>1769</v>
      </c>
      <c r="C815" t="s">
        <v>1779</v>
      </c>
      <c r="D815">
        <v>3</v>
      </c>
      <c r="E815">
        <v>166.2</v>
      </c>
      <c r="F815">
        <v>166.2</v>
      </c>
      <c r="G815" t="s">
        <v>2795</v>
      </c>
      <c r="H815" t="s">
        <v>2797</v>
      </c>
      <c r="I815" t="s">
        <v>2798</v>
      </c>
      <c r="L815" t="s">
        <v>2796</v>
      </c>
    </row>
    <row r="816" spans="1:12" x14ac:dyDescent="0.2">
      <c r="A816" t="s">
        <v>1767</v>
      </c>
      <c r="B816" t="s">
        <v>1769</v>
      </c>
      <c r="C816" t="s">
        <v>1779</v>
      </c>
      <c r="D816">
        <v>3</v>
      </c>
      <c r="E816">
        <v>10179.68</v>
      </c>
      <c r="F816">
        <v>10179.68</v>
      </c>
      <c r="G816" t="s">
        <v>2795</v>
      </c>
      <c r="H816" t="s">
        <v>2799</v>
      </c>
      <c r="I816" t="s">
        <v>2800</v>
      </c>
      <c r="L816" t="s">
        <v>2796</v>
      </c>
    </row>
    <row r="817" spans="1:12" x14ac:dyDescent="0.2">
      <c r="A817" t="s">
        <v>1767</v>
      </c>
      <c r="B817" t="s">
        <v>1769</v>
      </c>
      <c r="C817" t="s">
        <v>1779</v>
      </c>
      <c r="D817">
        <v>3</v>
      </c>
      <c r="E817">
        <v>18321.84</v>
      </c>
      <c r="F817">
        <v>18321.84</v>
      </c>
      <c r="G817" t="s">
        <v>2795</v>
      </c>
      <c r="H817" t="s">
        <v>2801</v>
      </c>
      <c r="I817" t="s">
        <v>2802</v>
      </c>
      <c r="L817" t="s">
        <v>2796</v>
      </c>
    </row>
    <row r="818" spans="1:12" x14ac:dyDescent="0.2">
      <c r="A818" t="s">
        <v>1767</v>
      </c>
      <c r="B818" t="s">
        <v>1769</v>
      </c>
      <c r="C818" t="s">
        <v>1779</v>
      </c>
      <c r="D818">
        <v>3</v>
      </c>
      <c r="E818">
        <v>23665.5</v>
      </c>
      <c r="F818">
        <v>23665.5</v>
      </c>
      <c r="G818" t="s">
        <v>2795</v>
      </c>
      <c r="H818" t="s">
        <v>2803</v>
      </c>
      <c r="I818" t="s">
        <v>2804</v>
      </c>
      <c r="L818" t="s">
        <v>2796</v>
      </c>
    </row>
    <row r="819" spans="1:12" x14ac:dyDescent="0.2">
      <c r="A819" t="s">
        <v>1767</v>
      </c>
      <c r="B819" t="s">
        <v>1769</v>
      </c>
      <c r="C819" t="s">
        <v>1779</v>
      </c>
      <c r="D819">
        <v>3</v>
      </c>
      <c r="E819">
        <v>94236.36</v>
      </c>
      <c r="F819">
        <v>94236.36</v>
      </c>
      <c r="G819" t="s">
        <v>2795</v>
      </c>
      <c r="H819" t="s">
        <v>2805</v>
      </c>
      <c r="I819" t="s">
        <v>2806</v>
      </c>
      <c r="L819" t="s">
        <v>2796</v>
      </c>
    </row>
    <row r="820" spans="1:12" x14ac:dyDescent="0.2">
      <c r="A820" t="s">
        <v>1767</v>
      </c>
      <c r="B820" t="s">
        <v>1769</v>
      </c>
      <c r="C820" t="s">
        <v>1779</v>
      </c>
      <c r="D820">
        <v>3</v>
      </c>
      <c r="E820">
        <v>74664.240000000005</v>
      </c>
      <c r="F820">
        <v>74664.240000000005</v>
      </c>
      <c r="G820" t="s">
        <v>2795</v>
      </c>
      <c r="H820" t="s">
        <v>2807</v>
      </c>
      <c r="I820" t="s">
        <v>2808</v>
      </c>
      <c r="L820" t="s">
        <v>2796</v>
      </c>
    </row>
    <row r="821" spans="1:12" x14ac:dyDescent="0.2">
      <c r="A821" t="s">
        <v>1767</v>
      </c>
      <c r="B821" t="s">
        <v>1769</v>
      </c>
      <c r="C821" t="s">
        <v>1779</v>
      </c>
      <c r="D821">
        <v>3</v>
      </c>
      <c r="E821">
        <v>8614.0499999999993</v>
      </c>
      <c r="F821">
        <v>8614.0499999999993</v>
      </c>
      <c r="G821" t="s">
        <v>2795</v>
      </c>
      <c r="H821" t="s">
        <v>2809</v>
      </c>
      <c r="I821" t="s">
        <v>2810</v>
      </c>
      <c r="L821" t="s">
        <v>2796</v>
      </c>
    </row>
    <row r="822" spans="1:12" x14ac:dyDescent="0.2">
      <c r="A822" t="s">
        <v>1767</v>
      </c>
      <c r="B822" t="s">
        <v>1769</v>
      </c>
      <c r="C822" t="s">
        <v>1800</v>
      </c>
      <c r="D822">
        <v>1</v>
      </c>
      <c r="E822">
        <v>0</v>
      </c>
      <c r="F822">
        <v>0</v>
      </c>
      <c r="G822" t="s">
        <v>2811</v>
      </c>
      <c r="L822" t="s">
        <v>2812</v>
      </c>
    </row>
    <row r="823" spans="1:12" x14ac:dyDescent="0.2">
      <c r="A823" t="s">
        <v>1767</v>
      </c>
      <c r="B823" t="s">
        <v>1769</v>
      </c>
      <c r="C823" t="s">
        <v>1800</v>
      </c>
      <c r="D823">
        <v>3</v>
      </c>
      <c r="E823">
        <v>3.3</v>
      </c>
      <c r="F823">
        <v>3.3</v>
      </c>
      <c r="G823" t="s">
        <v>2811</v>
      </c>
      <c r="H823" t="s">
        <v>2813</v>
      </c>
      <c r="I823" t="s">
        <v>2814</v>
      </c>
      <c r="L823" t="s">
        <v>2812</v>
      </c>
    </row>
    <row r="824" spans="1:12" x14ac:dyDescent="0.2">
      <c r="A824" t="s">
        <v>1767</v>
      </c>
      <c r="B824" t="s">
        <v>1769</v>
      </c>
      <c r="C824" t="s">
        <v>1800</v>
      </c>
      <c r="D824">
        <v>3</v>
      </c>
      <c r="E824">
        <v>11020.56</v>
      </c>
      <c r="F824">
        <v>11020.56</v>
      </c>
      <c r="G824" t="s">
        <v>2811</v>
      </c>
      <c r="H824" t="s">
        <v>2815</v>
      </c>
      <c r="I824" t="s">
        <v>2816</v>
      </c>
      <c r="L824" t="s">
        <v>2812</v>
      </c>
    </row>
    <row r="825" spans="1:12" x14ac:dyDescent="0.2">
      <c r="A825" t="s">
        <v>1767</v>
      </c>
      <c r="B825" t="s">
        <v>1769</v>
      </c>
      <c r="C825" t="s">
        <v>1800</v>
      </c>
      <c r="D825">
        <v>3</v>
      </c>
      <c r="E825">
        <v>17961.34</v>
      </c>
      <c r="F825">
        <v>17961.34</v>
      </c>
      <c r="G825" t="s">
        <v>2811</v>
      </c>
      <c r="H825" t="s">
        <v>2817</v>
      </c>
      <c r="I825" t="s">
        <v>2818</v>
      </c>
      <c r="L825" t="s">
        <v>2812</v>
      </c>
    </row>
    <row r="826" spans="1:12" x14ac:dyDescent="0.2">
      <c r="A826" t="s">
        <v>1767</v>
      </c>
      <c r="B826" t="s">
        <v>1769</v>
      </c>
      <c r="C826" t="s">
        <v>1800</v>
      </c>
      <c r="D826">
        <v>3</v>
      </c>
      <c r="E826">
        <v>22.06</v>
      </c>
      <c r="F826">
        <v>22.06</v>
      </c>
      <c r="G826" t="s">
        <v>2811</v>
      </c>
      <c r="H826" t="s">
        <v>2819</v>
      </c>
      <c r="I826" t="s">
        <v>2820</v>
      </c>
      <c r="L826" t="s">
        <v>2812</v>
      </c>
    </row>
    <row r="827" spans="1:12" x14ac:dyDescent="0.2">
      <c r="A827" t="s">
        <v>1767</v>
      </c>
      <c r="B827" t="s">
        <v>1769</v>
      </c>
      <c r="C827" t="s">
        <v>1800</v>
      </c>
      <c r="D827">
        <v>3</v>
      </c>
      <c r="E827">
        <v>4.17</v>
      </c>
      <c r="F827">
        <v>4.17</v>
      </c>
      <c r="G827" t="s">
        <v>2811</v>
      </c>
      <c r="H827" t="s">
        <v>2821</v>
      </c>
      <c r="I827" t="s">
        <v>2822</v>
      </c>
      <c r="L827" t="s">
        <v>2812</v>
      </c>
    </row>
    <row r="828" spans="1:12" x14ac:dyDescent="0.2">
      <c r="A828" t="s">
        <v>1767</v>
      </c>
      <c r="B828" t="s">
        <v>1769</v>
      </c>
      <c r="C828" t="s">
        <v>1800</v>
      </c>
      <c r="D828">
        <v>3</v>
      </c>
      <c r="E828">
        <v>17.5</v>
      </c>
      <c r="F828">
        <v>17.5</v>
      </c>
      <c r="G828" t="s">
        <v>2811</v>
      </c>
      <c r="H828" t="s">
        <v>2823</v>
      </c>
      <c r="I828" t="s">
        <v>2824</v>
      </c>
      <c r="L828" t="s">
        <v>2812</v>
      </c>
    </row>
    <row r="829" spans="1:12" x14ac:dyDescent="0.2">
      <c r="A829" t="s">
        <v>1767</v>
      </c>
      <c r="B829" t="s">
        <v>1769</v>
      </c>
      <c r="C829" t="s">
        <v>1800</v>
      </c>
      <c r="D829">
        <v>3</v>
      </c>
      <c r="E829">
        <v>2550</v>
      </c>
      <c r="F829">
        <v>2550</v>
      </c>
      <c r="G829" t="s">
        <v>2811</v>
      </c>
      <c r="H829" t="s">
        <v>2825</v>
      </c>
      <c r="I829" t="s">
        <v>2826</v>
      </c>
      <c r="L829" t="s">
        <v>2812</v>
      </c>
    </row>
    <row r="830" spans="1:12" x14ac:dyDescent="0.2">
      <c r="A830" t="s">
        <v>1767</v>
      </c>
      <c r="B830" t="s">
        <v>1769</v>
      </c>
      <c r="C830" t="s">
        <v>1800</v>
      </c>
      <c r="D830">
        <v>3</v>
      </c>
      <c r="E830">
        <v>4200</v>
      </c>
      <c r="F830">
        <v>4200</v>
      </c>
      <c r="G830" t="s">
        <v>2811</v>
      </c>
      <c r="H830" t="s">
        <v>2827</v>
      </c>
      <c r="I830" t="s">
        <v>2828</v>
      </c>
      <c r="L830" t="s">
        <v>2812</v>
      </c>
    </row>
    <row r="831" spans="1:12" x14ac:dyDescent="0.2">
      <c r="A831" t="s">
        <v>1767</v>
      </c>
      <c r="B831" t="s">
        <v>1769</v>
      </c>
      <c r="C831" t="s">
        <v>1800</v>
      </c>
      <c r="D831">
        <v>3</v>
      </c>
      <c r="E831">
        <v>5100</v>
      </c>
      <c r="F831">
        <v>5100</v>
      </c>
      <c r="G831" t="s">
        <v>2811</v>
      </c>
      <c r="H831" t="s">
        <v>2829</v>
      </c>
      <c r="I831" t="s">
        <v>2830</v>
      </c>
      <c r="L831" t="s">
        <v>2812</v>
      </c>
    </row>
    <row r="832" spans="1:12" x14ac:dyDescent="0.2">
      <c r="A832" t="s">
        <v>1767</v>
      </c>
      <c r="B832" t="s">
        <v>1769</v>
      </c>
      <c r="C832" t="s">
        <v>1800</v>
      </c>
      <c r="D832">
        <v>3</v>
      </c>
      <c r="E832">
        <v>3150</v>
      </c>
      <c r="F832">
        <v>3150</v>
      </c>
      <c r="G832" t="s">
        <v>2811</v>
      </c>
      <c r="H832" t="s">
        <v>2831</v>
      </c>
      <c r="I832" t="s">
        <v>2832</v>
      </c>
      <c r="L832" t="s">
        <v>2812</v>
      </c>
    </row>
    <row r="833" spans="1:12" x14ac:dyDescent="0.2">
      <c r="A833" t="s">
        <v>1767</v>
      </c>
      <c r="B833" t="s">
        <v>1769</v>
      </c>
      <c r="C833" t="s">
        <v>1807</v>
      </c>
      <c r="D833">
        <v>1</v>
      </c>
      <c r="E833">
        <v>0</v>
      </c>
      <c r="F833">
        <v>0</v>
      </c>
      <c r="G833" t="s">
        <v>2833</v>
      </c>
      <c r="L833" t="s">
        <v>2834</v>
      </c>
    </row>
    <row r="834" spans="1:12" x14ac:dyDescent="0.2">
      <c r="A834" t="s">
        <v>1767</v>
      </c>
      <c r="B834" t="s">
        <v>1769</v>
      </c>
      <c r="C834" t="s">
        <v>1807</v>
      </c>
      <c r="D834">
        <v>3</v>
      </c>
      <c r="E834">
        <v>0</v>
      </c>
      <c r="F834">
        <v>0</v>
      </c>
      <c r="G834" t="s">
        <v>2833</v>
      </c>
      <c r="H834" t="s">
        <v>2835</v>
      </c>
      <c r="I834" t="s">
        <v>2836</v>
      </c>
      <c r="L834" t="s">
        <v>2834</v>
      </c>
    </row>
    <row r="835" spans="1:12" x14ac:dyDescent="0.2">
      <c r="A835" t="s">
        <v>1767</v>
      </c>
      <c r="B835" t="s">
        <v>1769</v>
      </c>
      <c r="C835" t="s">
        <v>1807</v>
      </c>
      <c r="D835">
        <v>3</v>
      </c>
      <c r="E835">
        <v>12758.48</v>
      </c>
      <c r="F835">
        <v>12758.48</v>
      </c>
      <c r="G835" t="s">
        <v>2833</v>
      </c>
      <c r="H835" t="s">
        <v>2837</v>
      </c>
      <c r="I835" t="s">
        <v>2838</v>
      </c>
      <c r="L835" t="s">
        <v>2834</v>
      </c>
    </row>
    <row r="836" spans="1:12" x14ac:dyDescent="0.2">
      <c r="A836" t="s">
        <v>1767</v>
      </c>
      <c r="B836" t="s">
        <v>1769</v>
      </c>
      <c r="C836" t="s">
        <v>1807</v>
      </c>
      <c r="D836">
        <v>3</v>
      </c>
      <c r="E836">
        <v>47993.68</v>
      </c>
      <c r="F836">
        <v>47993.68</v>
      </c>
      <c r="G836" t="s">
        <v>2833</v>
      </c>
      <c r="H836" t="s">
        <v>2839</v>
      </c>
      <c r="I836" t="s">
        <v>2840</v>
      </c>
      <c r="L836" t="s">
        <v>2834</v>
      </c>
    </row>
    <row r="837" spans="1:12" x14ac:dyDescent="0.2">
      <c r="A837" t="s">
        <v>1767</v>
      </c>
      <c r="B837" t="s">
        <v>1769</v>
      </c>
      <c r="C837" t="s">
        <v>1814</v>
      </c>
      <c r="D837">
        <v>1</v>
      </c>
      <c r="E837">
        <v>0</v>
      </c>
      <c r="F837">
        <v>0</v>
      </c>
      <c r="G837" t="s">
        <v>2841</v>
      </c>
      <c r="L837" t="s">
        <v>2842</v>
      </c>
    </row>
    <row r="838" spans="1:12" x14ac:dyDescent="0.2">
      <c r="A838" t="s">
        <v>1767</v>
      </c>
      <c r="B838" t="s">
        <v>1769</v>
      </c>
      <c r="C838" t="s">
        <v>1814</v>
      </c>
      <c r="D838">
        <v>3</v>
      </c>
      <c r="E838">
        <v>46262.93</v>
      </c>
      <c r="F838">
        <v>46262.93</v>
      </c>
      <c r="G838" t="s">
        <v>2841</v>
      </c>
      <c r="H838" t="s">
        <v>2843</v>
      </c>
      <c r="I838" t="s">
        <v>2844</v>
      </c>
      <c r="L838" t="s">
        <v>2842</v>
      </c>
    </row>
    <row r="839" spans="1:12" x14ac:dyDescent="0.2">
      <c r="A839" t="s">
        <v>1767</v>
      </c>
      <c r="B839" t="s">
        <v>1769</v>
      </c>
      <c r="C839" t="s">
        <v>1827</v>
      </c>
      <c r="D839">
        <v>1</v>
      </c>
      <c r="E839">
        <v>0</v>
      </c>
      <c r="F839">
        <v>0</v>
      </c>
      <c r="G839" t="s">
        <v>2845</v>
      </c>
      <c r="L839" t="s">
        <v>2846</v>
      </c>
    </row>
    <row r="840" spans="1:12" x14ac:dyDescent="0.2">
      <c r="A840" t="s">
        <v>1767</v>
      </c>
      <c r="B840" t="s">
        <v>1769</v>
      </c>
      <c r="C840" t="s">
        <v>1827</v>
      </c>
      <c r="D840">
        <v>3</v>
      </c>
      <c r="E840">
        <v>0</v>
      </c>
      <c r="F840">
        <v>0</v>
      </c>
      <c r="G840" t="s">
        <v>2845</v>
      </c>
      <c r="H840" t="s">
        <v>2847</v>
      </c>
      <c r="I840" t="s">
        <v>2848</v>
      </c>
      <c r="L840" t="s">
        <v>2846</v>
      </c>
    </row>
    <row r="841" spans="1:12" x14ac:dyDescent="0.2">
      <c r="A841" t="s">
        <v>1767</v>
      </c>
      <c r="B841" t="s">
        <v>1769</v>
      </c>
      <c r="C841" t="s">
        <v>1827</v>
      </c>
      <c r="D841">
        <v>3</v>
      </c>
      <c r="E841">
        <v>19352.3</v>
      </c>
      <c r="F841">
        <v>19352.3</v>
      </c>
      <c r="G841" t="s">
        <v>2845</v>
      </c>
      <c r="H841" t="s">
        <v>2849</v>
      </c>
      <c r="I841" t="s">
        <v>2850</v>
      </c>
      <c r="L841" t="s">
        <v>2846</v>
      </c>
    </row>
    <row r="842" spans="1:12" x14ac:dyDescent="0.2">
      <c r="A842" t="s">
        <v>1767</v>
      </c>
      <c r="B842" t="s">
        <v>1769</v>
      </c>
      <c r="C842" t="s">
        <v>1827</v>
      </c>
      <c r="D842">
        <v>3</v>
      </c>
      <c r="E842">
        <v>22061.360000000001</v>
      </c>
      <c r="F842">
        <v>22061.360000000001</v>
      </c>
      <c r="G842" t="s">
        <v>2845</v>
      </c>
      <c r="H842" t="s">
        <v>2851</v>
      </c>
      <c r="I842" t="s">
        <v>2852</v>
      </c>
      <c r="L842" t="s">
        <v>2846</v>
      </c>
    </row>
    <row r="843" spans="1:12" x14ac:dyDescent="0.2">
      <c r="A843" t="s">
        <v>1767</v>
      </c>
      <c r="B843" t="s">
        <v>1769</v>
      </c>
      <c r="C843" t="s">
        <v>1827</v>
      </c>
      <c r="D843">
        <v>3</v>
      </c>
      <c r="E843">
        <v>0</v>
      </c>
      <c r="F843">
        <v>0</v>
      </c>
      <c r="G843" t="s">
        <v>2845</v>
      </c>
      <c r="H843" t="s">
        <v>2847</v>
      </c>
      <c r="I843" t="s">
        <v>2853</v>
      </c>
      <c r="L843" t="s">
        <v>2846</v>
      </c>
    </row>
    <row r="844" spans="1:12" x14ac:dyDescent="0.2">
      <c r="A844" t="s">
        <v>1767</v>
      </c>
      <c r="B844" t="s">
        <v>1769</v>
      </c>
      <c r="C844" t="s">
        <v>1827</v>
      </c>
      <c r="D844">
        <v>3</v>
      </c>
      <c r="E844">
        <v>1425</v>
      </c>
      <c r="F844">
        <v>1425</v>
      </c>
      <c r="G844" t="s">
        <v>2845</v>
      </c>
      <c r="H844" t="s">
        <v>2854</v>
      </c>
      <c r="I844" t="s">
        <v>2855</v>
      </c>
      <c r="L844" t="s">
        <v>2846</v>
      </c>
    </row>
    <row r="845" spans="1:12" x14ac:dyDescent="0.2">
      <c r="A845" t="s">
        <v>1767</v>
      </c>
      <c r="B845" t="s">
        <v>1769</v>
      </c>
      <c r="C845" t="s">
        <v>1827</v>
      </c>
      <c r="D845">
        <v>3</v>
      </c>
      <c r="E845">
        <v>105</v>
      </c>
      <c r="F845">
        <v>105</v>
      </c>
      <c r="G845" t="s">
        <v>2845</v>
      </c>
      <c r="H845" t="s">
        <v>2856</v>
      </c>
      <c r="I845" t="s">
        <v>2857</v>
      </c>
      <c r="L845" t="s">
        <v>2846</v>
      </c>
    </row>
    <row r="846" spans="1:12" x14ac:dyDescent="0.2">
      <c r="A846" t="s">
        <v>1767</v>
      </c>
      <c r="B846" t="s">
        <v>1769</v>
      </c>
      <c r="C846" t="s">
        <v>1827</v>
      </c>
      <c r="D846">
        <v>3</v>
      </c>
      <c r="E846">
        <v>49475.35</v>
      </c>
      <c r="F846">
        <v>49475.35</v>
      </c>
      <c r="G846" t="s">
        <v>2845</v>
      </c>
      <c r="H846" t="s">
        <v>2858</v>
      </c>
      <c r="I846" t="s">
        <v>2859</v>
      </c>
      <c r="L846" t="s">
        <v>2846</v>
      </c>
    </row>
    <row r="847" spans="1:12" x14ac:dyDescent="0.2">
      <c r="A847" t="s">
        <v>1767</v>
      </c>
      <c r="B847" t="s">
        <v>1769</v>
      </c>
      <c r="C847" t="s">
        <v>1827</v>
      </c>
      <c r="D847">
        <v>3</v>
      </c>
      <c r="E847">
        <v>856.25</v>
      </c>
      <c r="F847">
        <v>856.25</v>
      </c>
      <c r="G847" t="s">
        <v>2845</v>
      </c>
      <c r="H847" t="s">
        <v>2860</v>
      </c>
      <c r="I847" t="s">
        <v>2861</v>
      </c>
      <c r="L847" t="s">
        <v>2846</v>
      </c>
    </row>
    <row r="848" spans="1:12" x14ac:dyDescent="0.2">
      <c r="A848" t="s">
        <v>1767</v>
      </c>
      <c r="B848" t="s">
        <v>1769</v>
      </c>
      <c r="C848" t="s">
        <v>1827</v>
      </c>
      <c r="D848">
        <v>3</v>
      </c>
      <c r="E848">
        <v>2700</v>
      </c>
      <c r="F848">
        <v>2700</v>
      </c>
      <c r="G848" t="s">
        <v>2845</v>
      </c>
      <c r="H848" t="s">
        <v>2862</v>
      </c>
      <c r="I848" t="s">
        <v>2863</v>
      </c>
      <c r="L848" t="s">
        <v>2846</v>
      </c>
    </row>
    <row r="849" spans="1:12" x14ac:dyDescent="0.2">
      <c r="A849" t="s">
        <v>1767</v>
      </c>
      <c r="B849" t="s">
        <v>1769</v>
      </c>
      <c r="C849" t="s">
        <v>1827</v>
      </c>
      <c r="D849">
        <v>3</v>
      </c>
      <c r="E849">
        <v>6300</v>
      </c>
      <c r="F849">
        <v>6300</v>
      </c>
      <c r="G849" t="s">
        <v>2845</v>
      </c>
      <c r="H849" t="s">
        <v>2864</v>
      </c>
      <c r="I849" t="s">
        <v>2865</v>
      </c>
      <c r="L849" t="s">
        <v>2846</v>
      </c>
    </row>
    <row r="850" spans="1:12" x14ac:dyDescent="0.2">
      <c r="A850" t="s">
        <v>1767</v>
      </c>
      <c r="B850" t="s">
        <v>1769</v>
      </c>
      <c r="C850" t="s">
        <v>1827</v>
      </c>
      <c r="D850">
        <v>3</v>
      </c>
      <c r="E850">
        <v>9000</v>
      </c>
      <c r="F850">
        <v>9000</v>
      </c>
      <c r="G850" t="s">
        <v>2845</v>
      </c>
      <c r="H850" t="s">
        <v>2866</v>
      </c>
      <c r="I850" t="s">
        <v>2867</v>
      </c>
      <c r="L850" t="s">
        <v>2846</v>
      </c>
    </row>
    <row r="851" spans="1:12" x14ac:dyDescent="0.2">
      <c r="A851" t="s">
        <v>1767</v>
      </c>
      <c r="B851" t="s">
        <v>1769</v>
      </c>
      <c r="C851" t="s">
        <v>1827</v>
      </c>
      <c r="D851">
        <v>3</v>
      </c>
      <c r="E851">
        <v>0</v>
      </c>
      <c r="F851">
        <v>0</v>
      </c>
      <c r="G851" t="s">
        <v>2845</v>
      </c>
      <c r="H851" t="s">
        <v>2847</v>
      </c>
      <c r="I851" t="s">
        <v>2868</v>
      </c>
      <c r="L851" t="s">
        <v>2846</v>
      </c>
    </row>
    <row r="852" spans="1:12" x14ac:dyDescent="0.2">
      <c r="A852" t="s">
        <v>1767</v>
      </c>
      <c r="B852" t="s">
        <v>1769</v>
      </c>
      <c r="C852" t="s">
        <v>1827</v>
      </c>
      <c r="D852">
        <v>3</v>
      </c>
      <c r="E852">
        <v>285</v>
      </c>
      <c r="F852">
        <v>285</v>
      </c>
      <c r="G852" t="s">
        <v>2845</v>
      </c>
      <c r="H852" t="s">
        <v>2869</v>
      </c>
      <c r="I852" t="s">
        <v>2870</v>
      </c>
      <c r="L852" t="s">
        <v>2846</v>
      </c>
    </row>
    <row r="853" spans="1:12" x14ac:dyDescent="0.2">
      <c r="A853" t="s">
        <v>1767</v>
      </c>
      <c r="B853" t="s">
        <v>1769</v>
      </c>
      <c r="C853" t="s">
        <v>1832</v>
      </c>
      <c r="D853">
        <v>1</v>
      </c>
      <c r="E853">
        <v>0</v>
      </c>
      <c r="F853">
        <v>0</v>
      </c>
      <c r="G853" t="s">
        <v>2871</v>
      </c>
      <c r="L853" t="s">
        <v>2872</v>
      </c>
    </row>
    <row r="854" spans="1:12" x14ac:dyDescent="0.2">
      <c r="A854" t="s">
        <v>1767</v>
      </c>
      <c r="B854" t="s">
        <v>1769</v>
      </c>
      <c r="C854" t="s">
        <v>1832</v>
      </c>
      <c r="D854">
        <v>3</v>
      </c>
      <c r="E854">
        <v>1980</v>
      </c>
      <c r="F854">
        <v>1980</v>
      </c>
      <c r="G854" t="s">
        <v>2871</v>
      </c>
      <c r="H854" t="s">
        <v>2873</v>
      </c>
      <c r="I854" t="s">
        <v>2874</v>
      </c>
      <c r="L854" t="s">
        <v>2872</v>
      </c>
    </row>
    <row r="855" spans="1:12" x14ac:dyDescent="0.2">
      <c r="A855" t="s">
        <v>1767</v>
      </c>
      <c r="B855" t="s">
        <v>1769</v>
      </c>
      <c r="C855" t="s">
        <v>1832</v>
      </c>
      <c r="D855">
        <v>3</v>
      </c>
      <c r="E855">
        <v>1980</v>
      </c>
      <c r="F855">
        <v>1980</v>
      </c>
      <c r="G855" t="s">
        <v>2871</v>
      </c>
      <c r="H855" t="s">
        <v>2873</v>
      </c>
      <c r="I855" t="s">
        <v>2874</v>
      </c>
      <c r="L855" t="s">
        <v>2872</v>
      </c>
    </row>
    <row r="856" spans="1:12" x14ac:dyDescent="0.2">
      <c r="A856" t="s">
        <v>1767</v>
      </c>
      <c r="B856" t="s">
        <v>1769</v>
      </c>
      <c r="C856" t="s">
        <v>1832</v>
      </c>
      <c r="D856">
        <v>3</v>
      </c>
      <c r="E856">
        <v>3294</v>
      </c>
      <c r="F856">
        <v>3294</v>
      </c>
      <c r="G856" t="s">
        <v>2871</v>
      </c>
      <c r="H856" t="s">
        <v>2875</v>
      </c>
      <c r="I856" t="s">
        <v>2876</v>
      </c>
      <c r="L856" t="s">
        <v>2872</v>
      </c>
    </row>
    <row r="857" spans="1:12" x14ac:dyDescent="0.2">
      <c r="A857" t="s">
        <v>1767</v>
      </c>
      <c r="B857" t="s">
        <v>1769</v>
      </c>
      <c r="C857" t="s">
        <v>1832</v>
      </c>
      <c r="D857">
        <v>3</v>
      </c>
      <c r="E857">
        <v>3294</v>
      </c>
      <c r="F857">
        <v>3294</v>
      </c>
      <c r="G857" t="s">
        <v>2871</v>
      </c>
      <c r="H857" t="s">
        <v>2875</v>
      </c>
      <c r="I857" t="s">
        <v>2876</v>
      </c>
      <c r="L857" t="s">
        <v>2872</v>
      </c>
    </row>
    <row r="858" spans="1:12" x14ac:dyDescent="0.2">
      <c r="A858" t="s">
        <v>1767</v>
      </c>
      <c r="B858" t="s">
        <v>1769</v>
      </c>
      <c r="C858" t="s">
        <v>1832</v>
      </c>
      <c r="D858">
        <v>3</v>
      </c>
      <c r="E858">
        <v>1985.44</v>
      </c>
      <c r="F858">
        <v>1985.44</v>
      </c>
      <c r="G858" t="s">
        <v>2871</v>
      </c>
      <c r="H858" t="s">
        <v>2877</v>
      </c>
      <c r="I858" t="s">
        <v>2878</v>
      </c>
      <c r="L858" t="s">
        <v>2872</v>
      </c>
    </row>
    <row r="859" spans="1:12" x14ac:dyDescent="0.2">
      <c r="A859" t="s">
        <v>1767</v>
      </c>
      <c r="B859" t="s">
        <v>1769</v>
      </c>
      <c r="C859" t="s">
        <v>1861</v>
      </c>
      <c r="D859">
        <v>1</v>
      </c>
      <c r="E859">
        <v>0</v>
      </c>
      <c r="F859">
        <v>0</v>
      </c>
      <c r="G859" t="s">
        <v>2879</v>
      </c>
      <c r="L859" t="s">
        <v>2880</v>
      </c>
    </row>
    <row r="860" spans="1:12" x14ac:dyDescent="0.2">
      <c r="A860" t="s">
        <v>1767</v>
      </c>
      <c r="B860" t="s">
        <v>1769</v>
      </c>
      <c r="C860" t="s">
        <v>1861</v>
      </c>
      <c r="D860">
        <v>3</v>
      </c>
      <c r="E860">
        <v>575.74</v>
      </c>
      <c r="F860">
        <v>575.74</v>
      </c>
      <c r="G860" t="s">
        <v>2879</v>
      </c>
      <c r="H860" t="s">
        <v>2881</v>
      </c>
      <c r="I860" t="s">
        <v>2882</v>
      </c>
      <c r="L860" t="s">
        <v>2880</v>
      </c>
    </row>
    <row r="861" spans="1:12" x14ac:dyDescent="0.2">
      <c r="A861" t="s">
        <v>1767</v>
      </c>
      <c r="B861" t="s">
        <v>1769</v>
      </c>
      <c r="C861" t="s">
        <v>1861</v>
      </c>
      <c r="D861">
        <v>3</v>
      </c>
      <c r="E861">
        <v>437.16</v>
      </c>
      <c r="F861">
        <v>437.16</v>
      </c>
      <c r="G861" t="s">
        <v>2879</v>
      </c>
      <c r="H861" t="s">
        <v>2883</v>
      </c>
      <c r="I861" t="s">
        <v>2884</v>
      </c>
      <c r="L861" t="s">
        <v>2880</v>
      </c>
    </row>
    <row r="862" spans="1:12" x14ac:dyDescent="0.2">
      <c r="A862" t="s">
        <v>1767</v>
      </c>
      <c r="B862" t="s">
        <v>1769</v>
      </c>
      <c r="C862" t="s">
        <v>1861</v>
      </c>
      <c r="D862">
        <v>3</v>
      </c>
      <c r="E862">
        <v>219.72</v>
      </c>
      <c r="F862">
        <v>219.72</v>
      </c>
      <c r="G862" t="s">
        <v>2879</v>
      </c>
      <c r="H862" t="s">
        <v>2885</v>
      </c>
      <c r="I862" t="s">
        <v>2886</v>
      </c>
      <c r="L862" t="s">
        <v>2880</v>
      </c>
    </row>
    <row r="863" spans="1:12" x14ac:dyDescent="0.2">
      <c r="A863" t="s">
        <v>1767</v>
      </c>
      <c r="B863" t="s">
        <v>1769</v>
      </c>
      <c r="C863" t="s">
        <v>1861</v>
      </c>
      <c r="D863">
        <v>3</v>
      </c>
      <c r="E863">
        <v>0</v>
      </c>
      <c r="F863">
        <v>0</v>
      </c>
      <c r="G863" t="s">
        <v>2879</v>
      </c>
      <c r="H863" t="s">
        <v>2887</v>
      </c>
      <c r="I863" t="s">
        <v>2888</v>
      </c>
      <c r="L863" t="s">
        <v>2880</v>
      </c>
    </row>
    <row r="864" spans="1:12" x14ac:dyDescent="0.2">
      <c r="A864" t="s">
        <v>1767</v>
      </c>
      <c r="B864" t="s">
        <v>1769</v>
      </c>
      <c r="C864" t="s">
        <v>1861</v>
      </c>
      <c r="D864">
        <v>3</v>
      </c>
      <c r="E864">
        <v>0</v>
      </c>
      <c r="F864">
        <v>0</v>
      </c>
      <c r="G864" t="s">
        <v>2879</v>
      </c>
      <c r="H864" t="s">
        <v>2887</v>
      </c>
      <c r="I864" t="s">
        <v>2889</v>
      </c>
      <c r="L864" t="s">
        <v>2880</v>
      </c>
    </row>
    <row r="865" spans="1:12" x14ac:dyDescent="0.2">
      <c r="A865" t="s">
        <v>1767</v>
      </c>
      <c r="B865" t="s">
        <v>1769</v>
      </c>
      <c r="C865" t="s">
        <v>1861</v>
      </c>
      <c r="D865">
        <v>3</v>
      </c>
      <c r="E865">
        <v>10394.799999999999</v>
      </c>
      <c r="F865">
        <v>10394.799999999999</v>
      </c>
      <c r="G865" t="s">
        <v>2879</v>
      </c>
      <c r="H865" t="s">
        <v>2890</v>
      </c>
      <c r="I865" t="s">
        <v>2891</v>
      </c>
      <c r="L865" t="s">
        <v>2880</v>
      </c>
    </row>
    <row r="866" spans="1:12" x14ac:dyDescent="0.2">
      <c r="A866" t="s">
        <v>1767</v>
      </c>
      <c r="B866" t="s">
        <v>1769</v>
      </c>
      <c r="C866" t="s">
        <v>2331</v>
      </c>
      <c r="D866">
        <v>1</v>
      </c>
      <c r="E866">
        <v>0</v>
      </c>
      <c r="F866">
        <v>0</v>
      </c>
      <c r="G866" t="s">
        <v>2892</v>
      </c>
      <c r="L866" t="s">
        <v>2893</v>
      </c>
    </row>
    <row r="867" spans="1:12" x14ac:dyDescent="0.2">
      <c r="A867" t="s">
        <v>1767</v>
      </c>
      <c r="B867" t="s">
        <v>1769</v>
      </c>
      <c r="C867" t="s">
        <v>2331</v>
      </c>
      <c r="D867">
        <v>3</v>
      </c>
      <c r="E867">
        <v>3168</v>
      </c>
      <c r="F867">
        <v>3168</v>
      </c>
      <c r="G867" t="s">
        <v>2892</v>
      </c>
      <c r="H867" t="s">
        <v>2894</v>
      </c>
      <c r="I867" t="s">
        <v>2895</v>
      </c>
      <c r="L867" t="s">
        <v>2893</v>
      </c>
    </row>
    <row r="868" spans="1:12" x14ac:dyDescent="0.2">
      <c r="A868" t="s">
        <v>1767</v>
      </c>
      <c r="B868" t="s">
        <v>1769</v>
      </c>
      <c r="C868" t="s">
        <v>2331</v>
      </c>
      <c r="D868">
        <v>3</v>
      </c>
      <c r="E868">
        <v>1303.5</v>
      </c>
      <c r="F868">
        <v>1303.5</v>
      </c>
      <c r="G868" t="s">
        <v>2892</v>
      </c>
      <c r="H868" t="s">
        <v>2896</v>
      </c>
      <c r="I868" t="s">
        <v>2897</v>
      </c>
      <c r="L868" t="s">
        <v>2893</v>
      </c>
    </row>
    <row r="869" spans="1:12" x14ac:dyDescent="0.2">
      <c r="A869" t="s">
        <v>1767</v>
      </c>
      <c r="B869" t="s">
        <v>1769</v>
      </c>
      <c r="C869" t="s">
        <v>2331</v>
      </c>
      <c r="D869">
        <v>3</v>
      </c>
      <c r="E869">
        <v>25</v>
      </c>
      <c r="F869">
        <v>25</v>
      </c>
      <c r="G869" t="s">
        <v>2892</v>
      </c>
      <c r="H869" t="s">
        <v>2898</v>
      </c>
      <c r="I869" t="s">
        <v>2899</v>
      </c>
      <c r="L869" t="s">
        <v>2893</v>
      </c>
    </row>
    <row r="870" spans="1:12" x14ac:dyDescent="0.2">
      <c r="A870" t="s">
        <v>1767</v>
      </c>
      <c r="B870" t="s">
        <v>1769</v>
      </c>
      <c r="C870" t="s">
        <v>2331</v>
      </c>
      <c r="D870">
        <v>3</v>
      </c>
      <c r="E870">
        <v>33.6</v>
      </c>
      <c r="F870">
        <v>33.6</v>
      </c>
      <c r="G870" t="s">
        <v>2892</v>
      </c>
      <c r="H870" t="s">
        <v>2900</v>
      </c>
      <c r="I870" t="s">
        <v>2387</v>
      </c>
      <c r="L870" t="s">
        <v>2893</v>
      </c>
    </row>
    <row r="871" spans="1:12" x14ac:dyDescent="0.2">
      <c r="A871" t="s">
        <v>1767</v>
      </c>
      <c r="B871" t="s">
        <v>1769</v>
      </c>
      <c r="C871" t="s">
        <v>2331</v>
      </c>
      <c r="D871">
        <v>3</v>
      </c>
      <c r="E871">
        <v>3.78</v>
      </c>
      <c r="F871">
        <v>3.78</v>
      </c>
      <c r="G871" t="s">
        <v>2892</v>
      </c>
      <c r="H871" t="s">
        <v>2901</v>
      </c>
      <c r="I871" t="s">
        <v>2371</v>
      </c>
      <c r="L871" t="s">
        <v>2893</v>
      </c>
    </row>
    <row r="872" spans="1:12" x14ac:dyDescent="0.2">
      <c r="A872" t="s">
        <v>1767</v>
      </c>
      <c r="B872" t="s">
        <v>1769</v>
      </c>
      <c r="C872" t="s">
        <v>2331</v>
      </c>
      <c r="D872">
        <v>3</v>
      </c>
      <c r="E872">
        <v>0</v>
      </c>
      <c r="F872">
        <v>0</v>
      </c>
      <c r="G872" t="s">
        <v>2892</v>
      </c>
      <c r="H872" t="s">
        <v>2902</v>
      </c>
      <c r="I872" t="s">
        <v>2903</v>
      </c>
      <c r="L872" t="s">
        <v>2893</v>
      </c>
    </row>
    <row r="873" spans="1:12" x14ac:dyDescent="0.2">
      <c r="A873" t="s">
        <v>1767</v>
      </c>
      <c r="B873" t="s">
        <v>1769</v>
      </c>
      <c r="C873" t="s">
        <v>2331</v>
      </c>
      <c r="D873">
        <v>3</v>
      </c>
      <c r="E873">
        <v>0</v>
      </c>
      <c r="F873">
        <v>0</v>
      </c>
      <c r="G873" t="s">
        <v>2892</v>
      </c>
      <c r="H873" t="s">
        <v>2902</v>
      </c>
      <c r="I873" t="s">
        <v>2904</v>
      </c>
      <c r="L873" t="s">
        <v>2893</v>
      </c>
    </row>
    <row r="874" spans="1:12" x14ac:dyDescent="0.2">
      <c r="A874" t="s">
        <v>1767</v>
      </c>
      <c r="B874" t="s">
        <v>1769</v>
      </c>
      <c r="C874" t="s">
        <v>2331</v>
      </c>
      <c r="D874">
        <v>3</v>
      </c>
      <c r="E874">
        <v>22.5</v>
      </c>
      <c r="F874">
        <v>22.5</v>
      </c>
      <c r="G874" t="s">
        <v>2892</v>
      </c>
      <c r="H874" t="s">
        <v>2905</v>
      </c>
      <c r="I874" t="s">
        <v>2355</v>
      </c>
      <c r="L874" t="s">
        <v>2893</v>
      </c>
    </row>
    <row r="875" spans="1:12" x14ac:dyDescent="0.2">
      <c r="A875" t="s">
        <v>1767</v>
      </c>
      <c r="B875" t="s">
        <v>1769</v>
      </c>
      <c r="C875" t="s">
        <v>2331</v>
      </c>
      <c r="D875">
        <v>3</v>
      </c>
      <c r="E875">
        <v>26.9</v>
      </c>
      <c r="F875">
        <v>26.9</v>
      </c>
      <c r="G875" t="s">
        <v>2892</v>
      </c>
      <c r="H875" t="s">
        <v>2906</v>
      </c>
      <c r="I875" t="s">
        <v>2395</v>
      </c>
      <c r="L875" t="s">
        <v>2893</v>
      </c>
    </row>
    <row r="876" spans="1:12" x14ac:dyDescent="0.2">
      <c r="A876" t="s">
        <v>1767</v>
      </c>
      <c r="B876" t="s">
        <v>1769</v>
      </c>
      <c r="C876" t="s">
        <v>2331</v>
      </c>
      <c r="D876">
        <v>3</v>
      </c>
      <c r="E876">
        <v>627</v>
      </c>
      <c r="F876">
        <v>627</v>
      </c>
      <c r="G876" t="s">
        <v>2892</v>
      </c>
      <c r="H876" t="s">
        <v>2907</v>
      </c>
      <c r="I876" t="s">
        <v>2908</v>
      </c>
      <c r="L876" t="s">
        <v>2893</v>
      </c>
    </row>
    <row r="877" spans="1:12" x14ac:dyDescent="0.2">
      <c r="A877" t="s">
        <v>1767</v>
      </c>
      <c r="B877" t="s">
        <v>1769</v>
      </c>
      <c r="C877" t="s">
        <v>2331</v>
      </c>
      <c r="D877">
        <v>3</v>
      </c>
      <c r="E877">
        <v>1732.5</v>
      </c>
      <c r="F877">
        <v>1732.5</v>
      </c>
      <c r="G877" t="s">
        <v>2892</v>
      </c>
      <c r="H877" t="s">
        <v>2909</v>
      </c>
      <c r="I877" t="s">
        <v>2910</v>
      </c>
      <c r="L877" t="s">
        <v>2893</v>
      </c>
    </row>
    <row r="878" spans="1:12" x14ac:dyDescent="0.2">
      <c r="A878" t="s">
        <v>1767</v>
      </c>
      <c r="B878" t="s">
        <v>1769</v>
      </c>
      <c r="C878" t="s">
        <v>2331</v>
      </c>
      <c r="D878">
        <v>3</v>
      </c>
      <c r="E878">
        <v>209051.59</v>
      </c>
      <c r="F878">
        <v>209051.59</v>
      </c>
      <c r="G878" t="s">
        <v>2892</v>
      </c>
      <c r="H878" t="s">
        <v>2911</v>
      </c>
      <c r="I878" t="s">
        <v>2912</v>
      </c>
      <c r="L878" t="s">
        <v>2893</v>
      </c>
    </row>
    <row r="879" spans="1:12" x14ac:dyDescent="0.2">
      <c r="A879" t="s">
        <v>1767</v>
      </c>
      <c r="B879" t="s">
        <v>1769</v>
      </c>
      <c r="C879" t="s">
        <v>2331</v>
      </c>
      <c r="D879">
        <v>3</v>
      </c>
      <c r="E879">
        <v>478.5</v>
      </c>
      <c r="F879">
        <v>478.5</v>
      </c>
      <c r="G879" t="s">
        <v>2892</v>
      </c>
      <c r="H879" t="s">
        <v>2913</v>
      </c>
      <c r="I879" t="s">
        <v>2914</v>
      </c>
      <c r="L879" t="s">
        <v>2893</v>
      </c>
    </row>
    <row r="880" spans="1:12" x14ac:dyDescent="0.2">
      <c r="A880" t="s">
        <v>1767</v>
      </c>
      <c r="B880" t="s">
        <v>1769</v>
      </c>
      <c r="C880" t="s">
        <v>2331</v>
      </c>
      <c r="D880">
        <v>3</v>
      </c>
      <c r="E880">
        <v>1402.5</v>
      </c>
      <c r="F880">
        <v>1402.5</v>
      </c>
      <c r="G880" t="s">
        <v>2892</v>
      </c>
      <c r="H880" t="s">
        <v>2915</v>
      </c>
      <c r="I880" t="s">
        <v>2916</v>
      </c>
      <c r="L880" t="s">
        <v>2893</v>
      </c>
    </row>
    <row r="881" spans="1:12" x14ac:dyDescent="0.2">
      <c r="A881" t="s">
        <v>1767</v>
      </c>
      <c r="B881" t="s">
        <v>1769</v>
      </c>
      <c r="C881" t="s">
        <v>2331</v>
      </c>
      <c r="D881">
        <v>3</v>
      </c>
      <c r="E881">
        <v>3168</v>
      </c>
      <c r="F881">
        <v>3168</v>
      </c>
      <c r="G881" t="s">
        <v>2892</v>
      </c>
      <c r="H881" t="s">
        <v>2894</v>
      </c>
      <c r="I881" t="s">
        <v>2895</v>
      </c>
      <c r="L881" t="s">
        <v>2893</v>
      </c>
    </row>
    <row r="882" spans="1:12" x14ac:dyDescent="0.2">
      <c r="A882" t="s">
        <v>1767</v>
      </c>
      <c r="B882" t="s">
        <v>1769</v>
      </c>
      <c r="C882" t="s">
        <v>2331</v>
      </c>
      <c r="D882">
        <v>3</v>
      </c>
      <c r="E882">
        <v>2475</v>
      </c>
      <c r="F882">
        <v>2475</v>
      </c>
      <c r="G882" t="s">
        <v>2892</v>
      </c>
      <c r="H882" t="s">
        <v>2917</v>
      </c>
      <c r="I882" t="s">
        <v>2918</v>
      </c>
      <c r="L882" t="s">
        <v>2893</v>
      </c>
    </row>
    <row r="883" spans="1:12" x14ac:dyDescent="0.2">
      <c r="A883" t="s">
        <v>1767</v>
      </c>
      <c r="B883" t="s">
        <v>1769</v>
      </c>
      <c r="C883" t="s">
        <v>2331</v>
      </c>
      <c r="D883">
        <v>3</v>
      </c>
      <c r="E883">
        <v>5164.5</v>
      </c>
      <c r="F883">
        <v>5164.5</v>
      </c>
      <c r="G883" t="s">
        <v>2892</v>
      </c>
      <c r="H883" t="s">
        <v>2919</v>
      </c>
      <c r="I883" t="s">
        <v>2920</v>
      </c>
      <c r="L883" t="s">
        <v>2893</v>
      </c>
    </row>
    <row r="884" spans="1:12" x14ac:dyDescent="0.2">
      <c r="A884" t="s">
        <v>1767</v>
      </c>
      <c r="B884" t="s">
        <v>1769</v>
      </c>
      <c r="C884" t="s">
        <v>2331</v>
      </c>
      <c r="D884">
        <v>3</v>
      </c>
      <c r="E884">
        <v>3168</v>
      </c>
      <c r="F884">
        <v>3168</v>
      </c>
      <c r="G884" t="s">
        <v>2892</v>
      </c>
      <c r="H884" t="s">
        <v>2894</v>
      </c>
      <c r="I884" t="s">
        <v>2895</v>
      </c>
      <c r="L884" t="s">
        <v>2893</v>
      </c>
    </row>
    <row r="885" spans="1:12" x14ac:dyDescent="0.2">
      <c r="A885" t="s">
        <v>1767</v>
      </c>
      <c r="B885" t="s">
        <v>1769</v>
      </c>
      <c r="C885" t="s">
        <v>2331</v>
      </c>
      <c r="D885">
        <v>3</v>
      </c>
      <c r="E885">
        <v>3168</v>
      </c>
      <c r="F885">
        <v>3168</v>
      </c>
      <c r="G885" t="s">
        <v>2892</v>
      </c>
      <c r="H885" t="s">
        <v>2894</v>
      </c>
      <c r="I885" t="s">
        <v>2895</v>
      </c>
      <c r="L885" t="s">
        <v>2893</v>
      </c>
    </row>
    <row r="886" spans="1:12" x14ac:dyDescent="0.2">
      <c r="A886" t="s">
        <v>1767</v>
      </c>
      <c r="B886" t="s">
        <v>1769</v>
      </c>
      <c r="C886" t="s">
        <v>2331</v>
      </c>
      <c r="D886">
        <v>3</v>
      </c>
      <c r="E886">
        <v>3168</v>
      </c>
      <c r="F886">
        <v>3168</v>
      </c>
      <c r="G886" t="s">
        <v>2892</v>
      </c>
      <c r="H886" t="s">
        <v>2894</v>
      </c>
      <c r="I886" t="s">
        <v>2895</v>
      </c>
      <c r="L886" t="s">
        <v>2893</v>
      </c>
    </row>
    <row r="887" spans="1:12" x14ac:dyDescent="0.2">
      <c r="A887" t="s">
        <v>1767</v>
      </c>
      <c r="B887" t="s">
        <v>1769</v>
      </c>
      <c r="C887" t="s">
        <v>2617</v>
      </c>
      <c r="D887">
        <v>1</v>
      </c>
      <c r="E887">
        <v>0</v>
      </c>
      <c r="F887">
        <v>0</v>
      </c>
      <c r="G887" t="s">
        <v>2921</v>
      </c>
      <c r="L887" t="s">
        <v>2922</v>
      </c>
    </row>
    <row r="888" spans="1:12" x14ac:dyDescent="0.2">
      <c r="A888" t="s">
        <v>1767</v>
      </c>
      <c r="B888" t="s">
        <v>1769</v>
      </c>
      <c r="C888" t="s">
        <v>2617</v>
      </c>
      <c r="D888">
        <v>3</v>
      </c>
      <c r="E888">
        <v>18005.060000000001</v>
      </c>
      <c r="F888">
        <v>18005.060000000001</v>
      </c>
      <c r="G888" t="s">
        <v>2921</v>
      </c>
      <c r="H888" t="s">
        <v>2923</v>
      </c>
      <c r="I888" t="s">
        <v>2924</v>
      </c>
      <c r="L888" t="s">
        <v>2922</v>
      </c>
    </row>
    <row r="889" spans="1:12" x14ac:dyDescent="0.2">
      <c r="A889" t="s">
        <v>1767</v>
      </c>
      <c r="B889" t="s">
        <v>1769</v>
      </c>
      <c r="C889" t="s">
        <v>2617</v>
      </c>
      <c r="D889">
        <v>3</v>
      </c>
      <c r="E889">
        <v>3694.55</v>
      </c>
      <c r="F889">
        <v>3694.55</v>
      </c>
      <c r="G889" t="s">
        <v>2921</v>
      </c>
      <c r="H889" t="s">
        <v>2925</v>
      </c>
      <c r="I889" t="s">
        <v>2926</v>
      </c>
      <c r="L889" t="s">
        <v>2922</v>
      </c>
    </row>
    <row r="890" spans="1:12" x14ac:dyDescent="0.2">
      <c r="A890" t="s">
        <v>1767</v>
      </c>
      <c r="B890" t="s">
        <v>1769</v>
      </c>
      <c r="C890" t="s">
        <v>2728</v>
      </c>
      <c r="D890">
        <v>1</v>
      </c>
      <c r="E890">
        <v>0</v>
      </c>
      <c r="F890">
        <v>0</v>
      </c>
      <c r="G890" t="s">
        <v>2927</v>
      </c>
      <c r="L890" t="s">
        <v>2928</v>
      </c>
    </row>
    <row r="891" spans="1:12" x14ac:dyDescent="0.2">
      <c r="A891" t="s">
        <v>1767</v>
      </c>
      <c r="B891" t="s">
        <v>1769</v>
      </c>
      <c r="C891" t="s">
        <v>2728</v>
      </c>
      <c r="D891">
        <v>3</v>
      </c>
      <c r="E891">
        <v>13</v>
      </c>
      <c r="F891">
        <v>13</v>
      </c>
      <c r="G891" t="s">
        <v>2927</v>
      </c>
      <c r="H891" t="s">
        <v>2929</v>
      </c>
      <c r="I891" t="s">
        <v>2930</v>
      </c>
      <c r="L891" t="s">
        <v>2928</v>
      </c>
    </row>
    <row r="892" spans="1:12" x14ac:dyDescent="0.2">
      <c r="A892" t="s">
        <v>1767</v>
      </c>
      <c r="B892" t="s">
        <v>1769</v>
      </c>
      <c r="C892" t="s">
        <v>2728</v>
      </c>
      <c r="D892">
        <v>3</v>
      </c>
      <c r="E892">
        <v>80</v>
      </c>
      <c r="F892">
        <v>80</v>
      </c>
      <c r="G892" t="s">
        <v>2927</v>
      </c>
      <c r="H892" t="s">
        <v>2931</v>
      </c>
      <c r="I892" t="s">
        <v>2932</v>
      </c>
      <c r="L892" t="s">
        <v>2928</v>
      </c>
    </row>
    <row r="893" spans="1:12" x14ac:dyDescent="0.2">
      <c r="A893" t="s">
        <v>1767</v>
      </c>
      <c r="B893" t="s">
        <v>1769</v>
      </c>
      <c r="C893" t="s">
        <v>2728</v>
      </c>
      <c r="D893">
        <v>3</v>
      </c>
      <c r="E893">
        <v>60</v>
      </c>
      <c r="F893">
        <v>60</v>
      </c>
      <c r="G893" t="s">
        <v>2927</v>
      </c>
      <c r="H893" t="s">
        <v>2933</v>
      </c>
      <c r="I893" t="s">
        <v>2934</v>
      </c>
      <c r="L893" t="s">
        <v>2928</v>
      </c>
    </row>
    <row r="894" spans="1:12" x14ac:dyDescent="0.2">
      <c r="A894" t="s">
        <v>1767</v>
      </c>
      <c r="B894" t="s">
        <v>1769</v>
      </c>
      <c r="C894" t="s">
        <v>2728</v>
      </c>
      <c r="D894">
        <v>3</v>
      </c>
      <c r="E894">
        <v>55</v>
      </c>
      <c r="F894">
        <v>55</v>
      </c>
      <c r="G894" t="s">
        <v>2927</v>
      </c>
      <c r="H894" t="s">
        <v>2935</v>
      </c>
      <c r="I894" t="s">
        <v>2936</v>
      </c>
      <c r="L894" t="s">
        <v>2928</v>
      </c>
    </row>
    <row r="895" spans="1:12" x14ac:dyDescent="0.2">
      <c r="A895" t="s">
        <v>1767</v>
      </c>
      <c r="B895" t="s">
        <v>1769</v>
      </c>
      <c r="C895" t="s">
        <v>2728</v>
      </c>
      <c r="D895">
        <v>3</v>
      </c>
      <c r="E895">
        <v>2.2799999999999998</v>
      </c>
      <c r="F895">
        <v>2.2799999999999998</v>
      </c>
      <c r="G895" t="s">
        <v>2927</v>
      </c>
      <c r="H895" t="s">
        <v>2937</v>
      </c>
      <c r="I895" t="s">
        <v>2938</v>
      </c>
      <c r="L895" t="s">
        <v>2928</v>
      </c>
    </row>
    <row r="896" spans="1:12" x14ac:dyDescent="0.2">
      <c r="A896" t="s">
        <v>1767</v>
      </c>
      <c r="B896" t="s">
        <v>1769</v>
      </c>
      <c r="C896" t="s">
        <v>2728</v>
      </c>
      <c r="D896">
        <v>3</v>
      </c>
      <c r="E896">
        <v>2.61</v>
      </c>
      <c r="F896">
        <v>2.61</v>
      </c>
      <c r="G896" t="s">
        <v>2927</v>
      </c>
      <c r="H896" t="s">
        <v>2939</v>
      </c>
      <c r="I896" t="s">
        <v>2940</v>
      </c>
      <c r="L896" t="s">
        <v>2928</v>
      </c>
    </row>
    <row r="897" spans="1:12" x14ac:dyDescent="0.2">
      <c r="A897" t="s">
        <v>1767</v>
      </c>
      <c r="B897" t="s">
        <v>1769</v>
      </c>
      <c r="C897" t="s">
        <v>2728</v>
      </c>
      <c r="D897">
        <v>3</v>
      </c>
      <c r="E897">
        <v>13.6</v>
      </c>
      <c r="F897">
        <v>13.6</v>
      </c>
      <c r="G897" t="s">
        <v>2927</v>
      </c>
      <c r="H897" t="s">
        <v>2941</v>
      </c>
      <c r="I897" t="s">
        <v>2942</v>
      </c>
      <c r="L897" t="s">
        <v>2928</v>
      </c>
    </row>
    <row r="898" spans="1:12" x14ac:dyDescent="0.2">
      <c r="A898" t="s">
        <v>1767</v>
      </c>
      <c r="B898" t="s">
        <v>1769</v>
      </c>
      <c r="C898" t="s">
        <v>2728</v>
      </c>
      <c r="D898">
        <v>3</v>
      </c>
      <c r="E898">
        <v>6.44</v>
      </c>
      <c r="F898">
        <v>6.44</v>
      </c>
      <c r="G898" t="s">
        <v>2927</v>
      </c>
      <c r="H898" t="s">
        <v>2943</v>
      </c>
      <c r="I898" t="s">
        <v>2944</v>
      </c>
      <c r="L898" t="s">
        <v>2928</v>
      </c>
    </row>
    <row r="899" spans="1:12" x14ac:dyDescent="0.2">
      <c r="A899" t="s">
        <v>1767</v>
      </c>
      <c r="B899" t="s">
        <v>1769</v>
      </c>
      <c r="C899" t="s">
        <v>2728</v>
      </c>
      <c r="D899">
        <v>3</v>
      </c>
      <c r="E899">
        <v>9.9</v>
      </c>
      <c r="F899">
        <v>9.9</v>
      </c>
      <c r="G899" t="s">
        <v>2927</v>
      </c>
      <c r="H899" t="s">
        <v>2945</v>
      </c>
      <c r="I899" t="s">
        <v>2946</v>
      </c>
      <c r="L899" t="s">
        <v>2928</v>
      </c>
    </row>
    <row r="900" spans="1:12" x14ac:dyDescent="0.2">
      <c r="A900" t="s">
        <v>1767</v>
      </c>
      <c r="B900" t="s">
        <v>1769</v>
      </c>
      <c r="C900" t="s">
        <v>2728</v>
      </c>
      <c r="D900">
        <v>3</v>
      </c>
      <c r="E900">
        <v>1.44</v>
      </c>
      <c r="F900">
        <v>1.44</v>
      </c>
      <c r="G900" t="s">
        <v>2927</v>
      </c>
      <c r="H900" t="s">
        <v>2947</v>
      </c>
      <c r="I900" t="s">
        <v>2948</v>
      </c>
      <c r="L900" t="s">
        <v>2928</v>
      </c>
    </row>
    <row r="901" spans="1:12" x14ac:dyDescent="0.2">
      <c r="A901" t="s">
        <v>1767</v>
      </c>
      <c r="B901" t="s">
        <v>1769</v>
      </c>
      <c r="C901" t="s">
        <v>2728</v>
      </c>
      <c r="D901">
        <v>3</v>
      </c>
      <c r="E901">
        <v>3.6</v>
      </c>
      <c r="F901">
        <v>3.6</v>
      </c>
      <c r="G901" t="s">
        <v>2927</v>
      </c>
      <c r="H901" t="s">
        <v>2949</v>
      </c>
      <c r="I901" t="s">
        <v>2950</v>
      </c>
      <c r="L901" t="s">
        <v>2928</v>
      </c>
    </row>
    <row r="902" spans="1:12" x14ac:dyDescent="0.2">
      <c r="A902" t="s">
        <v>1767</v>
      </c>
      <c r="B902" t="s">
        <v>1769</v>
      </c>
      <c r="C902" t="s">
        <v>2728</v>
      </c>
      <c r="D902">
        <v>3</v>
      </c>
      <c r="E902">
        <v>80</v>
      </c>
      <c r="F902">
        <v>80</v>
      </c>
      <c r="G902" t="s">
        <v>2927</v>
      </c>
      <c r="H902" t="s">
        <v>2931</v>
      </c>
      <c r="I902" t="s">
        <v>2951</v>
      </c>
      <c r="L902" t="s">
        <v>2928</v>
      </c>
    </row>
    <row r="903" spans="1:12" x14ac:dyDescent="0.2">
      <c r="A903" t="s">
        <v>1767</v>
      </c>
      <c r="B903" t="s">
        <v>1769</v>
      </c>
      <c r="C903" t="s">
        <v>2728</v>
      </c>
      <c r="D903">
        <v>3</v>
      </c>
      <c r="E903">
        <v>12.31</v>
      </c>
      <c r="F903">
        <v>12.31</v>
      </c>
      <c r="G903" t="s">
        <v>2927</v>
      </c>
      <c r="H903" t="s">
        <v>2952</v>
      </c>
      <c r="I903" t="s">
        <v>2953</v>
      </c>
      <c r="L903" t="s">
        <v>2928</v>
      </c>
    </row>
    <row r="904" spans="1:12" x14ac:dyDescent="0.2">
      <c r="A904" t="s">
        <v>1767</v>
      </c>
      <c r="B904" t="s">
        <v>1769</v>
      </c>
      <c r="C904" t="s">
        <v>2728</v>
      </c>
      <c r="D904">
        <v>3</v>
      </c>
      <c r="E904">
        <v>12.23</v>
      </c>
      <c r="F904">
        <v>12.23</v>
      </c>
      <c r="G904" t="s">
        <v>2927</v>
      </c>
      <c r="H904" t="s">
        <v>2954</v>
      </c>
      <c r="I904" t="s">
        <v>2955</v>
      </c>
      <c r="L904" t="s">
        <v>2928</v>
      </c>
    </row>
    <row r="905" spans="1:12" x14ac:dyDescent="0.2">
      <c r="A905" t="s">
        <v>1767</v>
      </c>
      <c r="B905" t="s">
        <v>1769</v>
      </c>
      <c r="C905" t="s">
        <v>2728</v>
      </c>
      <c r="D905">
        <v>3</v>
      </c>
      <c r="E905">
        <v>42.5</v>
      </c>
      <c r="F905">
        <v>42.5</v>
      </c>
      <c r="G905" t="s">
        <v>2927</v>
      </c>
      <c r="H905" t="s">
        <v>2956</v>
      </c>
      <c r="I905" t="s">
        <v>2957</v>
      </c>
      <c r="L905" t="s">
        <v>2928</v>
      </c>
    </row>
    <row r="906" spans="1:12" x14ac:dyDescent="0.2">
      <c r="A906" t="s">
        <v>1767</v>
      </c>
      <c r="B906" t="s">
        <v>1769</v>
      </c>
      <c r="C906" t="s">
        <v>2728</v>
      </c>
      <c r="D906">
        <v>3</v>
      </c>
      <c r="E906">
        <v>7.2</v>
      </c>
      <c r="F906">
        <v>7.2</v>
      </c>
      <c r="G906" t="s">
        <v>2927</v>
      </c>
      <c r="H906" t="s">
        <v>2958</v>
      </c>
      <c r="I906" t="s">
        <v>2959</v>
      </c>
      <c r="L906" t="s">
        <v>2928</v>
      </c>
    </row>
    <row r="907" spans="1:12" x14ac:dyDescent="0.2">
      <c r="A907" t="s">
        <v>1767</v>
      </c>
      <c r="B907" t="s">
        <v>1769</v>
      </c>
      <c r="C907" t="s">
        <v>2728</v>
      </c>
      <c r="D907">
        <v>3</v>
      </c>
      <c r="E907">
        <v>9.02</v>
      </c>
      <c r="F907">
        <v>9.02</v>
      </c>
      <c r="G907" t="s">
        <v>2927</v>
      </c>
      <c r="H907" t="s">
        <v>2960</v>
      </c>
      <c r="I907" t="s">
        <v>2961</v>
      </c>
      <c r="L907" t="s">
        <v>2928</v>
      </c>
    </row>
    <row r="908" spans="1:12" x14ac:dyDescent="0.2">
      <c r="A908" t="s">
        <v>1767</v>
      </c>
      <c r="B908" t="s">
        <v>1769</v>
      </c>
      <c r="C908" t="s">
        <v>2728</v>
      </c>
      <c r="D908">
        <v>3</v>
      </c>
      <c r="E908">
        <v>5.53</v>
      </c>
      <c r="F908">
        <v>5.53</v>
      </c>
      <c r="G908" t="s">
        <v>2927</v>
      </c>
      <c r="H908" t="s">
        <v>2962</v>
      </c>
      <c r="I908" t="s">
        <v>2963</v>
      </c>
      <c r="L908" t="s">
        <v>2928</v>
      </c>
    </row>
    <row r="909" spans="1:12" x14ac:dyDescent="0.2">
      <c r="A909" t="s">
        <v>1767</v>
      </c>
      <c r="B909" t="s">
        <v>1769</v>
      </c>
      <c r="C909" t="s">
        <v>2728</v>
      </c>
      <c r="D909">
        <v>3</v>
      </c>
      <c r="E909">
        <v>0.5</v>
      </c>
      <c r="F909">
        <v>0.5</v>
      </c>
      <c r="G909" t="s">
        <v>2927</v>
      </c>
      <c r="H909" t="s">
        <v>2964</v>
      </c>
      <c r="I909" t="s">
        <v>2965</v>
      </c>
      <c r="L909" t="s">
        <v>2928</v>
      </c>
    </row>
    <row r="910" spans="1:12" x14ac:dyDescent="0.2">
      <c r="A910" t="s">
        <v>1767</v>
      </c>
      <c r="B910" t="s">
        <v>1769</v>
      </c>
      <c r="C910" t="s">
        <v>2728</v>
      </c>
      <c r="D910">
        <v>3</v>
      </c>
      <c r="E910">
        <v>0.45</v>
      </c>
      <c r="F910">
        <v>0.45</v>
      </c>
      <c r="G910" t="s">
        <v>2927</v>
      </c>
      <c r="H910" t="s">
        <v>2966</v>
      </c>
      <c r="I910" t="s">
        <v>2967</v>
      </c>
      <c r="L910" t="s">
        <v>2928</v>
      </c>
    </row>
    <row r="911" spans="1:12" x14ac:dyDescent="0.2">
      <c r="A911" t="s">
        <v>1767</v>
      </c>
      <c r="B911" t="s">
        <v>1769</v>
      </c>
      <c r="C911" t="s">
        <v>2728</v>
      </c>
      <c r="D911">
        <v>3</v>
      </c>
      <c r="E911">
        <v>7.9</v>
      </c>
      <c r="F911">
        <v>7.9</v>
      </c>
      <c r="G911" t="s">
        <v>2927</v>
      </c>
      <c r="H911" t="s">
        <v>2968</v>
      </c>
      <c r="I911" t="s">
        <v>2969</v>
      </c>
      <c r="L911" t="s">
        <v>2928</v>
      </c>
    </row>
    <row r="912" spans="1:12" x14ac:dyDescent="0.2">
      <c r="A912" t="s">
        <v>1767</v>
      </c>
      <c r="B912" t="s">
        <v>1769</v>
      </c>
      <c r="C912" t="s">
        <v>2728</v>
      </c>
      <c r="D912">
        <v>3</v>
      </c>
      <c r="E912">
        <v>0.18</v>
      </c>
      <c r="F912">
        <v>0.18</v>
      </c>
      <c r="G912" t="s">
        <v>2927</v>
      </c>
      <c r="H912" t="s">
        <v>2970</v>
      </c>
      <c r="I912" t="s">
        <v>2971</v>
      </c>
      <c r="L912" t="s">
        <v>2928</v>
      </c>
    </row>
    <row r="913" spans="1:12" x14ac:dyDescent="0.2">
      <c r="A913" t="s">
        <v>1767</v>
      </c>
      <c r="B913" t="s">
        <v>1769</v>
      </c>
      <c r="C913" t="s">
        <v>2728</v>
      </c>
      <c r="D913">
        <v>3</v>
      </c>
      <c r="E913">
        <v>4.87</v>
      </c>
      <c r="F913">
        <v>4.87</v>
      </c>
      <c r="G913" t="s">
        <v>2927</v>
      </c>
      <c r="H913" t="s">
        <v>2972</v>
      </c>
      <c r="I913" t="s">
        <v>2973</v>
      </c>
      <c r="L913" t="s">
        <v>2928</v>
      </c>
    </row>
    <row r="914" spans="1:12" x14ac:dyDescent="0.2">
      <c r="A914" t="s">
        <v>1767</v>
      </c>
      <c r="B914" t="s">
        <v>1769</v>
      </c>
      <c r="C914" t="s">
        <v>2728</v>
      </c>
      <c r="D914">
        <v>3</v>
      </c>
      <c r="E914">
        <v>12</v>
      </c>
      <c r="F914">
        <v>12</v>
      </c>
      <c r="G914" t="s">
        <v>2927</v>
      </c>
      <c r="H914" t="s">
        <v>2974</v>
      </c>
      <c r="I914" t="s">
        <v>2975</v>
      </c>
      <c r="L914" t="s">
        <v>2928</v>
      </c>
    </row>
    <row r="915" spans="1:12" x14ac:dyDescent="0.2">
      <c r="A915" t="s">
        <v>1767</v>
      </c>
      <c r="B915" t="s">
        <v>1769</v>
      </c>
      <c r="C915" t="s">
        <v>2728</v>
      </c>
      <c r="D915">
        <v>3</v>
      </c>
      <c r="E915">
        <v>11.6</v>
      </c>
      <c r="F915">
        <v>11.6</v>
      </c>
      <c r="G915" t="s">
        <v>2927</v>
      </c>
      <c r="H915" t="s">
        <v>2976</v>
      </c>
      <c r="I915" t="s">
        <v>2977</v>
      </c>
      <c r="L915" t="s">
        <v>2928</v>
      </c>
    </row>
    <row r="916" spans="1:12" x14ac:dyDescent="0.2">
      <c r="A916" t="s">
        <v>1767</v>
      </c>
      <c r="B916" t="s">
        <v>1769</v>
      </c>
      <c r="C916" t="s">
        <v>2728</v>
      </c>
      <c r="D916">
        <v>3</v>
      </c>
      <c r="E916">
        <v>19.75</v>
      </c>
      <c r="F916">
        <v>19.75</v>
      </c>
      <c r="G916" t="s">
        <v>2927</v>
      </c>
      <c r="H916" t="s">
        <v>2978</v>
      </c>
      <c r="I916" t="s">
        <v>2979</v>
      </c>
      <c r="L916" t="s">
        <v>2928</v>
      </c>
    </row>
    <row r="917" spans="1:12" x14ac:dyDescent="0.2">
      <c r="A917" t="s">
        <v>1767</v>
      </c>
      <c r="B917" t="s">
        <v>1769</v>
      </c>
      <c r="C917" t="s">
        <v>2728</v>
      </c>
      <c r="D917">
        <v>3</v>
      </c>
      <c r="E917">
        <v>34933</v>
      </c>
      <c r="F917">
        <v>34933</v>
      </c>
      <c r="G917" t="s">
        <v>2927</v>
      </c>
      <c r="H917" t="s">
        <v>2980</v>
      </c>
      <c r="I917" t="s">
        <v>2981</v>
      </c>
      <c r="L917" t="s">
        <v>2928</v>
      </c>
    </row>
    <row r="918" spans="1:12" x14ac:dyDescent="0.2">
      <c r="A918" t="s">
        <v>1767</v>
      </c>
      <c r="B918" t="s">
        <v>1769</v>
      </c>
      <c r="C918" t="s">
        <v>2728</v>
      </c>
      <c r="D918">
        <v>3</v>
      </c>
      <c r="E918">
        <v>238.48</v>
      </c>
      <c r="F918">
        <v>238.48</v>
      </c>
      <c r="G918" t="s">
        <v>2927</v>
      </c>
      <c r="H918" t="s">
        <v>2982</v>
      </c>
      <c r="I918" t="s">
        <v>2983</v>
      </c>
      <c r="L918" t="s">
        <v>2928</v>
      </c>
    </row>
    <row r="919" spans="1:12" x14ac:dyDescent="0.2">
      <c r="A919" t="s">
        <v>1767</v>
      </c>
      <c r="B919" t="s">
        <v>1769</v>
      </c>
      <c r="C919" t="s">
        <v>2728</v>
      </c>
      <c r="D919">
        <v>3</v>
      </c>
      <c r="E919">
        <v>12.45</v>
      </c>
      <c r="F919">
        <v>12.45</v>
      </c>
      <c r="G919" t="s">
        <v>2927</v>
      </c>
      <c r="H919" t="s">
        <v>2984</v>
      </c>
      <c r="I919" t="s">
        <v>2985</v>
      </c>
      <c r="L919" t="s">
        <v>2928</v>
      </c>
    </row>
    <row r="920" spans="1:12" x14ac:dyDescent="0.2">
      <c r="A920" t="s">
        <v>1767</v>
      </c>
      <c r="B920" t="s">
        <v>1769</v>
      </c>
      <c r="C920" t="s">
        <v>2728</v>
      </c>
      <c r="D920">
        <v>3</v>
      </c>
      <c r="E920">
        <v>3.96</v>
      </c>
      <c r="F920">
        <v>3.96</v>
      </c>
      <c r="G920" t="s">
        <v>2927</v>
      </c>
      <c r="H920" t="s">
        <v>2986</v>
      </c>
      <c r="I920" t="s">
        <v>2987</v>
      </c>
      <c r="L920" t="s">
        <v>2928</v>
      </c>
    </row>
    <row r="921" spans="1:12" x14ac:dyDescent="0.2">
      <c r="A921" t="s">
        <v>1767</v>
      </c>
      <c r="B921" t="s">
        <v>1769</v>
      </c>
      <c r="C921" t="s">
        <v>2728</v>
      </c>
      <c r="D921">
        <v>3</v>
      </c>
      <c r="E921">
        <v>0.39</v>
      </c>
      <c r="F921">
        <v>0.39</v>
      </c>
      <c r="G921" t="s">
        <v>2927</v>
      </c>
      <c r="H921" t="s">
        <v>2988</v>
      </c>
      <c r="I921" t="s">
        <v>2989</v>
      </c>
      <c r="L921" t="s">
        <v>2928</v>
      </c>
    </row>
    <row r="922" spans="1:12" x14ac:dyDescent="0.2">
      <c r="A922" t="s">
        <v>1767</v>
      </c>
      <c r="B922" t="s">
        <v>1769</v>
      </c>
      <c r="C922" t="s">
        <v>2728</v>
      </c>
      <c r="D922">
        <v>3</v>
      </c>
      <c r="E922">
        <v>283.52</v>
      </c>
      <c r="F922">
        <v>283.52</v>
      </c>
      <c r="G922" t="s">
        <v>2927</v>
      </c>
      <c r="H922" t="s">
        <v>2990</v>
      </c>
      <c r="I922" t="s">
        <v>2991</v>
      </c>
      <c r="L922" t="s">
        <v>2928</v>
      </c>
    </row>
    <row r="923" spans="1:12" x14ac:dyDescent="0.2">
      <c r="A923" t="s">
        <v>1767</v>
      </c>
      <c r="B923" t="s">
        <v>1769</v>
      </c>
      <c r="C923" t="s">
        <v>2728</v>
      </c>
      <c r="D923">
        <v>3</v>
      </c>
      <c r="E923">
        <v>6.5</v>
      </c>
      <c r="F923">
        <v>6.5</v>
      </c>
      <c r="G923" t="s">
        <v>2927</v>
      </c>
      <c r="H923" t="s">
        <v>2992</v>
      </c>
      <c r="I923" t="s">
        <v>2993</v>
      </c>
      <c r="L923" t="s">
        <v>2928</v>
      </c>
    </row>
    <row r="924" spans="1:12" x14ac:dyDescent="0.2">
      <c r="A924" t="s">
        <v>1767</v>
      </c>
      <c r="B924" t="s">
        <v>1769</v>
      </c>
      <c r="C924" t="s">
        <v>2728</v>
      </c>
      <c r="D924">
        <v>3</v>
      </c>
      <c r="E924">
        <v>0.86</v>
      </c>
      <c r="F924">
        <v>0.86</v>
      </c>
      <c r="G924" t="s">
        <v>2927</v>
      </c>
      <c r="H924" t="s">
        <v>2994</v>
      </c>
      <c r="I924" t="s">
        <v>2995</v>
      </c>
      <c r="L924" t="s">
        <v>2928</v>
      </c>
    </row>
    <row r="925" spans="1:12" x14ac:dyDescent="0.2">
      <c r="A925" t="s">
        <v>1767</v>
      </c>
      <c r="B925" t="s">
        <v>1769</v>
      </c>
      <c r="C925" t="s">
        <v>2728</v>
      </c>
      <c r="D925">
        <v>3</v>
      </c>
      <c r="E925">
        <v>2</v>
      </c>
      <c r="F925">
        <v>2</v>
      </c>
      <c r="G925" t="s">
        <v>2927</v>
      </c>
      <c r="H925" t="s">
        <v>2996</v>
      </c>
      <c r="I925" t="s">
        <v>2997</v>
      </c>
      <c r="L925" t="s">
        <v>2928</v>
      </c>
    </row>
    <row r="926" spans="1:12" x14ac:dyDescent="0.2">
      <c r="A926" t="s">
        <v>1767</v>
      </c>
      <c r="B926" t="s">
        <v>1769</v>
      </c>
      <c r="C926" t="s">
        <v>2728</v>
      </c>
      <c r="D926">
        <v>3</v>
      </c>
      <c r="E926">
        <v>1.35</v>
      </c>
      <c r="F926">
        <v>1.35</v>
      </c>
      <c r="G926" t="s">
        <v>2927</v>
      </c>
      <c r="H926" t="s">
        <v>2998</v>
      </c>
      <c r="I926" t="s">
        <v>2999</v>
      </c>
      <c r="L926" t="s">
        <v>2928</v>
      </c>
    </row>
    <row r="927" spans="1:12" x14ac:dyDescent="0.2">
      <c r="A927" t="s">
        <v>1767</v>
      </c>
      <c r="B927" t="s">
        <v>1769</v>
      </c>
      <c r="C927" t="s">
        <v>2728</v>
      </c>
      <c r="D927">
        <v>3</v>
      </c>
      <c r="E927">
        <v>1.2</v>
      </c>
      <c r="F927">
        <v>1.2</v>
      </c>
      <c r="G927" t="s">
        <v>2927</v>
      </c>
      <c r="H927" t="s">
        <v>3000</v>
      </c>
      <c r="I927" t="s">
        <v>3001</v>
      </c>
      <c r="L927" t="s">
        <v>2928</v>
      </c>
    </row>
    <row r="928" spans="1:12" x14ac:dyDescent="0.2">
      <c r="A928" t="s">
        <v>1767</v>
      </c>
      <c r="B928" t="s">
        <v>1769</v>
      </c>
      <c r="C928" t="s">
        <v>2728</v>
      </c>
      <c r="D928">
        <v>3</v>
      </c>
      <c r="E928">
        <v>1.5</v>
      </c>
      <c r="F928">
        <v>1.5</v>
      </c>
      <c r="G928" t="s">
        <v>2927</v>
      </c>
      <c r="H928" t="s">
        <v>3002</v>
      </c>
      <c r="I928" t="s">
        <v>3003</v>
      </c>
      <c r="L928" t="s">
        <v>2928</v>
      </c>
    </row>
    <row r="929" spans="1:12" x14ac:dyDescent="0.2">
      <c r="A929" t="s">
        <v>1767</v>
      </c>
      <c r="B929" t="s">
        <v>1769</v>
      </c>
      <c r="C929" t="s">
        <v>2728</v>
      </c>
      <c r="D929">
        <v>3</v>
      </c>
      <c r="E929">
        <v>12</v>
      </c>
      <c r="F929">
        <v>12</v>
      </c>
      <c r="G929" t="s">
        <v>2927</v>
      </c>
      <c r="H929" t="s">
        <v>2974</v>
      </c>
      <c r="I929" t="s">
        <v>3004</v>
      </c>
      <c r="L929" t="s">
        <v>2928</v>
      </c>
    </row>
    <row r="930" spans="1:12" x14ac:dyDescent="0.2">
      <c r="A930" t="s">
        <v>1767</v>
      </c>
      <c r="B930" t="s">
        <v>1769</v>
      </c>
      <c r="C930" t="s">
        <v>2728</v>
      </c>
      <c r="D930">
        <v>3</v>
      </c>
      <c r="E930">
        <v>80</v>
      </c>
      <c r="F930">
        <v>80</v>
      </c>
      <c r="G930" t="s">
        <v>2927</v>
      </c>
      <c r="H930" t="s">
        <v>2931</v>
      </c>
      <c r="I930" t="s">
        <v>3005</v>
      </c>
      <c r="L930" t="s">
        <v>2928</v>
      </c>
    </row>
    <row r="931" spans="1:12" x14ac:dyDescent="0.2">
      <c r="A931" t="s">
        <v>1767</v>
      </c>
      <c r="B931" t="s">
        <v>1769</v>
      </c>
      <c r="C931" t="s">
        <v>2728</v>
      </c>
      <c r="D931">
        <v>3</v>
      </c>
      <c r="E931">
        <v>1.75</v>
      </c>
      <c r="F931">
        <v>1.75</v>
      </c>
      <c r="G931" t="s">
        <v>2927</v>
      </c>
      <c r="H931" t="s">
        <v>3006</v>
      </c>
      <c r="I931" t="s">
        <v>3007</v>
      </c>
      <c r="L931" t="s">
        <v>2928</v>
      </c>
    </row>
    <row r="932" spans="1:12" x14ac:dyDescent="0.2">
      <c r="A932" t="s">
        <v>1767</v>
      </c>
      <c r="B932" t="s">
        <v>1769</v>
      </c>
      <c r="C932" t="s">
        <v>2728</v>
      </c>
      <c r="D932">
        <v>3</v>
      </c>
      <c r="E932">
        <v>135</v>
      </c>
      <c r="F932">
        <v>135</v>
      </c>
      <c r="G932" t="s">
        <v>2927</v>
      </c>
      <c r="H932" t="s">
        <v>3008</v>
      </c>
      <c r="I932" t="s">
        <v>3009</v>
      </c>
      <c r="L932" t="s">
        <v>2928</v>
      </c>
    </row>
    <row r="933" spans="1:12" x14ac:dyDescent="0.2">
      <c r="A933" t="s">
        <v>1767</v>
      </c>
      <c r="B933" t="s">
        <v>1769</v>
      </c>
      <c r="C933" t="s">
        <v>2728</v>
      </c>
      <c r="D933">
        <v>3</v>
      </c>
      <c r="E933">
        <v>1620.55</v>
      </c>
      <c r="F933">
        <v>1620.55</v>
      </c>
      <c r="G933" t="s">
        <v>2927</v>
      </c>
      <c r="H933" t="s">
        <v>3010</v>
      </c>
      <c r="I933" t="s">
        <v>3011</v>
      </c>
      <c r="L933" t="s">
        <v>2928</v>
      </c>
    </row>
    <row r="934" spans="1:12" x14ac:dyDescent="0.2">
      <c r="A934" t="s">
        <v>1767</v>
      </c>
      <c r="B934" t="s">
        <v>1769</v>
      </c>
      <c r="C934" t="s">
        <v>2728</v>
      </c>
      <c r="D934">
        <v>3</v>
      </c>
      <c r="E934">
        <v>637.9</v>
      </c>
      <c r="F934">
        <v>637.9</v>
      </c>
      <c r="G934" t="s">
        <v>2927</v>
      </c>
      <c r="H934" t="s">
        <v>3012</v>
      </c>
      <c r="I934" t="s">
        <v>3013</v>
      </c>
      <c r="L934" t="s">
        <v>2928</v>
      </c>
    </row>
    <row r="935" spans="1:12" x14ac:dyDescent="0.2">
      <c r="A935" t="s">
        <v>1767</v>
      </c>
      <c r="B935" t="s">
        <v>1769</v>
      </c>
      <c r="C935" t="s">
        <v>2728</v>
      </c>
      <c r="D935">
        <v>3</v>
      </c>
      <c r="E935">
        <v>23.2</v>
      </c>
      <c r="F935">
        <v>23.2</v>
      </c>
      <c r="G935" t="s">
        <v>2927</v>
      </c>
      <c r="H935" t="s">
        <v>3014</v>
      </c>
      <c r="I935" t="s">
        <v>3015</v>
      </c>
      <c r="L935" t="s">
        <v>2928</v>
      </c>
    </row>
    <row r="936" spans="1:12" x14ac:dyDescent="0.2">
      <c r="A936" t="s">
        <v>1767</v>
      </c>
      <c r="B936" t="s">
        <v>1769</v>
      </c>
      <c r="C936" t="s">
        <v>2728</v>
      </c>
      <c r="D936">
        <v>3</v>
      </c>
      <c r="E936">
        <v>141.6</v>
      </c>
      <c r="F936">
        <v>141.6</v>
      </c>
      <c r="G936" t="s">
        <v>2927</v>
      </c>
      <c r="H936" t="s">
        <v>3016</v>
      </c>
      <c r="I936" t="s">
        <v>3017</v>
      </c>
      <c r="L936" t="s">
        <v>2928</v>
      </c>
    </row>
    <row r="937" spans="1:12" x14ac:dyDescent="0.2">
      <c r="A937" t="s">
        <v>1767</v>
      </c>
      <c r="B937" t="s">
        <v>1769</v>
      </c>
      <c r="C937" t="s">
        <v>2728</v>
      </c>
      <c r="D937">
        <v>3</v>
      </c>
      <c r="E937">
        <v>0.9</v>
      </c>
      <c r="F937">
        <v>0.9</v>
      </c>
      <c r="G937" t="s">
        <v>2927</v>
      </c>
      <c r="H937" t="s">
        <v>3018</v>
      </c>
      <c r="I937" t="s">
        <v>3019</v>
      </c>
      <c r="L937" t="s">
        <v>2928</v>
      </c>
    </row>
    <row r="938" spans="1:12" x14ac:dyDescent="0.2">
      <c r="A938" t="s">
        <v>1767</v>
      </c>
      <c r="B938" t="s">
        <v>1769</v>
      </c>
      <c r="C938" t="s">
        <v>2728</v>
      </c>
      <c r="D938">
        <v>3</v>
      </c>
      <c r="E938">
        <v>23.3</v>
      </c>
      <c r="F938">
        <v>23.3</v>
      </c>
      <c r="G938" t="s">
        <v>2927</v>
      </c>
      <c r="H938" t="s">
        <v>3020</v>
      </c>
      <c r="I938" t="s">
        <v>3021</v>
      </c>
      <c r="L938" t="s">
        <v>2928</v>
      </c>
    </row>
    <row r="939" spans="1:12" x14ac:dyDescent="0.2">
      <c r="A939" t="s">
        <v>1767</v>
      </c>
      <c r="B939" t="s">
        <v>1769</v>
      </c>
      <c r="C939" t="s">
        <v>2782</v>
      </c>
      <c r="D939">
        <v>1</v>
      </c>
      <c r="E939">
        <v>0</v>
      </c>
      <c r="F939">
        <v>0</v>
      </c>
      <c r="G939" t="s">
        <v>3022</v>
      </c>
      <c r="L939" t="s">
        <v>3023</v>
      </c>
    </row>
    <row r="940" spans="1:12" x14ac:dyDescent="0.2">
      <c r="A940" t="s">
        <v>1767</v>
      </c>
      <c r="B940" t="s">
        <v>1769</v>
      </c>
      <c r="C940" t="s">
        <v>2782</v>
      </c>
      <c r="D940">
        <v>3</v>
      </c>
      <c r="E940">
        <v>0</v>
      </c>
      <c r="F940">
        <v>0</v>
      </c>
      <c r="G940" t="s">
        <v>3022</v>
      </c>
      <c r="H940" t="s">
        <v>3024</v>
      </c>
      <c r="I940" t="s">
        <v>3025</v>
      </c>
      <c r="L940" t="s">
        <v>3023</v>
      </c>
    </row>
    <row r="941" spans="1:12" x14ac:dyDescent="0.2">
      <c r="A941" t="s">
        <v>1767</v>
      </c>
      <c r="B941" t="s">
        <v>1769</v>
      </c>
      <c r="C941" t="s">
        <v>2782</v>
      </c>
      <c r="D941">
        <v>3</v>
      </c>
      <c r="E941">
        <v>67.099999999999994</v>
      </c>
      <c r="F941">
        <v>67.099999999999994</v>
      </c>
      <c r="G941" t="s">
        <v>3022</v>
      </c>
      <c r="H941" t="s">
        <v>3026</v>
      </c>
      <c r="I941" t="s">
        <v>3027</v>
      </c>
      <c r="L941" t="s">
        <v>3023</v>
      </c>
    </row>
    <row r="942" spans="1:12" x14ac:dyDescent="0.2">
      <c r="A942" t="s">
        <v>1767</v>
      </c>
      <c r="B942" t="s">
        <v>1769</v>
      </c>
      <c r="C942" t="s">
        <v>2782</v>
      </c>
      <c r="D942">
        <v>3</v>
      </c>
      <c r="E942">
        <v>377.64</v>
      </c>
      <c r="F942">
        <v>377.64</v>
      </c>
      <c r="G942" t="s">
        <v>3022</v>
      </c>
      <c r="H942" t="s">
        <v>3028</v>
      </c>
      <c r="I942" t="s">
        <v>3029</v>
      </c>
      <c r="L942" t="s">
        <v>3023</v>
      </c>
    </row>
    <row r="943" spans="1:12" x14ac:dyDescent="0.2">
      <c r="A943" t="s">
        <v>1767</v>
      </c>
      <c r="B943" t="s">
        <v>1769</v>
      </c>
      <c r="C943" t="s">
        <v>2782</v>
      </c>
      <c r="D943">
        <v>3</v>
      </c>
      <c r="E943">
        <v>0</v>
      </c>
      <c r="F943">
        <v>0</v>
      </c>
      <c r="G943" t="s">
        <v>3022</v>
      </c>
      <c r="H943" t="s">
        <v>3024</v>
      </c>
      <c r="I943" t="s">
        <v>3030</v>
      </c>
      <c r="L943" t="s">
        <v>3023</v>
      </c>
    </row>
    <row r="944" spans="1:12" x14ac:dyDescent="0.2">
      <c r="A944" t="s">
        <v>1767</v>
      </c>
      <c r="B944" t="s">
        <v>1769</v>
      </c>
      <c r="C944" t="s">
        <v>2782</v>
      </c>
      <c r="D944">
        <v>3</v>
      </c>
      <c r="E944">
        <v>0.33</v>
      </c>
      <c r="F944">
        <v>0.33</v>
      </c>
      <c r="G944" t="s">
        <v>3022</v>
      </c>
      <c r="H944" t="s">
        <v>3031</v>
      </c>
      <c r="I944" t="s">
        <v>3032</v>
      </c>
      <c r="L944" t="s">
        <v>3023</v>
      </c>
    </row>
    <row r="945" spans="1:12" x14ac:dyDescent="0.2">
      <c r="A945" t="s">
        <v>1767</v>
      </c>
      <c r="B945" t="s">
        <v>1769</v>
      </c>
      <c r="C945" t="s">
        <v>2782</v>
      </c>
      <c r="D945">
        <v>3</v>
      </c>
      <c r="E945">
        <v>0</v>
      </c>
      <c r="F945">
        <v>0</v>
      </c>
      <c r="G945" t="s">
        <v>3022</v>
      </c>
      <c r="H945" t="s">
        <v>3024</v>
      </c>
      <c r="I945" t="s">
        <v>3033</v>
      </c>
      <c r="L945" t="s">
        <v>3023</v>
      </c>
    </row>
    <row r="946" spans="1:12" x14ac:dyDescent="0.2">
      <c r="A946" t="s">
        <v>1767</v>
      </c>
      <c r="B946" t="s">
        <v>1769</v>
      </c>
      <c r="C946" t="s">
        <v>2782</v>
      </c>
      <c r="D946">
        <v>3</v>
      </c>
      <c r="E946">
        <v>0</v>
      </c>
      <c r="F946">
        <v>0</v>
      </c>
      <c r="G946" t="s">
        <v>3022</v>
      </c>
      <c r="H946" t="s">
        <v>3024</v>
      </c>
      <c r="I946" t="s">
        <v>3034</v>
      </c>
      <c r="L946" t="s">
        <v>3023</v>
      </c>
    </row>
    <row r="947" spans="1:12" x14ac:dyDescent="0.2">
      <c r="A947" t="s">
        <v>1767</v>
      </c>
      <c r="B947" t="s">
        <v>1769</v>
      </c>
      <c r="C947" t="s">
        <v>2782</v>
      </c>
      <c r="D947">
        <v>3</v>
      </c>
      <c r="E947">
        <v>0</v>
      </c>
      <c r="F947">
        <v>0</v>
      </c>
      <c r="G947" t="s">
        <v>3022</v>
      </c>
      <c r="H947" t="s">
        <v>3024</v>
      </c>
      <c r="I947" t="s">
        <v>3035</v>
      </c>
      <c r="L947" t="s">
        <v>3023</v>
      </c>
    </row>
    <row r="948" spans="1:12" x14ac:dyDescent="0.2">
      <c r="A948" t="s">
        <v>1767</v>
      </c>
      <c r="B948" t="s">
        <v>1769</v>
      </c>
      <c r="C948" t="s">
        <v>2782</v>
      </c>
      <c r="D948">
        <v>3</v>
      </c>
      <c r="E948">
        <v>253.5</v>
      </c>
      <c r="F948">
        <v>253.5</v>
      </c>
      <c r="G948" t="s">
        <v>3022</v>
      </c>
      <c r="H948" t="s">
        <v>3036</v>
      </c>
      <c r="I948" t="s">
        <v>3037</v>
      </c>
      <c r="L948" t="s">
        <v>3023</v>
      </c>
    </row>
    <row r="949" spans="1:12" x14ac:dyDescent="0.2">
      <c r="A949" t="s">
        <v>1767</v>
      </c>
      <c r="B949" t="s">
        <v>1769</v>
      </c>
      <c r="C949" t="s">
        <v>2782</v>
      </c>
      <c r="D949">
        <v>3</v>
      </c>
      <c r="E949">
        <v>507</v>
      </c>
      <c r="F949">
        <v>507</v>
      </c>
      <c r="G949" t="s">
        <v>3022</v>
      </c>
      <c r="H949" t="s">
        <v>3038</v>
      </c>
      <c r="I949" t="s">
        <v>3039</v>
      </c>
      <c r="L949" t="s">
        <v>3023</v>
      </c>
    </row>
    <row r="950" spans="1:12" x14ac:dyDescent="0.2">
      <c r="A950" t="s">
        <v>1767</v>
      </c>
      <c r="B950" t="s">
        <v>1769</v>
      </c>
      <c r="C950" t="s">
        <v>2782</v>
      </c>
      <c r="D950">
        <v>3</v>
      </c>
      <c r="E950">
        <v>1370</v>
      </c>
      <c r="F950">
        <v>1370</v>
      </c>
      <c r="G950" t="s">
        <v>3022</v>
      </c>
      <c r="H950" t="s">
        <v>3040</v>
      </c>
      <c r="I950" t="s">
        <v>3041</v>
      </c>
      <c r="L950" t="s">
        <v>3023</v>
      </c>
    </row>
    <row r="951" spans="1:12" x14ac:dyDescent="0.2">
      <c r="A951" t="s">
        <v>1767</v>
      </c>
      <c r="B951" t="s">
        <v>1769</v>
      </c>
      <c r="C951" t="s">
        <v>2782</v>
      </c>
      <c r="D951">
        <v>3</v>
      </c>
      <c r="E951">
        <v>0</v>
      </c>
      <c r="F951">
        <v>0</v>
      </c>
      <c r="G951" t="s">
        <v>3022</v>
      </c>
      <c r="H951" t="s">
        <v>3024</v>
      </c>
      <c r="I951" t="s">
        <v>3042</v>
      </c>
      <c r="L951" t="s">
        <v>3023</v>
      </c>
    </row>
    <row r="952" spans="1:12" x14ac:dyDescent="0.2">
      <c r="A952" t="s">
        <v>1767</v>
      </c>
      <c r="B952" t="s">
        <v>1769</v>
      </c>
      <c r="C952" t="s">
        <v>2782</v>
      </c>
      <c r="D952">
        <v>3</v>
      </c>
      <c r="E952">
        <v>0.33</v>
      </c>
      <c r="F952">
        <v>0.33</v>
      </c>
      <c r="G952" t="s">
        <v>3022</v>
      </c>
      <c r="H952" t="s">
        <v>3031</v>
      </c>
      <c r="I952" t="s">
        <v>3043</v>
      </c>
      <c r="L952" t="s">
        <v>3023</v>
      </c>
    </row>
    <row r="953" spans="1:12" x14ac:dyDescent="0.2">
      <c r="A953" t="s">
        <v>1767</v>
      </c>
      <c r="B953" t="s">
        <v>1769</v>
      </c>
      <c r="C953" t="s">
        <v>2782</v>
      </c>
      <c r="D953">
        <v>3</v>
      </c>
      <c r="E953">
        <v>0</v>
      </c>
      <c r="F953">
        <v>0</v>
      </c>
      <c r="G953" t="s">
        <v>3022</v>
      </c>
      <c r="H953" t="s">
        <v>3024</v>
      </c>
      <c r="I953" t="s">
        <v>3044</v>
      </c>
      <c r="L953" t="s">
        <v>3023</v>
      </c>
    </row>
    <row r="954" spans="1:12" x14ac:dyDescent="0.2">
      <c r="A954" t="s">
        <v>1767</v>
      </c>
      <c r="B954" t="s">
        <v>1769</v>
      </c>
      <c r="C954" t="s">
        <v>2782</v>
      </c>
      <c r="D954">
        <v>3</v>
      </c>
      <c r="E954">
        <v>0</v>
      </c>
      <c r="F954">
        <v>0</v>
      </c>
      <c r="G954" t="s">
        <v>3022</v>
      </c>
      <c r="H954" t="s">
        <v>3024</v>
      </c>
      <c r="I954" t="s">
        <v>3045</v>
      </c>
      <c r="L954" t="s">
        <v>3023</v>
      </c>
    </row>
    <row r="955" spans="1:12" x14ac:dyDescent="0.2">
      <c r="A955" t="s">
        <v>1767</v>
      </c>
      <c r="B955" t="s">
        <v>1769</v>
      </c>
      <c r="C955" t="s">
        <v>2782</v>
      </c>
      <c r="D955">
        <v>3</v>
      </c>
      <c r="E955">
        <v>0</v>
      </c>
      <c r="F955">
        <v>0</v>
      </c>
      <c r="G955" t="s">
        <v>3022</v>
      </c>
      <c r="H955" t="s">
        <v>3024</v>
      </c>
      <c r="I955" t="s">
        <v>3046</v>
      </c>
      <c r="L955" t="s">
        <v>3023</v>
      </c>
    </row>
    <row r="956" spans="1:12" x14ac:dyDescent="0.2">
      <c r="A956" t="s">
        <v>1767</v>
      </c>
      <c r="B956" t="s">
        <v>1769</v>
      </c>
      <c r="C956" t="s">
        <v>2782</v>
      </c>
      <c r="D956">
        <v>3</v>
      </c>
      <c r="E956">
        <v>0</v>
      </c>
      <c r="F956">
        <v>0</v>
      </c>
      <c r="G956" t="s">
        <v>3022</v>
      </c>
      <c r="H956" t="s">
        <v>3024</v>
      </c>
      <c r="I956" t="s">
        <v>3047</v>
      </c>
      <c r="L956" t="s">
        <v>3023</v>
      </c>
    </row>
    <row r="957" spans="1:12" x14ac:dyDescent="0.2">
      <c r="A957" t="s">
        <v>1767</v>
      </c>
      <c r="B957" t="s">
        <v>1769</v>
      </c>
      <c r="C957" t="s">
        <v>2782</v>
      </c>
      <c r="D957">
        <v>3</v>
      </c>
      <c r="E957">
        <v>8210.24</v>
      </c>
      <c r="F957">
        <v>8210.24</v>
      </c>
      <c r="G957" t="s">
        <v>3022</v>
      </c>
      <c r="H957" t="s">
        <v>3048</v>
      </c>
      <c r="I957" t="s">
        <v>3049</v>
      </c>
      <c r="L957" t="s">
        <v>3023</v>
      </c>
    </row>
    <row r="958" spans="1:12" x14ac:dyDescent="0.2">
      <c r="A958" t="s">
        <v>1767</v>
      </c>
      <c r="B958" t="s">
        <v>1769</v>
      </c>
      <c r="C958" t="s">
        <v>2782</v>
      </c>
      <c r="D958">
        <v>3</v>
      </c>
      <c r="E958">
        <v>0</v>
      </c>
      <c r="F958">
        <v>0</v>
      </c>
      <c r="G958" t="s">
        <v>3022</v>
      </c>
      <c r="H958" t="s">
        <v>3024</v>
      </c>
      <c r="I958" t="s">
        <v>3050</v>
      </c>
      <c r="L958" t="s">
        <v>3023</v>
      </c>
    </row>
    <row r="959" spans="1:12" x14ac:dyDescent="0.2">
      <c r="A959" t="s">
        <v>1767</v>
      </c>
      <c r="B959" t="s">
        <v>1769</v>
      </c>
      <c r="C959" t="s">
        <v>2782</v>
      </c>
      <c r="D959">
        <v>3</v>
      </c>
      <c r="E959">
        <v>29</v>
      </c>
      <c r="F959">
        <v>29</v>
      </c>
      <c r="G959" t="s">
        <v>3022</v>
      </c>
      <c r="H959" t="s">
        <v>3051</v>
      </c>
      <c r="I959" t="s">
        <v>3052</v>
      </c>
      <c r="L959" t="s">
        <v>3023</v>
      </c>
    </row>
    <row r="960" spans="1:12" x14ac:dyDescent="0.2">
      <c r="A960" t="s">
        <v>1767</v>
      </c>
      <c r="B960" t="s">
        <v>1769</v>
      </c>
      <c r="C960" t="s">
        <v>2782</v>
      </c>
      <c r="D960">
        <v>3</v>
      </c>
      <c r="E960">
        <v>29.5</v>
      </c>
      <c r="F960">
        <v>29.5</v>
      </c>
      <c r="G960" t="s">
        <v>3022</v>
      </c>
      <c r="H960" t="s">
        <v>3053</v>
      </c>
      <c r="I960" t="s">
        <v>3054</v>
      </c>
      <c r="L960" t="s">
        <v>3023</v>
      </c>
    </row>
    <row r="961" spans="1:12" x14ac:dyDescent="0.2">
      <c r="A961" t="s">
        <v>1767</v>
      </c>
      <c r="B961" t="s">
        <v>1769</v>
      </c>
      <c r="C961" t="s">
        <v>2782</v>
      </c>
      <c r="D961">
        <v>3</v>
      </c>
      <c r="E961">
        <v>0</v>
      </c>
      <c r="F961">
        <v>0</v>
      </c>
      <c r="G961" t="s">
        <v>3022</v>
      </c>
      <c r="H961" t="s">
        <v>3024</v>
      </c>
      <c r="I961" t="s">
        <v>3055</v>
      </c>
      <c r="L961" t="s">
        <v>3023</v>
      </c>
    </row>
    <row r="962" spans="1:12" x14ac:dyDescent="0.2">
      <c r="A962" t="s">
        <v>1767</v>
      </c>
      <c r="B962" t="s">
        <v>1769</v>
      </c>
      <c r="C962" t="s">
        <v>2782</v>
      </c>
      <c r="D962">
        <v>3</v>
      </c>
      <c r="E962">
        <v>2649.84</v>
      </c>
      <c r="F962">
        <v>2649.84</v>
      </c>
      <c r="G962" t="s">
        <v>3022</v>
      </c>
      <c r="H962" t="s">
        <v>3056</v>
      </c>
      <c r="I962" t="s">
        <v>3057</v>
      </c>
      <c r="L962" t="s">
        <v>3023</v>
      </c>
    </row>
    <row r="963" spans="1:12" x14ac:dyDescent="0.2">
      <c r="A963" t="s">
        <v>1767</v>
      </c>
      <c r="B963" t="s">
        <v>1769</v>
      </c>
      <c r="C963" t="s">
        <v>2782</v>
      </c>
      <c r="D963">
        <v>3</v>
      </c>
      <c r="E963">
        <v>0</v>
      </c>
      <c r="F963">
        <v>0</v>
      </c>
      <c r="G963" t="s">
        <v>3022</v>
      </c>
      <c r="H963" t="s">
        <v>3024</v>
      </c>
      <c r="I963" t="s">
        <v>3058</v>
      </c>
      <c r="L963" t="s">
        <v>3023</v>
      </c>
    </row>
    <row r="964" spans="1:12" x14ac:dyDescent="0.2">
      <c r="A964" t="s">
        <v>1767</v>
      </c>
      <c r="B964" t="s">
        <v>1769</v>
      </c>
      <c r="C964" t="s">
        <v>2782</v>
      </c>
      <c r="D964">
        <v>3</v>
      </c>
      <c r="E964">
        <v>180.85</v>
      </c>
      <c r="F964">
        <v>180.85</v>
      </c>
      <c r="G964" t="s">
        <v>3022</v>
      </c>
      <c r="H964" t="s">
        <v>3059</v>
      </c>
      <c r="I964" t="s">
        <v>3060</v>
      </c>
      <c r="L964" t="s">
        <v>3023</v>
      </c>
    </row>
    <row r="965" spans="1:12" x14ac:dyDescent="0.2">
      <c r="A965" t="s">
        <v>1767</v>
      </c>
      <c r="B965" t="s">
        <v>1769</v>
      </c>
      <c r="C965" t="s">
        <v>2782</v>
      </c>
      <c r="D965">
        <v>3</v>
      </c>
      <c r="E965">
        <v>62.32</v>
      </c>
      <c r="F965">
        <v>62.32</v>
      </c>
      <c r="G965" t="s">
        <v>3022</v>
      </c>
      <c r="H965" t="s">
        <v>3061</v>
      </c>
      <c r="I965" t="s">
        <v>3062</v>
      </c>
      <c r="L965" t="s">
        <v>3023</v>
      </c>
    </row>
    <row r="966" spans="1:12" x14ac:dyDescent="0.2">
      <c r="A966" t="s">
        <v>1767</v>
      </c>
      <c r="B966" t="s">
        <v>1769</v>
      </c>
      <c r="C966" t="s">
        <v>2782</v>
      </c>
      <c r="D966">
        <v>3</v>
      </c>
      <c r="E966">
        <v>27.29</v>
      </c>
      <c r="F966">
        <v>27.29</v>
      </c>
      <c r="G966" t="s">
        <v>3022</v>
      </c>
      <c r="H966" t="s">
        <v>3063</v>
      </c>
      <c r="I966" t="s">
        <v>3064</v>
      </c>
      <c r="L966" t="s">
        <v>3023</v>
      </c>
    </row>
    <row r="967" spans="1:12" x14ac:dyDescent="0.2">
      <c r="A967" t="s">
        <v>1767</v>
      </c>
      <c r="B967" t="s">
        <v>1769</v>
      </c>
      <c r="C967" t="s">
        <v>2782</v>
      </c>
      <c r="D967">
        <v>3</v>
      </c>
      <c r="E967">
        <v>133.93</v>
      </c>
      <c r="F967">
        <v>133.93</v>
      </c>
      <c r="G967" t="s">
        <v>3022</v>
      </c>
      <c r="H967" t="s">
        <v>3065</v>
      </c>
      <c r="I967" t="s">
        <v>3066</v>
      </c>
      <c r="L967" t="s">
        <v>3023</v>
      </c>
    </row>
    <row r="968" spans="1:12" x14ac:dyDescent="0.2">
      <c r="A968" t="s">
        <v>1767</v>
      </c>
      <c r="B968" t="s">
        <v>1769</v>
      </c>
      <c r="C968" t="s">
        <v>2782</v>
      </c>
      <c r="D968">
        <v>3</v>
      </c>
      <c r="E968">
        <v>0</v>
      </c>
      <c r="F968">
        <v>0</v>
      </c>
      <c r="G968" t="s">
        <v>3022</v>
      </c>
      <c r="H968" t="s">
        <v>3024</v>
      </c>
      <c r="I968" t="s">
        <v>3067</v>
      </c>
      <c r="L968" t="s">
        <v>3023</v>
      </c>
    </row>
    <row r="969" spans="1:12" x14ac:dyDescent="0.2">
      <c r="A969" t="s">
        <v>1767</v>
      </c>
      <c r="B969" t="s">
        <v>1769</v>
      </c>
      <c r="C969" t="s">
        <v>2782</v>
      </c>
      <c r="D969">
        <v>3</v>
      </c>
      <c r="E969">
        <v>0</v>
      </c>
      <c r="F969">
        <v>0</v>
      </c>
      <c r="G969" t="s">
        <v>3022</v>
      </c>
      <c r="H969" t="s">
        <v>3024</v>
      </c>
      <c r="I969" t="s">
        <v>3068</v>
      </c>
      <c r="L969" t="s">
        <v>3023</v>
      </c>
    </row>
    <row r="970" spans="1:12" x14ac:dyDescent="0.2">
      <c r="A970" t="s">
        <v>1767</v>
      </c>
      <c r="B970" t="s">
        <v>1769</v>
      </c>
      <c r="C970" t="s">
        <v>2782</v>
      </c>
      <c r="D970">
        <v>3</v>
      </c>
      <c r="E970">
        <v>345</v>
      </c>
      <c r="F970">
        <v>345</v>
      </c>
      <c r="G970" t="s">
        <v>3022</v>
      </c>
      <c r="H970" t="s">
        <v>3069</v>
      </c>
      <c r="I970" t="s">
        <v>3070</v>
      </c>
      <c r="L970" t="s">
        <v>3023</v>
      </c>
    </row>
    <row r="971" spans="1:12" x14ac:dyDescent="0.2">
      <c r="A971" t="s">
        <v>1767</v>
      </c>
      <c r="B971" t="s">
        <v>1769</v>
      </c>
      <c r="C971" t="s">
        <v>2782</v>
      </c>
      <c r="D971">
        <v>3</v>
      </c>
      <c r="E971">
        <v>1303.7</v>
      </c>
      <c r="F971">
        <v>1303.7</v>
      </c>
      <c r="G971" t="s">
        <v>3022</v>
      </c>
      <c r="H971" t="s">
        <v>3071</v>
      </c>
      <c r="I971" t="s">
        <v>3072</v>
      </c>
      <c r="L971" t="s">
        <v>3023</v>
      </c>
    </row>
    <row r="972" spans="1:12" x14ac:dyDescent="0.2">
      <c r="A972" t="s">
        <v>1767</v>
      </c>
      <c r="B972" t="s">
        <v>1769</v>
      </c>
      <c r="C972" t="s">
        <v>2782</v>
      </c>
      <c r="D972">
        <v>3</v>
      </c>
      <c r="E972">
        <v>0</v>
      </c>
      <c r="F972">
        <v>0</v>
      </c>
      <c r="G972" t="s">
        <v>3022</v>
      </c>
      <c r="H972" t="s">
        <v>3024</v>
      </c>
      <c r="I972" t="s">
        <v>3073</v>
      </c>
      <c r="L972" t="s">
        <v>3023</v>
      </c>
    </row>
    <row r="973" spans="1:12" x14ac:dyDescent="0.2">
      <c r="A973" t="s">
        <v>1767</v>
      </c>
      <c r="B973" t="s">
        <v>1769</v>
      </c>
      <c r="C973" t="s">
        <v>2782</v>
      </c>
      <c r="D973">
        <v>3</v>
      </c>
      <c r="E973">
        <v>345</v>
      </c>
      <c r="F973">
        <v>345</v>
      </c>
      <c r="G973" t="s">
        <v>3022</v>
      </c>
      <c r="H973" t="s">
        <v>3069</v>
      </c>
      <c r="I973" t="s">
        <v>3070</v>
      </c>
      <c r="L973" t="s">
        <v>3023</v>
      </c>
    </row>
    <row r="974" spans="1:12" x14ac:dyDescent="0.2">
      <c r="A974" t="s">
        <v>1767</v>
      </c>
      <c r="B974" t="s">
        <v>1769</v>
      </c>
      <c r="C974" t="s">
        <v>2782</v>
      </c>
      <c r="D974">
        <v>3</v>
      </c>
      <c r="E974">
        <v>0</v>
      </c>
      <c r="F974">
        <v>0</v>
      </c>
      <c r="G974" t="s">
        <v>3022</v>
      </c>
      <c r="H974" t="s">
        <v>3024</v>
      </c>
      <c r="I974" t="s">
        <v>3074</v>
      </c>
      <c r="L974" t="s">
        <v>3023</v>
      </c>
    </row>
    <row r="975" spans="1:12" x14ac:dyDescent="0.2">
      <c r="A975" t="s">
        <v>1767</v>
      </c>
      <c r="B975" t="s">
        <v>1769</v>
      </c>
      <c r="C975" t="s">
        <v>2782</v>
      </c>
      <c r="D975">
        <v>3</v>
      </c>
      <c r="E975">
        <v>0</v>
      </c>
      <c r="F975">
        <v>0</v>
      </c>
      <c r="G975" t="s">
        <v>3022</v>
      </c>
      <c r="H975" t="s">
        <v>3024</v>
      </c>
      <c r="I975" t="s">
        <v>3075</v>
      </c>
      <c r="L975" t="s">
        <v>3023</v>
      </c>
    </row>
    <row r="976" spans="1:12" x14ac:dyDescent="0.2">
      <c r="A976" t="s">
        <v>1767</v>
      </c>
      <c r="B976" t="s">
        <v>1769</v>
      </c>
      <c r="C976" t="s">
        <v>2782</v>
      </c>
      <c r="D976">
        <v>3</v>
      </c>
      <c r="E976">
        <v>0</v>
      </c>
      <c r="F976">
        <v>0</v>
      </c>
      <c r="G976" t="s">
        <v>3022</v>
      </c>
      <c r="H976" t="s">
        <v>3024</v>
      </c>
      <c r="I976" t="s">
        <v>3076</v>
      </c>
      <c r="L976" t="s">
        <v>3023</v>
      </c>
    </row>
    <row r="977" spans="1:12" x14ac:dyDescent="0.2">
      <c r="A977" t="s">
        <v>1767</v>
      </c>
      <c r="B977" t="s">
        <v>1769</v>
      </c>
      <c r="C977" t="s">
        <v>2782</v>
      </c>
      <c r="D977">
        <v>3</v>
      </c>
      <c r="E977">
        <v>5704.75</v>
      </c>
      <c r="F977">
        <v>5704.75</v>
      </c>
      <c r="G977" t="s">
        <v>3022</v>
      </c>
      <c r="H977" t="s">
        <v>3077</v>
      </c>
      <c r="I977" t="s">
        <v>3078</v>
      </c>
      <c r="L977" t="s">
        <v>3023</v>
      </c>
    </row>
    <row r="978" spans="1:12" x14ac:dyDescent="0.2">
      <c r="A978" t="s">
        <v>1767</v>
      </c>
      <c r="B978" t="s">
        <v>1769</v>
      </c>
      <c r="C978" t="s">
        <v>2782</v>
      </c>
      <c r="D978">
        <v>3</v>
      </c>
      <c r="E978">
        <v>0</v>
      </c>
      <c r="F978">
        <v>0</v>
      </c>
      <c r="G978" t="s">
        <v>3022</v>
      </c>
      <c r="H978" t="s">
        <v>3024</v>
      </c>
      <c r="I978" t="s">
        <v>3079</v>
      </c>
      <c r="L978" t="s">
        <v>3023</v>
      </c>
    </row>
    <row r="979" spans="1:12" x14ac:dyDescent="0.2">
      <c r="A979" t="s">
        <v>1767</v>
      </c>
      <c r="B979" t="s">
        <v>1769</v>
      </c>
      <c r="C979" t="s">
        <v>2782</v>
      </c>
      <c r="D979">
        <v>3</v>
      </c>
      <c r="E979">
        <v>43.28</v>
      </c>
      <c r="F979">
        <v>43.28</v>
      </c>
      <c r="G979" t="s">
        <v>3022</v>
      </c>
      <c r="H979" t="s">
        <v>3080</v>
      </c>
      <c r="I979" t="s">
        <v>3081</v>
      </c>
      <c r="L979" t="s">
        <v>3023</v>
      </c>
    </row>
    <row r="980" spans="1:12" x14ac:dyDescent="0.2">
      <c r="A980" t="s">
        <v>1767</v>
      </c>
      <c r="B980" t="s">
        <v>1769</v>
      </c>
      <c r="C980" t="s">
        <v>2782</v>
      </c>
      <c r="D980">
        <v>3</v>
      </c>
      <c r="E980">
        <v>4138.71</v>
      </c>
      <c r="F980">
        <v>4138.71</v>
      </c>
      <c r="G980" t="s">
        <v>3022</v>
      </c>
      <c r="H980" t="s">
        <v>3082</v>
      </c>
      <c r="I980" t="s">
        <v>3083</v>
      </c>
      <c r="L980" t="s">
        <v>3023</v>
      </c>
    </row>
    <row r="981" spans="1:12" x14ac:dyDescent="0.2">
      <c r="A981" t="s">
        <v>1767</v>
      </c>
      <c r="B981" t="s">
        <v>1769</v>
      </c>
      <c r="C981" t="s">
        <v>2782</v>
      </c>
      <c r="D981">
        <v>3</v>
      </c>
      <c r="E981">
        <v>0</v>
      </c>
      <c r="F981">
        <v>0</v>
      </c>
      <c r="G981" t="s">
        <v>3022</v>
      </c>
      <c r="H981" t="s">
        <v>3024</v>
      </c>
      <c r="I981" t="s">
        <v>3084</v>
      </c>
      <c r="L981" t="s">
        <v>3023</v>
      </c>
    </row>
    <row r="982" spans="1:12" x14ac:dyDescent="0.2">
      <c r="A982" t="s">
        <v>1767</v>
      </c>
      <c r="B982" t="s">
        <v>1769</v>
      </c>
      <c r="C982" t="s">
        <v>2782</v>
      </c>
      <c r="D982">
        <v>3</v>
      </c>
      <c r="E982">
        <v>8277.42</v>
      </c>
      <c r="F982">
        <v>8277.42</v>
      </c>
      <c r="G982" t="s">
        <v>3022</v>
      </c>
      <c r="H982" t="s">
        <v>3085</v>
      </c>
      <c r="I982" t="s">
        <v>3086</v>
      </c>
      <c r="L982" t="s">
        <v>3023</v>
      </c>
    </row>
    <row r="983" spans="1:12" x14ac:dyDescent="0.2">
      <c r="A983" t="s">
        <v>1767</v>
      </c>
      <c r="B983" t="s">
        <v>1769</v>
      </c>
      <c r="C983" t="s">
        <v>2782</v>
      </c>
      <c r="D983">
        <v>3</v>
      </c>
      <c r="E983">
        <v>2069.36</v>
      </c>
      <c r="F983">
        <v>2069.36</v>
      </c>
      <c r="G983" t="s">
        <v>3022</v>
      </c>
      <c r="H983" t="s">
        <v>3087</v>
      </c>
      <c r="I983" t="s">
        <v>3088</v>
      </c>
      <c r="L983" t="s">
        <v>3023</v>
      </c>
    </row>
    <row r="984" spans="1:12" x14ac:dyDescent="0.2">
      <c r="A984" t="s">
        <v>1767</v>
      </c>
      <c r="B984" t="s">
        <v>1769</v>
      </c>
      <c r="C984" t="s">
        <v>2782</v>
      </c>
      <c r="D984">
        <v>3</v>
      </c>
      <c r="E984">
        <v>2069.36</v>
      </c>
      <c r="F984">
        <v>2069.36</v>
      </c>
      <c r="G984" t="s">
        <v>3022</v>
      </c>
      <c r="H984" t="s">
        <v>3087</v>
      </c>
      <c r="I984" t="s">
        <v>3088</v>
      </c>
      <c r="L984" t="s">
        <v>3023</v>
      </c>
    </row>
    <row r="985" spans="1:12" x14ac:dyDescent="0.2">
      <c r="A985" t="s">
        <v>1767</v>
      </c>
      <c r="B985" t="s">
        <v>1769</v>
      </c>
      <c r="C985" t="s">
        <v>2782</v>
      </c>
      <c r="D985">
        <v>3</v>
      </c>
      <c r="E985">
        <v>2131.0500000000002</v>
      </c>
      <c r="F985">
        <v>2131.0500000000002</v>
      </c>
      <c r="G985" t="s">
        <v>3022</v>
      </c>
      <c r="H985" t="s">
        <v>3089</v>
      </c>
      <c r="I985" t="s">
        <v>3090</v>
      </c>
      <c r="L985" t="s">
        <v>3023</v>
      </c>
    </row>
    <row r="986" spans="1:12" x14ac:dyDescent="0.2">
      <c r="A986" t="s">
        <v>1767</v>
      </c>
      <c r="B986" t="s">
        <v>1769</v>
      </c>
      <c r="C986" t="s">
        <v>2782</v>
      </c>
      <c r="D986">
        <v>3</v>
      </c>
      <c r="E986">
        <v>2131.0500000000002</v>
      </c>
      <c r="F986">
        <v>2131.0500000000002</v>
      </c>
      <c r="G986" t="s">
        <v>3022</v>
      </c>
      <c r="H986" t="s">
        <v>3089</v>
      </c>
      <c r="I986" t="s">
        <v>3090</v>
      </c>
      <c r="L986" t="s">
        <v>3023</v>
      </c>
    </row>
    <row r="987" spans="1:12" x14ac:dyDescent="0.2">
      <c r="A987" t="s">
        <v>1767</v>
      </c>
      <c r="B987" t="s">
        <v>1769</v>
      </c>
      <c r="C987" t="s">
        <v>2782</v>
      </c>
      <c r="D987">
        <v>3</v>
      </c>
      <c r="E987">
        <v>4262.1000000000004</v>
      </c>
      <c r="F987">
        <v>4262.1000000000004</v>
      </c>
      <c r="G987" t="s">
        <v>3022</v>
      </c>
      <c r="H987" t="s">
        <v>3091</v>
      </c>
      <c r="I987" t="s">
        <v>3092</v>
      </c>
      <c r="L987" t="s">
        <v>3023</v>
      </c>
    </row>
    <row r="988" spans="1:12" x14ac:dyDescent="0.2">
      <c r="A988" t="s">
        <v>1767</v>
      </c>
      <c r="B988" t="s">
        <v>1769</v>
      </c>
      <c r="C988" t="s">
        <v>2782</v>
      </c>
      <c r="D988">
        <v>3</v>
      </c>
      <c r="E988">
        <v>1065.53</v>
      </c>
      <c r="F988">
        <v>1065.53</v>
      </c>
      <c r="G988" t="s">
        <v>3022</v>
      </c>
      <c r="H988" t="s">
        <v>3093</v>
      </c>
      <c r="I988" t="s">
        <v>3094</v>
      </c>
      <c r="L988" t="s">
        <v>3023</v>
      </c>
    </row>
    <row r="989" spans="1:12" x14ac:dyDescent="0.2">
      <c r="A989" t="s">
        <v>1767</v>
      </c>
      <c r="B989" t="s">
        <v>1769</v>
      </c>
      <c r="C989" t="s">
        <v>2782</v>
      </c>
      <c r="D989">
        <v>3</v>
      </c>
      <c r="E989">
        <v>4138.71</v>
      </c>
      <c r="F989">
        <v>4138.71</v>
      </c>
      <c r="G989" t="s">
        <v>3022</v>
      </c>
      <c r="H989" t="s">
        <v>3082</v>
      </c>
      <c r="I989" t="s">
        <v>3083</v>
      </c>
      <c r="L989" t="s">
        <v>3023</v>
      </c>
    </row>
    <row r="990" spans="1:12" x14ac:dyDescent="0.2">
      <c r="A990" t="s">
        <v>1767</v>
      </c>
      <c r="B990" t="s">
        <v>1769</v>
      </c>
      <c r="C990" t="s">
        <v>2782</v>
      </c>
      <c r="D990">
        <v>3</v>
      </c>
      <c r="E990">
        <v>1065.53</v>
      </c>
      <c r="F990">
        <v>1065.53</v>
      </c>
      <c r="G990" t="s">
        <v>3022</v>
      </c>
      <c r="H990" t="s">
        <v>3093</v>
      </c>
      <c r="I990" t="s">
        <v>3094</v>
      </c>
      <c r="L990" t="s">
        <v>3023</v>
      </c>
    </row>
    <row r="991" spans="1:12" x14ac:dyDescent="0.2">
      <c r="A991" t="s">
        <v>1767</v>
      </c>
      <c r="B991" t="s">
        <v>1769</v>
      </c>
      <c r="C991" t="s">
        <v>2782</v>
      </c>
      <c r="D991">
        <v>4</v>
      </c>
      <c r="E991">
        <v>194.27</v>
      </c>
      <c r="F991">
        <v>194.27</v>
      </c>
      <c r="G991" t="s">
        <v>3022</v>
      </c>
      <c r="H991" t="s">
        <v>3095</v>
      </c>
      <c r="I991" t="s">
        <v>3049</v>
      </c>
      <c r="J991" t="s">
        <v>3096</v>
      </c>
      <c r="L991" t="s">
        <v>3023</v>
      </c>
    </row>
    <row r="992" spans="1:12" x14ac:dyDescent="0.2">
      <c r="A992" t="s">
        <v>1767</v>
      </c>
      <c r="B992" t="s">
        <v>1769</v>
      </c>
      <c r="C992" t="s">
        <v>2782</v>
      </c>
      <c r="D992">
        <v>4</v>
      </c>
      <c r="E992">
        <v>0.45</v>
      </c>
      <c r="F992">
        <v>0.45</v>
      </c>
      <c r="G992" t="s">
        <v>3022</v>
      </c>
      <c r="H992" t="s">
        <v>3097</v>
      </c>
      <c r="I992" t="s">
        <v>3049</v>
      </c>
      <c r="J992" t="s">
        <v>3098</v>
      </c>
      <c r="L992" t="s">
        <v>3023</v>
      </c>
    </row>
    <row r="993" spans="1:12" x14ac:dyDescent="0.2">
      <c r="A993" t="s">
        <v>1767</v>
      </c>
      <c r="B993" t="s">
        <v>1769</v>
      </c>
      <c r="C993" t="s">
        <v>2782</v>
      </c>
      <c r="D993">
        <v>4</v>
      </c>
      <c r="E993">
        <v>0.15</v>
      </c>
      <c r="F993">
        <v>0.15</v>
      </c>
      <c r="G993" t="s">
        <v>3022</v>
      </c>
      <c r="H993" t="s">
        <v>3099</v>
      </c>
      <c r="I993" t="s">
        <v>3049</v>
      </c>
      <c r="J993" t="s">
        <v>3100</v>
      </c>
      <c r="L993" t="s">
        <v>3023</v>
      </c>
    </row>
    <row r="994" spans="1:12" x14ac:dyDescent="0.2">
      <c r="A994" t="s">
        <v>1767</v>
      </c>
      <c r="B994" t="s">
        <v>1769</v>
      </c>
      <c r="C994" t="s">
        <v>2782</v>
      </c>
      <c r="D994">
        <v>4</v>
      </c>
      <c r="E994">
        <v>13.36</v>
      </c>
      <c r="F994">
        <v>13.36</v>
      </c>
      <c r="G994" t="s">
        <v>3022</v>
      </c>
      <c r="H994" t="s">
        <v>3101</v>
      </c>
      <c r="I994" t="s">
        <v>3049</v>
      </c>
      <c r="J994" t="s">
        <v>3102</v>
      </c>
      <c r="L994" t="s">
        <v>3023</v>
      </c>
    </row>
    <row r="995" spans="1:12" x14ac:dyDescent="0.2">
      <c r="A995" t="s">
        <v>1767</v>
      </c>
      <c r="B995" t="s">
        <v>1769</v>
      </c>
      <c r="C995" t="s">
        <v>2782</v>
      </c>
      <c r="D995">
        <v>4</v>
      </c>
      <c r="E995">
        <v>9.7799999999999994</v>
      </c>
      <c r="F995">
        <v>9.7799999999999994</v>
      </c>
      <c r="G995" t="s">
        <v>3022</v>
      </c>
      <c r="H995" t="s">
        <v>3103</v>
      </c>
      <c r="I995" t="s">
        <v>3049</v>
      </c>
      <c r="J995" t="s">
        <v>3104</v>
      </c>
      <c r="L995" t="s">
        <v>3023</v>
      </c>
    </row>
    <row r="996" spans="1:12" x14ac:dyDescent="0.2">
      <c r="A996" t="s">
        <v>1767</v>
      </c>
      <c r="B996" t="s">
        <v>1769</v>
      </c>
      <c r="C996" t="s">
        <v>2782</v>
      </c>
      <c r="D996">
        <v>4</v>
      </c>
      <c r="E996">
        <v>0.5</v>
      </c>
      <c r="F996">
        <v>0.5</v>
      </c>
      <c r="G996" t="s">
        <v>3022</v>
      </c>
      <c r="H996" t="s">
        <v>3105</v>
      </c>
      <c r="I996" t="s">
        <v>3049</v>
      </c>
      <c r="J996" t="s">
        <v>3106</v>
      </c>
      <c r="L996" t="s">
        <v>3023</v>
      </c>
    </row>
    <row r="997" spans="1:12" x14ac:dyDescent="0.2">
      <c r="A997" t="s">
        <v>1767</v>
      </c>
      <c r="B997" t="s">
        <v>1769</v>
      </c>
      <c r="C997" t="s">
        <v>2782</v>
      </c>
      <c r="D997">
        <v>4</v>
      </c>
      <c r="E997">
        <v>0</v>
      </c>
      <c r="F997">
        <v>0</v>
      </c>
      <c r="G997" t="s">
        <v>3022</v>
      </c>
      <c r="H997" t="s">
        <v>3024</v>
      </c>
      <c r="I997" t="s">
        <v>3049</v>
      </c>
      <c r="J997" t="s">
        <v>3107</v>
      </c>
      <c r="L997" t="s">
        <v>3023</v>
      </c>
    </row>
    <row r="998" spans="1:12" x14ac:dyDescent="0.2">
      <c r="A998" t="s">
        <v>1767</v>
      </c>
      <c r="B998" t="s">
        <v>1769</v>
      </c>
      <c r="C998" t="s">
        <v>2782</v>
      </c>
      <c r="D998">
        <v>4</v>
      </c>
      <c r="E998">
        <v>0.75</v>
      </c>
      <c r="F998">
        <v>0.75</v>
      </c>
      <c r="G998" t="s">
        <v>3022</v>
      </c>
      <c r="H998" t="s">
        <v>3108</v>
      </c>
      <c r="I998" t="s">
        <v>3049</v>
      </c>
      <c r="J998" t="s">
        <v>3109</v>
      </c>
      <c r="L998" t="s">
        <v>3023</v>
      </c>
    </row>
    <row r="999" spans="1:12" x14ac:dyDescent="0.2">
      <c r="A999" t="s">
        <v>1767</v>
      </c>
      <c r="B999" t="s">
        <v>1769</v>
      </c>
      <c r="C999" t="s">
        <v>2782</v>
      </c>
      <c r="D999">
        <v>4</v>
      </c>
      <c r="E999">
        <v>0.45</v>
      </c>
      <c r="F999">
        <v>0.45</v>
      </c>
      <c r="G999" t="s">
        <v>3022</v>
      </c>
      <c r="H999" t="s">
        <v>3097</v>
      </c>
      <c r="I999" t="s">
        <v>3049</v>
      </c>
      <c r="J999" t="s">
        <v>3110</v>
      </c>
      <c r="L999" t="s">
        <v>3023</v>
      </c>
    </row>
    <row r="1000" spans="1:12" x14ac:dyDescent="0.2">
      <c r="A1000" t="s">
        <v>1767</v>
      </c>
      <c r="B1000" t="s">
        <v>1769</v>
      </c>
      <c r="C1000" t="s">
        <v>2782</v>
      </c>
      <c r="D1000">
        <v>4</v>
      </c>
      <c r="E1000">
        <v>634.58000000000004</v>
      </c>
      <c r="F1000">
        <v>634.58000000000004</v>
      </c>
      <c r="G1000" t="s">
        <v>3022</v>
      </c>
      <c r="H1000" t="s">
        <v>3111</v>
      </c>
      <c r="I1000" t="s">
        <v>3049</v>
      </c>
      <c r="J1000" t="s">
        <v>3112</v>
      </c>
      <c r="L1000" t="s">
        <v>3023</v>
      </c>
    </row>
    <row r="1001" spans="1:12" x14ac:dyDescent="0.2">
      <c r="A1001" t="s">
        <v>1767</v>
      </c>
      <c r="B1001" t="s">
        <v>1769</v>
      </c>
      <c r="C1001" t="s">
        <v>2782</v>
      </c>
      <c r="D1001">
        <v>4</v>
      </c>
      <c r="E1001">
        <v>0.4</v>
      </c>
      <c r="F1001">
        <v>0.4</v>
      </c>
      <c r="G1001" t="s">
        <v>3022</v>
      </c>
      <c r="H1001" t="s">
        <v>3113</v>
      </c>
      <c r="I1001" t="s">
        <v>3049</v>
      </c>
      <c r="J1001" t="s">
        <v>3114</v>
      </c>
      <c r="L1001" t="s">
        <v>3023</v>
      </c>
    </row>
    <row r="1002" spans="1:12" x14ac:dyDescent="0.2">
      <c r="A1002" t="s">
        <v>1767</v>
      </c>
      <c r="B1002" t="s">
        <v>1769</v>
      </c>
      <c r="C1002" t="s">
        <v>2782</v>
      </c>
      <c r="D1002">
        <v>4</v>
      </c>
      <c r="E1002">
        <v>1.7</v>
      </c>
      <c r="F1002">
        <v>1.7</v>
      </c>
      <c r="G1002" t="s">
        <v>3022</v>
      </c>
      <c r="H1002" t="s">
        <v>3115</v>
      </c>
      <c r="I1002" t="s">
        <v>3049</v>
      </c>
      <c r="J1002" t="s">
        <v>3116</v>
      </c>
      <c r="L1002" t="s">
        <v>3023</v>
      </c>
    </row>
    <row r="1003" spans="1:12" x14ac:dyDescent="0.2">
      <c r="A1003" t="s">
        <v>1767</v>
      </c>
      <c r="B1003" t="s">
        <v>1769</v>
      </c>
      <c r="C1003" t="s">
        <v>2782</v>
      </c>
      <c r="D1003">
        <v>4</v>
      </c>
      <c r="E1003">
        <v>1586.44</v>
      </c>
      <c r="F1003">
        <v>1586.44</v>
      </c>
      <c r="G1003" t="s">
        <v>3022</v>
      </c>
      <c r="H1003" t="s">
        <v>3117</v>
      </c>
      <c r="I1003" t="s">
        <v>3049</v>
      </c>
      <c r="J1003" t="s">
        <v>3118</v>
      </c>
      <c r="L1003" t="s">
        <v>3023</v>
      </c>
    </row>
    <row r="1004" spans="1:12" x14ac:dyDescent="0.2">
      <c r="A1004" t="s">
        <v>1767</v>
      </c>
      <c r="B1004" t="s">
        <v>1769</v>
      </c>
      <c r="C1004" t="s">
        <v>2782</v>
      </c>
      <c r="D1004">
        <v>4</v>
      </c>
      <c r="E1004">
        <v>77.900000000000006</v>
      </c>
      <c r="F1004">
        <v>77.900000000000006</v>
      </c>
      <c r="G1004" t="s">
        <v>3022</v>
      </c>
      <c r="H1004" t="s">
        <v>3119</v>
      </c>
      <c r="I1004" t="s">
        <v>3049</v>
      </c>
      <c r="J1004" t="s">
        <v>3120</v>
      </c>
      <c r="L1004" t="s">
        <v>3023</v>
      </c>
    </row>
    <row r="1005" spans="1:12" x14ac:dyDescent="0.2">
      <c r="A1005" t="s">
        <v>1767</v>
      </c>
      <c r="B1005" t="s">
        <v>1769</v>
      </c>
      <c r="C1005" t="s">
        <v>2782</v>
      </c>
      <c r="D1005">
        <v>4</v>
      </c>
      <c r="E1005">
        <v>314.58</v>
      </c>
      <c r="F1005">
        <v>314.58</v>
      </c>
      <c r="G1005" t="s">
        <v>3022</v>
      </c>
      <c r="H1005" t="s">
        <v>3121</v>
      </c>
      <c r="I1005" t="s">
        <v>3049</v>
      </c>
      <c r="J1005" t="s">
        <v>3122</v>
      </c>
      <c r="L1005" t="s">
        <v>3023</v>
      </c>
    </row>
    <row r="1006" spans="1:12" x14ac:dyDescent="0.2">
      <c r="A1006" t="s">
        <v>1767</v>
      </c>
      <c r="B1006" t="s">
        <v>1769</v>
      </c>
      <c r="C1006" t="s">
        <v>2782</v>
      </c>
      <c r="D1006">
        <v>4</v>
      </c>
      <c r="E1006">
        <v>6292</v>
      </c>
      <c r="F1006">
        <v>6292</v>
      </c>
      <c r="G1006" t="s">
        <v>3022</v>
      </c>
      <c r="H1006" t="s">
        <v>3123</v>
      </c>
      <c r="I1006" t="s">
        <v>3049</v>
      </c>
      <c r="J1006" t="s">
        <v>3124</v>
      </c>
      <c r="L1006" t="s">
        <v>3023</v>
      </c>
    </row>
    <row r="1007" spans="1:12" x14ac:dyDescent="0.2">
      <c r="A1007" t="s">
        <v>1767</v>
      </c>
      <c r="B1007" t="s">
        <v>1769</v>
      </c>
      <c r="C1007" t="s">
        <v>2782</v>
      </c>
      <c r="D1007">
        <v>4</v>
      </c>
      <c r="E1007">
        <v>634.58000000000004</v>
      </c>
      <c r="F1007">
        <v>634.58000000000004</v>
      </c>
      <c r="G1007" t="s">
        <v>3022</v>
      </c>
      <c r="H1007" t="s">
        <v>3111</v>
      </c>
      <c r="I1007" t="s">
        <v>3049</v>
      </c>
      <c r="J1007" t="s">
        <v>3112</v>
      </c>
      <c r="L1007" t="s">
        <v>3023</v>
      </c>
    </row>
    <row r="1008" spans="1:12" x14ac:dyDescent="0.2">
      <c r="A1008" t="s">
        <v>1767</v>
      </c>
      <c r="B1008" t="s">
        <v>1769</v>
      </c>
      <c r="C1008" t="s">
        <v>2782</v>
      </c>
      <c r="D1008">
        <v>4</v>
      </c>
      <c r="E1008">
        <v>90.81</v>
      </c>
      <c r="F1008">
        <v>90.81</v>
      </c>
      <c r="G1008" t="s">
        <v>3022</v>
      </c>
      <c r="H1008" t="s">
        <v>3125</v>
      </c>
      <c r="I1008" t="s">
        <v>3049</v>
      </c>
      <c r="J1008" t="s">
        <v>3126</v>
      </c>
      <c r="L1008" t="s">
        <v>3023</v>
      </c>
    </row>
    <row r="1009" spans="1:12" x14ac:dyDescent="0.2">
      <c r="A1009" t="s">
        <v>1767</v>
      </c>
      <c r="B1009" t="s">
        <v>1769</v>
      </c>
      <c r="C1009" t="s">
        <v>2782</v>
      </c>
      <c r="D1009">
        <v>4</v>
      </c>
      <c r="E1009">
        <v>28.6</v>
      </c>
      <c r="F1009">
        <v>28.6</v>
      </c>
      <c r="G1009" t="s">
        <v>3022</v>
      </c>
      <c r="H1009" t="s">
        <v>3127</v>
      </c>
      <c r="I1009" t="s">
        <v>3049</v>
      </c>
      <c r="J1009" t="s">
        <v>3128</v>
      </c>
      <c r="L1009" t="s">
        <v>3023</v>
      </c>
    </row>
    <row r="1010" spans="1:12" x14ac:dyDescent="0.2">
      <c r="A1010" t="s">
        <v>1767</v>
      </c>
      <c r="B1010" t="s">
        <v>1769</v>
      </c>
      <c r="C1010" t="s">
        <v>2782</v>
      </c>
      <c r="D1010">
        <v>4</v>
      </c>
      <c r="E1010">
        <v>3.84</v>
      </c>
      <c r="F1010">
        <v>3.84</v>
      </c>
      <c r="G1010" t="s">
        <v>3022</v>
      </c>
      <c r="H1010" t="s">
        <v>3129</v>
      </c>
      <c r="I1010" t="s">
        <v>3049</v>
      </c>
      <c r="J1010" t="s">
        <v>3130</v>
      </c>
      <c r="L1010" t="s">
        <v>3023</v>
      </c>
    </row>
    <row r="1011" spans="1:12" x14ac:dyDescent="0.2">
      <c r="A1011" t="s">
        <v>1767</v>
      </c>
      <c r="B1011" t="s">
        <v>1769</v>
      </c>
      <c r="C1011" t="s">
        <v>2782</v>
      </c>
      <c r="D1011">
        <v>4</v>
      </c>
      <c r="E1011">
        <v>0</v>
      </c>
      <c r="F1011">
        <v>0</v>
      </c>
      <c r="G1011" t="s">
        <v>3022</v>
      </c>
      <c r="H1011" t="s">
        <v>3024</v>
      </c>
      <c r="I1011" t="s">
        <v>3049</v>
      </c>
      <c r="J1011" t="s">
        <v>3131</v>
      </c>
      <c r="L1011" t="s">
        <v>3023</v>
      </c>
    </row>
    <row r="1012" spans="1:12" x14ac:dyDescent="0.2">
      <c r="A1012" t="s">
        <v>1767</v>
      </c>
      <c r="B1012" t="s">
        <v>1769</v>
      </c>
      <c r="C1012" t="s">
        <v>2782</v>
      </c>
      <c r="D1012">
        <v>4</v>
      </c>
      <c r="E1012">
        <v>0</v>
      </c>
      <c r="F1012">
        <v>0</v>
      </c>
      <c r="G1012" t="s">
        <v>3022</v>
      </c>
      <c r="H1012" t="s">
        <v>3024</v>
      </c>
      <c r="I1012" t="s">
        <v>3049</v>
      </c>
      <c r="J1012" t="s">
        <v>3132</v>
      </c>
      <c r="L1012" t="s">
        <v>3023</v>
      </c>
    </row>
    <row r="1013" spans="1:12" x14ac:dyDescent="0.2">
      <c r="A1013" t="s">
        <v>1767</v>
      </c>
      <c r="B1013" t="s">
        <v>1769</v>
      </c>
      <c r="C1013" t="s">
        <v>2782</v>
      </c>
      <c r="D1013">
        <v>4</v>
      </c>
      <c r="E1013">
        <v>23.58</v>
      </c>
      <c r="F1013">
        <v>23.58</v>
      </c>
      <c r="G1013" t="s">
        <v>3022</v>
      </c>
      <c r="H1013" t="s">
        <v>3133</v>
      </c>
      <c r="I1013" t="s">
        <v>3049</v>
      </c>
      <c r="J1013" t="s">
        <v>3134</v>
      </c>
      <c r="L1013" t="s">
        <v>3023</v>
      </c>
    </row>
    <row r="1014" spans="1:12" x14ac:dyDescent="0.2">
      <c r="A1014" t="s">
        <v>1767</v>
      </c>
      <c r="B1014" t="s">
        <v>1769</v>
      </c>
      <c r="C1014" t="s">
        <v>2782</v>
      </c>
      <c r="D1014">
        <v>4</v>
      </c>
      <c r="E1014">
        <v>18.29</v>
      </c>
      <c r="F1014">
        <v>18.29</v>
      </c>
      <c r="G1014" t="s">
        <v>3022</v>
      </c>
      <c r="H1014" t="s">
        <v>3135</v>
      </c>
      <c r="I1014" t="s">
        <v>3049</v>
      </c>
      <c r="J1014" t="s">
        <v>3136</v>
      </c>
      <c r="L1014" t="s">
        <v>3023</v>
      </c>
    </row>
    <row r="1015" spans="1:12" x14ac:dyDescent="0.2">
      <c r="A1015" t="s">
        <v>1767</v>
      </c>
      <c r="B1015" t="s">
        <v>1769</v>
      </c>
      <c r="C1015" t="s">
        <v>2782</v>
      </c>
      <c r="D1015">
        <v>4</v>
      </c>
      <c r="E1015">
        <v>1.36</v>
      </c>
      <c r="F1015">
        <v>1.36</v>
      </c>
      <c r="G1015" t="s">
        <v>3022</v>
      </c>
      <c r="H1015" t="s">
        <v>3137</v>
      </c>
      <c r="I1015" t="s">
        <v>3049</v>
      </c>
      <c r="J1015" t="s">
        <v>3138</v>
      </c>
      <c r="L1015" t="s">
        <v>3023</v>
      </c>
    </row>
    <row r="1016" spans="1:12" x14ac:dyDescent="0.2">
      <c r="A1016" t="s">
        <v>1767</v>
      </c>
      <c r="B1016" t="s">
        <v>1769</v>
      </c>
      <c r="C1016" t="s">
        <v>2782</v>
      </c>
      <c r="D1016">
        <v>4</v>
      </c>
      <c r="E1016">
        <v>6.06</v>
      </c>
      <c r="F1016">
        <v>6.06</v>
      </c>
      <c r="G1016" t="s">
        <v>3022</v>
      </c>
      <c r="H1016" t="s">
        <v>3139</v>
      </c>
      <c r="I1016" t="s">
        <v>3049</v>
      </c>
      <c r="J1016" t="s">
        <v>3140</v>
      </c>
      <c r="L1016" t="s">
        <v>3023</v>
      </c>
    </row>
    <row r="1017" spans="1:12" x14ac:dyDescent="0.2">
      <c r="A1017" t="s">
        <v>1767</v>
      </c>
      <c r="B1017" t="s">
        <v>1769</v>
      </c>
      <c r="C1017" t="s">
        <v>2782</v>
      </c>
      <c r="D1017">
        <v>4</v>
      </c>
      <c r="E1017">
        <v>26.23</v>
      </c>
      <c r="F1017">
        <v>26.23</v>
      </c>
      <c r="G1017" t="s">
        <v>3022</v>
      </c>
      <c r="H1017" t="s">
        <v>3141</v>
      </c>
      <c r="I1017" t="s">
        <v>3049</v>
      </c>
      <c r="J1017" t="s">
        <v>3142</v>
      </c>
      <c r="L1017" t="s">
        <v>3023</v>
      </c>
    </row>
    <row r="1018" spans="1:12" x14ac:dyDescent="0.2">
      <c r="A1018" t="s">
        <v>1767</v>
      </c>
      <c r="B1018" t="s">
        <v>1769</v>
      </c>
      <c r="C1018" t="s">
        <v>2782</v>
      </c>
      <c r="D1018">
        <v>4</v>
      </c>
      <c r="E1018">
        <v>90.81</v>
      </c>
      <c r="F1018">
        <v>90.81</v>
      </c>
      <c r="G1018" t="s">
        <v>3022</v>
      </c>
      <c r="H1018" t="s">
        <v>3125</v>
      </c>
      <c r="I1018" t="s">
        <v>3049</v>
      </c>
      <c r="J1018" t="s">
        <v>3126</v>
      </c>
      <c r="L1018" t="s">
        <v>3023</v>
      </c>
    </row>
    <row r="1019" spans="1:12" x14ac:dyDescent="0.2">
      <c r="A1019" t="s">
        <v>1767</v>
      </c>
      <c r="B1019" t="s">
        <v>1769</v>
      </c>
      <c r="C1019" t="s">
        <v>2782</v>
      </c>
      <c r="D1019">
        <v>4</v>
      </c>
      <c r="E1019">
        <v>53.1</v>
      </c>
      <c r="F1019">
        <v>53.1</v>
      </c>
      <c r="G1019" t="s">
        <v>3022</v>
      </c>
      <c r="H1019" t="s">
        <v>3143</v>
      </c>
      <c r="I1019" t="s">
        <v>3049</v>
      </c>
      <c r="J1019" t="s">
        <v>3144</v>
      </c>
      <c r="L1019" t="s">
        <v>3023</v>
      </c>
    </row>
    <row r="1020" spans="1:12" x14ac:dyDescent="0.2">
      <c r="A1020" t="s">
        <v>1767</v>
      </c>
      <c r="B1020" t="s">
        <v>1769</v>
      </c>
      <c r="C1020" t="s">
        <v>2782</v>
      </c>
      <c r="D1020">
        <v>4</v>
      </c>
      <c r="E1020">
        <v>25.8</v>
      </c>
      <c r="F1020">
        <v>25.8</v>
      </c>
      <c r="G1020" t="s">
        <v>3022</v>
      </c>
      <c r="H1020" t="s">
        <v>3145</v>
      </c>
      <c r="I1020" t="s">
        <v>3049</v>
      </c>
      <c r="J1020" t="s">
        <v>3146</v>
      </c>
      <c r="L1020" t="s">
        <v>3023</v>
      </c>
    </row>
    <row r="1021" spans="1:12" x14ac:dyDescent="0.2">
      <c r="A1021" t="s">
        <v>1767</v>
      </c>
      <c r="B1021" t="s">
        <v>1769</v>
      </c>
      <c r="C1021" t="s">
        <v>2782</v>
      </c>
      <c r="D1021">
        <v>4</v>
      </c>
      <c r="E1021">
        <v>0</v>
      </c>
      <c r="F1021">
        <v>0</v>
      </c>
      <c r="G1021" t="s">
        <v>3022</v>
      </c>
      <c r="H1021" t="s">
        <v>3024</v>
      </c>
      <c r="I1021" t="s">
        <v>3049</v>
      </c>
      <c r="J1021" t="s">
        <v>3147</v>
      </c>
      <c r="L1021" t="s">
        <v>3023</v>
      </c>
    </row>
    <row r="1022" spans="1:12" x14ac:dyDescent="0.2">
      <c r="A1022" t="s">
        <v>1767</v>
      </c>
      <c r="B1022" t="s">
        <v>1769</v>
      </c>
      <c r="C1022" t="s">
        <v>2782</v>
      </c>
      <c r="D1022">
        <v>4</v>
      </c>
      <c r="E1022">
        <v>21.19</v>
      </c>
      <c r="F1022">
        <v>21.19</v>
      </c>
      <c r="G1022" t="s">
        <v>3022</v>
      </c>
      <c r="H1022" t="s">
        <v>3148</v>
      </c>
      <c r="I1022" t="s">
        <v>3049</v>
      </c>
      <c r="J1022" t="s">
        <v>3149</v>
      </c>
      <c r="L1022" t="s">
        <v>3023</v>
      </c>
    </row>
    <row r="1023" spans="1:12" x14ac:dyDescent="0.2">
      <c r="A1023" t="s">
        <v>1767</v>
      </c>
      <c r="B1023" t="s">
        <v>1769</v>
      </c>
      <c r="C1023" t="s">
        <v>2782</v>
      </c>
      <c r="D1023">
        <v>4</v>
      </c>
      <c r="E1023">
        <v>1.6</v>
      </c>
      <c r="F1023">
        <v>1.6</v>
      </c>
      <c r="G1023" t="s">
        <v>3022</v>
      </c>
      <c r="H1023" t="s">
        <v>3150</v>
      </c>
      <c r="I1023" t="s">
        <v>3049</v>
      </c>
      <c r="J1023" t="s">
        <v>3151</v>
      </c>
      <c r="L1023" t="s">
        <v>3023</v>
      </c>
    </row>
    <row r="1024" spans="1:12" x14ac:dyDescent="0.2">
      <c r="A1024" t="s">
        <v>1767</v>
      </c>
      <c r="B1024" t="s">
        <v>1769</v>
      </c>
      <c r="C1024" t="s">
        <v>2782</v>
      </c>
      <c r="D1024">
        <v>4</v>
      </c>
      <c r="E1024">
        <v>6.86</v>
      </c>
      <c r="F1024">
        <v>6.86</v>
      </c>
      <c r="G1024" t="s">
        <v>3022</v>
      </c>
      <c r="H1024" t="s">
        <v>3152</v>
      </c>
      <c r="I1024" t="s">
        <v>3049</v>
      </c>
      <c r="J1024" t="s">
        <v>3153</v>
      </c>
      <c r="L1024" t="s">
        <v>3023</v>
      </c>
    </row>
    <row r="1025" spans="1:12" x14ac:dyDescent="0.2">
      <c r="A1025" t="s">
        <v>1767</v>
      </c>
      <c r="B1025" t="s">
        <v>1769</v>
      </c>
      <c r="C1025" t="s">
        <v>2782</v>
      </c>
      <c r="D1025">
        <v>4</v>
      </c>
      <c r="E1025">
        <v>0.35</v>
      </c>
      <c r="F1025">
        <v>0.35</v>
      </c>
      <c r="G1025" t="s">
        <v>3022</v>
      </c>
      <c r="H1025" t="s">
        <v>3154</v>
      </c>
      <c r="I1025" t="s">
        <v>3049</v>
      </c>
      <c r="J1025" t="s">
        <v>3155</v>
      </c>
      <c r="L1025" t="s">
        <v>3023</v>
      </c>
    </row>
    <row r="1026" spans="1:12" x14ac:dyDescent="0.2">
      <c r="A1026" t="s">
        <v>1767</v>
      </c>
      <c r="B1026" t="s">
        <v>1769</v>
      </c>
      <c r="C1026" t="s">
        <v>2782</v>
      </c>
      <c r="D1026">
        <v>4</v>
      </c>
      <c r="E1026">
        <v>0</v>
      </c>
      <c r="F1026">
        <v>0</v>
      </c>
      <c r="G1026" t="s">
        <v>3022</v>
      </c>
      <c r="H1026" t="s">
        <v>3024</v>
      </c>
      <c r="I1026" t="s">
        <v>3049</v>
      </c>
      <c r="J1026" t="s">
        <v>3156</v>
      </c>
      <c r="L1026" t="s">
        <v>3023</v>
      </c>
    </row>
    <row r="1027" spans="1:12" x14ac:dyDescent="0.2">
      <c r="A1027" t="s">
        <v>1767</v>
      </c>
      <c r="B1027" t="s">
        <v>1769</v>
      </c>
      <c r="C1027" t="s">
        <v>2782</v>
      </c>
      <c r="D1027">
        <v>4</v>
      </c>
      <c r="E1027">
        <v>4.7</v>
      </c>
      <c r="F1027">
        <v>4.7</v>
      </c>
      <c r="G1027" t="s">
        <v>3022</v>
      </c>
      <c r="H1027" t="s">
        <v>3157</v>
      </c>
      <c r="I1027" t="s">
        <v>3049</v>
      </c>
      <c r="J1027" t="s">
        <v>3158</v>
      </c>
      <c r="L1027" t="s">
        <v>3023</v>
      </c>
    </row>
    <row r="1028" spans="1:12" x14ac:dyDescent="0.2">
      <c r="A1028" t="s">
        <v>1767</v>
      </c>
      <c r="B1028" t="s">
        <v>1769</v>
      </c>
      <c r="C1028" t="s">
        <v>2782</v>
      </c>
      <c r="D1028">
        <v>4</v>
      </c>
      <c r="E1028">
        <v>5.19</v>
      </c>
      <c r="F1028">
        <v>5.19</v>
      </c>
      <c r="G1028" t="s">
        <v>3022</v>
      </c>
      <c r="H1028" t="s">
        <v>3159</v>
      </c>
      <c r="I1028" t="s">
        <v>3049</v>
      </c>
      <c r="J1028" t="s">
        <v>3160</v>
      </c>
      <c r="L1028" t="s">
        <v>3023</v>
      </c>
    </row>
    <row r="1029" spans="1:12" x14ac:dyDescent="0.2">
      <c r="A1029" t="s">
        <v>1767</v>
      </c>
      <c r="B1029" t="s">
        <v>1769</v>
      </c>
      <c r="C1029" t="s">
        <v>2782</v>
      </c>
      <c r="D1029">
        <v>4</v>
      </c>
      <c r="E1029">
        <v>4.95</v>
      </c>
      <c r="F1029">
        <v>4.95</v>
      </c>
      <c r="G1029" t="s">
        <v>3022</v>
      </c>
      <c r="H1029" t="s">
        <v>3161</v>
      </c>
      <c r="I1029" t="s">
        <v>3049</v>
      </c>
      <c r="J1029" t="s">
        <v>3162</v>
      </c>
      <c r="L1029" t="s">
        <v>3023</v>
      </c>
    </row>
    <row r="1030" spans="1:12" x14ac:dyDescent="0.2">
      <c r="A1030" t="s">
        <v>1767</v>
      </c>
      <c r="B1030" t="s">
        <v>1769</v>
      </c>
      <c r="C1030" t="s">
        <v>2782</v>
      </c>
      <c r="D1030">
        <v>4</v>
      </c>
      <c r="E1030">
        <v>0</v>
      </c>
      <c r="F1030">
        <v>0</v>
      </c>
      <c r="G1030" t="s">
        <v>3022</v>
      </c>
      <c r="H1030" t="s">
        <v>3024</v>
      </c>
      <c r="I1030" t="s">
        <v>3049</v>
      </c>
      <c r="J1030" t="s">
        <v>3156</v>
      </c>
      <c r="L1030" t="s">
        <v>3023</v>
      </c>
    </row>
    <row r="1031" spans="1:12" x14ac:dyDescent="0.2">
      <c r="A1031" t="s">
        <v>1767</v>
      </c>
      <c r="B1031" t="s">
        <v>1769</v>
      </c>
      <c r="C1031" t="s">
        <v>2782</v>
      </c>
      <c r="D1031">
        <v>4</v>
      </c>
      <c r="E1031">
        <v>2.88</v>
      </c>
      <c r="F1031">
        <v>2.88</v>
      </c>
      <c r="G1031" t="s">
        <v>3022</v>
      </c>
      <c r="H1031" t="s">
        <v>3163</v>
      </c>
      <c r="I1031" t="s">
        <v>3049</v>
      </c>
      <c r="J1031" t="s">
        <v>3164</v>
      </c>
      <c r="L1031" t="s">
        <v>3023</v>
      </c>
    </row>
    <row r="1032" spans="1:12" x14ac:dyDescent="0.2">
      <c r="A1032" t="s">
        <v>1767</v>
      </c>
      <c r="B1032" t="s">
        <v>1769</v>
      </c>
      <c r="C1032" t="s">
        <v>2782</v>
      </c>
      <c r="D1032">
        <v>4</v>
      </c>
      <c r="E1032">
        <v>10.38</v>
      </c>
      <c r="F1032">
        <v>10.38</v>
      </c>
      <c r="G1032" t="s">
        <v>3022</v>
      </c>
      <c r="H1032" t="s">
        <v>3165</v>
      </c>
      <c r="I1032" t="s">
        <v>3049</v>
      </c>
      <c r="J1032" t="s">
        <v>3166</v>
      </c>
      <c r="L1032" t="s">
        <v>3023</v>
      </c>
    </row>
    <row r="1033" spans="1:12" x14ac:dyDescent="0.2">
      <c r="A1033" t="s">
        <v>1767</v>
      </c>
      <c r="B1033" t="s">
        <v>1769</v>
      </c>
      <c r="C1033" t="s">
        <v>2782</v>
      </c>
      <c r="D1033">
        <v>4</v>
      </c>
      <c r="E1033">
        <v>51.6</v>
      </c>
      <c r="F1033">
        <v>51.6</v>
      </c>
      <c r="G1033" t="s">
        <v>3022</v>
      </c>
      <c r="H1033" t="s">
        <v>3167</v>
      </c>
      <c r="I1033" t="s">
        <v>3049</v>
      </c>
      <c r="J1033" t="s">
        <v>3168</v>
      </c>
      <c r="L1033" t="s">
        <v>3023</v>
      </c>
    </row>
    <row r="1034" spans="1:12" x14ac:dyDescent="0.2">
      <c r="A1034" t="s">
        <v>1767</v>
      </c>
      <c r="B1034" t="s">
        <v>1769</v>
      </c>
      <c r="C1034" t="s">
        <v>2782</v>
      </c>
      <c r="D1034">
        <v>4</v>
      </c>
      <c r="E1034">
        <v>11.85</v>
      </c>
      <c r="F1034">
        <v>11.85</v>
      </c>
      <c r="G1034" t="s">
        <v>3022</v>
      </c>
      <c r="H1034" t="s">
        <v>3169</v>
      </c>
      <c r="I1034" t="s">
        <v>3049</v>
      </c>
      <c r="J1034" t="s">
        <v>3170</v>
      </c>
      <c r="L1034" t="s">
        <v>3023</v>
      </c>
    </row>
    <row r="1035" spans="1:12" x14ac:dyDescent="0.2">
      <c r="A1035" t="s">
        <v>1767</v>
      </c>
      <c r="B1035" t="s">
        <v>1769</v>
      </c>
      <c r="C1035" t="s">
        <v>2782</v>
      </c>
      <c r="D1035">
        <v>4</v>
      </c>
      <c r="E1035">
        <v>13.65</v>
      </c>
      <c r="F1035">
        <v>13.65</v>
      </c>
      <c r="G1035" t="s">
        <v>3022</v>
      </c>
      <c r="H1035" t="s">
        <v>3171</v>
      </c>
      <c r="I1035" t="s">
        <v>3049</v>
      </c>
      <c r="J1035" t="s">
        <v>3172</v>
      </c>
      <c r="L1035" t="s">
        <v>3023</v>
      </c>
    </row>
    <row r="1036" spans="1:12" x14ac:dyDescent="0.2">
      <c r="A1036" t="s">
        <v>1767</v>
      </c>
      <c r="B1036" t="s">
        <v>1769</v>
      </c>
      <c r="C1036" t="s">
        <v>2782</v>
      </c>
      <c r="D1036">
        <v>4</v>
      </c>
      <c r="E1036">
        <v>13.65</v>
      </c>
      <c r="F1036">
        <v>13.65</v>
      </c>
      <c r="G1036" t="s">
        <v>3022</v>
      </c>
      <c r="H1036" t="s">
        <v>3171</v>
      </c>
      <c r="I1036" t="s">
        <v>3049</v>
      </c>
      <c r="J1036" t="s">
        <v>3172</v>
      </c>
      <c r="L1036" t="s">
        <v>3023</v>
      </c>
    </row>
    <row r="1037" spans="1:12" x14ac:dyDescent="0.2">
      <c r="A1037" t="s">
        <v>1767</v>
      </c>
      <c r="B1037" t="s">
        <v>1769</v>
      </c>
      <c r="C1037" t="s">
        <v>2782</v>
      </c>
      <c r="D1037">
        <v>4</v>
      </c>
      <c r="E1037">
        <v>8.93</v>
      </c>
      <c r="F1037">
        <v>8.93</v>
      </c>
      <c r="G1037" t="s">
        <v>3022</v>
      </c>
      <c r="H1037" t="s">
        <v>3173</v>
      </c>
      <c r="I1037" t="s">
        <v>3049</v>
      </c>
      <c r="J1037" t="s">
        <v>3174</v>
      </c>
      <c r="L1037" t="s">
        <v>3023</v>
      </c>
    </row>
    <row r="1038" spans="1:12" x14ac:dyDescent="0.2">
      <c r="A1038" t="s">
        <v>1767</v>
      </c>
      <c r="B1038" t="s">
        <v>1769</v>
      </c>
      <c r="C1038" t="s">
        <v>2782</v>
      </c>
      <c r="D1038">
        <v>4</v>
      </c>
      <c r="E1038">
        <v>7.9</v>
      </c>
      <c r="F1038">
        <v>7.9</v>
      </c>
      <c r="G1038" t="s">
        <v>3022</v>
      </c>
      <c r="H1038" t="s">
        <v>3175</v>
      </c>
      <c r="I1038" t="s">
        <v>3049</v>
      </c>
      <c r="J1038" t="s">
        <v>3176</v>
      </c>
      <c r="L1038" t="s">
        <v>3023</v>
      </c>
    </row>
    <row r="1039" spans="1:12" x14ac:dyDescent="0.2">
      <c r="A1039" t="s">
        <v>1767</v>
      </c>
      <c r="B1039" t="s">
        <v>1769</v>
      </c>
      <c r="C1039" t="s">
        <v>2782</v>
      </c>
      <c r="D1039">
        <v>4</v>
      </c>
      <c r="E1039">
        <v>0</v>
      </c>
      <c r="F1039">
        <v>0</v>
      </c>
      <c r="G1039" t="s">
        <v>3022</v>
      </c>
      <c r="H1039" t="s">
        <v>3024</v>
      </c>
      <c r="I1039" t="s">
        <v>3049</v>
      </c>
      <c r="J1039" t="s">
        <v>3177</v>
      </c>
      <c r="L1039" t="s">
        <v>3023</v>
      </c>
    </row>
    <row r="1040" spans="1:12" x14ac:dyDescent="0.2">
      <c r="A1040" t="s">
        <v>1767</v>
      </c>
      <c r="B1040" t="s">
        <v>1769</v>
      </c>
      <c r="C1040" t="s">
        <v>2782</v>
      </c>
      <c r="D1040">
        <v>4</v>
      </c>
      <c r="E1040">
        <v>6.13</v>
      </c>
      <c r="F1040">
        <v>6.13</v>
      </c>
      <c r="G1040" t="s">
        <v>3022</v>
      </c>
      <c r="H1040" t="s">
        <v>3178</v>
      </c>
      <c r="I1040" t="s">
        <v>3049</v>
      </c>
      <c r="J1040" t="s">
        <v>3179</v>
      </c>
      <c r="L1040" t="s">
        <v>3023</v>
      </c>
    </row>
    <row r="1041" spans="1:12" x14ac:dyDescent="0.2">
      <c r="A1041" t="s">
        <v>1767</v>
      </c>
      <c r="B1041" t="s">
        <v>1769</v>
      </c>
      <c r="C1041" t="s">
        <v>2782</v>
      </c>
      <c r="D1041">
        <v>4</v>
      </c>
      <c r="E1041">
        <v>15.24</v>
      </c>
      <c r="F1041">
        <v>15.24</v>
      </c>
      <c r="G1041" t="s">
        <v>3022</v>
      </c>
      <c r="H1041" t="s">
        <v>3180</v>
      </c>
      <c r="I1041" t="s">
        <v>3049</v>
      </c>
      <c r="J1041" t="s">
        <v>3181</v>
      </c>
      <c r="L1041" t="s">
        <v>3023</v>
      </c>
    </row>
    <row r="1042" spans="1:12" x14ac:dyDescent="0.2">
      <c r="A1042" t="s">
        <v>1767</v>
      </c>
      <c r="B1042" t="s">
        <v>1769</v>
      </c>
      <c r="C1042" t="s">
        <v>2782</v>
      </c>
      <c r="D1042">
        <v>4</v>
      </c>
      <c r="E1042">
        <v>3.49</v>
      </c>
      <c r="F1042">
        <v>3.49</v>
      </c>
      <c r="G1042" t="s">
        <v>3022</v>
      </c>
      <c r="H1042" t="s">
        <v>3182</v>
      </c>
      <c r="I1042" t="s">
        <v>3049</v>
      </c>
      <c r="J1042" t="s">
        <v>3183</v>
      </c>
      <c r="L1042" t="s">
        <v>3023</v>
      </c>
    </row>
    <row r="1043" spans="1:12" x14ac:dyDescent="0.2">
      <c r="A1043" t="s">
        <v>1767</v>
      </c>
      <c r="B1043" t="s">
        <v>1769</v>
      </c>
      <c r="C1043" t="s">
        <v>2782</v>
      </c>
      <c r="D1043">
        <v>4</v>
      </c>
      <c r="E1043">
        <v>1.75</v>
      </c>
      <c r="F1043">
        <v>1.75</v>
      </c>
      <c r="G1043" t="s">
        <v>3022</v>
      </c>
      <c r="H1043" t="s">
        <v>3184</v>
      </c>
      <c r="I1043" t="s">
        <v>3049</v>
      </c>
      <c r="J1043" t="s">
        <v>3185</v>
      </c>
      <c r="L1043" t="s">
        <v>3023</v>
      </c>
    </row>
    <row r="1044" spans="1:12" x14ac:dyDescent="0.2">
      <c r="A1044" t="s">
        <v>1767</v>
      </c>
      <c r="B1044" t="s">
        <v>1769</v>
      </c>
      <c r="C1044" t="s">
        <v>2782</v>
      </c>
      <c r="D1044">
        <v>4</v>
      </c>
      <c r="E1044">
        <v>35.07</v>
      </c>
      <c r="F1044">
        <v>35.07</v>
      </c>
      <c r="G1044" t="s">
        <v>3022</v>
      </c>
      <c r="H1044" t="s">
        <v>3186</v>
      </c>
      <c r="I1044" t="s">
        <v>3049</v>
      </c>
      <c r="J1044" t="s">
        <v>3187</v>
      </c>
      <c r="L1044" t="s">
        <v>3023</v>
      </c>
    </row>
    <row r="1045" spans="1:12" x14ac:dyDescent="0.2">
      <c r="A1045" t="s">
        <v>1767</v>
      </c>
      <c r="B1045" t="s">
        <v>1769</v>
      </c>
      <c r="C1045" t="s">
        <v>2782</v>
      </c>
      <c r="D1045">
        <v>4</v>
      </c>
      <c r="E1045">
        <v>28.6</v>
      </c>
      <c r="F1045">
        <v>28.6</v>
      </c>
      <c r="G1045" t="s">
        <v>3022</v>
      </c>
      <c r="H1045" t="s">
        <v>3127</v>
      </c>
      <c r="I1045" t="s">
        <v>3049</v>
      </c>
      <c r="J1045" t="s">
        <v>3188</v>
      </c>
      <c r="L1045" t="s">
        <v>3023</v>
      </c>
    </row>
    <row r="1046" spans="1:12" x14ac:dyDescent="0.2">
      <c r="A1046" t="s">
        <v>1767</v>
      </c>
      <c r="B1046" t="s">
        <v>1769</v>
      </c>
      <c r="C1046" t="s">
        <v>2782</v>
      </c>
      <c r="D1046">
        <v>4</v>
      </c>
      <c r="E1046">
        <v>31.86</v>
      </c>
      <c r="F1046">
        <v>31.86</v>
      </c>
      <c r="G1046" t="s">
        <v>3022</v>
      </c>
      <c r="H1046" t="s">
        <v>3189</v>
      </c>
      <c r="I1046" t="s">
        <v>3049</v>
      </c>
      <c r="J1046" t="s">
        <v>3190</v>
      </c>
      <c r="L1046" t="s">
        <v>3023</v>
      </c>
    </row>
    <row r="1047" spans="1:12" x14ac:dyDescent="0.2">
      <c r="A1047" t="s">
        <v>1767</v>
      </c>
      <c r="B1047" t="s">
        <v>1769</v>
      </c>
      <c r="C1047" t="s">
        <v>2782</v>
      </c>
      <c r="D1047">
        <v>4</v>
      </c>
      <c r="E1047">
        <v>5.19</v>
      </c>
      <c r="F1047">
        <v>5.19</v>
      </c>
      <c r="G1047" t="s">
        <v>3022</v>
      </c>
      <c r="H1047" t="s">
        <v>3159</v>
      </c>
      <c r="I1047" t="s">
        <v>3049</v>
      </c>
      <c r="J1047" t="s">
        <v>3160</v>
      </c>
      <c r="L1047" t="s">
        <v>3023</v>
      </c>
    </row>
    <row r="1048" spans="1:12" x14ac:dyDescent="0.2">
      <c r="A1048" t="s">
        <v>1767</v>
      </c>
      <c r="B1048" t="s">
        <v>1769</v>
      </c>
      <c r="C1048" t="s">
        <v>2782</v>
      </c>
      <c r="D1048">
        <v>4</v>
      </c>
      <c r="E1048">
        <v>44.08</v>
      </c>
      <c r="F1048">
        <v>44.08</v>
      </c>
      <c r="G1048" t="s">
        <v>3022</v>
      </c>
      <c r="H1048" t="s">
        <v>3191</v>
      </c>
      <c r="I1048" t="s">
        <v>3049</v>
      </c>
      <c r="J1048" t="s">
        <v>3192</v>
      </c>
      <c r="L1048" t="s">
        <v>3023</v>
      </c>
    </row>
    <row r="1049" spans="1:12" x14ac:dyDescent="0.2">
      <c r="A1049" t="s">
        <v>1767</v>
      </c>
      <c r="B1049" t="s">
        <v>1769</v>
      </c>
      <c r="C1049" t="s">
        <v>2782</v>
      </c>
      <c r="D1049">
        <v>4</v>
      </c>
      <c r="E1049">
        <v>7.12</v>
      </c>
      <c r="F1049">
        <v>7.12</v>
      </c>
      <c r="G1049" t="s">
        <v>3022</v>
      </c>
      <c r="H1049" t="s">
        <v>3193</v>
      </c>
      <c r="I1049" t="s">
        <v>3049</v>
      </c>
      <c r="J1049" t="s">
        <v>3194</v>
      </c>
      <c r="L1049" t="s">
        <v>3023</v>
      </c>
    </row>
    <row r="1050" spans="1:12" x14ac:dyDescent="0.2">
      <c r="A1050" t="s">
        <v>1767</v>
      </c>
      <c r="B1050" t="s">
        <v>1769</v>
      </c>
      <c r="C1050" t="s">
        <v>2782</v>
      </c>
      <c r="D1050">
        <v>4</v>
      </c>
      <c r="E1050">
        <v>1.8</v>
      </c>
      <c r="F1050">
        <v>1.8</v>
      </c>
      <c r="G1050" t="s">
        <v>3022</v>
      </c>
      <c r="H1050" t="s">
        <v>3195</v>
      </c>
      <c r="I1050" t="s">
        <v>3049</v>
      </c>
      <c r="J1050" t="s">
        <v>3196</v>
      </c>
      <c r="L1050" t="s">
        <v>3023</v>
      </c>
    </row>
    <row r="1051" spans="1:12" x14ac:dyDescent="0.2">
      <c r="A1051" t="s">
        <v>1767</v>
      </c>
      <c r="B1051" t="s">
        <v>1769</v>
      </c>
      <c r="C1051" t="s">
        <v>2782</v>
      </c>
      <c r="D1051">
        <v>4</v>
      </c>
      <c r="E1051">
        <v>33</v>
      </c>
      <c r="F1051">
        <v>33</v>
      </c>
      <c r="G1051" t="s">
        <v>3022</v>
      </c>
      <c r="H1051" t="s">
        <v>3197</v>
      </c>
      <c r="I1051" t="s">
        <v>3049</v>
      </c>
      <c r="J1051" t="s">
        <v>3198</v>
      </c>
      <c r="L1051" t="s">
        <v>3023</v>
      </c>
    </row>
    <row r="1052" spans="1:12" x14ac:dyDescent="0.2">
      <c r="A1052" t="s">
        <v>1767</v>
      </c>
      <c r="B1052" t="s">
        <v>1769</v>
      </c>
      <c r="C1052" t="s">
        <v>2782</v>
      </c>
      <c r="D1052">
        <v>4</v>
      </c>
      <c r="E1052">
        <v>33.36</v>
      </c>
      <c r="F1052">
        <v>33.36</v>
      </c>
      <c r="G1052" t="s">
        <v>3022</v>
      </c>
      <c r="H1052" t="s">
        <v>3199</v>
      </c>
      <c r="I1052" t="s">
        <v>3049</v>
      </c>
      <c r="J1052" t="s">
        <v>3200</v>
      </c>
      <c r="L1052" t="s">
        <v>3023</v>
      </c>
    </row>
    <row r="1053" spans="1:12" x14ac:dyDescent="0.2">
      <c r="A1053" t="s">
        <v>1767</v>
      </c>
      <c r="B1053" t="s">
        <v>1769</v>
      </c>
      <c r="C1053" t="s">
        <v>2782</v>
      </c>
      <c r="D1053">
        <v>4</v>
      </c>
      <c r="E1053">
        <v>32.409999999999997</v>
      </c>
      <c r="F1053">
        <v>32.409999999999997</v>
      </c>
      <c r="G1053" t="s">
        <v>3022</v>
      </c>
      <c r="H1053" t="s">
        <v>3201</v>
      </c>
      <c r="I1053" t="s">
        <v>3049</v>
      </c>
      <c r="J1053" t="s">
        <v>3202</v>
      </c>
      <c r="L1053" t="s">
        <v>3023</v>
      </c>
    </row>
    <row r="1054" spans="1:12" x14ac:dyDescent="0.2">
      <c r="A1054" t="s">
        <v>1767</v>
      </c>
      <c r="B1054" t="s">
        <v>1769</v>
      </c>
      <c r="C1054" t="s">
        <v>2782</v>
      </c>
      <c r="D1054">
        <v>4</v>
      </c>
      <c r="E1054">
        <v>65.25</v>
      </c>
      <c r="F1054">
        <v>65.25</v>
      </c>
      <c r="G1054" t="s">
        <v>3022</v>
      </c>
      <c r="H1054" t="s">
        <v>3203</v>
      </c>
      <c r="I1054" t="s">
        <v>3049</v>
      </c>
      <c r="J1054" t="s">
        <v>3204</v>
      </c>
      <c r="L1054" t="s">
        <v>3023</v>
      </c>
    </row>
    <row r="1055" spans="1:12" x14ac:dyDescent="0.2">
      <c r="A1055" t="s">
        <v>1767</v>
      </c>
      <c r="B1055" t="s">
        <v>1769</v>
      </c>
      <c r="C1055" t="s">
        <v>2782</v>
      </c>
      <c r="D1055">
        <v>4</v>
      </c>
      <c r="E1055">
        <v>1573</v>
      </c>
      <c r="F1055">
        <v>1573</v>
      </c>
      <c r="G1055" t="s">
        <v>3022</v>
      </c>
      <c r="H1055" t="s">
        <v>3205</v>
      </c>
      <c r="I1055" t="s">
        <v>3049</v>
      </c>
      <c r="J1055" t="s">
        <v>3206</v>
      </c>
      <c r="L1055" t="s">
        <v>3023</v>
      </c>
    </row>
    <row r="1056" spans="1:12" x14ac:dyDescent="0.2">
      <c r="A1056" t="s">
        <v>1767</v>
      </c>
      <c r="B1056" t="s">
        <v>1769</v>
      </c>
      <c r="C1056" t="s">
        <v>2782</v>
      </c>
      <c r="D1056">
        <v>4</v>
      </c>
      <c r="E1056">
        <v>110.42</v>
      </c>
      <c r="F1056">
        <v>110.42</v>
      </c>
      <c r="G1056" t="s">
        <v>3022</v>
      </c>
      <c r="H1056" t="s">
        <v>3207</v>
      </c>
      <c r="I1056" t="s">
        <v>3049</v>
      </c>
      <c r="J1056" t="s">
        <v>3208</v>
      </c>
      <c r="L1056" t="s">
        <v>3023</v>
      </c>
    </row>
    <row r="1057" spans="1:12" x14ac:dyDescent="0.2">
      <c r="A1057" t="s">
        <v>1767</v>
      </c>
      <c r="B1057" t="s">
        <v>1769</v>
      </c>
      <c r="C1057" t="s">
        <v>2782</v>
      </c>
      <c r="D1057">
        <v>4</v>
      </c>
      <c r="E1057">
        <v>27.59</v>
      </c>
      <c r="F1057">
        <v>27.59</v>
      </c>
      <c r="G1057" t="s">
        <v>3022</v>
      </c>
      <c r="H1057" t="s">
        <v>3209</v>
      </c>
      <c r="I1057" t="s">
        <v>3049</v>
      </c>
      <c r="J1057" t="s">
        <v>3210</v>
      </c>
      <c r="L1057" t="s">
        <v>3023</v>
      </c>
    </row>
    <row r="1058" spans="1:12" x14ac:dyDescent="0.2">
      <c r="A1058" t="s">
        <v>1767</v>
      </c>
      <c r="B1058" t="s">
        <v>1769</v>
      </c>
      <c r="C1058" t="s">
        <v>2782</v>
      </c>
      <c r="D1058">
        <v>4</v>
      </c>
      <c r="E1058">
        <v>38.340000000000003</v>
      </c>
      <c r="F1058">
        <v>38.340000000000003</v>
      </c>
      <c r="G1058" t="s">
        <v>3022</v>
      </c>
      <c r="H1058" t="s">
        <v>3211</v>
      </c>
      <c r="I1058" t="s">
        <v>3049</v>
      </c>
      <c r="J1058" t="s">
        <v>3212</v>
      </c>
      <c r="L1058" t="s">
        <v>3023</v>
      </c>
    </row>
    <row r="1059" spans="1:12" x14ac:dyDescent="0.2">
      <c r="A1059" t="s">
        <v>1767</v>
      </c>
      <c r="B1059" t="s">
        <v>1769</v>
      </c>
      <c r="C1059" t="s">
        <v>2782</v>
      </c>
      <c r="D1059">
        <v>4</v>
      </c>
      <c r="E1059">
        <v>63.9</v>
      </c>
      <c r="F1059">
        <v>63.9</v>
      </c>
      <c r="G1059" t="s">
        <v>3022</v>
      </c>
      <c r="H1059" t="s">
        <v>3213</v>
      </c>
      <c r="I1059" t="s">
        <v>3049</v>
      </c>
      <c r="J1059" t="s">
        <v>3214</v>
      </c>
      <c r="L1059" t="s">
        <v>3023</v>
      </c>
    </row>
    <row r="1060" spans="1:12" x14ac:dyDescent="0.2">
      <c r="A1060" t="s">
        <v>1767</v>
      </c>
      <c r="B1060" t="s">
        <v>1769</v>
      </c>
      <c r="C1060" t="s">
        <v>2782</v>
      </c>
      <c r="D1060">
        <v>4</v>
      </c>
      <c r="E1060">
        <v>19.89</v>
      </c>
      <c r="F1060">
        <v>19.89</v>
      </c>
      <c r="G1060" t="s">
        <v>3022</v>
      </c>
      <c r="H1060" t="s">
        <v>3215</v>
      </c>
      <c r="I1060" t="s">
        <v>3049</v>
      </c>
      <c r="J1060" t="s">
        <v>3216</v>
      </c>
      <c r="L1060" t="s">
        <v>3023</v>
      </c>
    </row>
    <row r="1061" spans="1:12" x14ac:dyDescent="0.2">
      <c r="A1061" t="s">
        <v>1767</v>
      </c>
      <c r="B1061" t="s">
        <v>1769</v>
      </c>
      <c r="C1061" t="s">
        <v>2782</v>
      </c>
      <c r="D1061">
        <v>4</v>
      </c>
      <c r="E1061">
        <v>23.34</v>
      </c>
      <c r="F1061">
        <v>23.34</v>
      </c>
      <c r="G1061" t="s">
        <v>3022</v>
      </c>
      <c r="H1061" t="s">
        <v>3217</v>
      </c>
      <c r="I1061" t="s">
        <v>3049</v>
      </c>
      <c r="J1061" t="s">
        <v>3218</v>
      </c>
      <c r="L1061" t="s">
        <v>3023</v>
      </c>
    </row>
    <row r="1062" spans="1:12" x14ac:dyDescent="0.2">
      <c r="A1062" t="s">
        <v>1767</v>
      </c>
      <c r="B1062" t="s">
        <v>1769</v>
      </c>
      <c r="C1062" t="s">
        <v>2782</v>
      </c>
      <c r="D1062">
        <v>4</v>
      </c>
      <c r="E1062">
        <v>13.55</v>
      </c>
      <c r="F1062">
        <v>13.55</v>
      </c>
      <c r="G1062" t="s">
        <v>3022</v>
      </c>
      <c r="H1062" t="s">
        <v>3219</v>
      </c>
      <c r="I1062" t="s">
        <v>3049</v>
      </c>
      <c r="J1062" t="s">
        <v>3220</v>
      </c>
      <c r="L1062" t="s">
        <v>3023</v>
      </c>
    </row>
    <row r="1063" spans="1:12" x14ac:dyDescent="0.2">
      <c r="A1063" t="s">
        <v>1767</v>
      </c>
      <c r="B1063" t="s">
        <v>1769</v>
      </c>
      <c r="C1063" t="s">
        <v>2782</v>
      </c>
      <c r="D1063">
        <v>4</v>
      </c>
      <c r="E1063">
        <v>18.93</v>
      </c>
      <c r="F1063">
        <v>18.93</v>
      </c>
      <c r="G1063" t="s">
        <v>3022</v>
      </c>
      <c r="H1063" t="s">
        <v>3221</v>
      </c>
      <c r="I1063" t="s">
        <v>3049</v>
      </c>
      <c r="J1063" t="s">
        <v>3222</v>
      </c>
      <c r="L1063" t="s">
        <v>3023</v>
      </c>
    </row>
    <row r="1064" spans="1:12" x14ac:dyDescent="0.2">
      <c r="A1064" t="s">
        <v>1767</v>
      </c>
      <c r="B1064" t="s">
        <v>1769</v>
      </c>
      <c r="C1064" t="s">
        <v>2782</v>
      </c>
      <c r="D1064">
        <v>4</v>
      </c>
      <c r="E1064">
        <v>49.14</v>
      </c>
      <c r="F1064">
        <v>49.14</v>
      </c>
      <c r="G1064" t="s">
        <v>3022</v>
      </c>
      <c r="H1064" t="s">
        <v>3223</v>
      </c>
      <c r="I1064" t="s">
        <v>3049</v>
      </c>
      <c r="J1064" t="s">
        <v>3224</v>
      </c>
      <c r="L1064" t="s">
        <v>3023</v>
      </c>
    </row>
    <row r="1065" spans="1:12" x14ac:dyDescent="0.2">
      <c r="A1065" t="s">
        <v>1767</v>
      </c>
      <c r="B1065" t="s">
        <v>1769</v>
      </c>
      <c r="C1065" t="s">
        <v>2782</v>
      </c>
      <c r="D1065">
        <v>4</v>
      </c>
      <c r="E1065">
        <v>12.58</v>
      </c>
      <c r="F1065">
        <v>12.58</v>
      </c>
      <c r="G1065" t="s">
        <v>3022</v>
      </c>
      <c r="H1065" t="s">
        <v>3225</v>
      </c>
      <c r="I1065" t="s">
        <v>3049</v>
      </c>
      <c r="J1065" t="s">
        <v>3226</v>
      </c>
      <c r="L1065" t="s">
        <v>3023</v>
      </c>
    </row>
    <row r="1066" spans="1:12" x14ac:dyDescent="0.2">
      <c r="A1066" t="s">
        <v>1767</v>
      </c>
      <c r="B1066" t="s">
        <v>1769</v>
      </c>
      <c r="C1066" t="s">
        <v>2782</v>
      </c>
      <c r="D1066">
        <v>4</v>
      </c>
      <c r="E1066">
        <v>14.22</v>
      </c>
      <c r="F1066">
        <v>14.22</v>
      </c>
      <c r="G1066" t="s">
        <v>3022</v>
      </c>
      <c r="H1066" t="s">
        <v>3227</v>
      </c>
      <c r="I1066" t="s">
        <v>3049</v>
      </c>
      <c r="J1066" t="s">
        <v>3228</v>
      </c>
      <c r="L1066" t="s">
        <v>3023</v>
      </c>
    </row>
    <row r="1067" spans="1:12" x14ac:dyDescent="0.2">
      <c r="A1067" t="s">
        <v>1767</v>
      </c>
      <c r="B1067" t="s">
        <v>1769</v>
      </c>
      <c r="C1067" t="s">
        <v>2782</v>
      </c>
      <c r="D1067">
        <v>4</v>
      </c>
      <c r="E1067">
        <v>182.27</v>
      </c>
      <c r="F1067">
        <v>182.27</v>
      </c>
      <c r="G1067" t="s">
        <v>3022</v>
      </c>
      <c r="H1067" t="s">
        <v>3229</v>
      </c>
      <c r="I1067" t="s">
        <v>3049</v>
      </c>
      <c r="J1067" t="s">
        <v>3230</v>
      </c>
      <c r="L1067" t="s">
        <v>3023</v>
      </c>
    </row>
    <row r="1068" spans="1:12" x14ac:dyDescent="0.2">
      <c r="A1068" t="s">
        <v>1767</v>
      </c>
      <c r="B1068" t="s">
        <v>1769</v>
      </c>
      <c r="C1068" t="s">
        <v>2782</v>
      </c>
      <c r="D1068">
        <v>4</v>
      </c>
      <c r="E1068">
        <v>100.8</v>
      </c>
      <c r="F1068">
        <v>100.8</v>
      </c>
      <c r="G1068" t="s">
        <v>3022</v>
      </c>
      <c r="H1068" t="s">
        <v>3231</v>
      </c>
      <c r="I1068" t="s">
        <v>3049</v>
      </c>
      <c r="J1068" t="s">
        <v>3232</v>
      </c>
      <c r="L1068" t="s">
        <v>3023</v>
      </c>
    </row>
    <row r="1069" spans="1:12" x14ac:dyDescent="0.2">
      <c r="A1069" t="s">
        <v>1767</v>
      </c>
      <c r="B1069" t="s">
        <v>1769</v>
      </c>
      <c r="C1069" t="s">
        <v>2782</v>
      </c>
      <c r="D1069">
        <v>4</v>
      </c>
      <c r="E1069">
        <v>122.82</v>
      </c>
      <c r="F1069">
        <v>122.82</v>
      </c>
      <c r="G1069" t="s">
        <v>3022</v>
      </c>
      <c r="H1069" t="s">
        <v>3233</v>
      </c>
      <c r="I1069" t="s">
        <v>3049</v>
      </c>
      <c r="J1069" t="s">
        <v>3234</v>
      </c>
      <c r="L1069" t="s">
        <v>3023</v>
      </c>
    </row>
    <row r="1070" spans="1:12" x14ac:dyDescent="0.2">
      <c r="A1070" t="s">
        <v>1767</v>
      </c>
      <c r="B1070" t="s">
        <v>1769</v>
      </c>
      <c r="C1070" t="s">
        <v>2782</v>
      </c>
      <c r="D1070">
        <v>4</v>
      </c>
      <c r="E1070">
        <v>28.45</v>
      </c>
      <c r="F1070">
        <v>28.45</v>
      </c>
      <c r="G1070" t="s">
        <v>3022</v>
      </c>
      <c r="H1070" t="s">
        <v>3235</v>
      </c>
      <c r="I1070" t="s">
        <v>3049</v>
      </c>
      <c r="J1070" t="s">
        <v>3236</v>
      </c>
      <c r="L1070" t="s">
        <v>3023</v>
      </c>
    </row>
    <row r="1071" spans="1:12" x14ac:dyDescent="0.2">
      <c r="A1071" t="s">
        <v>1767</v>
      </c>
      <c r="B1071" t="s">
        <v>1769</v>
      </c>
      <c r="C1071" t="s">
        <v>2782</v>
      </c>
      <c r="D1071">
        <v>4</v>
      </c>
      <c r="E1071">
        <v>14.22</v>
      </c>
      <c r="F1071">
        <v>14.22</v>
      </c>
      <c r="G1071" t="s">
        <v>3022</v>
      </c>
      <c r="H1071" t="s">
        <v>3227</v>
      </c>
      <c r="I1071" t="s">
        <v>3049</v>
      </c>
      <c r="J1071" t="s">
        <v>3228</v>
      </c>
      <c r="L1071" t="s">
        <v>3023</v>
      </c>
    </row>
    <row r="1072" spans="1:12" x14ac:dyDescent="0.2">
      <c r="A1072" t="s">
        <v>1767</v>
      </c>
      <c r="B1072" t="s">
        <v>1769</v>
      </c>
      <c r="C1072" t="s">
        <v>2782</v>
      </c>
      <c r="D1072">
        <v>4</v>
      </c>
      <c r="E1072">
        <v>90.81</v>
      </c>
      <c r="F1072">
        <v>90.81</v>
      </c>
      <c r="G1072" t="s">
        <v>3022</v>
      </c>
      <c r="H1072" t="s">
        <v>3125</v>
      </c>
      <c r="I1072" t="s">
        <v>3049</v>
      </c>
      <c r="J1072" t="s">
        <v>3126</v>
      </c>
      <c r="L1072" t="s">
        <v>3023</v>
      </c>
    </row>
    <row r="1073" spans="1:12" x14ac:dyDescent="0.2">
      <c r="A1073" t="s">
        <v>1767</v>
      </c>
      <c r="B1073" t="s">
        <v>1769</v>
      </c>
      <c r="C1073" t="s">
        <v>2782</v>
      </c>
      <c r="D1073">
        <v>4</v>
      </c>
      <c r="E1073">
        <v>475.94</v>
      </c>
      <c r="F1073">
        <v>475.94</v>
      </c>
      <c r="G1073" t="s">
        <v>3022</v>
      </c>
      <c r="H1073" t="s">
        <v>3237</v>
      </c>
      <c r="I1073" t="s">
        <v>3049</v>
      </c>
      <c r="J1073" t="s">
        <v>3238</v>
      </c>
      <c r="L1073" t="s">
        <v>3023</v>
      </c>
    </row>
    <row r="1074" spans="1:12" x14ac:dyDescent="0.2">
      <c r="A1074" t="s">
        <v>1767</v>
      </c>
      <c r="B1074" t="s">
        <v>1769</v>
      </c>
      <c r="C1074" t="s">
        <v>2782</v>
      </c>
      <c r="D1074">
        <v>4</v>
      </c>
      <c r="E1074">
        <v>3222.45</v>
      </c>
      <c r="F1074">
        <v>3222.45</v>
      </c>
      <c r="G1074" t="s">
        <v>3022</v>
      </c>
      <c r="H1074" t="s">
        <v>3239</v>
      </c>
      <c r="I1074" t="s">
        <v>3049</v>
      </c>
      <c r="J1074" t="s">
        <v>3240</v>
      </c>
      <c r="L1074" t="s">
        <v>3023</v>
      </c>
    </row>
    <row r="1075" spans="1:12" x14ac:dyDescent="0.2">
      <c r="A1075" t="s">
        <v>1767</v>
      </c>
      <c r="B1075" t="s">
        <v>1769</v>
      </c>
      <c r="C1075" t="s">
        <v>2782</v>
      </c>
      <c r="D1075">
        <v>4</v>
      </c>
      <c r="E1075">
        <v>264.14999999999998</v>
      </c>
      <c r="F1075">
        <v>264.14999999999998</v>
      </c>
      <c r="G1075" t="s">
        <v>3022</v>
      </c>
      <c r="H1075" t="s">
        <v>3241</v>
      </c>
      <c r="I1075" t="s">
        <v>3049</v>
      </c>
      <c r="J1075" t="s">
        <v>3242</v>
      </c>
      <c r="L1075" t="s">
        <v>3023</v>
      </c>
    </row>
    <row r="1076" spans="1:12" x14ac:dyDescent="0.2">
      <c r="A1076" t="s">
        <v>1767</v>
      </c>
      <c r="B1076" t="s">
        <v>1769</v>
      </c>
      <c r="C1076" t="s">
        <v>2782</v>
      </c>
      <c r="D1076">
        <v>4</v>
      </c>
      <c r="E1076">
        <v>25.53</v>
      </c>
      <c r="F1076">
        <v>25.53</v>
      </c>
      <c r="G1076" t="s">
        <v>3022</v>
      </c>
      <c r="H1076" t="s">
        <v>3243</v>
      </c>
      <c r="I1076" t="s">
        <v>3049</v>
      </c>
      <c r="J1076" t="s">
        <v>3244</v>
      </c>
      <c r="L1076" t="s">
        <v>3023</v>
      </c>
    </row>
    <row r="1077" spans="1:12" x14ac:dyDescent="0.2">
      <c r="A1077" t="s">
        <v>1767</v>
      </c>
      <c r="B1077" t="s">
        <v>1769</v>
      </c>
      <c r="C1077" t="s">
        <v>2782</v>
      </c>
      <c r="D1077">
        <v>4</v>
      </c>
      <c r="E1077">
        <v>8.39</v>
      </c>
      <c r="F1077">
        <v>8.39</v>
      </c>
      <c r="G1077" t="s">
        <v>3022</v>
      </c>
      <c r="H1077" t="s">
        <v>3245</v>
      </c>
      <c r="I1077" t="s">
        <v>3049</v>
      </c>
      <c r="J1077" t="s">
        <v>3246</v>
      </c>
      <c r="L1077" t="s">
        <v>3023</v>
      </c>
    </row>
    <row r="1078" spans="1:12" x14ac:dyDescent="0.2">
      <c r="A1078" t="s">
        <v>1767</v>
      </c>
      <c r="B1078" t="s">
        <v>1769</v>
      </c>
      <c r="C1078" t="s">
        <v>2782</v>
      </c>
      <c r="D1078">
        <v>4</v>
      </c>
      <c r="E1078">
        <v>78.540000000000006</v>
      </c>
      <c r="F1078">
        <v>78.540000000000006</v>
      </c>
      <c r="G1078" t="s">
        <v>3022</v>
      </c>
      <c r="H1078" t="s">
        <v>3247</v>
      </c>
      <c r="I1078" t="s">
        <v>3049</v>
      </c>
      <c r="J1078" t="s">
        <v>3248</v>
      </c>
      <c r="L1078" t="s">
        <v>3023</v>
      </c>
    </row>
    <row r="1079" spans="1:12" x14ac:dyDescent="0.2">
      <c r="A1079" t="s">
        <v>1767</v>
      </c>
      <c r="B1079" t="s">
        <v>1769</v>
      </c>
      <c r="C1079" t="s">
        <v>2782</v>
      </c>
      <c r="D1079">
        <v>4</v>
      </c>
      <c r="E1079">
        <v>38.159999999999997</v>
      </c>
      <c r="F1079">
        <v>38.159999999999997</v>
      </c>
      <c r="G1079" t="s">
        <v>3022</v>
      </c>
      <c r="H1079" t="s">
        <v>3249</v>
      </c>
      <c r="I1079" t="s">
        <v>3049</v>
      </c>
      <c r="J1079" t="s">
        <v>3250</v>
      </c>
      <c r="L1079" t="s">
        <v>3023</v>
      </c>
    </row>
    <row r="1080" spans="1:12" x14ac:dyDescent="0.2">
      <c r="A1080" t="s">
        <v>1767</v>
      </c>
      <c r="B1080" t="s">
        <v>1769</v>
      </c>
      <c r="C1080" t="s">
        <v>2782</v>
      </c>
      <c r="D1080">
        <v>4</v>
      </c>
      <c r="E1080">
        <v>16.350000000000001</v>
      </c>
      <c r="F1080">
        <v>16.350000000000001</v>
      </c>
      <c r="G1080" t="s">
        <v>3022</v>
      </c>
      <c r="H1080" t="s">
        <v>3251</v>
      </c>
      <c r="I1080" t="s">
        <v>3049</v>
      </c>
      <c r="J1080" t="s">
        <v>3252</v>
      </c>
      <c r="L1080" t="s">
        <v>3023</v>
      </c>
    </row>
    <row r="1081" spans="1:12" x14ac:dyDescent="0.2">
      <c r="A1081" t="s">
        <v>1767</v>
      </c>
      <c r="B1081" t="s">
        <v>1769</v>
      </c>
      <c r="C1081" t="s">
        <v>2782</v>
      </c>
      <c r="D1081">
        <v>4</v>
      </c>
      <c r="E1081">
        <v>212.66</v>
      </c>
      <c r="F1081">
        <v>212.66</v>
      </c>
      <c r="G1081" t="s">
        <v>3022</v>
      </c>
      <c r="H1081" t="s">
        <v>3253</v>
      </c>
      <c r="I1081" t="s">
        <v>3049</v>
      </c>
      <c r="J1081" t="s">
        <v>3254</v>
      </c>
      <c r="L1081" t="s">
        <v>3023</v>
      </c>
    </row>
    <row r="1082" spans="1:12" x14ac:dyDescent="0.2">
      <c r="A1082" t="s">
        <v>1767</v>
      </c>
      <c r="B1082" t="s">
        <v>1769</v>
      </c>
      <c r="C1082" t="s">
        <v>2782</v>
      </c>
      <c r="D1082">
        <v>4</v>
      </c>
      <c r="E1082">
        <v>6.86</v>
      </c>
      <c r="F1082">
        <v>6.86</v>
      </c>
      <c r="G1082" t="s">
        <v>3022</v>
      </c>
      <c r="H1082" t="s">
        <v>3152</v>
      </c>
      <c r="I1082" t="s">
        <v>3049</v>
      </c>
      <c r="J1082" t="s">
        <v>3255</v>
      </c>
      <c r="L1082" t="s">
        <v>3023</v>
      </c>
    </row>
    <row r="1083" spans="1:12" x14ac:dyDescent="0.2">
      <c r="A1083" t="s">
        <v>1767</v>
      </c>
      <c r="B1083" t="s">
        <v>1769</v>
      </c>
      <c r="C1083" t="s">
        <v>2782</v>
      </c>
      <c r="D1083">
        <v>4</v>
      </c>
      <c r="E1083">
        <v>47.07</v>
      </c>
      <c r="F1083">
        <v>47.07</v>
      </c>
      <c r="G1083" t="s">
        <v>3022</v>
      </c>
      <c r="H1083" t="s">
        <v>3256</v>
      </c>
      <c r="I1083" t="s">
        <v>3049</v>
      </c>
      <c r="J1083" t="s">
        <v>3257</v>
      </c>
      <c r="L1083" t="s">
        <v>3023</v>
      </c>
    </row>
    <row r="1084" spans="1:12" x14ac:dyDescent="0.2">
      <c r="A1084" t="s">
        <v>1767</v>
      </c>
      <c r="B1084" t="s">
        <v>1769</v>
      </c>
      <c r="C1084" t="s">
        <v>2782</v>
      </c>
      <c r="D1084">
        <v>4</v>
      </c>
      <c r="E1084">
        <v>43.2</v>
      </c>
      <c r="F1084">
        <v>43.2</v>
      </c>
      <c r="G1084" t="s">
        <v>3022</v>
      </c>
      <c r="H1084" t="s">
        <v>3258</v>
      </c>
      <c r="I1084" t="s">
        <v>3049</v>
      </c>
      <c r="J1084" t="s">
        <v>3259</v>
      </c>
      <c r="L1084" t="s">
        <v>3023</v>
      </c>
    </row>
    <row r="1085" spans="1:12" x14ac:dyDescent="0.2">
      <c r="A1085" t="s">
        <v>1767</v>
      </c>
      <c r="B1085" t="s">
        <v>1769</v>
      </c>
      <c r="C1085" t="s">
        <v>2782</v>
      </c>
      <c r="D1085">
        <v>4</v>
      </c>
      <c r="E1085">
        <v>43.2</v>
      </c>
      <c r="F1085">
        <v>43.2</v>
      </c>
      <c r="G1085" t="s">
        <v>3022</v>
      </c>
      <c r="H1085" t="s">
        <v>3258</v>
      </c>
      <c r="I1085" t="s">
        <v>3049</v>
      </c>
      <c r="J1085" t="s">
        <v>3259</v>
      </c>
      <c r="L1085" t="s">
        <v>3023</v>
      </c>
    </row>
    <row r="1086" spans="1:12" x14ac:dyDescent="0.2">
      <c r="A1086" t="s">
        <v>1767</v>
      </c>
      <c r="B1086" t="s">
        <v>1769</v>
      </c>
      <c r="C1086" t="s">
        <v>2782</v>
      </c>
      <c r="D1086">
        <v>4</v>
      </c>
      <c r="E1086">
        <v>304.08</v>
      </c>
      <c r="F1086">
        <v>304.08</v>
      </c>
      <c r="G1086" t="s">
        <v>3022</v>
      </c>
      <c r="H1086" t="s">
        <v>3260</v>
      </c>
      <c r="I1086" t="s">
        <v>3049</v>
      </c>
      <c r="J1086" t="s">
        <v>3261</v>
      </c>
      <c r="L1086" t="s">
        <v>3023</v>
      </c>
    </row>
    <row r="1087" spans="1:12" x14ac:dyDescent="0.2">
      <c r="A1087" t="s">
        <v>1767</v>
      </c>
      <c r="B1087" t="s">
        <v>1769</v>
      </c>
      <c r="C1087" t="s">
        <v>2782</v>
      </c>
      <c r="D1087">
        <v>4</v>
      </c>
      <c r="E1087">
        <v>17.010000000000002</v>
      </c>
      <c r="F1087">
        <v>17.010000000000002</v>
      </c>
      <c r="G1087" t="s">
        <v>3022</v>
      </c>
      <c r="H1087" t="s">
        <v>3262</v>
      </c>
      <c r="I1087" t="s">
        <v>3049</v>
      </c>
      <c r="J1087" t="s">
        <v>3263</v>
      </c>
      <c r="L1087" t="s">
        <v>3023</v>
      </c>
    </row>
    <row r="1088" spans="1:12" x14ac:dyDescent="0.2">
      <c r="A1088" t="s">
        <v>1767</v>
      </c>
      <c r="B1088" t="s">
        <v>1769</v>
      </c>
      <c r="C1088" t="s">
        <v>2782</v>
      </c>
      <c r="D1088">
        <v>4</v>
      </c>
      <c r="E1088">
        <v>1.83</v>
      </c>
      <c r="F1088">
        <v>1.83</v>
      </c>
      <c r="G1088" t="s">
        <v>3022</v>
      </c>
      <c r="H1088" t="s">
        <v>3264</v>
      </c>
      <c r="I1088" t="s">
        <v>3049</v>
      </c>
      <c r="J1088" t="s">
        <v>3265</v>
      </c>
      <c r="L1088" t="s">
        <v>3023</v>
      </c>
    </row>
    <row r="1089" spans="1:12" x14ac:dyDescent="0.2">
      <c r="A1089" t="s">
        <v>1767</v>
      </c>
      <c r="B1089" t="s">
        <v>1769</v>
      </c>
      <c r="C1089" t="s">
        <v>2782</v>
      </c>
      <c r="D1089">
        <v>4</v>
      </c>
      <c r="E1089">
        <v>4.34</v>
      </c>
      <c r="F1089">
        <v>4.34</v>
      </c>
      <c r="G1089" t="s">
        <v>3022</v>
      </c>
      <c r="H1089" t="s">
        <v>3266</v>
      </c>
      <c r="I1089" t="s">
        <v>3049</v>
      </c>
      <c r="J1089" t="s">
        <v>3267</v>
      </c>
      <c r="L1089" t="s">
        <v>3023</v>
      </c>
    </row>
    <row r="1090" spans="1:12" x14ac:dyDescent="0.2">
      <c r="A1090" t="s">
        <v>1767</v>
      </c>
      <c r="B1090" t="s">
        <v>1769</v>
      </c>
      <c r="C1090" t="s">
        <v>2782</v>
      </c>
      <c r="D1090">
        <v>4</v>
      </c>
      <c r="E1090">
        <v>35.130000000000003</v>
      </c>
      <c r="F1090">
        <v>35.130000000000003</v>
      </c>
      <c r="G1090" t="s">
        <v>3022</v>
      </c>
      <c r="H1090" t="s">
        <v>3268</v>
      </c>
      <c r="I1090" t="s">
        <v>3049</v>
      </c>
      <c r="J1090" t="s">
        <v>3269</v>
      </c>
      <c r="L1090" t="s">
        <v>3023</v>
      </c>
    </row>
    <row r="1091" spans="1:12" x14ac:dyDescent="0.2">
      <c r="A1091" t="s">
        <v>1767</v>
      </c>
      <c r="B1091" t="s">
        <v>1769</v>
      </c>
      <c r="C1091" t="s">
        <v>2782</v>
      </c>
      <c r="D1091">
        <v>4</v>
      </c>
      <c r="E1091">
        <v>55.71</v>
      </c>
      <c r="F1091">
        <v>55.71</v>
      </c>
      <c r="G1091" t="s">
        <v>3022</v>
      </c>
      <c r="H1091" t="s">
        <v>3270</v>
      </c>
      <c r="I1091" t="s">
        <v>3049</v>
      </c>
      <c r="J1091" t="s">
        <v>3271</v>
      </c>
      <c r="L1091" t="s">
        <v>3023</v>
      </c>
    </row>
    <row r="1092" spans="1:12" x14ac:dyDescent="0.2">
      <c r="A1092" t="s">
        <v>1767</v>
      </c>
      <c r="B1092" t="s">
        <v>1769</v>
      </c>
      <c r="C1092" t="s">
        <v>2782</v>
      </c>
      <c r="D1092">
        <v>4</v>
      </c>
      <c r="E1092">
        <v>93.15</v>
      </c>
      <c r="F1092">
        <v>93.15</v>
      </c>
      <c r="G1092" t="s">
        <v>3022</v>
      </c>
      <c r="H1092" t="s">
        <v>3272</v>
      </c>
      <c r="I1092" t="s">
        <v>3049</v>
      </c>
      <c r="J1092" t="s">
        <v>3273</v>
      </c>
      <c r="L1092" t="s">
        <v>3023</v>
      </c>
    </row>
    <row r="1093" spans="1:12" x14ac:dyDescent="0.2">
      <c r="A1093" t="s">
        <v>1767</v>
      </c>
      <c r="B1093" t="s">
        <v>1769</v>
      </c>
      <c r="C1093" t="s">
        <v>2782</v>
      </c>
      <c r="D1093">
        <v>4</v>
      </c>
      <c r="E1093">
        <v>25.02</v>
      </c>
      <c r="F1093">
        <v>25.02</v>
      </c>
      <c r="G1093" t="s">
        <v>3022</v>
      </c>
      <c r="H1093" t="s">
        <v>3274</v>
      </c>
      <c r="I1093" t="s">
        <v>3049</v>
      </c>
      <c r="J1093" t="s">
        <v>3275</v>
      </c>
      <c r="L1093" t="s">
        <v>3023</v>
      </c>
    </row>
    <row r="1094" spans="1:12" x14ac:dyDescent="0.2">
      <c r="A1094" t="s">
        <v>1767</v>
      </c>
      <c r="B1094" t="s">
        <v>1769</v>
      </c>
      <c r="C1094" t="s">
        <v>2782</v>
      </c>
      <c r="D1094">
        <v>4</v>
      </c>
      <c r="E1094">
        <v>13.59</v>
      </c>
      <c r="F1094">
        <v>13.59</v>
      </c>
      <c r="G1094" t="s">
        <v>3022</v>
      </c>
      <c r="H1094" t="s">
        <v>3276</v>
      </c>
      <c r="I1094" t="s">
        <v>3049</v>
      </c>
      <c r="J1094" t="s">
        <v>3277</v>
      </c>
      <c r="L1094" t="s">
        <v>3023</v>
      </c>
    </row>
    <row r="1095" spans="1:12" x14ac:dyDescent="0.2">
      <c r="A1095" t="s">
        <v>1767</v>
      </c>
      <c r="B1095" t="s">
        <v>1769</v>
      </c>
      <c r="C1095" t="s">
        <v>2782</v>
      </c>
      <c r="D1095">
        <v>4</v>
      </c>
      <c r="E1095">
        <v>37.78</v>
      </c>
      <c r="F1095">
        <v>37.78</v>
      </c>
      <c r="G1095" t="s">
        <v>3022</v>
      </c>
      <c r="H1095" t="s">
        <v>3278</v>
      </c>
      <c r="I1095" t="s">
        <v>3049</v>
      </c>
      <c r="J1095" t="s">
        <v>3279</v>
      </c>
      <c r="L1095" t="s">
        <v>3023</v>
      </c>
    </row>
    <row r="1096" spans="1:12" x14ac:dyDescent="0.2">
      <c r="A1096" t="s">
        <v>1767</v>
      </c>
      <c r="B1096" t="s">
        <v>1769</v>
      </c>
      <c r="C1096" t="s">
        <v>2782</v>
      </c>
      <c r="D1096">
        <v>4</v>
      </c>
      <c r="E1096">
        <v>4.2</v>
      </c>
      <c r="F1096">
        <v>4.2</v>
      </c>
      <c r="G1096" t="s">
        <v>3022</v>
      </c>
      <c r="H1096" t="s">
        <v>3280</v>
      </c>
      <c r="I1096" t="s">
        <v>3049</v>
      </c>
      <c r="J1096" t="s">
        <v>3281</v>
      </c>
      <c r="L1096" t="s">
        <v>3023</v>
      </c>
    </row>
    <row r="1097" spans="1:12" x14ac:dyDescent="0.2">
      <c r="A1097" t="s">
        <v>1767</v>
      </c>
      <c r="B1097" t="s">
        <v>1769</v>
      </c>
      <c r="C1097" t="s">
        <v>2782</v>
      </c>
      <c r="D1097">
        <v>4</v>
      </c>
      <c r="E1097">
        <v>289.99</v>
      </c>
      <c r="F1097">
        <v>289.99</v>
      </c>
      <c r="G1097" t="s">
        <v>3022</v>
      </c>
      <c r="H1097" t="s">
        <v>3282</v>
      </c>
      <c r="I1097" t="s">
        <v>3049</v>
      </c>
      <c r="J1097" t="s">
        <v>3283</v>
      </c>
      <c r="L1097" t="s">
        <v>3023</v>
      </c>
    </row>
    <row r="1098" spans="1:12" x14ac:dyDescent="0.2">
      <c r="A1098" t="s">
        <v>1767</v>
      </c>
      <c r="B1098" t="s">
        <v>1769</v>
      </c>
      <c r="C1098" t="s">
        <v>2782</v>
      </c>
      <c r="D1098">
        <v>4</v>
      </c>
      <c r="E1098">
        <v>7.84</v>
      </c>
      <c r="F1098">
        <v>7.84</v>
      </c>
      <c r="G1098" t="s">
        <v>3022</v>
      </c>
      <c r="H1098" t="s">
        <v>3284</v>
      </c>
      <c r="I1098" t="s">
        <v>3049</v>
      </c>
      <c r="J1098" t="s">
        <v>3285</v>
      </c>
      <c r="L1098" t="s">
        <v>3023</v>
      </c>
    </row>
    <row r="1099" spans="1:12" x14ac:dyDescent="0.2">
      <c r="A1099" t="s">
        <v>1767</v>
      </c>
      <c r="B1099" t="s">
        <v>1769</v>
      </c>
      <c r="C1099" t="s">
        <v>2782</v>
      </c>
      <c r="D1099">
        <v>4</v>
      </c>
      <c r="E1099">
        <v>72.900000000000006</v>
      </c>
      <c r="F1099">
        <v>72.900000000000006</v>
      </c>
      <c r="G1099" t="s">
        <v>3022</v>
      </c>
      <c r="H1099" t="s">
        <v>3286</v>
      </c>
      <c r="I1099" t="s">
        <v>3049</v>
      </c>
      <c r="J1099" t="s">
        <v>3287</v>
      </c>
      <c r="L1099" t="s">
        <v>3023</v>
      </c>
    </row>
    <row r="1100" spans="1:12" x14ac:dyDescent="0.2">
      <c r="A1100" t="s">
        <v>1767</v>
      </c>
      <c r="B1100" t="s">
        <v>1769</v>
      </c>
      <c r="C1100" t="s">
        <v>2782</v>
      </c>
      <c r="D1100">
        <v>4</v>
      </c>
      <c r="E1100">
        <v>364.5</v>
      </c>
      <c r="F1100">
        <v>364.5</v>
      </c>
      <c r="G1100" t="s">
        <v>3022</v>
      </c>
      <c r="H1100" t="s">
        <v>3288</v>
      </c>
      <c r="I1100" t="s">
        <v>3049</v>
      </c>
      <c r="J1100" t="s">
        <v>3289</v>
      </c>
      <c r="L1100" t="s">
        <v>3023</v>
      </c>
    </row>
    <row r="1101" spans="1:12" x14ac:dyDescent="0.2">
      <c r="A1101" t="s">
        <v>1767</v>
      </c>
      <c r="B1101" t="s">
        <v>1769</v>
      </c>
      <c r="C1101" t="s">
        <v>2782</v>
      </c>
      <c r="D1101">
        <v>4</v>
      </c>
      <c r="E1101">
        <v>19.89</v>
      </c>
      <c r="F1101">
        <v>19.89</v>
      </c>
      <c r="G1101" t="s">
        <v>3022</v>
      </c>
      <c r="H1101" t="s">
        <v>3215</v>
      </c>
      <c r="I1101" t="s">
        <v>3049</v>
      </c>
      <c r="J1101" t="s">
        <v>3290</v>
      </c>
      <c r="L1101" t="s">
        <v>3023</v>
      </c>
    </row>
    <row r="1102" spans="1:12" x14ac:dyDescent="0.2">
      <c r="A1102" t="s">
        <v>1767</v>
      </c>
      <c r="B1102" t="s">
        <v>1769</v>
      </c>
      <c r="C1102" t="s">
        <v>2782</v>
      </c>
      <c r="D1102">
        <v>4</v>
      </c>
      <c r="E1102">
        <v>173.7</v>
      </c>
      <c r="F1102">
        <v>173.7</v>
      </c>
      <c r="G1102" t="s">
        <v>3022</v>
      </c>
      <c r="H1102" t="s">
        <v>3291</v>
      </c>
      <c r="I1102" t="s">
        <v>3049</v>
      </c>
      <c r="J1102" t="s">
        <v>3292</v>
      </c>
      <c r="L1102" t="s">
        <v>3023</v>
      </c>
    </row>
    <row r="1103" spans="1:12" x14ac:dyDescent="0.2">
      <c r="A1103" t="s">
        <v>1767</v>
      </c>
      <c r="B1103" t="s">
        <v>1769</v>
      </c>
      <c r="C1103" t="s">
        <v>2782</v>
      </c>
      <c r="D1103">
        <v>4</v>
      </c>
      <c r="E1103">
        <v>4833.68</v>
      </c>
      <c r="F1103">
        <v>4833.68</v>
      </c>
      <c r="G1103" t="s">
        <v>3022</v>
      </c>
      <c r="H1103" t="s">
        <v>3293</v>
      </c>
      <c r="I1103" t="s">
        <v>3049</v>
      </c>
      <c r="J1103" t="s">
        <v>3294</v>
      </c>
      <c r="L1103" t="s">
        <v>3023</v>
      </c>
    </row>
    <row r="1104" spans="1:12" x14ac:dyDescent="0.2">
      <c r="A1104" t="s">
        <v>1767</v>
      </c>
      <c r="B1104" t="s">
        <v>1769</v>
      </c>
      <c r="C1104" t="s">
        <v>2782</v>
      </c>
      <c r="D1104">
        <v>4</v>
      </c>
      <c r="E1104">
        <v>10690.35</v>
      </c>
      <c r="F1104">
        <v>10690.35</v>
      </c>
      <c r="G1104" t="s">
        <v>3022</v>
      </c>
      <c r="H1104" t="s">
        <v>3295</v>
      </c>
      <c r="I1104" t="s">
        <v>3049</v>
      </c>
      <c r="J1104" t="s">
        <v>3296</v>
      </c>
      <c r="L1104" t="s">
        <v>3023</v>
      </c>
    </row>
    <row r="1105" spans="1:12" x14ac:dyDescent="0.2">
      <c r="A1105" t="s">
        <v>1767</v>
      </c>
      <c r="B1105" t="s">
        <v>1769</v>
      </c>
      <c r="C1105" t="s">
        <v>2782</v>
      </c>
      <c r="D1105">
        <v>4</v>
      </c>
      <c r="E1105">
        <v>4.51</v>
      </c>
      <c r="F1105">
        <v>4.51</v>
      </c>
      <c r="G1105" t="s">
        <v>3022</v>
      </c>
      <c r="H1105" t="s">
        <v>3297</v>
      </c>
      <c r="I1105" t="s">
        <v>3049</v>
      </c>
      <c r="J1105" t="s">
        <v>3298</v>
      </c>
      <c r="L1105" t="s">
        <v>3023</v>
      </c>
    </row>
    <row r="1106" spans="1:12" x14ac:dyDescent="0.2">
      <c r="A1106" t="s">
        <v>1767</v>
      </c>
      <c r="B1106" t="s">
        <v>1769</v>
      </c>
      <c r="C1106" t="s">
        <v>2782</v>
      </c>
      <c r="D1106">
        <v>4</v>
      </c>
      <c r="E1106">
        <v>18.37</v>
      </c>
      <c r="F1106">
        <v>18.37</v>
      </c>
      <c r="G1106" t="s">
        <v>3022</v>
      </c>
      <c r="H1106" t="s">
        <v>3299</v>
      </c>
      <c r="I1106" t="s">
        <v>3049</v>
      </c>
      <c r="J1106" t="s">
        <v>3300</v>
      </c>
      <c r="L1106" t="s">
        <v>3023</v>
      </c>
    </row>
    <row r="1107" spans="1:12" x14ac:dyDescent="0.2">
      <c r="A1107" t="s">
        <v>1767</v>
      </c>
      <c r="B1107" t="s">
        <v>1769</v>
      </c>
      <c r="C1107" t="s">
        <v>2782</v>
      </c>
      <c r="D1107">
        <v>4</v>
      </c>
      <c r="E1107">
        <v>0</v>
      </c>
      <c r="F1107">
        <v>0</v>
      </c>
      <c r="G1107" t="s">
        <v>3022</v>
      </c>
      <c r="H1107" t="s">
        <v>3024</v>
      </c>
      <c r="I1107" t="s">
        <v>3049</v>
      </c>
      <c r="J1107" t="s">
        <v>3301</v>
      </c>
      <c r="L1107" t="s">
        <v>3023</v>
      </c>
    </row>
    <row r="1108" spans="1:12" x14ac:dyDescent="0.2">
      <c r="A1108" t="s">
        <v>1767</v>
      </c>
      <c r="B1108" t="s">
        <v>1769</v>
      </c>
      <c r="C1108" t="s">
        <v>2782</v>
      </c>
      <c r="D1108">
        <v>4</v>
      </c>
      <c r="E1108">
        <v>15.08</v>
      </c>
      <c r="F1108">
        <v>15.08</v>
      </c>
      <c r="G1108" t="s">
        <v>3022</v>
      </c>
      <c r="H1108" t="s">
        <v>3302</v>
      </c>
      <c r="I1108" t="s">
        <v>3049</v>
      </c>
      <c r="J1108" t="s">
        <v>3303</v>
      </c>
      <c r="L1108" t="s">
        <v>3023</v>
      </c>
    </row>
    <row r="1109" spans="1:12" x14ac:dyDescent="0.2">
      <c r="A1109" t="s">
        <v>1767</v>
      </c>
      <c r="B1109" t="s">
        <v>1769</v>
      </c>
      <c r="C1109" t="s">
        <v>2782</v>
      </c>
      <c r="D1109">
        <v>4</v>
      </c>
      <c r="E1109">
        <v>12.58</v>
      </c>
      <c r="F1109">
        <v>12.58</v>
      </c>
      <c r="G1109" t="s">
        <v>3022</v>
      </c>
      <c r="H1109" t="s">
        <v>3225</v>
      </c>
      <c r="I1109" t="s">
        <v>3049</v>
      </c>
      <c r="J1109" t="s">
        <v>3226</v>
      </c>
      <c r="L1109" t="s">
        <v>3023</v>
      </c>
    </row>
    <row r="1110" spans="1:12" x14ac:dyDescent="0.2">
      <c r="A1110" t="s">
        <v>1767</v>
      </c>
      <c r="B1110" t="s">
        <v>1769</v>
      </c>
      <c r="C1110" t="s">
        <v>2782</v>
      </c>
      <c r="D1110">
        <v>4</v>
      </c>
      <c r="E1110">
        <v>93.28</v>
      </c>
      <c r="F1110">
        <v>93.28</v>
      </c>
      <c r="G1110" t="s">
        <v>3022</v>
      </c>
      <c r="H1110" t="s">
        <v>3304</v>
      </c>
      <c r="I1110" t="s">
        <v>3049</v>
      </c>
      <c r="J1110" t="s">
        <v>3305</v>
      </c>
      <c r="L1110" t="s">
        <v>3023</v>
      </c>
    </row>
    <row r="1111" spans="1:12" x14ac:dyDescent="0.2">
      <c r="A1111" t="s">
        <v>1767</v>
      </c>
      <c r="B1111" t="s">
        <v>1769</v>
      </c>
      <c r="C1111" t="s">
        <v>2782</v>
      </c>
      <c r="D1111">
        <v>4</v>
      </c>
      <c r="E1111">
        <v>100.45</v>
      </c>
      <c r="F1111">
        <v>100.45</v>
      </c>
      <c r="G1111" t="s">
        <v>3022</v>
      </c>
      <c r="H1111" t="s">
        <v>3306</v>
      </c>
      <c r="I1111" t="s">
        <v>3049</v>
      </c>
      <c r="J1111" t="s">
        <v>3307</v>
      </c>
      <c r="L1111" t="s">
        <v>3023</v>
      </c>
    </row>
    <row r="1112" spans="1:12" x14ac:dyDescent="0.2">
      <c r="A1112" t="s">
        <v>1767</v>
      </c>
      <c r="B1112" t="s">
        <v>1769</v>
      </c>
      <c r="C1112" t="s">
        <v>2782</v>
      </c>
      <c r="D1112">
        <v>4</v>
      </c>
      <c r="E1112">
        <v>21.53</v>
      </c>
      <c r="F1112">
        <v>21.53</v>
      </c>
      <c r="G1112" t="s">
        <v>3022</v>
      </c>
      <c r="H1112" t="s">
        <v>3308</v>
      </c>
      <c r="I1112" t="s">
        <v>3049</v>
      </c>
      <c r="J1112" t="s">
        <v>3309</v>
      </c>
      <c r="L1112" t="s">
        <v>3023</v>
      </c>
    </row>
    <row r="1113" spans="1:12" x14ac:dyDescent="0.2">
      <c r="A1113" t="s">
        <v>1767</v>
      </c>
      <c r="B1113" t="s">
        <v>1769</v>
      </c>
      <c r="C1113" t="s">
        <v>2782</v>
      </c>
      <c r="D1113">
        <v>4</v>
      </c>
      <c r="E1113">
        <v>189.46</v>
      </c>
      <c r="F1113">
        <v>189.46</v>
      </c>
      <c r="G1113" t="s">
        <v>3022</v>
      </c>
      <c r="H1113" t="s">
        <v>3310</v>
      </c>
      <c r="I1113" t="s">
        <v>3049</v>
      </c>
      <c r="J1113" t="s">
        <v>3311</v>
      </c>
      <c r="L1113" t="s">
        <v>3023</v>
      </c>
    </row>
    <row r="1114" spans="1:12" x14ac:dyDescent="0.2">
      <c r="A1114" t="s">
        <v>1767</v>
      </c>
      <c r="B1114" t="s">
        <v>1769</v>
      </c>
      <c r="C1114" t="s">
        <v>2782</v>
      </c>
      <c r="D1114">
        <v>4</v>
      </c>
      <c r="E1114">
        <v>121.07</v>
      </c>
      <c r="F1114">
        <v>121.07</v>
      </c>
      <c r="G1114" t="s">
        <v>3022</v>
      </c>
      <c r="H1114" t="s">
        <v>3312</v>
      </c>
      <c r="I1114" t="s">
        <v>3049</v>
      </c>
      <c r="J1114" t="s">
        <v>3313</v>
      </c>
      <c r="L1114" t="s">
        <v>3023</v>
      </c>
    </row>
    <row r="1115" spans="1:12" x14ac:dyDescent="0.2">
      <c r="A1115" t="s">
        <v>1767</v>
      </c>
      <c r="B1115" t="s">
        <v>1769</v>
      </c>
      <c r="C1115" t="s">
        <v>2782</v>
      </c>
      <c r="D1115">
        <v>4</v>
      </c>
      <c r="E1115">
        <v>158.32</v>
      </c>
      <c r="F1115">
        <v>158.32</v>
      </c>
      <c r="G1115" t="s">
        <v>3022</v>
      </c>
      <c r="H1115" t="s">
        <v>3314</v>
      </c>
      <c r="I1115" t="s">
        <v>3049</v>
      </c>
      <c r="J1115" t="s">
        <v>3315</v>
      </c>
      <c r="L1115" t="s">
        <v>3023</v>
      </c>
    </row>
    <row r="1116" spans="1:12" x14ac:dyDescent="0.2">
      <c r="A1116" t="s">
        <v>1767</v>
      </c>
      <c r="B1116" t="s">
        <v>1769</v>
      </c>
      <c r="C1116" t="s">
        <v>2782</v>
      </c>
      <c r="D1116">
        <v>4</v>
      </c>
      <c r="E1116">
        <v>19.12</v>
      </c>
      <c r="F1116">
        <v>19.12</v>
      </c>
      <c r="G1116" t="s">
        <v>3022</v>
      </c>
      <c r="H1116" t="s">
        <v>3316</v>
      </c>
      <c r="I1116" t="s">
        <v>3049</v>
      </c>
      <c r="J1116" t="s">
        <v>3317</v>
      </c>
      <c r="L1116" t="s">
        <v>3023</v>
      </c>
    </row>
    <row r="1117" spans="1:12" x14ac:dyDescent="0.2">
      <c r="A1117" t="s">
        <v>1767</v>
      </c>
      <c r="B1117" t="s">
        <v>1769</v>
      </c>
      <c r="C1117" t="s">
        <v>2782</v>
      </c>
      <c r="D1117">
        <v>4</v>
      </c>
      <c r="E1117">
        <v>27.3</v>
      </c>
      <c r="F1117">
        <v>27.3</v>
      </c>
      <c r="G1117" t="s">
        <v>3022</v>
      </c>
      <c r="H1117" t="s">
        <v>3318</v>
      </c>
      <c r="I1117" t="s">
        <v>3049</v>
      </c>
      <c r="J1117" t="s">
        <v>3319</v>
      </c>
      <c r="L1117" t="s">
        <v>3023</v>
      </c>
    </row>
    <row r="1118" spans="1:12" x14ac:dyDescent="0.2">
      <c r="A1118" t="s">
        <v>1767</v>
      </c>
      <c r="B1118" t="s">
        <v>1769</v>
      </c>
      <c r="C1118" t="s">
        <v>2782</v>
      </c>
      <c r="D1118">
        <v>4</v>
      </c>
      <c r="E1118">
        <v>3292.2</v>
      </c>
      <c r="F1118">
        <v>3292.2</v>
      </c>
      <c r="G1118" t="s">
        <v>3022</v>
      </c>
      <c r="H1118" t="s">
        <v>3320</v>
      </c>
      <c r="I1118" t="s">
        <v>3049</v>
      </c>
      <c r="J1118" t="s">
        <v>3321</v>
      </c>
      <c r="L1118" t="s">
        <v>3023</v>
      </c>
    </row>
    <row r="1119" spans="1:12" x14ac:dyDescent="0.2">
      <c r="A1119" t="s">
        <v>1767</v>
      </c>
      <c r="B1119" t="s">
        <v>1769</v>
      </c>
      <c r="C1119" t="s">
        <v>2782</v>
      </c>
      <c r="D1119">
        <v>4</v>
      </c>
      <c r="E1119">
        <v>66.12</v>
      </c>
      <c r="F1119">
        <v>66.12</v>
      </c>
      <c r="G1119" t="s">
        <v>3022</v>
      </c>
      <c r="H1119" t="s">
        <v>3322</v>
      </c>
      <c r="I1119" t="s">
        <v>3049</v>
      </c>
      <c r="J1119" t="s">
        <v>3323</v>
      </c>
      <c r="L1119" t="s">
        <v>3023</v>
      </c>
    </row>
    <row r="1120" spans="1:12" x14ac:dyDescent="0.2">
      <c r="A1120" t="s">
        <v>1767</v>
      </c>
      <c r="B1120" t="s">
        <v>1769</v>
      </c>
      <c r="C1120" t="s">
        <v>2782</v>
      </c>
      <c r="D1120">
        <v>4</v>
      </c>
      <c r="E1120">
        <v>144</v>
      </c>
      <c r="F1120">
        <v>144</v>
      </c>
      <c r="G1120" t="s">
        <v>3022</v>
      </c>
      <c r="H1120" t="s">
        <v>3324</v>
      </c>
      <c r="I1120" t="s">
        <v>3049</v>
      </c>
      <c r="J1120" t="s">
        <v>3325</v>
      </c>
      <c r="L1120" t="s">
        <v>3023</v>
      </c>
    </row>
    <row r="1121" spans="1:12" x14ac:dyDescent="0.2">
      <c r="A1121" t="s">
        <v>1767</v>
      </c>
      <c r="B1121" t="s">
        <v>1769</v>
      </c>
      <c r="C1121" t="s">
        <v>2782</v>
      </c>
      <c r="D1121">
        <v>4</v>
      </c>
      <c r="E1121">
        <v>158.4</v>
      </c>
      <c r="F1121">
        <v>158.4</v>
      </c>
      <c r="G1121" t="s">
        <v>3022</v>
      </c>
      <c r="H1121" t="s">
        <v>3326</v>
      </c>
      <c r="I1121" t="s">
        <v>3049</v>
      </c>
      <c r="J1121" t="s">
        <v>3327</v>
      </c>
      <c r="L1121" t="s">
        <v>3023</v>
      </c>
    </row>
    <row r="1122" spans="1:12" x14ac:dyDescent="0.2">
      <c r="A1122" t="s">
        <v>1767</v>
      </c>
      <c r="B1122" t="s">
        <v>1769</v>
      </c>
      <c r="C1122" t="s">
        <v>2782</v>
      </c>
      <c r="D1122">
        <v>4</v>
      </c>
      <c r="E1122">
        <v>776.88</v>
      </c>
      <c r="F1122">
        <v>776.88</v>
      </c>
      <c r="G1122" t="s">
        <v>3022</v>
      </c>
      <c r="H1122" t="s">
        <v>3328</v>
      </c>
      <c r="I1122" t="s">
        <v>3049</v>
      </c>
      <c r="J1122" t="s">
        <v>3329</v>
      </c>
      <c r="L1122" t="s">
        <v>3023</v>
      </c>
    </row>
    <row r="1123" spans="1:12" x14ac:dyDescent="0.2">
      <c r="A1123" t="s">
        <v>1767</v>
      </c>
      <c r="B1123" t="s">
        <v>1769</v>
      </c>
      <c r="C1123" t="s">
        <v>2782</v>
      </c>
      <c r="D1123">
        <v>4</v>
      </c>
      <c r="E1123">
        <v>172.08</v>
      </c>
      <c r="F1123">
        <v>172.08</v>
      </c>
      <c r="G1123" t="s">
        <v>3022</v>
      </c>
      <c r="H1123" t="s">
        <v>3330</v>
      </c>
      <c r="I1123" t="s">
        <v>3049</v>
      </c>
      <c r="J1123" t="s">
        <v>3331</v>
      </c>
      <c r="L1123" t="s">
        <v>3023</v>
      </c>
    </row>
    <row r="1124" spans="1:12" x14ac:dyDescent="0.2">
      <c r="A1124" t="s">
        <v>1767</v>
      </c>
      <c r="B1124" t="s">
        <v>1769</v>
      </c>
      <c r="C1124" t="s">
        <v>2782</v>
      </c>
      <c r="D1124">
        <v>4</v>
      </c>
      <c r="E1124">
        <v>51.38</v>
      </c>
      <c r="F1124">
        <v>51.38</v>
      </c>
      <c r="G1124" t="s">
        <v>3022</v>
      </c>
      <c r="H1124" t="s">
        <v>3332</v>
      </c>
      <c r="I1124" t="s">
        <v>3049</v>
      </c>
      <c r="J1124" t="s">
        <v>3333</v>
      </c>
      <c r="L1124" t="s">
        <v>3023</v>
      </c>
    </row>
    <row r="1125" spans="1:12" x14ac:dyDescent="0.2">
      <c r="A1125" t="s">
        <v>1767</v>
      </c>
      <c r="B1125" t="s">
        <v>1769</v>
      </c>
      <c r="C1125" t="s">
        <v>2782</v>
      </c>
      <c r="D1125">
        <v>4</v>
      </c>
      <c r="E1125">
        <v>30.98</v>
      </c>
      <c r="F1125">
        <v>30.98</v>
      </c>
      <c r="G1125" t="s">
        <v>3022</v>
      </c>
      <c r="H1125" t="s">
        <v>3334</v>
      </c>
      <c r="I1125" t="s">
        <v>3049</v>
      </c>
      <c r="J1125" t="s">
        <v>3335</v>
      </c>
      <c r="L1125" t="s">
        <v>3023</v>
      </c>
    </row>
    <row r="1126" spans="1:12" x14ac:dyDescent="0.2">
      <c r="A1126" t="s">
        <v>1767</v>
      </c>
      <c r="B1126" t="s">
        <v>1769</v>
      </c>
      <c r="C1126" t="s">
        <v>2782</v>
      </c>
      <c r="D1126">
        <v>4</v>
      </c>
      <c r="E1126">
        <v>28.16</v>
      </c>
      <c r="F1126">
        <v>28.16</v>
      </c>
      <c r="G1126" t="s">
        <v>3022</v>
      </c>
      <c r="H1126" t="s">
        <v>3336</v>
      </c>
      <c r="I1126" t="s">
        <v>3049</v>
      </c>
      <c r="J1126" t="s">
        <v>3337</v>
      </c>
      <c r="L1126" t="s">
        <v>3023</v>
      </c>
    </row>
    <row r="1127" spans="1:12" x14ac:dyDescent="0.2">
      <c r="A1127" t="s">
        <v>1767</v>
      </c>
      <c r="B1127" t="s">
        <v>1769</v>
      </c>
      <c r="C1127" t="s">
        <v>2782</v>
      </c>
      <c r="D1127">
        <v>4</v>
      </c>
      <c r="E1127">
        <v>28.16</v>
      </c>
      <c r="F1127">
        <v>28.16</v>
      </c>
      <c r="G1127" t="s">
        <v>3022</v>
      </c>
      <c r="H1127" t="s">
        <v>3336</v>
      </c>
      <c r="I1127" t="s">
        <v>3049</v>
      </c>
      <c r="J1127" t="s">
        <v>3337</v>
      </c>
      <c r="L1127" t="s">
        <v>3023</v>
      </c>
    </row>
    <row r="1128" spans="1:12" x14ac:dyDescent="0.2">
      <c r="A1128" t="s">
        <v>1767</v>
      </c>
      <c r="B1128" t="s">
        <v>1769</v>
      </c>
      <c r="C1128" t="s">
        <v>2782</v>
      </c>
      <c r="D1128">
        <v>4</v>
      </c>
      <c r="E1128">
        <v>25.35</v>
      </c>
      <c r="F1128">
        <v>25.35</v>
      </c>
      <c r="G1128" t="s">
        <v>3022</v>
      </c>
      <c r="H1128" t="s">
        <v>3338</v>
      </c>
      <c r="I1128" t="s">
        <v>3049</v>
      </c>
      <c r="J1128" t="s">
        <v>3339</v>
      </c>
      <c r="L1128" t="s">
        <v>3023</v>
      </c>
    </row>
    <row r="1129" spans="1:12" x14ac:dyDescent="0.2">
      <c r="A1129" t="s">
        <v>1767</v>
      </c>
      <c r="B1129" t="s">
        <v>1769</v>
      </c>
      <c r="C1129" t="s">
        <v>2782</v>
      </c>
      <c r="D1129">
        <v>4</v>
      </c>
      <c r="E1129">
        <v>14.59</v>
      </c>
      <c r="F1129">
        <v>14.59</v>
      </c>
      <c r="G1129" t="s">
        <v>3022</v>
      </c>
      <c r="H1129" t="s">
        <v>3340</v>
      </c>
      <c r="I1129" t="s">
        <v>3049</v>
      </c>
      <c r="J1129" t="s">
        <v>3341</v>
      </c>
      <c r="L1129" t="s">
        <v>3023</v>
      </c>
    </row>
    <row r="1130" spans="1:12" x14ac:dyDescent="0.2">
      <c r="A1130" t="s">
        <v>1767</v>
      </c>
      <c r="B1130" t="s">
        <v>1769</v>
      </c>
      <c r="C1130" t="s">
        <v>2782</v>
      </c>
      <c r="D1130">
        <v>4</v>
      </c>
      <c r="E1130">
        <v>27.04</v>
      </c>
      <c r="F1130">
        <v>27.04</v>
      </c>
      <c r="G1130" t="s">
        <v>3022</v>
      </c>
      <c r="H1130" t="s">
        <v>3342</v>
      </c>
      <c r="I1130" t="s">
        <v>3049</v>
      </c>
      <c r="J1130" t="s">
        <v>3343</v>
      </c>
      <c r="L1130" t="s">
        <v>3023</v>
      </c>
    </row>
    <row r="1131" spans="1:12" x14ac:dyDescent="0.2">
      <c r="A1131" t="s">
        <v>1767</v>
      </c>
      <c r="B1131" t="s">
        <v>1769</v>
      </c>
      <c r="C1131" t="s">
        <v>2782</v>
      </c>
      <c r="D1131">
        <v>4</v>
      </c>
      <c r="E1131">
        <v>457.8</v>
      </c>
      <c r="F1131">
        <v>457.8</v>
      </c>
      <c r="G1131" t="s">
        <v>3022</v>
      </c>
      <c r="H1131" t="s">
        <v>3344</v>
      </c>
      <c r="I1131" t="s">
        <v>3049</v>
      </c>
      <c r="J1131" t="s">
        <v>3345</v>
      </c>
      <c r="L1131" t="s">
        <v>3023</v>
      </c>
    </row>
    <row r="1132" spans="1:12" x14ac:dyDescent="0.2">
      <c r="A1132" t="s">
        <v>1767</v>
      </c>
      <c r="B1132" t="s">
        <v>1769</v>
      </c>
      <c r="C1132" t="s">
        <v>2782</v>
      </c>
      <c r="D1132">
        <v>4</v>
      </c>
      <c r="E1132">
        <v>57.23</v>
      </c>
      <c r="F1132">
        <v>57.23</v>
      </c>
      <c r="G1132" t="s">
        <v>3022</v>
      </c>
      <c r="H1132" t="s">
        <v>3346</v>
      </c>
      <c r="I1132" t="s">
        <v>3049</v>
      </c>
      <c r="J1132" t="s">
        <v>3347</v>
      </c>
      <c r="L1132" t="s">
        <v>3023</v>
      </c>
    </row>
    <row r="1133" spans="1:12" x14ac:dyDescent="0.2">
      <c r="A1133" t="s">
        <v>1767</v>
      </c>
      <c r="B1133" t="s">
        <v>1769</v>
      </c>
      <c r="C1133" t="s">
        <v>2782</v>
      </c>
      <c r="D1133">
        <v>4</v>
      </c>
      <c r="E1133">
        <v>205.68</v>
      </c>
      <c r="F1133">
        <v>205.68</v>
      </c>
      <c r="G1133" t="s">
        <v>3022</v>
      </c>
      <c r="H1133" t="s">
        <v>3348</v>
      </c>
      <c r="I1133" t="s">
        <v>3049</v>
      </c>
      <c r="J1133" t="s">
        <v>3349</v>
      </c>
      <c r="L1133" t="s">
        <v>3023</v>
      </c>
    </row>
    <row r="1134" spans="1:12" x14ac:dyDescent="0.2">
      <c r="A1134" t="s">
        <v>1767</v>
      </c>
      <c r="B1134" t="s">
        <v>1769</v>
      </c>
      <c r="C1134" t="s">
        <v>2782</v>
      </c>
      <c r="D1134">
        <v>4</v>
      </c>
      <c r="E1134">
        <v>457.12</v>
      </c>
      <c r="F1134">
        <v>457.12</v>
      </c>
      <c r="G1134" t="s">
        <v>3022</v>
      </c>
      <c r="H1134" t="s">
        <v>3350</v>
      </c>
      <c r="I1134" t="s">
        <v>3049</v>
      </c>
      <c r="J1134" t="s">
        <v>3351</v>
      </c>
      <c r="L1134" t="s">
        <v>3023</v>
      </c>
    </row>
    <row r="1135" spans="1:12" x14ac:dyDescent="0.2">
      <c r="A1135" t="s">
        <v>1767</v>
      </c>
      <c r="B1135" t="s">
        <v>1769</v>
      </c>
      <c r="C1135" t="s">
        <v>2782</v>
      </c>
      <c r="D1135">
        <v>4</v>
      </c>
      <c r="E1135">
        <v>436.13</v>
      </c>
      <c r="F1135">
        <v>436.13</v>
      </c>
      <c r="G1135" t="s">
        <v>3022</v>
      </c>
      <c r="H1135" t="s">
        <v>3352</v>
      </c>
      <c r="I1135" t="s">
        <v>3049</v>
      </c>
      <c r="J1135" t="s">
        <v>3353</v>
      </c>
      <c r="L1135" t="s">
        <v>3023</v>
      </c>
    </row>
    <row r="1136" spans="1:12" x14ac:dyDescent="0.2">
      <c r="A1136" t="s">
        <v>1767</v>
      </c>
      <c r="B1136" t="s">
        <v>1769</v>
      </c>
      <c r="C1136" t="s">
        <v>2782</v>
      </c>
      <c r="D1136">
        <v>4</v>
      </c>
      <c r="E1136">
        <v>218.06</v>
      </c>
      <c r="F1136">
        <v>218.06</v>
      </c>
      <c r="G1136" t="s">
        <v>3022</v>
      </c>
      <c r="H1136" t="s">
        <v>3354</v>
      </c>
      <c r="I1136" t="s">
        <v>3049</v>
      </c>
      <c r="J1136" t="s">
        <v>3355</v>
      </c>
      <c r="L1136" t="s">
        <v>3023</v>
      </c>
    </row>
    <row r="1137" spans="1:12" x14ac:dyDescent="0.2">
      <c r="A1137" t="s">
        <v>1767</v>
      </c>
      <c r="B1137" t="s">
        <v>1769</v>
      </c>
      <c r="C1137" t="s">
        <v>2782</v>
      </c>
      <c r="D1137">
        <v>4</v>
      </c>
      <c r="E1137">
        <v>65.2</v>
      </c>
      <c r="F1137">
        <v>65.2</v>
      </c>
      <c r="G1137" t="s">
        <v>3022</v>
      </c>
      <c r="H1137" t="s">
        <v>3356</v>
      </c>
      <c r="I1137" t="s">
        <v>3049</v>
      </c>
      <c r="J1137" t="s">
        <v>3357</v>
      </c>
      <c r="L1137" t="s">
        <v>3023</v>
      </c>
    </row>
    <row r="1138" spans="1:12" x14ac:dyDescent="0.2">
      <c r="A1138" t="s">
        <v>1767</v>
      </c>
      <c r="B1138" t="s">
        <v>1769</v>
      </c>
      <c r="C1138" t="s">
        <v>2782</v>
      </c>
      <c r="D1138">
        <v>4</v>
      </c>
      <c r="E1138">
        <v>42.24</v>
      </c>
      <c r="F1138">
        <v>42.24</v>
      </c>
      <c r="G1138" t="s">
        <v>3022</v>
      </c>
      <c r="H1138" t="s">
        <v>3358</v>
      </c>
      <c r="I1138" t="s">
        <v>3049</v>
      </c>
      <c r="J1138" t="s">
        <v>3359</v>
      </c>
      <c r="L1138" t="s">
        <v>3023</v>
      </c>
    </row>
    <row r="1139" spans="1:12" x14ac:dyDescent="0.2">
      <c r="A1139" t="s">
        <v>1767</v>
      </c>
      <c r="B1139" t="s">
        <v>1769</v>
      </c>
      <c r="C1139" t="s">
        <v>2782</v>
      </c>
      <c r="D1139">
        <v>4</v>
      </c>
      <c r="E1139">
        <v>399.66</v>
      </c>
      <c r="F1139">
        <v>399.66</v>
      </c>
      <c r="G1139" t="s">
        <v>3022</v>
      </c>
      <c r="H1139" t="s">
        <v>3360</v>
      </c>
      <c r="I1139" t="s">
        <v>3049</v>
      </c>
      <c r="J1139" t="s">
        <v>3361</v>
      </c>
      <c r="L1139" t="s">
        <v>3023</v>
      </c>
    </row>
    <row r="1140" spans="1:12" x14ac:dyDescent="0.2">
      <c r="A1140" t="s">
        <v>1767</v>
      </c>
      <c r="B1140" t="s">
        <v>1769</v>
      </c>
      <c r="C1140" t="s">
        <v>2782</v>
      </c>
      <c r="D1140">
        <v>4</v>
      </c>
      <c r="E1140">
        <v>101.4</v>
      </c>
      <c r="F1140">
        <v>101.4</v>
      </c>
      <c r="G1140" t="s">
        <v>3022</v>
      </c>
      <c r="H1140" t="s">
        <v>3362</v>
      </c>
      <c r="I1140" t="s">
        <v>3049</v>
      </c>
      <c r="J1140" t="s">
        <v>3363</v>
      </c>
      <c r="L1140" t="s">
        <v>3023</v>
      </c>
    </row>
    <row r="1141" spans="1:12" x14ac:dyDescent="0.2">
      <c r="A1141" t="s">
        <v>1767</v>
      </c>
      <c r="B1141" t="s">
        <v>1769</v>
      </c>
      <c r="C1141" t="s">
        <v>2782</v>
      </c>
      <c r="D1141">
        <v>4</v>
      </c>
      <c r="E1141">
        <v>146.4</v>
      </c>
      <c r="F1141">
        <v>146.4</v>
      </c>
      <c r="G1141" t="s">
        <v>3022</v>
      </c>
      <c r="H1141" t="s">
        <v>3364</v>
      </c>
      <c r="I1141" t="s">
        <v>3049</v>
      </c>
      <c r="J1141" t="s">
        <v>3365</v>
      </c>
      <c r="L1141" t="s">
        <v>3023</v>
      </c>
    </row>
    <row r="1142" spans="1:12" x14ac:dyDescent="0.2">
      <c r="A1142" t="s">
        <v>1767</v>
      </c>
      <c r="B1142" t="s">
        <v>1769</v>
      </c>
      <c r="C1142" t="s">
        <v>2782</v>
      </c>
      <c r="D1142">
        <v>4</v>
      </c>
      <c r="E1142">
        <v>38.049999999999997</v>
      </c>
      <c r="F1142">
        <v>38.049999999999997</v>
      </c>
      <c r="G1142" t="s">
        <v>3022</v>
      </c>
      <c r="H1142" t="s">
        <v>3366</v>
      </c>
      <c r="I1142" t="s">
        <v>3049</v>
      </c>
      <c r="J1142" t="s">
        <v>3367</v>
      </c>
      <c r="L1142" t="s">
        <v>3023</v>
      </c>
    </row>
    <row r="1143" spans="1:12" x14ac:dyDescent="0.2">
      <c r="A1143" t="s">
        <v>1767</v>
      </c>
      <c r="B1143" t="s">
        <v>1769</v>
      </c>
      <c r="C1143" t="s">
        <v>2782</v>
      </c>
      <c r="D1143">
        <v>4</v>
      </c>
      <c r="E1143">
        <v>378.22</v>
      </c>
      <c r="F1143">
        <v>378.22</v>
      </c>
      <c r="G1143" t="s">
        <v>3022</v>
      </c>
      <c r="H1143" t="s">
        <v>3368</v>
      </c>
      <c r="I1143" t="s">
        <v>3049</v>
      </c>
      <c r="J1143" t="s">
        <v>3369</v>
      </c>
      <c r="L1143" t="s">
        <v>3023</v>
      </c>
    </row>
    <row r="1144" spans="1:12" x14ac:dyDescent="0.2">
      <c r="A1144" t="s">
        <v>1767</v>
      </c>
      <c r="B1144" t="s">
        <v>1769</v>
      </c>
      <c r="C1144" t="s">
        <v>2782</v>
      </c>
      <c r="D1144">
        <v>4</v>
      </c>
      <c r="E1144">
        <v>70.02</v>
      </c>
      <c r="F1144">
        <v>70.02</v>
      </c>
      <c r="G1144" t="s">
        <v>3022</v>
      </c>
      <c r="H1144" t="s">
        <v>3370</v>
      </c>
      <c r="I1144" t="s">
        <v>3049</v>
      </c>
      <c r="J1144" t="s">
        <v>3371</v>
      </c>
      <c r="L1144" t="s">
        <v>3023</v>
      </c>
    </row>
    <row r="1145" spans="1:12" x14ac:dyDescent="0.2">
      <c r="A1145" t="s">
        <v>1767</v>
      </c>
      <c r="B1145" t="s">
        <v>1769</v>
      </c>
      <c r="C1145" t="s">
        <v>2782</v>
      </c>
      <c r="D1145">
        <v>4</v>
      </c>
      <c r="E1145">
        <v>43.2</v>
      </c>
      <c r="F1145">
        <v>43.2</v>
      </c>
      <c r="G1145" t="s">
        <v>3022</v>
      </c>
      <c r="H1145" t="s">
        <v>3258</v>
      </c>
      <c r="I1145" t="s">
        <v>3049</v>
      </c>
      <c r="J1145" t="s">
        <v>3259</v>
      </c>
      <c r="L1145" t="s">
        <v>3023</v>
      </c>
    </row>
    <row r="1146" spans="1:12" x14ac:dyDescent="0.2">
      <c r="A1146" t="s">
        <v>1767</v>
      </c>
      <c r="B1146" t="s">
        <v>1769</v>
      </c>
      <c r="C1146" t="s">
        <v>2782</v>
      </c>
      <c r="D1146">
        <v>4</v>
      </c>
      <c r="E1146">
        <v>186.72</v>
      </c>
      <c r="F1146">
        <v>186.72</v>
      </c>
      <c r="G1146" t="s">
        <v>3022</v>
      </c>
      <c r="H1146" t="s">
        <v>3372</v>
      </c>
      <c r="I1146" t="s">
        <v>3049</v>
      </c>
      <c r="J1146" t="s">
        <v>3373</v>
      </c>
      <c r="L1146" t="s">
        <v>3023</v>
      </c>
    </row>
    <row r="1147" spans="1:12" x14ac:dyDescent="0.2">
      <c r="A1147" t="s">
        <v>1767</v>
      </c>
      <c r="B1147" t="s">
        <v>1769</v>
      </c>
      <c r="C1147" t="s">
        <v>2782</v>
      </c>
      <c r="D1147">
        <v>4</v>
      </c>
      <c r="E1147">
        <v>115.56</v>
      </c>
      <c r="F1147">
        <v>115.56</v>
      </c>
      <c r="G1147" t="s">
        <v>3022</v>
      </c>
      <c r="H1147" t="s">
        <v>3374</v>
      </c>
      <c r="I1147" t="s">
        <v>3049</v>
      </c>
      <c r="J1147" t="s">
        <v>3375</v>
      </c>
      <c r="L1147" t="s">
        <v>3023</v>
      </c>
    </row>
    <row r="1148" spans="1:12" x14ac:dyDescent="0.2">
      <c r="A1148" t="s">
        <v>1767</v>
      </c>
      <c r="B1148" t="s">
        <v>1769</v>
      </c>
      <c r="C1148" t="s">
        <v>2782</v>
      </c>
      <c r="D1148">
        <v>4</v>
      </c>
      <c r="E1148">
        <v>302.54000000000002</v>
      </c>
      <c r="F1148">
        <v>302.54000000000002</v>
      </c>
      <c r="G1148" t="s">
        <v>3022</v>
      </c>
      <c r="H1148" t="s">
        <v>3376</v>
      </c>
      <c r="I1148" t="s">
        <v>3049</v>
      </c>
      <c r="J1148" t="s">
        <v>3377</v>
      </c>
      <c r="L1148" t="s">
        <v>3023</v>
      </c>
    </row>
    <row r="1149" spans="1:12" x14ac:dyDescent="0.2">
      <c r="A1149" t="s">
        <v>1767</v>
      </c>
      <c r="B1149" t="s">
        <v>1769</v>
      </c>
      <c r="C1149" t="s">
        <v>2782</v>
      </c>
      <c r="D1149">
        <v>4</v>
      </c>
      <c r="E1149">
        <v>4.5</v>
      </c>
      <c r="F1149">
        <v>4.5</v>
      </c>
      <c r="G1149" t="s">
        <v>3022</v>
      </c>
      <c r="H1149" t="s">
        <v>3378</v>
      </c>
      <c r="I1149" t="s">
        <v>3049</v>
      </c>
      <c r="J1149" t="s">
        <v>3379</v>
      </c>
      <c r="L1149" t="s">
        <v>3023</v>
      </c>
    </row>
    <row r="1150" spans="1:12" x14ac:dyDescent="0.2">
      <c r="A1150" t="s">
        <v>1767</v>
      </c>
      <c r="B1150" t="s">
        <v>1769</v>
      </c>
      <c r="C1150" t="s">
        <v>2782</v>
      </c>
      <c r="D1150">
        <v>4</v>
      </c>
      <c r="E1150">
        <v>0</v>
      </c>
      <c r="F1150">
        <v>0</v>
      </c>
      <c r="G1150" t="s">
        <v>3022</v>
      </c>
      <c r="H1150" t="s">
        <v>3024</v>
      </c>
      <c r="I1150" t="s">
        <v>3049</v>
      </c>
      <c r="J1150" t="s">
        <v>3380</v>
      </c>
      <c r="L1150" t="s">
        <v>3023</v>
      </c>
    </row>
    <row r="1151" spans="1:12" x14ac:dyDescent="0.2">
      <c r="A1151" t="s">
        <v>1767</v>
      </c>
      <c r="B1151" t="s">
        <v>1769</v>
      </c>
      <c r="C1151" t="s">
        <v>2782</v>
      </c>
      <c r="D1151">
        <v>4</v>
      </c>
      <c r="E1151">
        <v>1563.25</v>
      </c>
      <c r="F1151">
        <v>1563.25</v>
      </c>
      <c r="G1151" t="s">
        <v>3022</v>
      </c>
      <c r="H1151" t="s">
        <v>3381</v>
      </c>
      <c r="I1151" t="s">
        <v>3049</v>
      </c>
      <c r="J1151" t="s">
        <v>3382</v>
      </c>
      <c r="L1151" t="s">
        <v>3023</v>
      </c>
    </row>
    <row r="1152" spans="1:12" x14ac:dyDescent="0.2">
      <c r="A1152" t="s">
        <v>1767</v>
      </c>
      <c r="B1152" t="s">
        <v>1769</v>
      </c>
      <c r="C1152" t="s">
        <v>2782</v>
      </c>
      <c r="D1152">
        <v>4</v>
      </c>
      <c r="E1152">
        <v>392.48</v>
      </c>
      <c r="F1152">
        <v>392.48</v>
      </c>
      <c r="G1152" t="s">
        <v>3022</v>
      </c>
      <c r="H1152" t="s">
        <v>3383</v>
      </c>
      <c r="I1152" t="s">
        <v>3049</v>
      </c>
      <c r="J1152" t="s">
        <v>3384</v>
      </c>
      <c r="L1152" t="s">
        <v>3023</v>
      </c>
    </row>
    <row r="1153" spans="1:12" x14ac:dyDescent="0.2">
      <c r="A1153" t="s">
        <v>1767</v>
      </c>
      <c r="B1153" t="s">
        <v>1769</v>
      </c>
      <c r="C1153" t="s">
        <v>2782</v>
      </c>
      <c r="D1153">
        <v>4</v>
      </c>
      <c r="E1153">
        <v>196.24</v>
      </c>
      <c r="F1153">
        <v>196.24</v>
      </c>
      <c r="G1153" t="s">
        <v>3022</v>
      </c>
      <c r="H1153" t="s">
        <v>3385</v>
      </c>
      <c r="I1153" t="s">
        <v>3049</v>
      </c>
      <c r="J1153" t="s">
        <v>3386</v>
      </c>
      <c r="L1153" t="s">
        <v>3023</v>
      </c>
    </row>
    <row r="1154" spans="1:12" x14ac:dyDescent="0.2">
      <c r="A1154" t="s">
        <v>1767</v>
      </c>
      <c r="B1154" t="s">
        <v>1769</v>
      </c>
      <c r="C1154" t="s">
        <v>2782</v>
      </c>
      <c r="D1154">
        <v>4</v>
      </c>
      <c r="E1154">
        <v>3574.08</v>
      </c>
      <c r="F1154">
        <v>3574.08</v>
      </c>
      <c r="G1154" t="s">
        <v>3022</v>
      </c>
      <c r="H1154" t="s">
        <v>3387</v>
      </c>
      <c r="I1154" t="s">
        <v>3049</v>
      </c>
      <c r="J1154" t="s">
        <v>3388</v>
      </c>
      <c r="L1154" t="s">
        <v>3023</v>
      </c>
    </row>
    <row r="1155" spans="1:12" x14ac:dyDescent="0.2">
      <c r="A1155" t="s">
        <v>1767</v>
      </c>
      <c r="B1155" t="s">
        <v>1769</v>
      </c>
      <c r="C1155" t="s">
        <v>2782</v>
      </c>
      <c r="D1155">
        <v>4</v>
      </c>
      <c r="E1155">
        <v>198.99</v>
      </c>
      <c r="F1155">
        <v>198.99</v>
      </c>
      <c r="G1155" t="s">
        <v>3022</v>
      </c>
      <c r="H1155" t="s">
        <v>3389</v>
      </c>
      <c r="I1155" t="s">
        <v>3049</v>
      </c>
      <c r="J1155" t="s">
        <v>3390</v>
      </c>
      <c r="L1155" t="s">
        <v>3023</v>
      </c>
    </row>
    <row r="1156" spans="1:12" x14ac:dyDescent="0.2">
      <c r="A1156" t="s">
        <v>1767</v>
      </c>
      <c r="B1156" t="s">
        <v>1769</v>
      </c>
      <c r="C1156" t="s">
        <v>2782</v>
      </c>
      <c r="D1156">
        <v>4</v>
      </c>
      <c r="E1156">
        <v>3870.81</v>
      </c>
      <c r="F1156">
        <v>3870.81</v>
      </c>
      <c r="G1156" t="s">
        <v>3022</v>
      </c>
      <c r="H1156" t="s">
        <v>3391</v>
      </c>
      <c r="I1156" t="s">
        <v>3049</v>
      </c>
      <c r="J1156" t="s">
        <v>3392</v>
      </c>
      <c r="L1156" t="s">
        <v>3023</v>
      </c>
    </row>
    <row r="1157" spans="1:12" x14ac:dyDescent="0.2">
      <c r="A1157" t="s">
        <v>1767</v>
      </c>
      <c r="B1157" t="s">
        <v>1769</v>
      </c>
      <c r="C1157" t="s">
        <v>2782</v>
      </c>
      <c r="D1157">
        <v>4</v>
      </c>
      <c r="E1157">
        <v>7849.92</v>
      </c>
      <c r="F1157">
        <v>7849.92</v>
      </c>
      <c r="G1157" t="s">
        <v>3022</v>
      </c>
      <c r="H1157" t="s">
        <v>3393</v>
      </c>
      <c r="I1157" t="s">
        <v>3049</v>
      </c>
      <c r="J1157" t="s">
        <v>3394</v>
      </c>
      <c r="L1157" t="s">
        <v>3023</v>
      </c>
    </row>
    <row r="1158" spans="1:12" x14ac:dyDescent="0.2">
      <c r="A1158" t="s">
        <v>1767</v>
      </c>
      <c r="B1158" t="s">
        <v>1769</v>
      </c>
      <c r="C1158" t="s">
        <v>2782</v>
      </c>
      <c r="D1158">
        <v>4</v>
      </c>
      <c r="E1158">
        <v>865.8</v>
      </c>
      <c r="F1158">
        <v>865.8</v>
      </c>
      <c r="G1158" t="s">
        <v>3022</v>
      </c>
      <c r="H1158" t="s">
        <v>3395</v>
      </c>
      <c r="I1158" t="s">
        <v>3049</v>
      </c>
      <c r="J1158" t="s">
        <v>3396</v>
      </c>
      <c r="L1158" t="s">
        <v>3023</v>
      </c>
    </row>
    <row r="1159" spans="1:12" x14ac:dyDescent="0.2">
      <c r="A1159" t="s">
        <v>1767</v>
      </c>
      <c r="B1159" t="s">
        <v>1769</v>
      </c>
      <c r="C1159" t="s">
        <v>2782</v>
      </c>
      <c r="D1159">
        <v>4</v>
      </c>
      <c r="E1159">
        <v>4012.44</v>
      </c>
      <c r="F1159">
        <v>4012.44</v>
      </c>
      <c r="G1159" t="s">
        <v>3022</v>
      </c>
      <c r="H1159" t="s">
        <v>3397</v>
      </c>
      <c r="I1159" t="s">
        <v>3049</v>
      </c>
      <c r="J1159" t="s">
        <v>3398</v>
      </c>
      <c r="L1159" t="s">
        <v>3023</v>
      </c>
    </row>
    <row r="1160" spans="1:12" x14ac:dyDescent="0.2">
      <c r="A1160" t="s">
        <v>1767</v>
      </c>
      <c r="B1160" t="s">
        <v>1769</v>
      </c>
      <c r="C1160" t="s">
        <v>2782</v>
      </c>
      <c r="D1160">
        <v>4</v>
      </c>
      <c r="E1160">
        <v>95.4</v>
      </c>
      <c r="F1160">
        <v>95.4</v>
      </c>
      <c r="G1160" t="s">
        <v>3022</v>
      </c>
      <c r="H1160" t="s">
        <v>3399</v>
      </c>
      <c r="I1160" t="s">
        <v>3049</v>
      </c>
      <c r="J1160" t="s">
        <v>3400</v>
      </c>
      <c r="L1160" t="s">
        <v>3023</v>
      </c>
    </row>
    <row r="1161" spans="1:12" x14ac:dyDescent="0.2">
      <c r="A1161" t="s">
        <v>1767</v>
      </c>
      <c r="B1161" t="s">
        <v>1769</v>
      </c>
      <c r="C1161" t="s">
        <v>2782</v>
      </c>
      <c r="D1161">
        <v>4</v>
      </c>
      <c r="E1161">
        <v>398.97</v>
      </c>
      <c r="F1161">
        <v>398.97</v>
      </c>
      <c r="G1161" t="s">
        <v>3022</v>
      </c>
      <c r="H1161" t="s">
        <v>3401</v>
      </c>
      <c r="I1161" t="s">
        <v>3049</v>
      </c>
      <c r="J1161" t="s">
        <v>3402</v>
      </c>
      <c r="L1161" t="s">
        <v>3023</v>
      </c>
    </row>
    <row r="1162" spans="1:12" x14ac:dyDescent="0.2">
      <c r="A1162" t="s">
        <v>1767</v>
      </c>
      <c r="B1162" t="s">
        <v>1769</v>
      </c>
      <c r="C1162" t="s">
        <v>2782</v>
      </c>
      <c r="D1162">
        <v>4</v>
      </c>
      <c r="E1162">
        <v>611.54999999999995</v>
      </c>
      <c r="F1162">
        <v>611.54999999999995</v>
      </c>
      <c r="G1162" t="s">
        <v>3022</v>
      </c>
      <c r="H1162" t="s">
        <v>3403</v>
      </c>
      <c r="I1162" t="s">
        <v>3049</v>
      </c>
      <c r="J1162" t="s">
        <v>3404</v>
      </c>
      <c r="L1162" t="s">
        <v>3023</v>
      </c>
    </row>
    <row r="1163" spans="1:12" x14ac:dyDescent="0.2">
      <c r="A1163" t="s">
        <v>1767</v>
      </c>
      <c r="B1163" t="s">
        <v>1769</v>
      </c>
      <c r="C1163" t="s">
        <v>2782</v>
      </c>
      <c r="D1163">
        <v>4</v>
      </c>
      <c r="E1163">
        <v>16.399999999999999</v>
      </c>
      <c r="F1163">
        <v>16.399999999999999</v>
      </c>
      <c r="G1163" t="s">
        <v>3022</v>
      </c>
      <c r="H1163" t="s">
        <v>3405</v>
      </c>
      <c r="I1163" t="s">
        <v>3049</v>
      </c>
      <c r="J1163" t="s">
        <v>3406</v>
      </c>
      <c r="L1163" t="s">
        <v>3023</v>
      </c>
    </row>
    <row r="1164" spans="1:12" x14ac:dyDescent="0.2">
      <c r="A1164" t="s">
        <v>1767</v>
      </c>
      <c r="B1164" t="s">
        <v>1769</v>
      </c>
      <c r="C1164" t="s">
        <v>2782</v>
      </c>
      <c r="D1164">
        <v>4</v>
      </c>
      <c r="E1164">
        <v>16.399999999999999</v>
      </c>
      <c r="F1164">
        <v>16.399999999999999</v>
      </c>
      <c r="G1164" t="s">
        <v>3022</v>
      </c>
      <c r="H1164" t="s">
        <v>3405</v>
      </c>
      <c r="I1164" t="s">
        <v>3049</v>
      </c>
      <c r="J1164" t="s">
        <v>3406</v>
      </c>
      <c r="L1164" t="s">
        <v>3023</v>
      </c>
    </row>
    <row r="1165" spans="1:12" x14ac:dyDescent="0.2">
      <c r="A1165" t="s">
        <v>1767</v>
      </c>
      <c r="B1165" t="s">
        <v>1769</v>
      </c>
      <c r="C1165" t="s">
        <v>2782</v>
      </c>
      <c r="D1165">
        <v>4</v>
      </c>
      <c r="E1165">
        <v>93.28</v>
      </c>
      <c r="F1165">
        <v>93.28</v>
      </c>
      <c r="G1165" t="s">
        <v>3022</v>
      </c>
      <c r="H1165" t="s">
        <v>3304</v>
      </c>
      <c r="I1165" t="s">
        <v>3049</v>
      </c>
      <c r="J1165" t="s">
        <v>3305</v>
      </c>
      <c r="L1165" t="s">
        <v>3023</v>
      </c>
    </row>
    <row r="1166" spans="1:12" x14ac:dyDescent="0.2">
      <c r="A1166" t="s">
        <v>1767</v>
      </c>
      <c r="B1166" t="s">
        <v>1769</v>
      </c>
      <c r="C1166" t="s">
        <v>2782</v>
      </c>
      <c r="D1166">
        <v>4</v>
      </c>
      <c r="E1166">
        <v>218.11</v>
      </c>
      <c r="F1166">
        <v>218.11</v>
      </c>
      <c r="G1166" t="s">
        <v>3022</v>
      </c>
      <c r="H1166" t="s">
        <v>3407</v>
      </c>
      <c r="I1166" t="s">
        <v>3049</v>
      </c>
      <c r="J1166" t="s">
        <v>3408</v>
      </c>
      <c r="L1166" t="s">
        <v>3023</v>
      </c>
    </row>
    <row r="1167" spans="1:12" x14ac:dyDescent="0.2">
      <c r="A1167" t="s">
        <v>1767</v>
      </c>
      <c r="B1167" t="s">
        <v>1769</v>
      </c>
      <c r="C1167" t="s">
        <v>2782</v>
      </c>
      <c r="D1167">
        <v>4</v>
      </c>
      <c r="E1167">
        <v>33.57</v>
      </c>
      <c r="F1167">
        <v>33.57</v>
      </c>
      <c r="G1167" t="s">
        <v>3022</v>
      </c>
      <c r="H1167" t="s">
        <v>3409</v>
      </c>
      <c r="I1167" t="s">
        <v>3049</v>
      </c>
      <c r="J1167" t="s">
        <v>3410</v>
      </c>
      <c r="L1167" t="s">
        <v>3023</v>
      </c>
    </row>
    <row r="1168" spans="1:12" x14ac:dyDescent="0.2">
      <c r="A1168" t="s">
        <v>1767</v>
      </c>
      <c r="B1168" t="s">
        <v>1769</v>
      </c>
      <c r="C1168" t="s">
        <v>2782</v>
      </c>
      <c r="D1168">
        <v>4</v>
      </c>
      <c r="E1168">
        <v>151.91999999999999</v>
      </c>
      <c r="F1168">
        <v>151.91999999999999</v>
      </c>
      <c r="G1168" t="s">
        <v>3022</v>
      </c>
      <c r="H1168" t="s">
        <v>3411</v>
      </c>
      <c r="I1168" t="s">
        <v>3049</v>
      </c>
      <c r="J1168" t="s">
        <v>3412</v>
      </c>
      <c r="L1168" t="s">
        <v>3023</v>
      </c>
    </row>
    <row r="1169" spans="1:12" x14ac:dyDescent="0.2">
      <c r="A1169" t="s">
        <v>1767</v>
      </c>
      <c r="B1169" t="s">
        <v>1769</v>
      </c>
      <c r="C1169" t="s">
        <v>2782</v>
      </c>
      <c r="D1169">
        <v>4</v>
      </c>
      <c r="E1169">
        <v>249</v>
      </c>
      <c r="F1169">
        <v>249</v>
      </c>
      <c r="G1169" t="s">
        <v>3022</v>
      </c>
      <c r="H1169" t="s">
        <v>3413</v>
      </c>
      <c r="I1169" t="s">
        <v>3049</v>
      </c>
      <c r="J1169" t="s">
        <v>3414</v>
      </c>
      <c r="L1169" t="s">
        <v>3023</v>
      </c>
    </row>
    <row r="1170" spans="1:12" x14ac:dyDescent="0.2">
      <c r="A1170" t="s">
        <v>1767</v>
      </c>
      <c r="B1170" t="s">
        <v>1769</v>
      </c>
      <c r="C1170" t="s">
        <v>2782</v>
      </c>
      <c r="D1170">
        <v>4</v>
      </c>
      <c r="E1170">
        <v>301.22000000000003</v>
      </c>
      <c r="F1170">
        <v>301.22000000000003</v>
      </c>
      <c r="G1170" t="s">
        <v>3022</v>
      </c>
      <c r="H1170" t="s">
        <v>3415</v>
      </c>
      <c r="I1170" t="s">
        <v>3049</v>
      </c>
      <c r="J1170" t="s">
        <v>3416</v>
      </c>
      <c r="L1170" t="s">
        <v>3023</v>
      </c>
    </row>
    <row r="1171" spans="1:12" x14ac:dyDescent="0.2">
      <c r="A1171" t="s">
        <v>1767</v>
      </c>
      <c r="B1171" t="s">
        <v>1769</v>
      </c>
      <c r="C1171" t="s">
        <v>2782</v>
      </c>
      <c r="D1171">
        <v>4</v>
      </c>
      <c r="E1171">
        <v>121.07</v>
      </c>
      <c r="F1171">
        <v>121.07</v>
      </c>
      <c r="G1171" t="s">
        <v>3022</v>
      </c>
      <c r="H1171" t="s">
        <v>3312</v>
      </c>
      <c r="I1171" t="s">
        <v>3049</v>
      </c>
      <c r="J1171" t="s">
        <v>3313</v>
      </c>
      <c r="L1171" t="s">
        <v>3023</v>
      </c>
    </row>
    <row r="1172" spans="1:12" x14ac:dyDescent="0.2">
      <c r="A1172" t="s">
        <v>1767</v>
      </c>
      <c r="B1172" t="s">
        <v>1769</v>
      </c>
      <c r="C1172" t="s">
        <v>2782</v>
      </c>
      <c r="D1172">
        <v>4</v>
      </c>
      <c r="E1172">
        <v>399.65</v>
      </c>
      <c r="F1172">
        <v>399.65</v>
      </c>
      <c r="G1172" t="s">
        <v>3022</v>
      </c>
      <c r="H1172" t="s">
        <v>3417</v>
      </c>
      <c r="I1172" t="s">
        <v>3049</v>
      </c>
      <c r="J1172" t="s">
        <v>3418</v>
      </c>
      <c r="L1172" t="s">
        <v>3023</v>
      </c>
    </row>
    <row r="1173" spans="1:12" x14ac:dyDescent="0.2">
      <c r="A1173" t="s">
        <v>1767</v>
      </c>
      <c r="B1173" t="s">
        <v>1769</v>
      </c>
      <c r="C1173" t="s">
        <v>2782</v>
      </c>
      <c r="D1173">
        <v>4</v>
      </c>
      <c r="E1173">
        <v>153.16</v>
      </c>
      <c r="F1173">
        <v>153.16</v>
      </c>
      <c r="G1173" t="s">
        <v>3022</v>
      </c>
      <c r="H1173" t="s">
        <v>3419</v>
      </c>
      <c r="I1173" t="s">
        <v>3049</v>
      </c>
      <c r="J1173" t="s">
        <v>3420</v>
      </c>
      <c r="L1173" t="s">
        <v>3023</v>
      </c>
    </row>
    <row r="1174" spans="1:12" x14ac:dyDescent="0.2">
      <c r="A1174" t="s">
        <v>1767</v>
      </c>
      <c r="B1174" t="s">
        <v>1769</v>
      </c>
      <c r="C1174" t="s">
        <v>2782</v>
      </c>
      <c r="D1174">
        <v>4</v>
      </c>
      <c r="E1174">
        <v>161.36000000000001</v>
      </c>
      <c r="F1174">
        <v>161.36000000000001</v>
      </c>
      <c r="G1174" t="s">
        <v>3022</v>
      </c>
      <c r="H1174" t="s">
        <v>3421</v>
      </c>
      <c r="I1174" t="s">
        <v>3049</v>
      </c>
      <c r="J1174" t="s">
        <v>3422</v>
      </c>
      <c r="L1174" t="s">
        <v>3023</v>
      </c>
    </row>
    <row r="1175" spans="1:12" x14ac:dyDescent="0.2">
      <c r="A1175" t="s">
        <v>1767</v>
      </c>
      <c r="B1175" t="s">
        <v>1769</v>
      </c>
      <c r="C1175" t="s">
        <v>2782</v>
      </c>
      <c r="D1175">
        <v>4</v>
      </c>
      <c r="E1175">
        <v>676</v>
      </c>
      <c r="F1175">
        <v>676</v>
      </c>
      <c r="G1175" t="s">
        <v>3022</v>
      </c>
      <c r="H1175" t="s">
        <v>3423</v>
      </c>
      <c r="I1175" t="s">
        <v>3049</v>
      </c>
      <c r="J1175" t="s">
        <v>3424</v>
      </c>
      <c r="L1175" t="s">
        <v>3023</v>
      </c>
    </row>
    <row r="1176" spans="1:12" x14ac:dyDescent="0.2">
      <c r="A1176" t="s">
        <v>1767</v>
      </c>
      <c r="B1176" t="s">
        <v>1769</v>
      </c>
      <c r="C1176" t="s">
        <v>2782</v>
      </c>
      <c r="D1176">
        <v>4</v>
      </c>
      <c r="E1176">
        <v>152.93</v>
      </c>
      <c r="F1176">
        <v>152.93</v>
      </c>
      <c r="G1176" t="s">
        <v>3022</v>
      </c>
      <c r="H1176" t="s">
        <v>3425</v>
      </c>
      <c r="I1176" t="s">
        <v>3049</v>
      </c>
      <c r="J1176" t="s">
        <v>3426</v>
      </c>
      <c r="L1176" t="s">
        <v>3023</v>
      </c>
    </row>
    <row r="1177" spans="1:12" x14ac:dyDescent="0.2">
      <c r="A1177" t="s">
        <v>1767</v>
      </c>
      <c r="B1177" t="s">
        <v>1769</v>
      </c>
      <c r="C1177" t="s">
        <v>2782</v>
      </c>
      <c r="D1177">
        <v>4</v>
      </c>
      <c r="E1177">
        <v>36.14</v>
      </c>
      <c r="F1177">
        <v>36.14</v>
      </c>
      <c r="G1177" t="s">
        <v>3022</v>
      </c>
      <c r="H1177" t="s">
        <v>3427</v>
      </c>
      <c r="I1177" t="s">
        <v>3049</v>
      </c>
      <c r="J1177" t="s">
        <v>3428</v>
      </c>
      <c r="L1177" t="s">
        <v>3023</v>
      </c>
    </row>
    <row r="1178" spans="1:12" x14ac:dyDescent="0.2">
      <c r="A1178" t="s">
        <v>1767</v>
      </c>
      <c r="B1178" t="s">
        <v>1769</v>
      </c>
      <c r="C1178" t="s">
        <v>2782</v>
      </c>
      <c r="D1178">
        <v>4</v>
      </c>
      <c r="E1178">
        <v>246.8</v>
      </c>
      <c r="F1178">
        <v>246.8</v>
      </c>
      <c r="G1178" t="s">
        <v>3022</v>
      </c>
      <c r="H1178" t="s">
        <v>3429</v>
      </c>
      <c r="I1178" t="s">
        <v>3049</v>
      </c>
      <c r="J1178" t="s">
        <v>3430</v>
      </c>
      <c r="L1178" t="s">
        <v>3023</v>
      </c>
    </row>
    <row r="1179" spans="1:12" x14ac:dyDescent="0.2">
      <c r="A1179" t="s">
        <v>1767</v>
      </c>
      <c r="B1179" t="s">
        <v>1769</v>
      </c>
      <c r="C1179" t="s">
        <v>2782</v>
      </c>
      <c r="D1179">
        <v>4</v>
      </c>
      <c r="E1179">
        <v>0.81</v>
      </c>
      <c r="F1179">
        <v>0.81</v>
      </c>
      <c r="G1179" t="s">
        <v>3022</v>
      </c>
      <c r="H1179" t="s">
        <v>3431</v>
      </c>
      <c r="I1179" t="s">
        <v>3049</v>
      </c>
      <c r="J1179" t="s">
        <v>3432</v>
      </c>
      <c r="L1179" t="s">
        <v>3023</v>
      </c>
    </row>
    <row r="1180" spans="1:12" x14ac:dyDescent="0.2">
      <c r="A1180" t="s">
        <v>1767</v>
      </c>
      <c r="B1180" t="s">
        <v>1769</v>
      </c>
      <c r="C1180" t="s">
        <v>2782</v>
      </c>
      <c r="D1180">
        <v>4</v>
      </c>
      <c r="E1180">
        <v>0.95</v>
      </c>
      <c r="F1180">
        <v>0.95</v>
      </c>
      <c r="G1180" t="s">
        <v>3022</v>
      </c>
      <c r="H1180" t="s">
        <v>3433</v>
      </c>
      <c r="I1180" t="s">
        <v>3049</v>
      </c>
      <c r="J1180" t="s">
        <v>3434</v>
      </c>
      <c r="L1180" t="s">
        <v>3023</v>
      </c>
    </row>
    <row r="1181" spans="1:12" x14ac:dyDescent="0.2">
      <c r="A1181" t="s">
        <v>1767</v>
      </c>
      <c r="B1181" t="s">
        <v>1769</v>
      </c>
      <c r="C1181" t="s">
        <v>2782</v>
      </c>
      <c r="D1181">
        <v>4</v>
      </c>
      <c r="E1181">
        <v>0.9</v>
      </c>
      <c r="F1181">
        <v>0.9</v>
      </c>
      <c r="G1181" t="s">
        <v>3022</v>
      </c>
      <c r="H1181" t="s">
        <v>3435</v>
      </c>
      <c r="I1181" t="s">
        <v>3049</v>
      </c>
      <c r="J1181" t="s">
        <v>3436</v>
      </c>
      <c r="L1181" t="s">
        <v>3023</v>
      </c>
    </row>
    <row r="1182" spans="1:12" x14ac:dyDescent="0.2">
      <c r="A1182" t="s">
        <v>1767</v>
      </c>
      <c r="B1182" t="s">
        <v>1769</v>
      </c>
      <c r="C1182" t="s">
        <v>2782</v>
      </c>
      <c r="D1182">
        <v>4</v>
      </c>
      <c r="E1182">
        <v>4.5999999999999996</v>
      </c>
      <c r="F1182">
        <v>4.5999999999999996</v>
      </c>
      <c r="G1182" t="s">
        <v>3022</v>
      </c>
      <c r="H1182" t="s">
        <v>3437</v>
      </c>
      <c r="I1182" t="s">
        <v>3049</v>
      </c>
      <c r="J1182" t="s">
        <v>3438</v>
      </c>
      <c r="L1182" t="s">
        <v>3023</v>
      </c>
    </row>
    <row r="1183" spans="1:12" x14ac:dyDescent="0.2">
      <c r="A1183" t="s">
        <v>1767</v>
      </c>
      <c r="B1183" t="s">
        <v>1769</v>
      </c>
      <c r="C1183" t="s">
        <v>2782</v>
      </c>
      <c r="D1183">
        <v>4</v>
      </c>
      <c r="E1183">
        <v>0</v>
      </c>
      <c r="F1183">
        <v>0</v>
      </c>
      <c r="G1183" t="s">
        <v>3022</v>
      </c>
      <c r="H1183" t="s">
        <v>3024</v>
      </c>
      <c r="I1183" t="s">
        <v>3049</v>
      </c>
      <c r="J1183" t="s">
        <v>3439</v>
      </c>
      <c r="L1183" t="s">
        <v>3023</v>
      </c>
    </row>
    <row r="1184" spans="1:12" x14ac:dyDescent="0.2">
      <c r="A1184" t="s">
        <v>1767</v>
      </c>
      <c r="B1184" t="s">
        <v>1769</v>
      </c>
      <c r="C1184" t="s">
        <v>2782</v>
      </c>
      <c r="D1184">
        <v>4</v>
      </c>
      <c r="E1184">
        <v>0.74</v>
      </c>
      <c r="F1184">
        <v>0.74</v>
      </c>
      <c r="G1184" t="s">
        <v>3022</v>
      </c>
      <c r="H1184" t="s">
        <v>3440</v>
      </c>
      <c r="I1184" t="s">
        <v>3049</v>
      </c>
      <c r="J1184" t="s">
        <v>3441</v>
      </c>
      <c r="L1184" t="s">
        <v>3023</v>
      </c>
    </row>
    <row r="1185" spans="1:12" x14ac:dyDescent="0.2">
      <c r="A1185" t="s">
        <v>1767</v>
      </c>
      <c r="B1185" t="s">
        <v>1769</v>
      </c>
      <c r="C1185" t="s">
        <v>2782</v>
      </c>
      <c r="D1185">
        <v>4</v>
      </c>
      <c r="E1185">
        <v>3.1</v>
      </c>
      <c r="F1185">
        <v>3.1</v>
      </c>
      <c r="G1185" t="s">
        <v>3022</v>
      </c>
      <c r="H1185" t="s">
        <v>3442</v>
      </c>
      <c r="I1185" t="s">
        <v>3049</v>
      </c>
      <c r="J1185" t="s">
        <v>3443</v>
      </c>
      <c r="L1185" t="s">
        <v>3023</v>
      </c>
    </row>
    <row r="1186" spans="1:12" x14ac:dyDescent="0.2">
      <c r="A1186" t="s">
        <v>1767</v>
      </c>
      <c r="B1186" t="s">
        <v>1769</v>
      </c>
      <c r="C1186" t="s">
        <v>2782</v>
      </c>
      <c r="D1186">
        <v>4</v>
      </c>
      <c r="E1186">
        <v>3.08</v>
      </c>
      <c r="F1186">
        <v>3.08</v>
      </c>
      <c r="G1186" t="s">
        <v>3022</v>
      </c>
      <c r="H1186" t="s">
        <v>3444</v>
      </c>
      <c r="I1186" t="s">
        <v>3049</v>
      </c>
      <c r="J1186" t="s">
        <v>3445</v>
      </c>
      <c r="L1186" t="s">
        <v>3023</v>
      </c>
    </row>
    <row r="1187" spans="1:12" x14ac:dyDescent="0.2">
      <c r="A1187" t="s">
        <v>1767</v>
      </c>
      <c r="B1187" t="s">
        <v>1769</v>
      </c>
      <c r="C1187" t="s">
        <v>2782</v>
      </c>
      <c r="D1187">
        <v>4</v>
      </c>
      <c r="E1187">
        <v>0.91</v>
      </c>
      <c r="F1187">
        <v>0.91</v>
      </c>
      <c r="G1187" t="s">
        <v>3022</v>
      </c>
      <c r="H1187" t="s">
        <v>3446</v>
      </c>
      <c r="I1187" t="s">
        <v>3049</v>
      </c>
      <c r="J1187" t="s">
        <v>3447</v>
      </c>
      <c r="L1187" t="s">
        <v>3023</v>
      </c>
    </row>
    <row r="1188" spans="1:12" x14ac:dyDescent="0.2">
      <c r="A1188" t="s">
        <v>1767</v>
      </c>
      <c r="B1188" t="s">
        <v>1769</v>
      </c>
      <c r="C1188" t="s">
        <v>2782</v>
      </c>
      <c r="D1188">
        <v>4</v>
      </c>
      <c r="E1188">
        <v>2.5099999999999998</v>
      </c>
      <c r="F1188">
        <v>2.5099999999999998</v>
      </c>
      <c r="G1188" t="s">
        <v>3022</v>
      </c>
      <c r="H1188" t="s">
        <v>3448</v>
      </c>
      <c r="I1188" t="s">
        <v>3049</v>
      </c>
      <c r="J1188" t="s">
        <v>3449</v>
      </c>
      <c r="L1188" t="s">
        <v>3023</v>
      </c>
    </row>
    <row r="1189" spans="1:12" x14ac:dyDescent="0.2">
      <c r="A1189" t="s">
        <v>1767</v>
      </c>
      <c r="B1189" t="s">
        <v>1769</v>
      </c>
      <c r="C1189" t="s">
        <v>2782</v>
      </c>
      <c r="D1189">
        <v>4</v>
      </c>
      <c r="E1189">
        <v>4.5</v>
      </c>
      <c r="F1189">
        <v>4.5</v>
      </c>
      <c r="G1189" t="s">
        <v>3022</v>
      </c>
      <c r="H1189" t="s">
        <v>3378</v>
      </c>
      <c r="I1189" t="s">
        <v>3049</v>
      </c>
      <c r="J1189" t="s">
        <v>3450</v>
      </c>
      <c r="L1189" t="s">
        <v>3023</v>
      </c>
    </row>
    <row r="1190" spans="1:12" x14ac:dyDescent="0.2">
      <c r="A1190" t="s">
        <v>1767</v>
      </c>
      <c r="B1190" t="s">
        <v>1769</v>
      </c>
      <c r="C1190" t="s">
        <v>2782</v>
      </c>
      <c r="D1190">
        <v>4</v>
      </c>
      <c r="E1190">
        <v>3.95</v>
      </c>
      <c r="F1190">
        <v>3.95</v>
      </c>
      <c r="G1190" t="s">
        <v>3022</v>
      </c>
      <c r="H1190" t="s">
        <v>3451</v>
      </c>
      <c r="I1190" t="s">
        <v>3049</v>
      </c>
      <c r="J1190" t="s">
        <v>3452</v>
      </c>
      <c r="L1190" t="s">
        <v>3023</v>
      </c>
    </row>
    <row r="1191" spans="1:12" x14ac:dyDescent="0.2">
      <c r="A1191" t="s">
        <v>1767</v>
      </c>
      <c r="B1191" t="s">
        <v>1769</v>
      </c>
      <c r="C1191" t="s">
        <v>2782</v>
      </c>
      <c r="D1191">
        <v>4</v>
      </c>
      <c r="E1191">
        <v>0.99</v>
      </c>
      <c r="F1191">
        <v>0.99</v>
      </c>
      <c r="G1191" t="s">
        <v>3022</v>
      </c>
      <c r="H1191" t="s">
        <v>3453</v>
      </c>
      <c r="I1191" t="s">
        <v>3049</v>
      </c>
      <c r="J1191" t="s">
        <v>3454</v>
      </c>
      <c r="L1191" t="s">
        <v>3023</v>
      </c>
    </row>
    <row r="1192" spans="1:12" x14ac:dyDescent="0.2">
      <c r="A1192" t="s">
        <v>1767</v>
      </c>
      <c r="B1192" t="s">
        <v>1769</v>
      </c>
      <c r="C1192" t="s">
        <v>2782</v>
      </c>
      <c r="D1192">
        <v>4</v>
      </c>
      <c r="E1192">
        <v>5.5</v>
      </c>
      <c r="F1192">
        <v>5.5</v>
      </c>
      <c r="G1192" t="s">
        <v>3022</v>
      </c>
      <c r="H1192" t="s">
        <v>3455</v>
      </c>
      <c r="I1192" t="s">
        <v>3049</v>
      </c>
      <c r="J1192" t="s">
        <v>3456</v>
      </c>
      <c r="L1192" t="s">
        <v>3023</v>
      </c>
    </row>
    <row r="1193" spans="1:12" x14ac:dyDescent="0.2">
      <c r="A1193" t="s">
        <v>1767</v>
      </c>
      <c r="B1193" t="s">
        <v>1769</v>
      </c>
      <c r="C1193" t="s">
        <v>2782</v>
      </c>
      <c r="D1193">
        <v>4</v>
      </c>
      <c r="E1193">
        <v>0.95</v>
      </c>
      <c r="F1193">
        <v>0.95</v>
      </c>
      <c r="G1193" t="s">
        <v>3022</v>
      </c>
      <c r="H1193" t="s">
        <v>3433</v>
      </c>
      <c r="I1193" t="s">
        <v>3049</v>
      </c>
      <c r="J1193" t="s">
        <v>3434</v>
      </c>
      <c r="L1193" t="s">
        <v>3023</v>
      </c>
    </row>
    <row r="1194" spans="1:12" x14ac:dyDescent="0.2">
      <c r="A1194" t="s">
        <v>1767</v>
      </c>
      <c r="B1194" t="s">
        <v>1769</v>
      </c>
      <c r="C1194" t="s">
        <v>2782</v>
      </c>
      <c r="D1194">
        <v>4</v>
      </c>
      <c r="E1194">
        <v>0.43</v>
      </c>
      <c r="F1194">
        <v>0.43</v>
      </c>
      <c r="G1194" t="s">
        <v>3022</v>
      </c>
      <c r="H1194" t="s">
        <v>3457</v>
      </c>
      <c r="I1194" t="s">
        <v>3049</v>
      </c>
      <c r="J1194" t="s">
        <v>3458</v>
      </c>
      <c r="L1194" t="s">
        <v>3023</v>
      </c>
    </row>
    <row r="1195" spans="1:12" x14ac:dyDescent="0.2">
      <c r="A1195" t="s">
        <v>1767</v>
      </c>
      <c r="B1195" t="s">
        <v>1769</v>
      </c>
      <c r="C1195" t="s">
        <v>2782</v>
      </c>
      <c r="D1195">
        <v>4</v>
      </c>
      <c r="E1195">
        <v>3.9</v>
      </c>
      <c r="F1195">
        <v>3.9</v>
      </c>
      <c r="G1195" t="s">
        <v>3022</v>
      </c>
      <c r="H1195" t="s">
        <v>3459</v>
      </c>
      <c r="I1195" t="s">
        <v>3049</v>
      </c>
      <c r="J1195" t="s">
        <v>3460</v>
      </c>
      <c r="L1195" t="s">
        <v>3023</v>
      </c>
    </row>
    <row r="1196" spans="1:12" x14ac:dyDescent="0.2">
      <c r="A1196" t="s">
        <v>1767</v>
      </c>
      <c r="B1196" t="s">
        <v>1769</v>
      </c>
      <c r="C1196" t="s">
        <v>2782</v>
      </c>
      <c r="D1196">
        <v>4</v>
      </c>
      <c r="E1196">
        <v>7.2</v>
      </c>
      <c r="F1196">
        <v>7.2</v>
      </c>
      <c r="G1196" t="s">
        <v>3022</v>
      </c>
      <c r="H1196" t="s">
        <v>3461</v>
      </c>
      <c r="I1196" t="s">
        <v>3049</v>
      </c>
      <c r="J1196" t="s">
        <v>3462</v>
      </c>
      <c r="L1196" t="s">
        <v>3023</v>
      </c>
    </row>
    <row r="1197" spans="1:12" x14ac:dyDescent="0.2">
      <c r="A1197" t="s">
        <v>1767</v>
      </c>
      <c r="B1197" t="s">
        <v>1769</v>
      </c>
      <c r="C1197" t="s">
        <v>2782</v>
      </c>
      <c r="D1197">
        <v>4</v>
      </c>
      <c r="E1197">
        <v>21.88</v>
      </c>
      <c r="F1197">
        <v>21.88</v>
      </c>
      <c r="G1197" t="s">
        <v>3022</v>
      </c>
      <c r="H1197" t="s">
        <v>3463</v>
      </c>
      <c r="I1197" t="s">
        <v>3049</v>
      </c>
      <c r="J1197" t="s">
        <v>3464</v>
      </c>
      <c r="L1197" t="s">
        <v>3023</v>
      </c>
    </row>
    <row r="1198" spans="1:12" x14ac:dyDescent="0.2">
      <c r="A1198" t="s">
        <v>1767</v>
      </c>
      <c r="B1198" t="s">
        <v>1769</v>
      </c>
      <c r="C1198" t="s">
        <v>2782</v>
      </c>
      <c r="D1198">
        <v>4</v>
      </c>
      <c r="E1198">
        <v>14.58</v>
      </c>
      <c r="F1198">
        <v>14.58</v>
      </c>
      <c r="G1198" t="s">
        <v>3022</v>
      </c>
      <c r="H1198" t="s">
        <v>3465</v>
      </c>
      <c r="I1198" t="s">
        <v>3049</v>
      </c>
      <c r="J1198" t="s">
        <v>3466</v>
      </c>
      <c r="L1198" t="s">
        <v>3023</v>
      </c>
    </row>
    <row r="1199" spans="1:12" x14ac:dyDescent="0.2">
      <c r="A1199" t="s">
        <v>1767</v>
      </c>
      <c r="B1199" t="s">
        <v>1769</v>
      </c>
      <c r="C1199" t="s">
        <v>2782</v>
      </c>
      <c r="D1199">
        <v>4</v>
      </c>
      <c r="E1199">
        <v>15.6</v>
      </c>
      <c r="F1199">
        <v>15.6</v>
      </c>
      <c r="G1199" t="s">
        <v>3022</v>
      </c>
      <c r="H1199" t="s">
        <v>3467</v>
      </c>
      <c r="I1199" t="s">
        <v>3049</v>
      </c>
      <c r="J1199" t="s">
        <v>3468</v>
      </c>
      <c r="L1199" t="s">
        <v>3023</v>
      </c>
    </row>
    <row r="1200" spans="1:12" x14ac:dyDescent="0.2">
      <c r="A1200" t="s">
        <v>1767</v>
      </c>
      <c r="B1200" t="s">
        <v>1769</v>
      </c>
      <c r="C1200" t="s">
        <v>2782</v>
      </c>
      <c r="D1200">
        <v>4</v>
      </c>
      <c r="E1200">
        <v>0.41</v>
      </c>
      <c r="F1200">
        <v>0.41</v>
      </c>
      <c r="G1200" t="s">
        <v>3022</v>
      </c>
      <c r="H1200" t="s">
        <v>3469</v>
      </c>
      <c r="I1200" t="s">
        <v>3049</v>
      </c>
      <c r="J1200" t="s">
        <v>3470</v>
      </c>
      <c r="L1200" t="s">
        <v>3023</v>
      </c>
    </row>
    <row r="1201" spans="1:12" x14ac:dyDescent="0.2">
      <c r="A1201" t="s">
        <v>1767</v>
      </c>
      <c r="B1201" t="s">
        <v>1769</v>
      </c>
      <c r="C1201" t="s">
        <v>2782</v>
      </c>
      <c r="D1201">
        <v>4</v>
      </c>
      <c r="E1201">
        <v>23.2</v>
      </c>
      <c r="F1201">
        <v>23.2</v>
      </c>
      <c r="G1201" t="s">
        <v>3022</v>
      </c>
      <c r="H1201" t="s">
        <v>3471</v>
      </c>
      <c r="I1201" t="s">
        <v>3049</v>
      </c>
      <c r="J1201" t="s">
        <v>3472</v>
      </c>
      <c r="L1201" t="s">
        <v>3023</v>
      </c>
    </row>
    <row r="1202" spans="1:12" x14ac:dyDescent="0.2">
      <c r="A1202" t="s">
        <v>1767</v>
      </c>
      <c r="B1202" t="s">
        <v>1769</v>
      </c>
      <c r="C1202" t="s">
        <v>2782</v>
      </c>
      <c r="D1202">
        <v>4</v>
      </c>
      <c r="E1202">
        <v>0.27</v>
      </c>
      <c r="F1202">
        <v>0.27</v>
      </c>
      <c r="G1202" t="s">
        <v>3022</v>
      </c>
      <c r="H1202" t="s">
        <v>3473</v>
      </c>
      <c r="I1202" t="s">
        <v>3049</v>
      </c>
      <c r="J1202" t="s">
        <v>3474</v>
      </c>
      <c r="L1202" t="s">
        <v>3023</v>
      </c>
    </row>
    <row r="1203" spans="1:12" x14ac:dyDescent="0.2">
      <c r="A1203" t="s">
        <v>1767</v>
      </c>
      <c r="B1203" t="s">
        <v>1769</v>
      </c>
      <c r="C1203" t="s">
        <v>2782</v>
      </c>
      <c r="D1203">
        <v>4</v>
      </c>
      <c r="E1203">
        <v>161.91999999999999</v>
      </c>
      <c r="F1203">
        <v>161.91999999999999</v>
      </c>
      <c r="G1203" t="s">
        <v>3022</v>
      </c>
      <c r="H1203" t="s">
        <v>3475</v>
      </c>
      <c r="I1203" t="s">
        <v>3049</v>
      </c>
      <c r="J1203" t="s">
        <v>3476</v>
      </c>
      <c r="L1203" t="s">
        <v>3023</v>
      </c>
    </row>
    <row r="1204" spans="1:12" x14ac:dyDescent="0.2">
      <c r="A1204" t="s">
        <v>1767</v>
      </c>
      <c r="B1204" t="s">
        <v>1769</v>
      </c>
      <c r="C1204" t="s">
        <v>2782</v>
      </c>
      <c r="D1204">
        <v>4</v>
      </c>
      <c r="E1204">
        <v>3.08</v>
      </c>
      <c r="F1204">
        <v>3.08</v>
      </c>
      <c r="G1204" t="s">
        <v>3022</v>
      </c>
      <c r="H1204" t="s">
        <v>3444</v>
      </c>
      <c r="I1204" t="s">
        <v>3049</v>
      </c>
      <c r="J1204" t="s">
        <v>3477</v>
      </c>
      <c r="L1204" t="s">
        <v>3023</v>
      </c>
    </row>
    <row r="1205" spans="1:12" x14ac:dyDescent="0.2">
      <c r="A1205" t="s">
        <v>1767</v>
      </c>
      <c r="B1205" t="s">
        <v>1769</v>
      </c>
      <c r="C1205" t="s">
        <v>2782</v>
      </c>
      <c r="D1205">
        <v>4</v>
      </c>
      <c r="E1205">
        <v>2</v>
      </c>
      <c r="F1205">
        <v>2</v>
      </c>
      <c r="G1205" t="s">
        <v>3022</v>
      </c>
      <c r="H1205" t="s">
        <v>3478</v>
      </c>
      <c r="I1205" t="s">
        <v>3049</v>
      </c>
      <c r="J1205" t="s">
        <v>3479</v>
      </c>
      <c r="L1205" t="s">
        <v>3023</v>
      </c>
    </row>
    <row r="1206" spans="1:12" x14ac:dyDescent="0.2">
      <c r="A1206" t="s">
        <v>1767</v>
      </c>
      <c r="B1206" t="s">
        <v>1769</v>
      </c>
      <c r="C1206" t="s">
        <v>2782</v>
      </c>
      <c r="D1206">
        <v>4</v>
      </c>
      <c r="E1206">
        <v>11.54</v>
      </c>
      <c r="F1206">
        <v>11.54</v>
      </c>
      <c r="G1206" t="s">
        <v>3022</v>
      </c>
      <c r="H1206" t="s">
        <v>3480</v>
      </c>
      <c r="I1206" t="s">
        <v>3049</v>
      </c>
      <c r="J1206" t="s">
        <v>3481</v>
      </c>
      <c r="L1206" t="s">
        <v>3023</v>
      </c>
    </row>
    <row r="1207" spans="1:12" x14ac:dyDescent="0.2">
      <c r="A1207" t="s">
        <v>1767</v>
      </c>
      <c r="B1207" t="s">
        <v>1769</v>
      </c>
      <c r="C1207" t="s">
        <v>2782</v>
      </c>
      <c r="D1207">
        <v>4</v>
      </c>
      <c r="E1207">
        <v>0.79</v>
      </c>
      <c r="F1207">
        <v>0.79</v>
      </c>
      <c r="G1207" t="s">
        <v>3022</v>
      </c>
      <c r="H1207" t="s">
        <v>3482</v>
      </c>
      <c r="I1207" t="s">
        <v>3049</v>
      </c>
      <c r="J1207" t="s">
        <v>3483</v>
      </c>
      <c r="L1207" t="s">
        <v>3023</v>
      </c>
    </row>
    <row r="1208" spans="1:12" x14ac:dyDescent="0.2">
      <c r="A1208" t="s">
        <v>1767</v>
      </c>
      <c r="B1208" t="s">
        <v>1769</v>
      </c>
      <c r="C1208" t="s">
        <v>2782</v>
      </c>
      <c r="D1208">
        <v>4</v>
      </c>
      <c r="E1208">
        <v>1.8</v>
      </c>
      <c r="F1208">
        <v>1.8</v>
      </c>
      <c r="G1208" t="s">
        <v>3022</v>
      </c>
      <c r="H1208" t="s">
        <v>3195</v>
      </c>
      <c r="I1208" t="s">
        <v>3049</v>
      </c>
      <c r="J1208" t="s">
        <v>3484</v>
      </c>
      <c r="L1208" t="s">
        <v>3023</v>
      </c>
    </row>
    <row r="1209" spans="1:12" x14ac:dyDescent="0.2">
      <c r="A1209" t="s">
        <v>1767</v>
      </c>
      <c r="B1209" t="s">
        <v>1769</v>
      </c>
      <c r="C1209" t="s">
        <v>2782</v>
      </c>
      <c r="D1209">
        <v>4</v>
      </c>
      <c r="E1209">
        <v>0.78</v>
      </c>
      <c r="F1209">
        <v>0.78</v>
      </c>
      <c r="G1209" t="s">
        <v>3022</v>
      </c>
      <c r="H1209" t="s">
        <v>3485</v>
      </c>
      <c r="I1209" t="s">
        <v>3049</v>
      </c>
      <c r="J1209" t="s">
        <v>3486</v>
      </c>
      <c r="L1209" t="s">
        <v>3023</v>
      </c>
    </row>
    <row r="1210" spans="1:12" x14ac:dyDescent="0.2">
      <c r="A1210" t="s">
        <v>1767</v>
      </c>
      <c r="B1210" t="s">
        <v>1769</v>
      </c>
      <c r="C1210" t="s">
        <v>2782</v>
      </c>
      <c r="D1210">
        <v>4</v>
      </c>
      <c r="E1210">
        <v>522</v>
      </c>
      <c r="F1210">
        <v>522</v>
      </c>
      <c r="G1210" t="s">
        <v>3022</v>
      </c>
      <c r="H1210" t="s">
        <v>3487</v>
      </c>
      <c r="I1210" t="s">
        <v>3049</v>
      </c>
      <c r="J1210" t="s">
        <v>3488</v>
      </c>
      <c r="L1210" t="s">
        <v>3023</v>
      </c>
    </row>
    <row r="1211" spans="1:12" x14ac:dyDescent="0.2">
      <c r="A1211" t="s">
        <v>1767</v>
      </c>
      <c r="B1211" t="s">
        <v>1769</v>
      </c>
      <c r="C1211" t="s">
        <v>2782</v>
      </c>
      <c r="D1211">
        <v>4</v>
      </c>
      <c r="E1211">
        <v>136.08000000000001</v>
      </c>
      <c r="F1211">
        <v>136.08000000000001</v>
      </c>
      <c r="G1211" t="s">
        <v>3022</v>
      </c>
      <c r="H1211" t="s">
        <v>3489</v>
      </c>
      <c r="I1211" t="s">
        <v>3049</v>
      </c>
      <c r="J1211" t="s">
        <v>3490</v>
      </c>
      <c r="L1211" t="s">
        <v>3023</v>
      </c>
    </row>
    <row r="1212" spans="1:12" x14ac:dyDescent="0.2">
      <c r="A1212" t="s">
        <v>1767</v>
      </c>
      <c r="B1212" t="s">
        <v>1769</v>
      </c>
      <c r="C1212" t="s">
        <v>2782</v>
      </c>
      <c r="D1212">
        <v>4</v>
      </c>
      <c r="E1212">
        <v>132.43</v>
      </c>
      <c r="F1212">
        <v>132.43</v>
      </c>
      <c r="G1212" t="s">
        <v>3022</v>
      </c>
      <c r="H1212" t="s">
        <v>3491</v>
      </c>
      <c r="I1212" t="s">
        <v>3049</v>
      </c>
      <c r="J1212" t="s">
        <v>3492</v>
      </c>
      <c r="L1212" t="s">
        <v>3023</v>
      </c>
    </row>
    <row r="1213" spans="1:12" x14ac:dyDescent="0.2">
      <c r="A1213" t="s">
        <v>1767</v>
      </c>
      <c r="B1213" t="s">
        <v>1769</v>
      </c>
      <c r="C1213" t="s">
        <v>2782</v>
      </c>
      <c r="D1213">
        <v>4</v>
      </c>
      <c r="E1213">
        <v>157.08000000000001</v>
      </c>
      <c r="F1213">
        <v>157.08000000000001</v>
      </c>
      <c r="G1213" t="s">
        <v>3022</v>
      </c>
      <c r="H1213" t="s">
        <v>3493</v>
      </c>
      <c r="I1213" t="s">
        <v>3049</v>
      </c>
      <c r="J1213" t="s">
        <v>3494</v>
      </c>
      <c r="L1213" t="s">
        <v>3023</v>
      </c>
    </row>
    <row r="1214" spans="1:12" x14ac:dyDescent="0.2">
      <c r="A1214" t="s">
        <v>1767</v>
      </c>
      <c r="B1214" t="s">
        <v>1769</v>
      </c>
      <c r="C1214" t="s">
        <v>2782</v>
      </c>
      <c r="D1214">
        <v>4</v>
      </c>
      <c r="E1214">
        <v>141.6</v>
      </c>
      <c r="F1214">
        <v>141.6</v>
      </c>
      <c r="G1214" t="s">
        <v>3022</v>
      </c>
      <c r="H1214" t="s">
        <v>3495</v>
      </c>
      <c r="I1214" t="s">
        <v>3049</v>
      </c>
      <c r="J1214" t="s">
        <v>3496</v>
      </c>
      <c r="L1214" t="s">
        <v>3023</v>
      </c>
    </row>
    <row r="1215" spans="1:12" x14ac:dyDescent="0.2">
      <c r="A1215" t="s">
        <v>1767</v>
      </c>
      <c r="B1215" t="s">
        <v>1769</v>
      </c>
      <c r="C1215" t="s">
        <v>2782</v>
      </c>
      <c r="D1215">
        <v>4</v>
      </c>
      <c r="E1215">
        <v>26.37</v>
      </c>
      <c r="F1215">
        <v>26.37</v>
      </c>
      <c r="G1215" t="s">
        <v>3022</v>
      </c>
      <c r="H1215" t="s">
        <v>3497</v>
      </c>
      <c r="I1215" t="s">
        <v>3049</v>
      </c>
      <c r="J1215" t="s">
        <v>3498</v>
      </c>
      <c r="L1215" t="s">
        <v>3023</v>
      </c>
    </row>
    <row r="1216" spans="1:12" x14ac:dyDescent="0.2">
      <c r="A1216" t="s">
        <v>1767</v>
      </c>
      <c r="B1216" t="s">
        <v>1769</v>
      </c>
      <c r="C1216" t="s">
        <v>2782</v>
      </c>
      <c r="D1216">
        <v>4</v>
      </c>
      <c r="E1216">
        <v>21.1</v>
      </c>
      <c r="F1216">
        <v>21.1</v>
      </c>
      <c r="G1216" t="s">
        <v>3022</v>
      </c>
      <c r="H1216" t="s">
        <v>3499</v>
      </c>
      <c r="I1216" t="s">
        <v>3049</v>
      </c>
      <c r="J1216" t="s">
        <v>3500</v>
      </c>
      <c r="L1216" t="s">
        <v>3023</v>
      </c>
    </row>
    <row r="1217" spans="1:12" x14ac:dyDescent="0.2">
      <c r="A1217" t="s">
        <v>1767</v>
      </c>
      <c r="B1217" t="s">
        <v>1769</v>
      </c>
      <c r="C1217" t="s">
        <v>2782</v>
      </c>
      <c r="D1217">
        <v>4</v>
      </c>
      <c r="E1217">
        <v>372.6</v>
      </c>
      <c r="F1217">
        <v>372.6</v>
      </c>
      <c r="G1217" t="s">
        <v>3022</v>
      </c>
      <c r="H1217" t="s">
        <v>3501</v>
      </c>
      <c r="I1217" t="s">
        <v>3049</v>
      </c>
      <c r="J1217" t="s">
        <v>3502</v>
      </c>
      <c r="L1217" t="s">
        <v>3023</v>
      </c>
    </row>
    <row r="1218" spans="1:12" x14ac:dyDescent="0.2">
      <c r="A1218" t="s">
        <v>1767</v>
      </c>
      <c r="B1218" t="s">
        <v>1769</v>
      </c>
      <c r="C1218" t="s">
        <v>2782</v>
      </c>
      <c r="D1218">
        <v>4</v>
      </c>
      <c r="E1218">
        <v>93.15</v>
      </c>
      <c r="F1218">
        <v>93.15</v>
      </c>
      <c r="G1218" t="s">
        <v>3022</v>
      </c>
      <c r="H1218" t="s">
        <v>3272</v>
      </c>
      <c r="I1218" t="s">
        <v>3049</v>
      </c>
      <c r="J1218" t="s">
        <v>3273</v>
      </c>
      <c r="L1218" t="s">
        <v>3023</v>
      </c>
    </row>
    <row r="1219" spans="1:12" x14ac:dyDescent="0.2">
      <c r="A1219" t="s">
        <v>1767</v>
      </c>
      <c r="B1219" t="s">
        <v>1769</v>
      </c>
      <c r="C1219" t="s">
        <v>2782</v>
      </c>
      <c r="D1219">
        <v>4</v>
      </c>
      <c r="E1219">
        <v>279.45</v>
      </c>
      <c r="F1219">
        <v>279.45</v>
      </c>
      <c r="G1219" t="s">
        <v>3022</v>
      </c>
      <c r="H1219" t="s">
        <v>3503</v>
      </c>
      <c r="I1219" t="s">
        <v>3049</v>
      </c>
      <c r="J1219" t="s">
        <v>3504</v>
      </c>
      <c r="L1219" t="s">
        <v>3023</v>
      </c>
    </row>
    <row r="1220" spans="1:12" x14ac:dyDescent="0.2">
      <c r="A1220" t="s">
        <v>1767</v>
      </c>
      <c r="B1220" t="s">
        <v>1769</v>
      </c>
      <c r="C1220" t="s">
        <v>2782</v>
      </c>
      <c r="D1220">
        <v>4</v>
      </c>
      <c r="E1220">
        <v>100.08</v>
      </c>
      <c r="F1220">
        <v>100.08</v>
      </c>
      <c r="G1220" t="s">
        <v>3022</v>
      </c>
      <c r="H1220" t="s">
        <v>3505</v>
      </c>
      <c r="I1220" t="s">
        <v>3049</v>
      </c>
      <c r="J1220" t="s">
        <v>3506</v>
      </c>
      <c r="L1220" t="s">
        <v>3023</v>
      </c>
    </row>
    <row r="1221" spans="1:12" x14ac:dyDescent="0.2">
      <c r="A1221" t="s">
        <v>1767</v>
      </c>
      <c r="B1221" t="s">
        <v>1769</v>
      </c>
      <c r="C1221" t="s">
        <v>2782</v>
      </c>
      <c r="D1221">
        <v>4</v>
      </c>
      <c r="E1221">
        <v>25.02</v>
      </c>
      <c r="F1221">
        <v>25.02</v>
      </c>
      <c r="G1221" t="s">
        <v>3022</v>
      </c>
      <c r="H1221" t="s">
        <v>3274</v>
      </c>
      <c r="I1221" t="s">
        <v>3049</v>
      </c>
      <c r="J1221" t="s">
        <v>3275</v>
      </c>
      <c r="L1221" t="s">
        <v>3023</v>
      </c>
    </row>
    <row r="1222" spans="1:12" x14ac:dyDescent="0.2">
      <c r="A1222" t="s">
        <v>1767</v>
      </c>
      <c r="B1222" t="s">
        <v>1769</v>
      </c>
      <c r="C1222" t="s">
        <v>2782</v>
      </c>
      <c r="D1222">
        <v>4</v>
      </c>
      <c r="E1222">
        <v>345</v>
      </c>
      <c r="F1222">
        <v>345</v>
      </c>
      <c r="G1222" t="s">
        <v>3022</v>
      </c>
      <c r="H1222" t="s">
        <v>3069</v>
      </c>
      <c r="I1222" t="s">
        <v>3049</v>
      </c>
      <c r="J1222" t="s">
        <v>3507</v>
      </c>
      <c r="L1222" t="s">
        <v>3023</v>
      </c>
    </row>
    <row r="1223" spans="1:12" x14ac:dyDescent="0.2">
      <c r="A1223" t="s">
        <v>1767</v>
      </c>
      <c r="B1223" t="s">
        <v>1769</v>
      </c>
      <c r="C1223" t="s">
        <v>2782</v>
      </c>
      <c r="D1223">
        <v>4</v>
      </c>
      <c r="E1223">
        <v>260.64</v>
      </c>
      <c r="F1223">
        <v>260.64</v>
      </c>
      <c r="G1223" t="s">
        <v>3022</v>
      </c>
      <c r="H1223" t="s">
        <v>3508</v>
      </c>
      <c r="I1223" t="s">
        <v>3049</v>
      </c>
      <c r="J1223" t="s">
        <v>3509</v>
      </c>
      <c r="L1223" t="s">
        <v>3023</v>
      </c>
    </row>
    <row r="1224" spans="1:12" x14ac:dyDescent="0.2">
      <c r="A1224" t="s">
        <v>1767</v>
      </c>
      <c r="B1224" t="s">
        <v>1769</v>
      </c>
      <c r="C1224" t="s">
        <v>2782</v>
      </c>
      <c r="D1224">
        <v>4</v>
      </c>
      <c r="E1224">
        <v>709.2</v>
      </c>
      <c r="F1224">
        <v>709.2</v>
      </c>
      <c r="G1224" t="s">
        <v>3022</v>
      </c>
      <c r="H1224" t="s">
        <v>3510</v>
      </c>
      <c r="I1224" t="s">
        <v>3049</v>
      </c>
      <c r="J1224" t="s">
        <v>3511</v>
      </c>
      <c r="L1224" t="s">
        <v>3023</v>
      </c>
    </row>
    <row r="1225" spans="1:12" x14ac:dyDescent="0.2">
      <c r="A1225" t="s">
        <v>1767</v>
      </c>
      <c r="B1225" t="s">
        <v>1769</v>
      </c>
      <c r="C1225" t="s">
        <v>2782</v>
      </c>
      <c r="D1225">
        <v>4</v>
      </c>
      <c r="E1225">
        <v>2494.8000000000002</v>
      </c>
      <c r="F1225">
        <v>2494.8000000000002</v>
      </c>
      <c r="G1225" t="s">
        <v>3022</v>
      </c>
      <c r="H1225" t="s">
        <v>3512</v>
      </c>
      <c r="I1225" t="s">
        <v>3049</v>
      </c>
      <c r="J1225" t="s">
        <v>3513</v>
      </c>
      <c r="L1225" t="s">
        <v>3023</v>
      </c>
    </row>
    <row r="1226" spans="1:12" x14ac:dyDescent="0.2">
      <c r="A1226" t="s">
        <v>1767</v>
      </c>
      <c r="B1226" t="s">
        <v>1769</v>
      </c>
      <c r="C1226" t="s">
        <v>2782</v>
      </c>
      <c r="D1226">
        <v>4</v>
      </c>
      <c r="E1226">
        <v>2494.8000000000002</v>
      </c>
      <c r="F1226">
        <v>2494.8000000000002</v>
      </c>
      <c r="G1226" t="s">
        <v>3022</v>
      </c>
      <c r="H1226" t="s">
        <v>3512</v>
      </c>
      <c r="I1226" t="s">
        <v>3049</v>
      </c>
      <c r="J1226" t="s">
        <v>3513</v>
      </c>
      <c r="L1226" t="s">
        <v>3023</v>
      </c>
    </row>
    <row r="1227" spans="1:12" x14ac:dyDescent="0.2">
      <c r="A1227" t="s">
        <v>1767</v>
      </c>
      <c r="B1227" t="s">
        <v>1769</v>
      </c>
      <c r="C1227" t="s">
        <v>2782</v>
      </c>
      <c r="D1227">
        <v>4</v>
      </c>
      <c r="E1227">
        <v>644.4</v>
      </c>
      <c r="F1227">
        <v>644.4</v>
      </c>
      <c r="G1227" t="s">
        <v>3022</v>
      </c>
      <c r="H1227" t="s">
        <v>3514</v>
      </c>
      <c r="I1227" t="s">
        <v>3049</v>
      </c>
      <c r="J1227" t="s">
        <v>3515</v>
      </c>
      <c r="L1227" t="s">
        <v>3023</v>
      </c>
    </row>
    <row r="1228" spans="1:12" x14ac:dyDescent="0.2">
      <c r="A1228" t="s">
        <v>1767</v>
      </c>
      <c r="B1228" t="s">
        <v>1769</v>
      </c>
      <c r="C1228" t="s">
        <v>2782</v>
      </c>
      <c r="D1228">
        <v>4</v>
      </c>
      <c r="E1228">
        <v>171.36</v>
      </c>
      <c r="F1228">
        <v>171.36</v>
      </c>
      <c r="G1228" t="s">
        <v>3022</v>
      </c>
      <c r="H1228" t="s">
        <v>3516</v>
      </c>
      <c r="I1228" t="s">
        <v>3049</v>
      </c>
      <c r="J1228" t="s">
        <v>3517</v>
      </c>
      <c r="L1228" t="s">
        <v>3023</v>
      </c>
    </row>
    <row r="1229" spans="1:12" x14ac:dyDescent="0.2">
      <c r="A1229" t="s">
        <v>1767</v>
      </c>
      <c r="B1229" t="s">
        <v>1769</v>
      </c>
      <c r="C1229" t="s">
        <v>2782</v>
      </c>
      <c r="D1229">
        <v>4</v>
      </c>
      <c r="E1229">
        <v>236.48</v>
      </c>
      <c r="F1229">
        <v>236.48</v>
      </c>
      <c r="G1229" t="s">
        <v>3022</v>
      </c>
      <c r="H1229" t="s">
        <v>3518</v>
      </c>
      <c r="I1229" t="s">
        <v>3049</v>
      </c>
      <c r="J1229" t="s">
        <v>3519</v>
      </c>
      <c r="L1229" t="s">
        <v>3023</v>
      </c>
    </row>
    <row r="1230" spans="1:12" x14ac:dyDescent="0.2">
      <c r="A1230" t="s">
        <v>1767</v>
      </c>
      <c r="B1230" t="s">
        <v>1769</v>
      </c>
      <c r="C1230" t="s">
        <v>2782</v>
      </c>
      <c r="D1230">
        <v>4</v>
      </c>
      <c r="E1230">
        <v>79.760000000000005</v>
      </c>
      <c r="F1230">
        <v>79.760000000000005</v>
      </c>
      <c r="G1230" t="s">
        <v>3022</v>
      </c>
      <c r="H1230" t="s">
        <v>3520</v>
      </c>
      <c r="I1230" t="s">
        <v>3049</v>
      </c>
      <c r="J1230" t="s">
        <v>3521</v>
      </c>
      <c r="L1230" t="s">
        <v>3023</v>
      </c>
    </row>
    <row r="1231" spans="1:12" x14ac:dyDescent="0.2">
      <c r="A1231" t="s">
        <v>1767</v>
      </c>
      <c r="B1231" t="s">
        <v>1769</v>
      </c>
      <c r="C1231" t="s">
        <v>2782</v>
      </c>
      <c r="D1231">
        <v>4</v>
      </c>
      <c r="E1231">
        <v>2.1</v>
      </c>
      <c r="F1231">
        <v>2.1</v>
      </c>
      <c r="G1231" t="s">
        <v>3022</v>
      </c>
      <c r="H1231" t="s">
        <v>3522</v>
      </c>
      <c r="I1231" t="s">
        <v>3049</v>
      </c>
      <c r="J1231" t="s">
        <v>3523</v>
      </c>
      <c r="L1231" t="s">
        <v>3023</v>
      </c>
    </row>
    <row r="1232" spans="1:12" x14ac:dyDescent="0.2">
      <c r="A1232" t="s">
        <v>1767</v>
      </c>
      <c r="B1232" t="s">
        <v>1769</v>
      </c>
      <c r="C1232" t="s">
        <v>2782</v>
      </c>
      <c r="D1232">
        <v>4</v>
      </c>
      <c r="E1232">
        <v>9.9</v>
      </c>
      <c r="F1232">
        <v>9.9</v>
      </c>
      <c r="G1232" t="s">
        <v>3022</v>
      </c>
      <c r="H1232" t="s">
        <v>3524</v>
      </c>
      <c r="I1232" t="s">
        <v>3049</v>
      </c>
      <c r="J1232" t="s">
        <v>3525</v>
      </c>
      <c r="L1232" t="s">
        <v>3023</v>
      </c>
    </row>
    <row r="1233" spans="1:12" x14ac:dyDescent="0.2">
      <c r="A1233" t="s">
        <v>1767</v>
      </c>
      <c r="B1233" t="s">
        <v>1769</v>
      </c>
      <c r="C1233" t="s">
        <v>2782</v>
      </c>
      <c r="D1233">
        <v>4</v>
      </c>
      <c r="E1233">
        <v>75.06</v>
      </c>
      <c r="F1233">
        <v>75.06</v>
      </c>
      <c r="G1233" t="s">
        <v>3022</v>
      </c>
      <c r="H1233" t="s">
        <v>3526</v>
      </c>
      <c r="I1233" t="s">
        <v>3049</v>
      </c>
      <c r="J1233" t="s">
        <v>3527</v>
      </c>
      <c r="L1233" t="s">
        <v>3023</v>
      </c>
    </row>
    <row r="1234" spans="1:12" x14ac:dyDescent="0.2">
      <c r="A1234" t="s">
        <v>1767</v>
      </c>
      <c r="B1234" t="s">
        <v>1769</v>
      </c>
      <c r="C1234" t="s">
        <v>2782</v>
      </c>
      <c r="D1234">
        <v>4</v>
      </c>
      <c r="E1234">
        <v>15.96</v>
      </c>
      <c r="F1234">
        <v>15.96</v>
      </c>
      <c r="G1234" t="s">
        <v>3022</v>
      </c>
      <c r="H1234" t="s">
        <v>3528</v>
      </c>
      <c r="I1234" t="s">
        <v>3049</v>
      </c>
      <c r="J1234" t="s">
        <v>3529</v>
      </c>
      <c r="L1234" t="s">
        <v>3023</v>
      </c>
    </row>
    <row r="1235" spans="1:12" x14ac:dyDescent="0.2">
      <c r="A1235" t="s">
        <v>1767</v>
      </c>
      <c r="B1235" t="s">
        <v>1769</v>
      </c>
      <c r="C1235" t="s">
        <v>2789</v>
      </c>
      <c r="D1235">
        <v>1</v>
      </c>
      <c r="E1235">
        <v>0</v>
      </c>
      <c r="F1235">
        <v>0</v>
      </c>
      <c r="G1235" t="s">
        <v>3530</v>
      </c>
      <c r="L1235" t="s">
        <v>3531</v>
      </c>
    </row>
    <row r="1236" spans="1:12" x14ac:dyDescent="0.2">
      <c r="A1236" t="s">
        <v>1767</v>
      </c>
      <c r="B1236" t="s">
        <v>1769</v>
      </c>
      <c r="C1236" t="s">
        <v>2789</v>
      </c>
      <c r="D1236">
        <v>3</v>
      </c>
      <c r="E1236">
        <v>400</v>
      </c>
      <c r="F1236">
        <v>400</v>
      </c>
      <c r="G1236" t="s">
        <v>3530</v>
      </c>
      <c r="H1236" t="s">
        <v>3532</v>
      </c>
      <c r="I1236" t="s">
        <v>3533</v>
      </c>
      <c r="L1236" t="s">
        <v>3531</v>
      </c>
    </row>
    <row r="1237" spans="1:12" x14ac:dyDescent="0.2">
      <c r="A1237" t="s">
        <v>1767</v>
      </c>
      <c r="B1237" t="s">
        <v>1769</v>
      </c>
      <c r="C1237" t="s">
        <v>2789</v>
      </c>
      <c r="D1237">
        <v>3</v>
      </c>
      <c r="E1237">
        <v>894</v>
      </c>
      <c r="F1237">
        <v>894</v>
      </c>
      <c r="G1237" t="s">
        <v>3530</v>
      </c>
      <c r="H1237" t="s">
        <v>3534</v>
      </c>
      <c r="I1237" t="s">
        <v>3535</v>
      </c>
      <c r="L1237" t="s">
        <v>3531</v>
      </c>
    </row>
    <row r="1238" spans="1:12" x14ac:dyDescent="0.2">
      <c r="A1238" t="s">
        <v>1767</v>
      </c>
      <c r="B1238" t="s">
        <v>1769</v>
      </c>
      <c r="C1238" t="s">
        <v>2789</v>
      </c>
      <c r="D1238">
        <v>3</v>
      </c>
      <c r="E1238">
        <v>13780</v>
      </c>
      <c r="F1238">
        <v>13780</v>
      </c>
      <c r="G1238" t="s">
        <v>3530</v>
      </c>
      <c r="H1238" t="s">
        <v>3536</v>
      </c>
      <c r="I1238" t="s">
        <v>3537</v>
      </c>
      <c r="L1238" t="s">
        <v>3531</v>
      </c>
    </row>
    <row r="1239" spans="1:12" x14ac:dyDescent="0.2">
      <c r="A1239" t="s">
        <v>1767</v>
      </c>
      <c r="B1239" t="s">
        <v>1769</v>
      </c>
      <c r="C1239" t="s">
        <v>2789</v>
      </c>
      <c r="D1239">
        <v>3</v>
      </c>
      <c r="E1239">
        <v>160</v>
      </c>
      <c r="F1239">
        <v>160</v>
      </c>
      <c r="G1239" t="s">
        <v>3530</v>
      </c>
      <c r="H1239" t="s">
        <v>3538</v>
      </c>
      <c r="I1239" t="s">
        <v>3539</v>
      </c>
      <c r="L1239" t="s">
        <v>3531</v>
      </c>
    </row>
    <row r="1240" spans="1:12" x14ac:dyDescent="0.2">
      <c r="A1240" t="s">
        <v>1767</v>
      </c>
      <c r="B1240" t="s">
        <v>1769</v>
      </c>
      <c r="C1240" t="s">
        <v>2789</v>
      </c>
      <c r="D1240">
        <v>3</v>
      </c>
      <c r="E1240">
        <v>792</v>
      </c>
      <c r="F1240">
        <v>792</v>
      </c>
      <c r="G1240" t="s">
        <v>3530</v>
      </c>
      <c r="H1240" t="s">
        <v>3540</v>
      </c>
      <c r="I1240" t="s">
        <v>3541</v>
      </c>
      <c r="L1240" t="s">
        <v>3531</v>
      </c>
    </row>
    <row r="1241" spans="1:12" x14ac:dyDescent="0.2">
      <c r="A1241" t="s">
        <v>1767</v>
      </c>
      <c r="B1241" t="s">
        <v>1769</v>
      </c>
      <c r="C1241" t="s">
        <v>2789</v>
      </c>
      <c r="D1241">
        <v>3</v>
      </c>
      <c r="E1241">
        <v>1140</v>
      </c>
      <c r="F1241">
        <v>1140</v>
      </c>
      <c r="G1241" t="s">
        <v>3530</v>
      </c>
      <c r="H1241" t="s">
        <v>3542</v>
      </c>
      <c r="I1241" t="s">
        <v>3543</v>
      </c>
      <c r="L1241" t="s">
        <v>3531</v>
      </c>
    </row>
    <row r="1242" spans="1:12" x14ac:dyDescent="0.2">
      <c r="A1242" t="s">
        <v>1767</v>
      </c>
      <c r="B1242" t="s">
        <v>1769</v>
      </c>
      <c r="C1242" t="s">
        <v>2789</v>
      </c>
      <c r="D1242">
        <v>3</v>
      </c>
      <c r="E1242">
        <v>1330</v>
      </c>
      <c r="F1242">
        <v>1330</v>
      </c>
      <c r="G1242" t="s">
        <v>3530</v>
      </c>
      <c r="H1242" t="s">
        <v>3544</v>
      </c>
      <c r="I1242" t="s">
        <v>3545</v>
      </c>
      <c r="L1242" t="s">
        <v>3531</v>
      </c>
    </row>
    <row r="1243" spans="1:12" x14ac:dyDescent="0.2">
      <c r="A1243" t="s">
        <v>1767</v>
      </c>
      <c r="B1243" t="s">
        <v>1769</v>
      </c>
      <c r="C1243" t="s">
        <v>2789</v>
      </c>
      <c r="D1243">
        <v>3</v>
      </c>
      <c r="E1243">
        <v>104</v>
      </c>
      <c r="F1243">
        <v>104</v>
      </c>
      <c r="G1243" t="s">
        <v>3530</v>
      </c>
      <c r="H1243" t="s">
        <v>3546</v>
      </c>
      <c r="I1243" t="s">
        <v>3547</v>
      </c>
      <c r="L1243" t="s">
        <v>3531</v>
      </c>
    </row>
    <row r="1244" spans="1:12" x14ac:dyDescent="0.2">
      <c r="A1244" t="s">
        <v>1767</v>
      </c>
      <c r="B1244" t="s">
        <v>1769</v>
      </c>
      <c r="C1244" t="s">
        <v>2789</v>
      </c>
      <c r="D1244">
        <v>3</v>
      </c>
      <c r="E1244">
        <v>0</v>
      </c>
      <c r="F1244">
        <v>0</v>
      </c>
      <c r="G1244" t="s">
        <v>3530</v>
      </c>
      <c r="H1244" t="s">
        <v>3548</v>
      </c>
      <c r="I1244" t="s">
        <v>3549</v>
      </c>
      <c r="L1244" t="s">
        <v>3531</v>
      </c>
    </row>
    <row r="1245" spans="1:12" x14ac:dyDescent="0.2">
      <c r="A1245" t="s">
        <v>1767</v>
      </c>
      <c r="B1245" t="s">
        <v>1769</v>
      </c>
      <c r="C1245" t="s">
        <v>2789</v>
      </c>
      <c r="D1245">
        <v>3</v>
      </c>
      <c r="E1245">
        <v>3903</v>
      </c>
      <c r="F1245">
        <v>3903</v>
      </c>
      <c r="G1245" t="s">
        <v>3530</v>
      </c>
      <c r="H1245" t="s">
        <v>3550</v>
      </c>
      <c r="I1245" t="s">
        <v>3551</v>
      </c>
      <c r="L1245" t="s">
        <v>3531</v>
      </c>
    </row>
    <row r="1246" spans="1:12" x14ac:dyDescent="0.2">
      <c r="A1246" t="s">
        <v>1767</v>
      </c>
      <c r="B1246" t="s">
        <v>1769</v>
      </c>
      <c r="C1246" t="s">
        <v>2789</v>
      </c>
      <c r="D1246">
        <v>3</v>
      </c>
      <c r="E1246">
        <v>0</v>
      </c>
      <c r="F1246">
        <v>0</v>
      </c>
      <c r="G1246" t="s">
        <v>3530</v>
      </c>
      <c r="H1246" t="s">
        <v>3548</v>
      </c>
      <c r="I1246" t="s">
        <v>3552</v>
      </c>
      <c r="L1246" t="s">
        <v>3531</v>
      </c>
    </row>
    <row r="1247" spans="1:12" x14ac:dyDescent="0.2">
      <c r="A1247" t="s">
        <v>1767</v>
      </c>
      <c r="B1247" t="s">
        <v>1769</v>
      </c>
      <c r="C1247" t="s">
        <v>2789</v>
      </c>
      <c r="D1247">
        <v>3</v>
      </c>
      <c r="E1247">
        <v>196.35</v>
      </c>
      <c r="F1247">
        <v>196.35</v>
      </c>
      <c r="G1247" t="s">
        <v>3530</v>
      </c>
      <c r="H1247" t="s">
        <v>3553</v>
      </c>
      <c r="I1247" t="s">
        <v>3554</v>
      </c>
      <c r="L1247" t="s">
        <v>3531</v>
      </c>
    </row>
    <row r="1248" spans="1:12" x14ac:dyDescent="0.2">
      <c r="A1248" t="s">
        <v>1767</v>
      </c>
      <c r="B1248" t="s">
        <v>1769</v>
      </c>
      <c r="C1248" t="s">
        <v>2789</v>
      </c>
      <c r="D1248">
        <v>3</v>
      </c>
      <c r="E1248">
        <v>85</v>
      </c>
      <c r="F1248">
        <v>85</v>
      </c>
      <c r="G1248" t="s">
        <v>3530</v>
      </c>
      <c r="H1248" t="s">
        <v>3555</v>
      </c>
      <c r="I1248" t="s">
        <v>3556</v>
      </c>
      <c r="L1248" t="s">
        <v>3531</v>
      </c>
    </row>
    <row r="1249" spans="1:12" x14ac:dyDescent="0.2">
      <c r="A1249" t="s">
        <v>1767</v>
      </c>
      <c r="B1249" t="s">
        <v>1769</v>
      </c>
      <c r="C1249" t="s">
        <v>2789</v>
      </c>
      <c r="D1249">
        <v>3</v>
      </c>
      <c r="E1249">
        <v>997</v>
      </c>
      <c r="F1249">
        <v>997</v>
      </c>
      <c r="G1249" t="s">
        <v>3530</v>
      </c>
      <c r="H1249" t="s">
        <v>3557</v>
      </c>
      <c r="I1249" t="s">
        <v>3558</v>
      </c>
      <c r="L1249" t="s">
        <v>3531</v>
      </c>
    </row>
    <row r="1250" spans="1:12" x14ac:dyDescent="0.2">
      <c r="A1250" t="s">
        <v>1767</v>
      </c>
      <c r="B1250" t="s">
        <v>1769</v>
      </c>
      <c r="C1250" t="s">
        <v>2789</v>
      </c>
      <c r="D1250">
        <v>3</v>
      </c>
      <c r="E1250">
        <v>0</v>
      </c>
      <c r="F1250">
        <v>0</v>
      </c>
      <c r="G1250" t="s">
        <v>3530</v>
      </c>
      <c r="H1250" t="s">
        <v>3548</v>
      </c>
      <c r="I1250" t="s">
        <v>3559</v>
      </c>
      <c r="L1250" t="s">
        <v>3531</v>
      </c>
    </row>
    <row r="1251" spans="1:12" x14ac:dyDescent="0.2">
      <c r="A1251" t="s">
        <v>1767</v>
      </c>
      <c r="B1251" t="s">
        <v>1769</v>
      </c>
      <c r="C1251" t="s">
        <v>2789</v>
      </c>
      <c r="D1251">
        <v>3</v>
      </c>
      <c r="E1251">
        <v>88</v>
      </c>
      <c r="F1251">
        <v>88</v>
      </c>
      <c r="G1251" t="s">
        <v>3530</v>
      </c>
      <c r="H1251" t="s">
        <v>3560</v>
      </c>
      <c r="I1251" t="s">
        <v>3561</v>
      </c>
      <c r="L1251" t="s">
        <v>3531</v>
      </c>
    </row>
    <row r="1252" spans="1:12" x14ac:dyDescent="0.2">
      <c r="A1252" t="s">
        <v>1767</v>
      </c>
      <c r="B1252" t="s">
        <v>1769</v>
      </c>
      <c r="C1252" t="s">
        <v>2789</v>
      </c>
      <c r="D1252">
        <v>3</v>
      </c>
      <c r="E1252">
        <v>0</v>
      </c>
      <c r="F1252">
        <v>0</v>
      </c>
      <c r="G1252" t="s">
        <v>3530</v>
      </c>
      <c r="H1252" t="s">
        <v>3548</v>
      </c>
      <c r="I1252" t="s">
        <v>3562</v>
      </c>
      <c r="L1252" t="s">
        <v>3531</v>
      </c>
    </row>
    <row r="1253" spans="1:12" x14ac:dyDescent="0.2">
      <c r="A1253" t="s">
        <v>1767</v>
      </c>
      <c r="B1253" t="s">
        <v>1769</v>
      </c>
      <c r="C1253" t="s">
        <v>2789</v>
      </c>
      <c r="D1253">
        <v>3</v>
      </c>
      <c r="E1253">
        <v>0</v>
      </c>
      <c r="F1253">
        <v>0</v>
      </c>
      <c r="G1253" t="s">
        <v>3530</v>
      </c>
      <c r="H1253" t="s">
        <v>3548</v>
      </c>
      <c r="I1253" t="s">
        <v>3563</v>
      </c>
      <c r="L1253" t="s">
        <v>3531</v>
      </c>
    </row>
    <row r="1254" spans="1:12" x14ac:dyDescent="0.2">
      <c r="A1254" t="s">
        <v>1767</v>
      </c>
      <c r="B1254" t="s">
        <v>1769</v>
      </c>
      <c r="C1254" t="s">
        <v>2789</v>
      </c>
      <c r="D1254">
        <v>3</v>
      </c>
      <c r="E1254">
        <v>0</v>
      </c>
      <c r="F1254">
        <v>0</v>
      </c>
      <c r="G1254" t="s">
        <v>3530</v>
      </c>
      <c r="H1254" t="s">
        <v>3548</v>
      </c>
      <c r="I1254" t="s">
        <v>3564</v>
      </c>
      <c r="L1254" t="s">
        <v>3531</v>
      </c>
    </row>
    <row r="1255" spans="1:12" x14ac:dyDescent="0.2">
      <c r="A1255" t="s">
        <v>1767</v>
      </c>
      <c r="B1255" t="s">
        <v>1769</v>
      </c>
      <c r="C1255" t="s">
        <v>2789</v>
      </c>
      <c r="D1255">
        <v>3</v>
      </c>
      <c r="E1255">
        <v>340</v>
      </c>
      <c r="F1255">
        <v>340</v>
      </c>
      <c r="G1255" t="s">
        <v>3530</v>
      </c>
      <c r="H1255" t="s">
        <v>3565</v>
      </c>
      <c r="I1255" t="s">
        <v>3566</v>
      </c>
      <c r="L1255" t="s">
        <v>3531</v>
      </c>
    </row>
    <row r="1256" spans="1:12" x14ac:dyDescent="0.2">
      <c r="A1256" t="s">
        <v>1767</v>
      </c>
      <c r="B1256" t="s">
        <v>1769</v>
      </c>
      <c r="C1256" t="s">
        <v>2789</v>
      </c>
      <c r="D1256">
        <v>3</v>
      </c>
      <c r="E1256">
        <v>740</v>
      </c>
      <c r="F1256">
        <v>740</v>
      </c>
      <c r="G1256" t="s">
        <v>3530</v>
      </c>
      <c r="H1256" t="s">
        <v>3567</v>
      </c>
      <c r="I1256" t="s">
        <v>3568</v>
      </c>
      <c r="L1256" t="s">
        <v>3531</v>
      </c>
    </row>
    <row r="1257" spans="1:12" x14ac:dyDescent="0.2">
      <c r="A1257" t="s">
        <v>1767</v>
      </c>
      <c r="B1257" t="s">
        <v>1769</v>
      </c>
      <c r="C1257" t="s">
        <v>2789</v>
      </c>
      <c r="D1257">
        <v>3</v>
      </c>
      <c r="E1257">
        <v>742</v>
      </c>
      <c r="F1257">
        <v>742</v>
      </c>
      <c r="G1257" t="s">
        <v>3530</v>
      </c>
      <c r="H1257" t="s">
        <v>3569</v>
      </c>
      <c r="I1257" t="s">
        <v>3570</v>
      </c>
      <c r="L1257" t="s">
        <v>3531</v>
      </c>
    </row>
    <row r="1258" spans="1:12" x14ac:dyDescent="0.2">
      <c r="A1258" t="s">
        <v>1767</v>
      </c>
      <c r="B1258" t="s">
        <v>1769</v>
      </c>
      <c r="C1258" t="s">
        <v>2789</v>
      </c>
      <c r="D1258">
        <v>3</v>
      </c>
      <c r="E1258">
        <v>342</v>
      </c>
      <c r="F1258">
        <v>342</v>
      </c>
      <c r="G1258" t="s">
        <v>3530</v>
      </c>
      <c r="H1258" t="s">
        <v>3571</v>
      </c>
      <c r="I1258" t="s">
        <v>3572</v>
      </c>
      <c r="L1258" t="s">
        <v>3531</v>
      </c>
    </row>
    <row r="1259" spans="1:12" x14ac:dyDescent="0.2">
      <c r="A1259" t="s">
        <v>1767</v>
      </c>
      <c r="B1259" t="s">
        <v>1769</v>
      </c>
      <c r="C1259" t="s">
        <v>2789</v>
      </c>
      <c r="D1259">
        <v>3</v>
      </c>
      <c r="E1259">
        <v>0</v>
      </c>
      <c r="F1259">
        <v>0</v>
      </c>
      <c r="G1259" t="s">
        <v>3530</v>
      </c>
      <c r="H1259" t="s">
        <v>3548</v>
      </c>
      <c r="I1259" t="s">
        <v>3573</v>
      </c>
      <c r="L1259" t="s">
        <v>3531</v>
      </c>
    </row>
    <row r="1260" spans="1:12" x14ac:dyDescent="0.2">
      <c r="A1260" t="s">
        <v>1767</v>
      </c>
      <c r="B1260" t="s">
        <v>1769</v>
      </c>
      <c r="C1260" t="s">
        <v>2789</v>
      </c>
      <c r="D1260">
        <v>3</v>
      </c>
      <c r="E1260">
        <v>924</v>
      </c>
      <c r="F1260">
        <v>924</v>
      </c>
      <c r="G1260" t="s">
        <v>3530</v>
      </c>
      <c r="H1260" t="s">
        <v>3574</v>
      </c>
      <c r="I1260" t="s">
        <v>3575</v>
      </c>
      <c r="L1260" t="s">
        <v>3531</v>
      </c>
    </row>
    <row r="1261" spans="1:12" x14ac:dyDescent="0.2">
      <c r="A1261" t="s">
        <v>1767</v>
      </c>
      <c r="B1261" t="s">
        <v>1769</v>
      </c>
      <c r="C1261" t="s">
        <v>2789</v>
      </c>
      <c r="D1261">
        <v>3</v>
      </c>
      <c r="E1261">
        <v>3.7</v>
      </c>
      <c r="F1261">
        <v>3.7</v>
      </c>
      <c r="G1261" t="s">
        <v>3530</v>
      </c>
      <c r="H1261" t="s">
        <v>3576</v>
      </c>
      <c r="I1261" t="s">
        <v>3577</v>
      </c>
      <c r="L1261" t="s">
        <v>3531</v>
      </c>
    </row>
    <row r="1262" spans="1:12" x14ac:dyDescent="0.2">
      <c r="A1262" t="s">
        <v>1767</v>
      </c>
      <c r="B1262" t="s">
        <v>1769</v>
      </c>
      <c r="C1262" t="s">
        <v>2789</v>
      </c>
      <c r="D1262">
        <v>3</v>
      </c>
      <c r="E1262">
        <v>5901.33</v>
      </c>
      <c r="F1262">
        <v>5901.33</v>
      </c>
      <c r="G1262" t="s">
        <v>3530</v>
      </c>
      <c r="H1262" t="s">
        <v>3578</v>
      </c>
      <c r="I1262" t="s">
        <v>3579</v>
      </c>
      <c r="L1262" t="s">
        <v>3531</v>
      </c>
    </row>
    <row r="1263" spans="1:12" x14ac:dyDescent="0.2">
      <c r="A1263" t="s">
        <v>1767</v>
      </c>
      <c r="B1263" t="s">
        <v>1769</v>
      </c>
      <c r="C1263" t="s">
        <v>2789</v>
      </c>
      <c r="D1263">
        <v>3</v>
      </c>
      <c r="E1263">
        <v>364</v>
      </c>
      <c r="F1263">
        <v>364</v>
      </c>
      <c r="G1263" t="s">
        <v>3530</v>
      </c>
      <c r="H1263" t="s">
        <v>3580</v>
      </c>
      <c r="I1263" t="s">
        <v>3581</v>
      </c>
      <c r="L1263" t="s">
        <v>3531</v>
      </c>
    </row>
    <row r="1264" spans="1:12" x14ac:dyDescent="0.2">
      <c r="A1264" t="s">
        <v>1767</v>
      </c>
      <c r="B1264" t="s">
        <v>1769</v>
      </c>
      <c r="C1264" t="s">
        <v>2789</v>
      </c>
      <c r="D1264">
        <v>3</v>
      </c>
      <c r="E1264">
        <v>324</v>
      </c>
      <c r="F1264">
        <v>324</v>
      </c>
      <c r="G1264" t="s">
        <v>3530</v>
      </c>
      <c r="H1264" t="s">
        <v>3582</v>
      </c>
      <c r="I1264" t="s">
        <v>3583</v>
      </c>
      <c r="L1264" t="s">
        <v>3531</v>
      </c>
    </row>
    <row r="1265" spans="1:12" x14ac:dyDescent="0.2">
      <c r="A1265" t="s">
        <v>1767</v>
      </c>
      <c r="B1265" t="s">
        <v>1769</v>
      </c>
      <c r="C1265" t="s">
        <v>2789</v>
      </c>
      <c r="D1265">
        <v>3</v>
      </c>
      <c r="E1265">
        <v>2120</v>
      </c>
      <c r="F1265">
        <v>2120</v>
      </c>
      <c r="G1265" t="s">
        <v>3530</v>
      </c>
      <c r="H1265" t="s">
        <v>3584</v>
      </c>
      <c r="I1265" t="s">
        <v>3585</v>
      </c>
      <c r="L1265" t="s">
        <v>3531</v>
      </c>
    </row>
    <row r="1266" spans="1:12" x14ac:dyDescent="0.2">
      <c r="A1266" t="s">
        <v>1767</v>
      </c>
      <c r="B1266" t="s">
        <v>1769</v>
      </c>
      <c r="C1266" t="s">
        <v>2789</v>
      </c>
      <c r="D1266">
        <v>3</v>
      </c>
      <c r="E1266">
        <v>380</v>
      </c>
      <c r="F1266">
        <v>380</v>
      </c>
      <c r="G1266" t="s">
        <v>3530</v>
      </c>
      <c r="H1266" t="s">
        <v>3586</v>
      </c>
      <c r="I1266" t="s">
        <v>3587</v>
      </c>
      <c r="L1266" t="s">
        <v>3531</v>
      </c>
    </row>
    <row r="1267" spans="1:12" x14ac:dyDescent="0.2">
      <c r="A1267" t="s">
        <v>1767</v>
      </c>
      <c r="B1267" t="s">
        <v>1769</v>
      </c>
      <c r="C1267" t="s">
        <v>2789</v>
      </c>
      <c r="D1267">
        <v>3</v>
      </c>
      <c r="E1267">
        <v>235</v>
      </c>
      <c r="F1267">
        <v>235</v>
      </c>
      <c r="G1267" t="s">
        <v>3530</v>
      </c>
      <c r="H1267" t="s">
        <v>3588</v>
      </c>
      <c r="I1267" t="s">
        <v>3589</v>
      </c>
      <c r="L1267" t="s">
        <v>3531</v>
      </c>
    </row>
    <row r="1268" spans="1:12" x14ac:dyDescent="0.2">
      <c r="A1268" t="s">
        <v>1767</v>
      </c>
      <c r="B1268" t="s">
        <v>1769</v>
      </c>
      <c r="C1268" t="s">
        <v>2789</v>
      </c>
      <c r="D1268">
        <v>3</v>
      </c>
      <c r="E1268">
        <v>96</v>
      </c>
      <c r="F1268">
        <v>96</v>
      </c>
      <c r="G1268" t="s">
        <v>3530</v>
      </c>
      <c r="H1268" t="s">
        <v>3590</v>
      </c>
      <c r="I1268" t="s">
        <v>3591</v>
      </c>
      <c r="L1268" t="s">
        <v>3531</v>
      </c>
    </row>
    <row r="1269" spans="1:12" x14ac:dyDescent="0.2">
      <c r="A1269" t="s">
        <v>1767</v>
      </c>
      <c r="B1269" t="s">
        <v>1769</v>
      </c>
      <c r="C1269" t="s">
        <v>2789</v>
      </c>
      <c r="D1269">
        <v>3</v>
      </c>
      <c r="E1269">
        <v>2930</v>
      </c>
      <c r="F1269">
        <v>2930</v>
      </c>
      <c r="G1269" t="s">
        <v>3530</v>
      </c>
      <c r="H1269" t="s">
        <v>3592</v>
      </c>
      <c r="I1269" t="s">
        <v>3593</v>
      </c>
      <c r="L1269" t="s">
        <v>3531</v>
      </c>
    </row>
    <row r="1270" spans="1:12" x14ac:dyDescent="0.2">
      <c r="A1270" t="s">
        <v>1767</v>
      </c>
      <c r="B1270" t="s">
        <v>1769</v>
      </c>
      <c r="C1270" t="s">
        <v>2789</v>
      </c>
      <c r="D1270">
        <v>3</v>
      </c>
      <c r="E1270">
        <v>553</v>
      </c>
      <c r="F1270">
        <v>553</v>
      </c>
      <c r="G1270" t="s">
        <v>3530</v>
      </c>
      <c r="H1270" t="s">
        <v>3594</v>
      </c>
      <c r="I1270" t="s">
        <v>3595</v>
      </c>
      <c r="L1270" t="s">
        <v>3531</v>
      </c>
    </row>
    <row r="1271" spans="1:12" x14ac:dyDescent="0.2">
      <c r="A1271" t="s">
        <v>1767</v>
      </c>
      <c r="B1271" t="s">
        <v>1769</v>
      </c>
      <c r="C1271" t="s">
        <v>2789</v>
      </c>
      <c r="D1271">
        <v>3</v>
      </c>
      <c r="E1271">
        <v>1220</v>
      </c>
      <c r="F1271">
        <v>1220</v>
      </c>
      <c r="G1271" t="s">
        <v>3530</v>
      </c>
      <c r="H1271" t="s">
        <v>3596</v>
      </c>
      <c r="I1271" t="s">
        <v>3597</v>
      </c>
      <c r="L1271" t="s">
        <v>3531</v>
      </c>
    </row>
    <row r="1272" spans="1:12" x14ac:dyDescent="0.2">
      <c r="A1272" t="s">
        <v>1767</v>
      </c>
      <c r="B1272" t="s">
        <v>1769</v>
      </c>
      <c r="C1272" t="s">
        <v>2789</v>
      </c>
      <c r="D1272">
        <v>3</v>
      </c>
      <c r="E1272">
        <v>1334</v>
      </c>
      <c r="F1272">
        <v>1334</v>
      </c>
      <c r="G1272" t="s">
        <v>3530</v>
      </c>
      <c r="H1272" t="s">
        <v>3598</v>
      </c>
      <c r="I1272" t="s">
        <v>3599</v>
      </c>
      <c r="L1272" t="s">
        <v>3531</v>
      </c>
    </row>
    <row r="1273" spans="1:12" x14ac:dyDescent="0.2">
      <c r="A1273" t="s">
        <v>1767</v>
      </c>
      <c r="B1273" t="s">
        <v>1769</v>
      </c>
      <c r="C1273" t="s">
        <v>2789</v>
      </c>
      <c r="D1273">
        <v>3</v>
      </c>
      <c r="E1273">
        <v>764</v>
      </c>
      <c r="F1273">
        <v>764</v>
      </c>
      <c r="G1273" t="s">
        <v>3530</v>
      </c>
      <c r="H1273" t="s">
        <v>3600</v>
      </c>
      <c r="I1273" t="s">
        <v>3601</v>
      </c>
      <c r="L1273" t="s">
        <v>3531</v>
      </c>
    </row>
    <row r="1274" spans="1:12" x14ac:dyDescent="0.2">
      <c r="A1274" t="s">
        <v>1767</v>
      </c>
      <c r="B1274" t="s">
        <v>1769</v>
      </c>
      <c r="C1274" t="s">
        <v>2789</v>
      </c>
      <c r="D1274">
        <v>3</v>
      </c>
      <c r="E1274">
        <v>2529.14</v>
      </c>
      <c r="F1274">
        <v>2529.14</v>
      </c>
      <c r="G1274" t="s">
        <v>3530</v>
      </c>
      <c r="H1274" t="s">
        <v>3602</v>
      </c>
      <c r="I1274" t="s">
        <v>3603</v>
      </c>
      <c r="L1274" t="s">
        <v>3531</v>
      </c>
    </row>
    <row r="1275" spans="1:12" x14ac:dyDescent="0.2">
      <c r="A1275" t="s">
        <v>1767</v>
      </c>
      <c r="B1275" t="s">
        <v>1769</v>
      </c>
      <c r="C1275" t="s">
        <v>2789</v>
      </c>
      <c r="D1275">
        <v>3</v>
      </c>
      <c r="E1275">
        <v>26.75</v>
      </c>
      <c r="F1275">
        <v>26.75</v>
      </c>
      <c r="G1275" t="s">
        <v>3530</v>
      </c>
      <c r="H1275" t="s">
        <v>3604</v>
      </c>
      <c r="I1275" t="s">
        <v>3605</v>
      </c>
      <c r="L1275" t="s">
        <v>3531</v>
      </c>
    </row>
    <row r="1276" spans="1:12" x14ac:dyDescent="0.2">
      <c r="A1276" t="s">
        <v>1767</v>
      </c>
      <c r="B1276" t="s">
        <v>1769</v>
      </c>
      <c r="C1276" t="s">
        <v>2789</v>
      </c>
      <c r="D1276">
        <v>3</v>
      </c>
      <c r="E1276">
        <v>350</v>
      </c>
      <c r="F1276">
        <v>350</v>
      </c>
      <c r="G1276" t="s">
        <v>3530</v>
      </c>
      <c r="H1276" t="s">
        <v>3606</v>
      </c>
      <c r="I1276" t="s">
        <v>3607</v>
      </c>
      <c r="L1276" t="s">
        <v>3531</v>
      </c>
    </row>
    <row r="1277" spans="1:12" x14ac:dyDescent="0.2">
      <c r="A1277" t="s">
        <v>1767</v>
      </c>
      <c r="B1277" t="s">
        <v>1769</v>
      </c>
      <c r="C1277" t="s">
        <v>2789</v>
      </c>
      <c r="D1277">
        <v>3</v>
      </c>
      <c r="E1277">
        <v>246</v>
      </c>
      <c r="F1277">
        <v>246</v>
      </c>
      <c r="G1277" t="s">
        <v>3530</v>
      </c>
      <c r="H1277" t="s">
        <v>3608</v>
      </c>
      <c r="I1277" t="s">
        <v>3609</v>
      </c>
      <c r="L1277" t="s">
        <v>3531</v>
      </c>
    </row>
    <row r="1278" spans="1:12" x14ac:dyDescent="0.2">
      <c r="A1278" t="s">
        <v>1767</v>
      </c>
      <c r="B1278" t="s">
        <v>1769</v>
      </c>
      <c r="C1278" t="s">
        <v>2789</v>
      </c>
      <c r="D1278">
        <v>3</v>
      </c>
      <c r="E1278">
        <v>95</v>
      </c>
      <c r="F1278">
        <v>95</v>
      </c>
      <c r="G1278" t="s">
        <v>3530</v>
      </c>
      <c r="H1278" t="s">
        <v>3610</v>
      </c>
      <c r="I1278" t="s">
        <v>3611</v>
      </c>
      <c r="L1278" t="s">
        <v>3531</v>
      </c>
    </row>
    <row r="1279" spans="1:12" x14ac:dyDescent="0.2">
      <c r="A1279" t="s">
        <v>1767</v>
      </c>
      <c r="B1279" t="s">
        <v>1769</v>
      </c>
      <c r="C1279" t="s">
        <v>2789</v>
      </c>
      <c r="D1279">
        <v>3</v>
      </c>
      <c r="E1279">
        <v>4060</v>
      </c>
      <c r="F1279">
        <v>4060</v>
      </c>
      <c r="G1279" t="s">
        <v>3530</v>
      </c>
      <c r="H1279" t="s">
        <v>3612</v>
      </c>
      <c r="I1279" t="s">
        <v>3613</v>
      </c>
      <c r="L1279" t="s">
        <v>3531</v>
      </c>
    </row>
    <row r="1280" spans="1:12" x14ac:dyDescent="0.2">
      <c r="A1280" t="s">
        <v>1767</v>
      </c>
      <c r="B1280" t="s">
        <v>1769</v>
      </c>
      <c r="C1280" t="s">
        <v>2789</v>
      </c>
      <c r="D1280">
        <v>3</v>
      </c>
      <c r="E1280">
        <v>478</v>
      </c>
      <c r="F1280">
        <v>478</v>
      </c>
      <c r="G1280" t="s">
        <v>3530</v>
      </c>
      <c r="H1280" t="s">
        <v>3614</v>
      </c>
      <c r="I1280" t="s">
        <v>3615</v>
      </c>
      <c r="L1280" t="s">
        <v>3531</v>
      </c>
    </row>
    <row r="1281" spans="1:12" x14ac:dyDescent="0.2">
      <c r="A1281" t="s">
        <v>1767</v>
      </c>
      <c r="B1281" t="s">
        <v>1769</v>
      </c>
      <c r="C1281" t="s">
        <v>2789</v>
      </c>
      <c r="D1281">
        <v>3</v>
      </c>
      <c r="E1281">
        <v>448</v>
      </c>
      <c r="F1281">
        <v>448</v>
      </c>
      <c r="G1281" t="s">
        <v>3530</v>
      </c>
      <c r="H1281" t="s">
        <v>3616</v>
      </c>
      <c r="I1281" t="s">
        <v>3617</v>
      </c>
      <c r="L1281" t="s">
        <v>3531</v>
      </c>
    </row>
    <row r="1282" spans="1:12" x14ac:dyDescent="0.2">
      <c r="A1282" t="s">
        <v>1767</v>
      </c>
      <c r="B1282" t="s">
        <v>1769</v>
      </c>
      <c r="C1282" t="s">
        <v>2789</v>
      </c>
      <c r="D1282">
        <v>3</v>
      </c>
      <c r="E1282">
        <v>672</v>
      </c>
      <c r="F1282">
        <v>672</v>
      </c>
      <c r="G1282" t="s">
        <v>3530</v>
      </c>
      <c r="H1282" t="s">
        <v>3618</v>
      </c>
      <c r="I1282" t="s">
        <v>3619</v>
      </c>
      <c r="L1282" t="s">
        <v>3531</v>
      </c>
    </row>
    <row r="1283" spans="1:12" x14ac:dyDescent="0.2">
      <c r="A1283" t="s">
        <v>1767</v>
      </c>
      <c r="B1283" t="s">
        <v>1769</v>
      </c>
      <c r="C1283" t="s">
        <v>2789</v>
      </c>
      <c r="D1283">
        <v>3</v>
      </c>
      <c r="E1283">
        <v>652</v>
      </c>
      <c r="F1283">
        <v>652</v>
      </c>
      <c r="G1283" t="s">
        <v>3530</v>
      </c>
      <c r="H1283" t="s">
        <v>3620</v>
      </c>
      <c r="I1283" t="s">
        <v>3621</v>
      </c>
      <c r="L1283" t="s">
        <v>3531</v>
      </c>
    </row>
    <row r="1284" spans="1:12" x14ac:dyDescent="0.2">
      <c r="A1284" t="s">
        <v>1767</v>
      </c>
      <c r="B1284" t="s">
        <v>1769</v>
      </c>
      <c r="C1284" t="s">
        <v>2789</v>
      </c>
      <c r="D1284">
        <v>3</v>
      </c>
      <c r="E1284">
        <v>192</v>
      </c>
      <c r="F1284">
        <v>192</v>
      </c>
      <c r="G1284" t="s">
        <v>3530</v>
      </c>
      <c r="H1284" t="s">
        <v>3622</v>
      </c>
      <c r="I1284" t="s">
        <v>3623</v>
      </c>
      <c r="L1284" t="s">
        <v>3531</v>
      </c>
    </row>
    <row r="1285" spans="1:12" x14ac:dyDescent="0.2">
      <c r="A1285" t="s">
        <v>1767</v>
      </c>
      <c r="B1285" t="s">
        <v>1769</v>
      </c>
      <c r="C1285" t="s">
        <v>2789</v>
      </c>
      <c r="D1285">
        <v>3</v>
      </c>
      <c r="E1285">
        <v>700</v>
      </c>
      <c r="F1285">
        <v>700</v>
      </c>
      <c r="G1285" t="s">
        <v>3530</v>
      </c>
      <c r="H1285" t="s">
        <v>3624</v>
      </c>
      <c r="I1285" t="s">
        <v>3625</v>
      </c>
      <c r="L1285" t="s">
        <v>3531</v>
      </c>
    </row>
    <row r="1286" spans="1:12" x14ac:dyDescent="0.2">
      <c r="A1286" t="s">
        <v>1767</v>
      </c>
      <c r="B1286" t="s">
        <v>1769</v>
      </c>
      <c r="C1286" t="s">
        <v>2789</v>
      </c>
      <c r="D1286">
        <v>3</v>
      </c>
      <c r="E1286">
        <v>1476</v>
      </c>
      <c r="F1286">
        <v>1476</v>
      </c>
      <c r="G1286" t="s">
        <v>3530</v>
      </c>
      <c r="H1286" t="s">
        <v>3626</v>
      </c>
      <c r="I1286" t="s">
        <v>3627</v>
      </c>
      <c r="L1286" t="s">
        <v>3531</v>
      </c>
    </row>
    <row r="1287" spans="1:12" x14ac:dyDescent="0.2">
      <c r="A1287" t="s">
        <v>1767</v>
      </c>
      <c r="B1287" t="s">
        <v>1769</v>
      </c>
      <c r="C1287" t="s">
        <v>2789</v>
      </c>
      <c r="D1287">
        <v>3</v>
      </c>
      <c r="E1287">
        <v>153</v>
      </c>
      <c r="F1287">
        <v>153</v>
      </c>
      <c r="G1287" t="s">
        <v>3530</v>
      </c>
      <c r="H1287" t="s">
        <v>3628</v>
      </c>
      <c r="I1287" t="s">
        <v>3629</v>
      </c>
      <c r="L1287" t="s">
        <v>3531</v>
      </c>
    </row>
    <row r="1288" spans="1:12" x14ac:dyDescent="0.2">
      <c r="A1288" t="s">
        <v>1767</v>
      </c>
      <c r="B1288" t="s">
        <v>1769</v>
      </c>
      <c r="C1288" t="s">
        <v>2789</v>
      </c>
      <c r="D1288">
        <v>3</v>
      </c>
      <c r="E1288">
        <v>307.5</v>
      </c>
      <c r="F1288">
        <v>307.5</v>
      </c>
      <c r="G1288" t="s">
        <v>3530</v>
      </c>
      <c r="H1288" t="s">
        <v>3630</v>
      </c>
      <c r="I1288" t="s">
        <v>3631</v>
      </c>
      <c r="L1288" t="s">
        <v>3531</v>
      </c>
    </row>
    <row r="1289" spans="1:12" x14ac:dyDescent="0.2">
      <c r="A1289" t="s">
        <v>1767</v>
      </c>
      <c r="B1289" t="s">
        <v>1769</v>
      </c>
      <c r="C1289" t="s">
        <v>2789</v>
      </c>
      <c r="D1289">
        <v>3</v>
      </c>
      <c r="E1289">
        <v>10879.37</v>
      </c>
      <c r="F1289">
        <v>10879.37</v>
      </c>
      <c r="G1289" t="s">
        <v>3530</v>
      </c>
      <c r="H1289" t="s">
        <v>3632</v>
      </c>
      <c r="I1289" t="s">
        <v>3633</v>
      </c>
      <c r="L1289" t="s">
        <v>3531</v>
      </c>
    </row>
    <row r="1290" spans="1:12" x14ac:dyDescent="0.2">
      <c r="A1290" t="s">
        <v>1767</v>
      </c>
      <c r="B1290" t="s">
        <v>1769</v>
      </c>
      <c r="C1290" t="s">
        <v>2789</v>
      </c>
      <c r="D1290">
        <v>3</v>
      </c>
      <c r="E1290">
        <v>736</v>
      </c>
      <c r="F1290">
        <v>736</v>
      </c>
      <c r="G1290" t="s">
        <v>3530</v>
      </c>
      <c r="H1290" t="s">
        <v>3634</v>
      </c>
      <c r="I1290" t="s">
        <v>3635</v>
      </c>
      <c r="L1290" t="s">
        <v>3531</v>
      </c>
    </row>
    <row r="1291" spans="1:12" x14ac:dyDescent="0.2">
      <c r="A1291" t="s">
        <v>1767</v>
      </c>
      <c r="B1291" t="s">
        <v>1769</v>
      </c>
      <c r="C1291" t="s">
        <v>2789</v>
      </c>
      <c r="D1291">
        <v>3</v>
      </c>
      <c r="E1291">
        <v>2250</v>
      </c>
      <c r="F1291">
        <v>2250</v>
      </c>
      <c r="G1291" t="s">
        <v>3530</v>
      </c>
      <c r="H1291" t="s">
        <v>3636</v>
      </c>
      <c r="I1291" t="s">
        <v>3637</v>
      </c>
      <c r="L1291" t="s">
        <v>3531</v>
      </c>
    </row>
    <row r="1292" spans="1:12" x14ac:dyDescent="0.2">
      <c r="A1292" t="s">
        <v>1767</v>
      </c>
      <c r="B1292" t="s">
        <v>1769</v>
      </c>
      <c r="C1292" t="s">
        <v>2789</v>
      </c>
      <c r="D1292">
        <v>3</v>
      </c>
      <c r="E1292">
        <v>10680</v>
      </c>
      <c r="F1292">
        <v>10680</v>
      </c>
      <c r="G1292" t="s">
        <v>3530</v>
      </c>
      <c r="H1292" t="s">
        <v>3638</v>
      </c>
      <c r="I1292" t="s">
        <v>3639</v>
      </c>
      <c r="L1292" t="s">
        <v>3531</v>
      </c>
    </row>
    <row r="1293" spans="1:12" x14ac:dyDescent="0.2">
      <c r="A1293" t="s">
        <v>1767</v>
      </c>
      <c r="B1293" t="s">
        <v>1769</v>
      </c>
      <c r="C1293" t="s">
        <v>2789</v>
      </c>
      <c r="D1293">
        <v>3</v>
      </c>
      <c r="E1293">
        <v>570.02</v>
      </c>
      <c r="F1293">
        <v>570.02</v>
      </c>
      <c r="G1293" t="s">
        <v>3530</v>
      </c>
      <c r="H1293" t="s">
        <v>3640</v>
      </c>
      <c r="I1293" t="s">
        <v>3641</v>
      </c>
      <c r="L1293" t="s">
        <v>3531</v>
      </c>
    </row>
    <row r="1294" spans="1:12" x14ac:dyDescent="0.2">
      <c r="A1294" t="s">
        <v>1767</v>
      </c>
      <c r="B1294" t="s">
        <v>1769</v>
      </c>
      <c r="C1294" t="s">
        <v>2789</v>
      </c>
      <c r="D1294">
        <v>3</v>
      </c>
      <c r="E1294">
        <v>4184.37</v>
      </c>
      <c r="F1294">
        <v>4184.37</v>
      </c>
      <c r="G1294" t="s">
        <v>3530</v>
      </c>
      <c r="H1294" t="s">
        <v>3642</v>
      </c>
      <c r="I1294" t="s">
        <v>3643</v>
      </c>
      <c r="L1294" t="s">
        <v>3531</v>
      </c>
    </row>
    <row r="1295" spans="1:12" x14ac:dyDescent="0.2">
      <c r="A1295" t="s">
        <v>1767</v>
      </c>
      <c r="B1295" t="s">
        <v>1769</v>
      </c>
      <c r="C1295" t="s">
        <v>2789</v>
      </c>
      <c r="D1295">
        <v>3</v>
      </c>
      <c r="E1295">
        <v>0</v>
      </c>
      <c r="F1295">
        <v>0</v>
      </c>
      <c r="G1295" t="s">
        <v>3530</v>
      </c>
      <c r="H1295" t="s">
        <v>3548</v>
      </c>
      <c r="I1295" t="s">
        <v>3644</v>
      </c>
      <c r="L1295" t="s">
        <v>3531</v>
      </c>
    </row>
    <row r="1296" spans="1:12" x14ac:dyDescent="0.2">
      <c r="A1296" t="s">
        <v>1767</v>
      </c>
      <c r="B1296" t="s">
        <v>1769</v>
      </c>
      <c r="C1296" t="s">
        <v>2789</v>
      </c>
      <c r="D1296">
        <v>3</v>
      </c>
      <c r="E1296">
        <v>0</v>
      </c>
      <c r="F1296">
        <v>0</v>
      </c>
      <c r="G1296" t="s">
        <v>3530</v>
      </c>
      <c r="H1296" t="s">
        <v>3548</v>
      </c>
      <c r="I1296" t="s">
        <v>3645</v>
      </c>
      <c r="L1296" t="s">
        <v>3531</v>
      </c>
    </row>
    <row r="1297" spans="1:12" x14ac:dyDescent="0.2">
      <c r="A1297" t="s">
        <v>1767</v>
      </c>
      <c r="B1297" t="s">
        <v>1769</v>
      </c>
      <c r="C1297" t="s">
        <v>2789</v>
      </c>
      <c r="D1297">
        <v>3</v>
      </c>
      <c r="E1297">
        <v>26100</v>
      </c>
      <c r="F1297">
        <v>26100</v>
      </c>
      <c r="G1297" t="s">
        <v>3530</v>
      </c>
      <c r="H1297" t="s">
        <v>3646</v>
      </c>
      <c r="I1297" t="s">
        <v>3647</v>
      </c>
      <c r="L1297" t="s">
        <v>3531</v>
      </c>
    </row>
    <row r="1298" spans="1:12" x14ac:dyDescent="0.2">
      <c r="A1298" t="s">
        <v>1767</v>
      </c>
      <c r="B1298" t="s">
        <v>1769</v>
      </c>
      <c r="C1298" t="s">
        <v>2789</v>
      </c>
      <c r="D1298">
        <v>3</v>
      </c>
      <c r="E1298">
        <v>52200</v>
      </c>
      <c r="F1298">
        <v>52200</v>
      </c>
      <c r="G1298" t="s">
        <v>3530</v>
      </c>
      <c r="H1298" t="s">
        <v>3648</v>
      </c>
      <c r="I1298" t="s">
        <v>3649</v>
      </c>
      <c r="L1298" t="s">
        <v>3531</v>
      </c>
    </row>
    <row r="1299" spans="1:12" x14ac:dyDescent="0.2">
      <c r="A1299" t="s">
        <v>1767</v>
      </c>
      <c r="B1299" t="s">
        <v>1769</v>
      </c>
      <c r="C1299" t="s">
        <v>2789</v>
      </c>
      <c r="D1299">
        <v>3</v>
      </c>
      <c r="E1299">
        <v>0</v>
      </c>
      <c r="F1299">
        <v>0</v>
      </c>
      <c r="G1299" t="s">
        <v>3530</v>
      </c>
      <c r="H1299" t="s">
        <v>3548</v>
      </c>
      <c r="I1299" t="s">
        <v>3650</v>
      </c>
      <c r="L1299" t="s">
        <v>3531</v>
      </c>
    </row>
    <row r="1300" spans="1:12" x14ac:dyDescent="0.2">
      <c r="A1300" t="s">
        <v>1767</v>
      </c>
      <c r="B1300" t="s">
        <v>1769</v>
      </c>
      <c r="C1300" t="s">
        <v>2789</v>
      </c>
      <c r="D1300">
        <v>3</v>
      </c>
      <c r="E1300">
        <v>0</v>
      </c>
      <c r="F1300">
        <v>0</v>
      </c>
      <c r="G1300" t="s">
        <v>3530</v>
      </c>
      <c r="H1300" t="s">
        <v>3548</v>
      </c>
      <c r="I1300" t="s">
        <v>3651</v>
      </c>
      <c r="L1300" t="s">
        <v>3531</v>
      </c>
    </row>
    <row r="1301" spans="1:12" x14ac:dyDescent="0.2">
      <c r="A1301" t="s">
        <v>1767</v>
      </c>
      <c r="B1301" t="s">
        <v>1769</v>
      </c>
      <c r="C1301" t="s">
        <v>2789</v>
      </c>
      <c r="D1301">
        <v>3</v>
      </c>
      <c r="E1301">
        <v>94.5</v>
      </c>
      <c r="F1301">
        <v>94.5</v>
      </c>
      <c r="G1301" t="s">
        <v>3530</v>
      </c>
      <c r="H1301" t="s">
        <v>3652</v>
      </c>
      <c r="I1301" t="s">
        <v>3653</v>
      </c>
      <c r="L1301" t="s">
        <v>3531</v>
      </c>
    </row>
    <row r="1302" spans="1:12" x14ac:dyDescent="0.2">
      <c r="A1302" t="s">
        <v>1767</v>
      </c>
      <c r="B1302" t="s">
        <v>1769</v>
      </c>
      <c r="C1302" t="s">
        <v>2789</v>
      </c>
      <c r="D1302">
        <v>3</v>
      </c>
      <c r="E1302">
        <v>700</v>
      </c>
      <c r="F1302">
        <v>700</v>
      </c>
      <c r="G1302" t="s">
        <v>3530</v>
      </c>
      <c r="H1302" t="s">
        <v>3624</v>
      </c>
      <c r="I1302" t="s">
        <v>3654</v>
      </c>
      <c r="L1302" t="s">
        <v>3531</v>
      </c>
    </row>
    <row r="1303" spans="1:12" x14ac:dyDescent="0.2">
      <c r="A1303" t="s">
        <v>1767</v>
      </c>
      <c r="B1303" t="s">
        <v>1769</v>
      </c>
      <c r="C1303" t="s">
        <v>2789</v>
      </c>
      <c r="D1303">
        <v>3</v>
      </c>
      <c r="E1303">
        <v>4815</v>
      </c>
      <c r="F1303">
        <v>4815</v>
      </c>
      <c r="G1303" t="s">
        <v>3530</v>
      </c>
      <c r="H1303" t="s">
        <v>3655</v>
      </c>
      <c r="I1303" t="s">
        <v>3656</v>
      </c>
      <c r="L1303" t="s">
        <v>3531</v>
      </c>
    </row>
    <row r="1304" spans="1:12" x14ac:dyDescent="0.2">
      <c r="A1304" t="s">
        <v>1767</v>
      </c>
      <c r="B1304" t="s">
        <v>1769</v>
      </c>
      <c r="C1304" t="s">
        <v>2789</v>
      </c>
      <c r="D1304">
        <v>3</v>
      </c>
      <c r="E1304">
        <v>12840</v>
      </c>
      <c r="F1304">
        <v>12840</v>
      </c>
      <c r="G1304" t="s">
        <v>3530</v>
      </c>
      <c r="H1304" t="s">
        <v>3657</v>
      </c>
      <c r="I1304" t="s">
        <v>3658</v>
      </c>
      <c r="L1304" t="s">
        <v>3531</v>
      </c>
    </row>
    <row r="1305" spans="1:12" x14ac:dyDescent="0.2">
      <c r="A1305" t="s">
        <v>1767</v>
      </c>
      <c r="B1305" t="s">
        <v>1769</v>
      </c>
      <c r="C1305" t="s">
        <v>2789</v>
      </c>
      <c r="D1305">
        <v>3</v>
      </c>
      <c r="E1305">
        <v>0</v>
      </c>
      <c r="F1305">
        <v>0</v>
      </c>
      <c r="G1305" t="s">
        <v>3530</v>
      </c>
      <c r="H1305" t="s">
        <v>3548</v>
      </c>
      <c r="I1305" t="s">
        <v>3659</v>
      </c>
      <c r="L1305" t="s">
        <v>3531</v>
      </c>
    </row>
    <row r="1306" spans="1:12" x14ac:dyDescent="0.2">
      <c r="A1306" t="s">
        <v>1767</v>
      </c>
      <c r="B1306" t="s">
        <v>1769</v>
      </c>
      <c r="C1306" t="s">
        <v>2789</v>
      </c>
      <c r="D1306">
        <v>3</v>
      </c>
      <c r="E1306">
        <v>0</v>
      </c>
      <c r="F1306">
        <v>0</v>
      </c>
      <c r="G1306" t="s">
        <v>3530</v>
      </c>
      <c r="H1306" t="s">
        <v>3548</v>
      </c>
      <c r="I1306" t="s">
        <v>3660</v>
      </c>
      <c r="L1306" t="s">
        <v>3531</v>
      </c>
    </row>
    <row r="1307" spans="1:12" x14ac:dyDescent="0.2">
      <c r="A1307" t="s">
        <v>1767</v>
      </c>
      <c r="B1307" t="s">
        <v>1769</v>
      </c>
      <c r="C1307" t="s">
        <v>2789</v>
      </c>
      <c r="D1307">
        <v>3</v>
      </c>
      <c r="E1307">
        <v>0</v>
      </c>
      <c r="F1307">
        <v>0</v>
      </c>
      <c r="G1307" t="s">
        <v>3530</v>
      </c>
      <c r="H1307" t="s">
        <v>3548</v>
      </c>
      <c r="I1307" t="s">
        <v>3661</v>
      </c>
      <c r="L1307" t="s">
        <v>3531</v>
      </c>
    </row>
    <row r="1308" spans="1:12" x14ac:dyDescent="0.2">
      <c r="A1308" t="s">
        <v>1767</v>
      </c>
      <c r="B1308" t="s">
        <v>1769</v>
      </c>
      <c r="C1308" t="s">
        <v>2789</v>
      </c>
      <c r="D1308">
        <v>3</v>
      </c>
      <c r="E1308">
        <v>1110</v>
      </c>
      <c r="F1308">
        <v>1110</v>
      </c>
      <c r="G1308" t="s">
        <v>3530</v>
      </c>
      <c r="H1308" t="s">
        <v>3662</v>
      </c>
      <c r="I1308" t="s">
        <v>3663</v>
      </c>
      <c r="L1308" t="s">
        <v>3531</v>
      </c>
    </row>
    <row r="1309" spans="1:12" x14ac:dyDescent="0.2">
      <c r="A1309" t="s">
        <v>1767</v>
      </c>
      <c r="B1309" t="s">
        <v>1769</v>
      </c>
      <c r="C1309" t="s">
        <v>2789</v>
      </c>
      <c r="D1309">
        <v>3</v>
      </c>
      <c r="E1309">
        <v>1428.05</v>
      </c>
      <c r="F1309">
        <v>1428.05</v>
      </c>
      <c r="G1309" t="s">
        <v>3530</v>
      </c>
      <c r="H1309" t="s">
        <v>3664</v>
      </c>
      <c r="I1309" t="s">
        <v>3665</v>
      </c>
      <c r="L1309" t="s">
        <v>3531</v>
      </c>
    </row>
    <row r="1310" spans="1:12" x14ac:dyDescent="0.2">
      <c r="A1310" t="s">
        <v>1767</v>
      </c>
      <c r="B1310" t="s">
        <v>1769</v>
      </c>
      <c r="C1310" t="s">
        <v>2789</v>
      </c>
      <c r="D1310">
        <v>3</v>
      </c>
      <c r="E1310">
        <v>0</v>
      </c>
      <c r="F1310">
        <v>0</v>
      </c>
      <c r="G1310" t="s">
        <v>3530</v>
      </c>
      <c r="H1310" t="s">
        <v>3548</v>
      </c>
      <c r="I1310" t="s">
        <v>3666</v>
      </c>
      <c r="L1310" t="s">
        <v>3531</v>
      </c>
    </row>
    <row r="1311" spans="1:12" x14ac:dyDescent="0.2">
      <c r="A1311" t="s">
        <v>1767</v>
      </c>
      <c r="B1311" t="s">
        <v>1769</v>
      </c>
      <c r="C1311" t="s">
        <v>2789</v>
      </c>
      <c r="D1311">
        <v>3</v>
      </c>
      <c r="E1311">
        <v>16152</v>
      </c>
      <c r="F1311">
        <v>16152</v>
      </c>
      <c r="G1311" t="s">
        <v>3530</v>
      </c>
      <c r="H1311" t="s">
        <v>3667</v>
      </c>
      <c r="I1311" t="s">
        <v>3668</v>
      </c>
      <c r="L1311" t="s">
        <v>3531</v>
      </c>
    </row>
    <row r="1312" spans="1:12" x14ac:dyDescent="0.2">
      <c r="A1312" t="s">
        <v>1767</v>
      </c>
      <c r="B1312" t="s">
        <v>1769</v>
      </c>
      <c r="C1312" t="s">
        <v>2789</v>
      </c>
      <c r="D1312">
        <v>3</v>
      </c>
      <c r="E1312">
        <v>10500</v>
      </c>
      <c r="F1312">
        <v>10500</v>
      </c>
      <c r="G1312" t="s">
        <v>3530</v>
      </c>
      <c r="H1312" t="s">
        <v>3669</v>
      </c>
      <c r="I1312" t="s">
        <v>3670</v>
      </c>
      <c r="L1312" t="s">
        <v>3531</v>
      </c>
    </row>
    <row r="1313" spans="1:12" x14ac:dyDescent="0.2">
      <c r="A1313" t="s">
        <v>1767</v>
      </c>
      <c r="B1313" t="s">
        <v>1769</v>
      </c>
      <c r="C1313" t="s">
        <v>2789</v>
      </c>
      <c r="D1313">
        <v>3</v>
      </c>
      <c r="E1313">
        <v>170</v>
      </c>
      <c r="F1313">
        <v>170</v>
      </c>
      <c r="G1313" t="s">
        <v>3530</v>
      </c>
      <c r="H1313" t="s">
        <v>3671</v>
      </c>
      <c r="I1313" t="s">
        <v>3672</v>
      </c>
      <c r="L1313" t="s">
        <v>3531</v>
      </c>
    </row>
    <row r="1314" spans="1:12" x14ac:dyDescent="0.2">
      <c r="A1314" t="s">
        <v>1767</v>
      </c>
      <c r="B1314" t="s">
        <v>1769</v>
      </c>
      <c r="C1314" t="s">
        <v>2789</v>
      </c>
      <c r="D1314">
        <v>3</v>
      </c>
      <c r="E1314">
        <v>430</v>
      </c>
      <c r="F1314">
        <v>430</v>
      </c>
      <c r="G1314" t="s">
        <v>3530</v>
      </c>
      <c r="H1314" t="s">
        <v>3673</v>
      </c>
      <c r="I1314" t="s">
        <v>3674</v>
      </c>
      <c r="L1314" t="s">
        <v>3531</v>
      </c>
    </row>
    <row r="1315" spans="1:12" x14ac:dyDescent="0.2">
      <c r="A1315" t="s">
        <v>1767</v>
      </c>
      <c r="B1315" t="s">
        <v>1769</v>
      </c>
      <c r="C1315" t="s">
        <v>2789</v>
      </c>
      <c r="D1315">
        <v>3</v>
      </c>
      <c r="E1315">
        <v>3456</v>
      </c>
      <c r="F1315">
        <v>3456</v>
      </c>
      <c r="G1315" t="s">
        <v>3530</v>
      </c>
      <c r="H1315" t="s">
        <v>3675</v>
      </c>
      <c r="I1315" t="s">
        <v>3676</v>
      </c>
      <c r="L1315" t="s">
        <v>3531</v>
      </c>
    </row>
    <row r="1316" spans="1:12" x14ac:dyDescent="0.2">
      <c r="A1316" t="s">
        <v>1767</v>
      </c>
      <c r="B1316" t="s">
        <v>1769</v>
      </c>
      <c r="C1316" t="s">
        <v>2789</v>
      </c>
      <c r="D1316">
        <v>3</v>
      </c>
      <c r="E1316">
        <v>672</v>
      </c>
      <c r="F1316">
        <v>672</v>
      </c>
      <c r="G1316" t="s">
        <v>3530</v>
      </c>
      <c r="H1316" t="s">
        <v>3618</v>
      </c>
      <c r="I1316" t="s">
        <v>3677</v>
      </c>
      <c r="L1316" t="s">
        <v>3531</v>
      </c>
    </row>
    <row r="1317" spans="1:12" x14ac:dyDescent="0.2">
      <c r="A1317" t="s">
        <v>1767</v>
      </c>
      <c r="B1317" t="s">
        <v>1769</v>
      </c>
      <c r="C1317" t="s">
        <v>2789</v>
      </c>
      <c r="D1317">
        <v>3</v>
      </c>
      <c r="E1317">
        <v>6329</v>
      </c>
      <c r="F1317">
        <v>6329</v>
      </c>
      <c r="G1317" t="s">
        <v>3530</v>
      </c>
      <c r="H1317" t="s">
        <v>3678</v>
      </c>
      <c r="I1317" t="s">
        <v>3679</v>
      </c>
      <c r="L1317" t="s">
        <v>3531</v>
      </c>
    </row>
    <row r="1318" spans="1:12" x14ac:dyDescent="0.2">
      <c r="A1318" t="s">
        <v>1767</v>
      </c>
      <c r="B1318" t="s">
        <v>1769</v>
      </c>
      <c r="C1318" t="s">
        <v>2789</v>
      </c>
      <c r="D1318">
        <v>3</v>
      </c>
      <c r="E1318">
        <v>0</v>
      </c>
      <c r="F1318">
        <v>0</v>
      </c>
      <c r="G1318" t="s">
        <v>3530</v>
      </c>
      <c r="H1318" t="s">
        <v>3548</v>
      </c>
      <c r="I1318" t="s">
        <v>3680</v>
      </c>
      <c r="L1318" t="s">
        <v>3531</v>
      </c>
    </row>
    <row r="1319" spans="1:12" x14ac:dyDescent="0.2">
      <c r="A1319" t="s">
        <v>1767</v>
      </c>
      <c r="B1319" t="s">
        <v>1769</v>
      </c>
      <c r="C1319" t="s">
        <v>2789</v>
      </c>
      <c r="D1319">
        <v>3</v>
      </c>
      <c r="E1319">
        <v>0</v>
      </c>
      <c r="F1319">
        <v>0</v>
      </c>
      <c r="G1319" t="s">
        <v>3530</v>
      </c>
      <c r="H1319" t="s">
        <v>3548</v>
      </c>
      <c r="I1319" t="s">
        <v>3681</v>
      </c>
      <c r="L1319" t="s">
        <v>3531</v>
      </c>
    </row>
    <row r="1320" spans="1:12" x14ac:dyDescent="0.2">
      <c r="A1320" t="s">
        <v>1767</v>
      </c>
      <c r="B1320" t="s">
        <v>1769</v>
      </c>
      <c r="C1320" t="s">
        <v>2789</v>
      </c>
      <c r="D1320">
        <v>3</v>
      </c>
      <c r="E1320">
        <v>0</v>
      </c>
      <c r="F1320">
        <v>0</v>
      </c>
      <c r="G1320" t="s">
        <v>3530</v>
      </c>
      <c r="H1320" t="s">
        <v>3548</v>
      </c>
      <c r="I1320" t="s">
        <v>3682</v>
      </c>
      <c r="L1320" t="s">
        <v>3531</v>
      </c>
    </row>
    <row r="1321" spans="1:12" x14ac:dyDescent="0.2">
      <c r="A1321" t="s">
        <v>1767</v>
      </c>
      <c r="B1321" t="s">
        <v>1769</v>
      </c>
      <c r="C1321" t="s">
        <v>2789</v>
      </c>
      <c r="D1321">
        <v>3</v>
      </c>
      <c r="E1321">
        <v>0</v>
      </c>
      <c r="F1321">
        <v>0</v>
      </c>
      <c r="G1321" t="s">
        <v>3530</v>
      </c>
      <c r="H1321" t="s">
        <v>3548</v>
      </c>
      <c r="I1321" t="s">
        <v>3683</v>
      </c>
      <c r="L1321" t="s">
        <v>3531</v>
      </c>
    </row>
    <row r="1322" spans="1:12" x14ac:dyDescent="0.2">
      <c r="A1322" t="s">
        <v>1767</v>
      </c>
      <c r="B1322" t="s">
        <v>1769</v>
      </c>
      <c r="C1322" t="s">
        <v>2789</v>
      </c>
      <c r="D1322">
        <v>3</v>
      </c>
      <c r="E1322">
        <v>0</v>
      </c>
      <c r="F1322">
        <v>0</v>
      </c>
      <c r="G1322" t="s">
        <v>3530</v>
      </c>
      <c r="H1322" t="s">
        <v>3548</v>
      </c>
      <c r="I1322" t="s">
        <v>3684</v>
      </c>
      <c r="L1322" t="s">
        <v>3531</v>
      </c>
    </row>
    <row r="1323" spans="1:12" x14ac:dyDescent="0.2">
      <c r="A1323" t="s">
        <v>1767</v>
      </c>
      <c r="B1323" t="s">
        <v>1769</v>
      </c>
      <c r="C1323" t="s">
        <v>2789</v>
      </c>
      <c r="D1323">
        <v>3</v>
      </c>
      <c r="E1323">
        <v>0</v>
      </c>
      <c r="F1323">
        <v>0</v>
      </c>
      <c r="G1323" t="s">
        <v>3530</v>
      </c>
      <c r="H1323" t="s">
        <v>3548</v>
      </c>
      <c r="I1323" t="s">
        <v>3685</v>
      </c>
      <c r="L1323" t="s">
        <v>3531</v>
      </c>
    </row>
    <row r="1324" spans="1:12" x14ac:dyDescent="0.2">
      <c r="A1324" t="s">
        <v>1767</v>
      </c>
      <c r="B1324" t="s">
        <v>1769</v>
      </c>
      <c r="C1324" t="s">
        <v>2789</v>
      </c>
      <c r="D1324">
        <v>3</v>
      </c>
      <c r="E1324">
        <v>0</v>
      </c>
      <c r="F1324">
        <v>0</v>
      </c>
      <c r="G1324" t="s">
        <v>3530</v>
      </c>
      <c r="H1324" t="s">
        <v>3548</v>
      </c>
      <c r="I1324" t="s">
        <v>3686</v>
      </c>
      <c r="L1324" t="s">
        <v>3531</v>
      </c>
    </row>
    <row r="1325" spans="1:12" x14ac:dyDescent="0.2">
      <c r="A1325" t="s">
        <v>1767</v>
      </c>
      <c r="B1325" t="s">
        <v>1769</v>
      </c>
      <c r="C1325" t="s">
        <v>2789</v>
      </c>
      <c r="D1325">
        <v>3</v>
      </c>
      <c r="E1325">
        <v>0</v>
      </c>
      <c r="F1325">
        <v>0</v>
      </c>
      <c r="G1325" t="s">
        <v>3530</v>
      </c>
      <c r="H1325" t="s">
        <v>3548</v>
      </c>
      <c r="I1325" t="s">
        <v>3687</v>
      </c>
      <c r="L1325" t="s">
        <v>3531</v>
      </c>
    </row>
    <row r="1326" spans="1:12" x14ac:dyDescent="0.2">
      <c r="A1326" t="s">
        <v>1767</v>
      </c>
      <c r="B1326" t="s">
        <v>1769</v>
      </c>
      <c r="C1326" t="s">
        <v>2789</v>
      </c>
      <c r="D1326">
        <v>3</v>
      </c>
      <c r="E1326">
        <v>0</v>
      </c>
      <c r="F1326">
        <v>0</v>
      </c>
      <c r="G1326" t="s">
        <v>3530</v>
      </c>
      <c r="H1326" t="s">
        <v>3548</v>
      </c>
      <c r="I1326" t="s">
        <v>3688</v>
      </c>
      <c r="L1326" t="s">
        <v>3531</v>
      </c>
    </row>
    <row r="1327" spans="1:12" x14ac:dyDescent="0.2">
      <c r="A1327" t="s">
        <v>1767</v>
      </c>
      <c r="B1327" t="s">
        <v>1769</v>
      </c>
      <c r="C1327" t="s">
        <v>2789</v>
      </c>
      <c r="D1327">
        <v>3</v>
      </c>
      <c r="E1327">
        <v>1017</v>
      </c>
      <c r="F1327">
        <v>1017</v>
      </c>
      <c r="G1327" t="s">
        <v>3530</v>
      </c>
      <c r="H1327" t="s">
        <v>3689</v>
      </c>
      <c r="I1327" t="s">
        <v>3690</v>
      </c>
      <c r="L1327" t="s">
        <v>3531</v>
      </c>
    </row>
    <row r="1328" spans="1:12" x14ac:dyDescent="0.2">
      <c r="A1328" t="s">
        <v>1767</v>
      </c>
      <c r="B1328" t="s">
        <v>1769</v>
      </c>
      <c r="C1328" t="s">
        <v>2789</v>
      </c>
      <c r="D1328">
        <v>3</v>
      </c>
      <c r="E1328">
        <v>57.8</v>
      </c>
      <c r="F1328">
        <v>57.8</v>
      </c>
      <c r="G1328" t="s">
        <v>3530</v>
      </c>
      <c r="H1328" t="s">
        <v>3691</v>
      </c>
      <c r="I1328" t="s">
        <v>3692</v>
      </c>
      <c r="L1328" t="s">
        <v>3531</v>
      </c>
    </row>
    <row r="1329" spans="1:12" x14ac:dyDescent="0.2">
      <c r="A1329" t="s">
        <v>1767</v>
      </c>
      <c r="B1329" t="s">
        <v>1769</v>
      </c>
      <c r="C1329" t="s">
        <v>2789</v>
      </c>
      <c r="D1329">
        <v>3</v>
      </c>
      <c r="E1329">
        <v>0</v>
      </c>
      <c r="F1329">
        <v>0</v>
      </c>
      <c r="G1329" t="s">
        <v>3530</v>
      </c>
      <c r="H1329" t="s">
        <v>3548</v>
      </c>
      <c r="I1329" t="s">
        <v>3693</v>
      </c>
      <c r="L1329" t="s">
        <v>3531</v>
      </c>
    </row>
    <row r="1330" spans="1:12" x14ac:dyDescent="0.2">
      <c r="A1330" t="s">
        <v>1767</v>
      </c>
      <c r="B1330" t="s">
        <v>1769</v>
      </c>
      <c r="C1330" t="s">
        <v>2789</v>
      </c>
      <c r="D1330">
        <v>3</v>
      </c>
      <c r="E1330">
        <v>38.53</v>
      </c>
      <c r="F1330">
        <v>38.53</v>
      </c>
      <c r="G1330" t="s">
        <v>3530</v>
      </c>
      <c r="H1330" t="s">
        <v>3694</v>
      </c>
      <c r="I1330" t="s">
        <v>3695</v>
      </c>
      <c r="L1330" t="s">
        <v>3531</v>
      </c>
    </row>
    <row r="1331" spans="1:12" x14ac:dyDescent="0.2">
      <c r="A1331" t="s">
        <v>1767</v>
      </c>
      <c r="B1331" t="s">
        <v>1769</v>
      </c>
      <c r="C1331" t="s">
        <v>2789</v>
      </c>
      <c r="D1331">
        <v>4</v>
      </c>
      <c r="E1331">
        <v>109.9</v>
      </c>
      <c r="F1331">
        <v>109.9</v>
      </c>
      <c r="G1331" t="s">
        <v>3530</v>
      </c>
      <c r="H1331" t="s">
        <v>3696</v>
      </c>
      <c r="I1331" t="s">
        <v>3583</v>
      </c>
      <c r="J1331" t="s">
        <v>3697</v>
      </c>
      <c r="L1331" t="s">
        <v>3531</v>
      </c>
    </row>
    <row r="1332" spans="1:12" x14ac:dyDescent="0.2">
      <c r="A1332" t="s">
        <v>1767</v>
      </c>
      <c r="B1332" t="s">
        <v>1769</v>
      </c>
      <c r="C1332" t="s">
        <v>2789</v>
      </c>
      <c r="D1332">
        <v>4</v>
      </c>
      <c r="E1332">
        <v>1831</v>
      </c>
      <c r="F1332">
        <v>1831</v>
      </c>
      <c r="G1332" t="s">
        <v>3530</v>
      </c>
      <c r="H1332" t="s">
        <v>3698</v>
      </c>
      <c r="I1332" t="s">
        <v>3583</v>
      </c>
      <c r="J1332" t="s">
        <v>3699</v>
      </c>
      <c r="L1332" t="s">
        <v>3531</v>
      </c>
    </row>
    <row r="1333" spans="1:12" x14ac:dyDescent="0.2">
      <c r="A1333" t="s">
        <v>1767</v>
      </c>
      <c r="B1333" t="s">
        <v>1769</v>
      </c>
      <c r="C1333" t="s">
        <v>2789</v>
      </c>
      <c r="D1333">
        <v>4</v>
      </c>
      <c r="E1333">
        <v>105.64</v>
      </c>
      <c r="F1333">
        <v>105.64</v>
      </c>
      <c r="G1333" t="s">
        <v>3530</v>
      </c>
      <c r="H1333" t="s">
        <v>3700</v>
      </c>
      <c r="I1333" t="s">
        <v>3583</v>
      </c>
      <c r="J1333" t="s">
        <v>3701</v>
      </c>
      <c r="L1333" t="s">
        <v>3531</v>
      </c>
    </row>
    <row r="1334" spans="1:12" x14ac:dyDescent="0.2">
      <c r="A1334" t="s">
        <v>1767</v>
      </c>
      <c r="B1334" t="s">
        <v>1769</v>
      </c>
      <c r="C1334" t="s">
        <v>2789</v>
      </c>
      <c r="D1334">
        <v>4</v>
      </c>
      <c r="E1334">
        <v>961</v>
      </c>
      <c r="F1334">
        <v>961</v>
      </c>
      <c r="G1334" t="s">
        <v>3530</v>
      </c>
      <c r="H1334" t="s">
        <v>3702</v>
      </c>
      <c r="I1334" t="s">
        <v>3583</v>
      </c>
      <c r="J1334" t="s">
        <v>3703</v>
      </c>
      <c r="L1334" t="s">
        <v>3531</v>
      </c>
    </row>
    <row r="1335" spans="1:12" x14ac:dyDescent="0.2">
      <c r="A1335" t="s">
        <v>1767</v>
      </c>
      <c r="B1335" t="s">
        <v>1769</v>
      </c>
      <c r="C1335" t="s">
        <v>2789</v>
      </c>
      <c r="D1335">
        <v>4</v>
      </c>
      <c r="E1335">
        <v>105.64</v>
      </c>
      <c r="F1335">
        <v>105.64</v>
      </c>
      <c r="G1335" t="s">
        <v>3530</v>
      </c>
      <c r="H1335" t="s">
        <v>3700</v>
      </c>
      <c r="I1335" t="s">
        <v>3583</v>
      </c>
      <c r="J1335" t="s">
        <v>3701</v>
      </c>
      <c r="L1335" t="s">
        <v>3531</v>
      </c>
    </row>
    <row r="1336" spans="1:12" x14ac:dyDescent="0.2">
      <c r="A1336" t="s">
        <v>1767</v>
      </c>
      <c r="B1336" t="s">
        <v>1769</v>
      </c>
      <c r="C1336" t="s">
        <v>2789</v>
      </c>
      <c r="D1336">
        <v>4</v>
      </c>
      <c r="E1336">
        <v>291.10000000000002</v>
      </c>
      <c r="F1336">
        <v>291.10000000000002</v>
      </c>
      <c r="G1336" t="s">
        <v>3530</v>
      </c>
      <c r="H1336" t="s">
        <v>3704</v>
      </c>
      <c r="I1336" t="s">
        <v>3583</v>
      </c>
      <c r="J1336" t="s">
        <v>3705</v>
      </c>
      <c r="L1336" t="s">
        <v>3531</v>
      </c>
    </row>
    <row r="1337" spans="1:12" x14ac:dyDescent="0.2">
      <c r="A1337" t="s">
        <v>1767</v>
      </c>
      <c r="B1337" t="s">
        <v>1769</v>
      </c>
      <c r="C1337" t="s">
        <v>2789</v>
      </c>
      <c r="D1337">
        <v>4</v>
      </c>
      <c r="E1337">
        <v>1153</v>
      </c>
      <c r="F1337">
        <v>1153</v>
      </c>
      <c r="G1337" t="s">
        <v>3530</v>
      </c>
      <c r="H1337" t="s">
        <v>3706</v>
      </c>
      <c r="I1337" t="s">
        <v>3583</v>
      </c>
      <c r="J1337" t="s">
        <v>3707</v>
      </c>
      <c r="L1337" t="s">
        <v>3531</v>
      </c>
    </row>
    <row r="1338" spans="1:12" x14ac:dyDescent="0.2">
      <c r="A1338" t="s">
        <v>1767</v>
      </c>
      <c r="B1338" t="s">
        <v>1769</v>
      </c>
      <c r="C1338" t="s">
        <v>2789</v>
      </c>
      <c r="D1338">
        <v>4</v>
      </c>
      <c r="E1338">
        <v>109.2</v>
      </c>
      <c r="F1338">
        <v>109.2</v>
      </c>
      <c r="G1338" t="s">
        <v>3530</v>
      </c>
      <c r="H1338" t="s">
        <v>3708</v>
      </c>
      <c r="I1338" t="s">
        <v>3583</v>
      </c>
      <c r="J1338" t="s">
        <v>3709</v>
      </c>
      <c r="L1338" t="s">
        <v>3531</v>
      </c>
    </row>
    <row r="1339" spans="1:12" x14ac:dyDescent="0.2">
      <c r="A1339" t="s">
        <v>1767</v>
      </c>
      <c r="B1339" t="s">
        <v>1769</v>
      </c>
      <c r="C1339" t="s">
        <v>2789</v>
      </c>
      <c r="D1339">
        <v>4</v>
      </c>
      <c r="E1339">
        <v>29.36</v>
      </c>
      <c r="F1339">
        <v>29.36</v>
      </c>
      <c r="G1339" t="s">
        <v>3530</v>
      </c>
      <c r="H1339" t="s">
        <v>3710</v>
      </c>
      <c r="I1339" t="s">
        <v>3583</v>
      </c>
      <c r="J1339" t="s">
        <v>3711</v>
      </c>
      <c r="L1339" t="s">
        <v>3531</v>
      </c>
    </row>
    <row r="1340" spans="1:12" x14ac:dyDescent="0.2">
      <c r="A1340" t="s">
        <v>1767</v>
      </c>
      <c r="B1340" t="s">
        <v>1769</v>
      </c>
      <c r="C1340" t="s">
        <v>2789</v>
      </c>
      <c r="D1340">
        <v>4</v>
      </c>
      <c r="E1340">
        <v>156.57</v>
      </c>
      <c r="F1340">
        <v>156.57</v>
      </c>
      <c r="G1340" t="s">
        <v>3530</v>
      </c>
      <c r="H1340" t="s">
        <v>3712</v>
      </c>
      <c r="I1340" t="s">
        <v>3583</v>
      </c>
      <c r="J1340" t="s">
        <v>3713</v>
      </c>
      <c r="L1340" t="s">
        <v>3531</v>
      </c>
    </row>
    <row r="1341" spans="1:12" x14ac:dyDescent="0.2">
      <c r="A1341" t="s">
        <v>1767</v>
      </c>
      <c r="B1341" t="s">
        <v>1769</v>
      </c>
      <c r="C1341" t="s">
        <v>2789</v>
      </c>
      <c r="D1341">
        <v>4</v>
      </c>
      <c r="E1341">
        <v>8</v>
      </c>
      <c r="F1341">
        <v>8</v>
      </c>
      <c r="G1341" t="s">
        <v>3530</v>
      </c>
      <c r="H1341" t="s">
        <v>3714</v>
      </c>
      <c r="I1341" t="s">
        <v>3583</v>
      </c>
      <c r="J1341" t="s">
        <v>3715</v>
      </c>
      <c r="L1341" t="s">
        <v>3531</v>
      </c>
    </row>
    <row r="1342" spans="1:12" x14ac:dyDescent="0.2">
      <c r="A1342" t="s">
        <v>1767</v>
      </c>
      <c r="B1342" t="s">
        <v>1769</v>
      </c>
      <c r="C1342" t="s">
        <v>2789</v>
      </c>
      <c r="D1342">
        <v>4</v>
      </c>
      <c r="E1342">
        <v>104</v>
      </c>
      <c r="F1342">
        <v>104</v>
      </c>
      <c r="G1342" t="s">
        <v>3530</v>
      </c>
      <c r="H1342" t="s">
        <v>3546</v>
      </c>
      <c r="I1342" t="s">
        <v>3583</v>
      </c>
      <c r="J1342" t="s">
        <v>3716</v>
      </c>
      <c r="L1342" t="s">
        <v>3531</v>
      </c>
    </row>
    <row r="1343" spans="1:12" x14ac:dyDescent="0.2">
      <c r="A1343" t="s">
        <v>1767</v>
      </c>
      <c r="B1343" t="s">
        <v>1769</v>
      </c>
      <c r="C1343" t="s">
        <v>2789</v>
      </c>
      <c r="D1343">
        <v>4</v>
      </c>
      <c r="E1343">
        <v>136</v>
      </c>
      <c r="F1343">
        <v>136</v>
      </c>
      <c r="G1343" t="s">
        <v>3530</v>
      </c>
      <c r="H1343" t="s">
        <v>3717</v>
      </c>
      <c r="I1343" t="s">
        <v>3583</v>
      </c>
      <c r="J1343" t="s">
        <v>3718</v>
      </c>
      <c r="L1343" t="s">
        <v>3531</v>
      </c>
    </row>
    <row r="1344" spans="1:12" x14ac:dyDescent="0.2">
      <c r="A1344" t="s">
        <v>1767</v>
      </c>
      <c r="B1344" t="s">
        <v>1769</v>
      </c>
      <c r="C1344" t="s">
        <v>2789</v>
      </c>
      <c r="D1344">
        <v>4</v>
      </c>
      <c r="E1344">
        <v>85.44</v>
      </c>
      <c r="F1344">
        <v>85.44</v>
      </c>
      <c r="G1344" t="s">
        <v>3530</v>
      </c>
      <c r="H1344" t="s">
        <v>3719</v>
      </c>
      <c r="I1344" t="s">
        <v>3583</v>
      </c>
      <c r="J1344" t="s">
        <v>3720</v>
      </c>
      <c r="L1344" t="s">
        <v>3531</v>
      </c>
    </row>
    <row r="1345" spans="1:12" x14ac:dyDescent="0.2">
      <c r="A1345" t="s">
        <v>1767</v>
      </c>
      <c r="B1345" t="s">
        <v>1769</v>
      </c>
      <c r="C1345" t="s">
        <v>2789</v>
      </c>
      <c r="D1345">
        <v>4</v>
      </c>
      <c r="E1345">
        <v>116.44</v>
      </c>
      <c r="F1345">
        <v>116.44</v>
      </c>
      <c r="G1345" t="s">
        <v>3530</v>
      </c>
      <c r="H1345" t="s">
        <v>3721</v>
      </c>
      <c r="I1345" t="s">
        <v>3583</v>
      </c>
      <c r="J1345" t="s">
        <v>3722</v>
      </c>
      <c r="L1345" t="s">
        <v>3531</v>
      </c>
    </row>
    <row r="1346" spans="1:12" x14ac:dyDescent="0.2">
      <c r="A1346" t="s">
        <v>1767</v>
      </c>
      <c r="B1346" t="s">
        <v>1769</v>
      </c>
      <c r="C1346" t="s">
        <v>2789</v>
      </c>
      <c r="D1346">
        <v>4</v>
      </c>
      <c r="E1346">
        <v>5.28</v>
      </c>
      <c r="F1346">
        <v>5.28</v>
      </c>
      <c r="G1346" t="s">
        <v>3530</v>
      </c>
      <c r="H1346" t="s">
        <v>3723</v>
      </c>
      <c r="I1346" t="s">
        <v>3583</v>
      </c>
      <c r="J1346" t="s">
        <v>2091</v>
      </c>
      <c r="L1346" t="s">
        <v>3531</v>
      </c>
    </row>
    <row r="1347" spans="1:12" x14ac:dyDescent="0.2">
      <c r="A1347" t="s">
        <v>1767</v>
      </c>
      <c r="B1347" t="s">
        <v>1769</v>
      </c>
      <c r="C1347" t="s">
        <v>2789</v>
      </c>
      <c r="D1347">
        <v>4</v>
      </c>
      <c r="E1347">
        <v>95.44</v>
      </c>
      <c r="F1347">
        <v>95.44</v>
      </c>
      <c r="G1347" t="s">
        <v>3530</v>
      </c>
      <c r="H1347" t="s">
        <v>3724</v>
      </c>
      <c r="I1347" t="s">
        <v>3583</v>
      </c>
      <c r="J1347" t="s">
        <v>3725</v>
      </c>
      <c r="L1347" t="s">
        <v>3531</v>
      </c>
    </row>
    <row r="1348" spans="1:12" x14ac:dyDescent="0.2">
      <c r="A1348" t="s">
        <v>1767</v>
      </c>
      <c r="B1348" t="s">
        <v>1769</v>
      </c>
      <c r="C1348" t="s">
        <v>2789</v>
      </c>
      <c r="D1348">
        <v>4</v>
      </c>
      <c r="E1348">
        <v>53.5</v>
      </c>
      <c r="F1348">
        <v>53.5</v>
      </c>
      <c r="G1348" t="s">
        <v>3530</v>
      </c>
      <c r="H1348" t="s">
        <v>3726</v>
      </c>
      <c r="I1348" t="s">
        <v>3583</v>
      </c>
      <c r="J1348" t="s">
        <v>3727</v>
      </c>
      <c r="L1348" t="s">
        <v>3531</v>
      </c>
    </row>
    <row r="1349" spans="1:12" x14ac:dyDescent="0.2">
      <c r="A1349" t="s">
        <v>1767</v>
      </c>
      <c r="B1349" t="s">
        <v>1769</v>
      </c>
      <c r="C1349" t="s">
        <v>2789</v>
      </c>
      <c r="D1349">
        <v>4</v>
      </c>
      <c r="E1349">
        <v>85.46</v>
      </c>
      <c r="F1349">
        <v>85.46</v>
      </c>
      <c r="G1349" t="s">
        <v>3530</v>
      </c>
      <c r="H1349" t="s">
        <v>3728</v>
      </c>
      <c r="I1349" t="s">
        <v>3583</v>
      </c>
      <c r="J1349" t="s">
        <v>3729</v>
      </c>
      <c r="L1349" t="s">
        <v>3531</v>
      </c>
    </row>
    <row r="1350" spans="1:12" x14ac:dyDescent="0.2">
      <c r="A1350" t="s">
        <v>1767</v>
      </c>
      <c r="B1350" t="s">
        <v>1769</v>
      </c>
      <c r="C1350" t="s">
        <v>2789</v>
      </c>
      <c r="D1350">
        <v>4</v>
      </c>
      <c r="E1350">
        <v>19.27</v>
      </c>
      <c r="F1350">
        <v>19.27</v>
      </c>
      <c r="G1350" t="s">
        <v>3530</v>
      </c>
      <c r="H1350" t="s">
        <v>3730</v>
      </c>
      <c r="I1350" t="s">
        <v>3583</v>
      </c>
      <c r="J1350" t="s">
        <v>3731</v>
      </c>
      <c r="L1350" t="s">
        <v>3531</v>
      </c>
    </row>
    <row r="1351" spans="1:12" x14ac:dyDescent="0.2">
      <c r="A1351" t="s">
        <v>1767</v>
      </c>
      <c r="B1351" t="s">
        <v>1769</v>
      </c>
      <c r="C1351" t="s">
        <v>2789</v>
      </c>
      <c r="D1351">
        <v>4</v>
      </c>
      <c r="E1351">
        <v>93.96</v>
      </c>
      <c r="F1351">
        <v>93.96</v>
      </c>
      <c r="G1351" t="s">
        <v>3530</v>
      </c>
      <c r="H1351" t="s">
        <v>3732</v>
      </c>
      <c r="I1351" t="s">
        <v>3583</v>
      </c>
      <c r="J1351" t="s">
        <v>3733</v>
      </c>
      <c r="L1351" t="s">
        <v>3531</v>
      </c>
    </row>
    <row r="1352" spans="1:12" x14ac:dyDescent="0.2">
      <c r="A1352" t="s">
        <v>1767</v>
      </c>
      <c r="B1352" t="s">
        <v>1769</v>
      </c>
      <c r="C1352" t="s">
        <v>2789</v>
      </c>
      <c r="D1352">
        <v>4</v>
      </c>
      <c r="E1352">
        <v>11.88</v>
      </c>
      <c r="F1352">
        <v>11.88</v>
      </c>
      <c r="G1352" t="s">
        <v>3530</v>
      </c>
      <c r="H1352" t="s">
        <v>3734</v>
      </c>
      <c r="I1352" t="s">
        <v>3583</v>
      </c>
      <c r="J1352" t="s">
        <v>3735</v>
      </c>
      <c r="L1352" t="s">
        <v>3531</v>
      </c>
    </row>
    <row r="1353" spans="1:12" x14ac:dyDescent="0.2">
      <c r="A1353" t="s">
        <v>1767</v>
      </c>
      <c r="B1353" t="s">
        <v>1769</v>
      </c>
      <c r="C1353" t="s">
        <v>2789</v>
      </c>
      <c r="D1353">
        <v>4</v>
      </c>
      <c r="E1353">
        <v>5.99</v>
      </c>
      <c r="F1353">
        <v>5.99</v>
      </c>
      <c r="G1353" t="s">
        <v>3530</v>
      </c>
      <c r="H1353" t="s">
        <v>3736</v>
      </c>
      <c r="I1353" t="s">
        <v>3583</v>
      </c>
      <c r="J1353" t="s">
        <v>3737</v>
      </c>
      <c r="L1353" t="s">
        <v>3531</v>
      </c>
    </row>
    <row r="1354" spans="1:12" x14ac:dyDescent="0.2">
      <c r="A1354" t="s">
        <v>1767</v>
      </c>
      <c r="B1354" t="s">
        <v>1769</v>
      </c>
      <c r="C1354" t="s">
        <v>2789</v>
      </c>
      <c r="D1354">
        <v>4</v>
      </c>
      <c r="E1354">
        <v>76</v>
      </c>
      <c r="F1354">
        <v>76</v>
      </c>
      <c r="G1354" t="s">
        <v>3530</v>
      </c>
      <c r="H1354" t="s">
        <v>3738</v>
      </c>
      <c r="I1354" t="s">
        <v>3583</v>
      </c>
      <c r="J1354" t="s">
        <v>3739</v>
      </c>
      <c r="L1354" t="s">
        <v>3531</v>
      </c>
    </row>
    <row r="1355" spans="1:12" x14ac:dyDescent="0.2">
      <c r="A1355" t="s">
        <v>1767</v>
      </c>
      <c r="B1355" t="s">
        <v>1769</v>
      </c>
      <c r="C1355" t="s">
        <v>2789</v>
      </c>
      <c r="D1355">
        <v>4</v>
      </c>
      <c r="E1355">
        <v>90</v>
      </c>
      <c r="F1355">
        <v>90</v>
      </c>
      <c r="G1355" t="s">
        <v>3530</v>
      </c>
      <c r="H1355" t="s">
        <v>3740</v>
      </c>
      <c r="I1355" t="s">
        <v>3583</v>
      </c>
      <c r="J1355" t="s">
        <v>3741</v>
      </c>
      <c r="L1355" t="s">
        <v>3531</v>
      </c>
    </row>
    <row r="1356" spans="1:12" x14ac:dyDescent="0.2">
      <c r="A1356" t="s">
        <v>1767</v>
      </c>
      <c r="B1356" t="s">
        <v>1769</v>
      </c>
      <c r="C1356" t="s">
        <v>2789</v>
      </c>
      <c r="D1356">
        <v>4</v>
      </c>
      <c r="E1356">
        <v>147</v>
      </c>
      <c r="F1356">
        <v>147</v>
      </c>
      <c r="G1356" t="s">
        <v>3530</v>
      </c>
      <c r="H1356" t="s">
        <v>3742</v>
      </c>
      <c r="I1356" t="s">
        <v>3583</v>
      </c>
      <c r="J1356" t="s">
        <v>3743</v>
      </c>
      <c r="L1356" t="s">
        <v>3531</v>
      </c>
    </row>
    <row r="1357" spans="1:12" x14ac:dyDescent="0.2">
      <c r="A1357" t="s">
        <v>1767</v>
      </c>
      <c r="B1357" t="s">
        <v>1769</v>
      </c>
      <c r="C1357" t="s">
        <v>2789</v>
      </c>
      <c r="D1357">
        <v>4</v>
      </c>
      <c r="E1357">
        <v>58.22</v>
      </c>
      <c r="F1357">
        <v>58.22</v>
      </c>
      <c r="G1357" t="s">
        <v>3530</v>
      </c>
      <c r="H1357" t="s">
        <v>3744</v>
      </c>
      <c r="I1357" t="s">
        <v>3583</v>
      </c>
      <c r="J1357" t="s">
        <v>3745</v>
      </c>
      <c r="L1357" t="s">
        <v>3531</v>
      </c>
    </row>
    <row r="1358" spans="1:12" x14ac:dyDescent="0.2">
      <c r="A1358" t="s">
        <v>1767</v>
      </c>
      <c r="B1358" t="s">
        <v>1769</v>
      </c>
      <c r="C1358" t="s">
        <v>2789</v>
      </c>
      <c r="D1358">
        <v>4</v>
      </c>
      <c r="E1358">
        <v>616.32000000000005</v>
      </c>
      <c r="F1358">
        <v>616.32000000000005</v>
      </c>
      <c r="G1358" t="s">
        <v>3530</v>
      </c>
      <c r="H1358" t="s">
        <v>3746</v>
      </c>
      <c r="I1358" t="s">
        <v>3583</v>
      </c>
      <c r="J1358" t="s">
        <v>3747</v>
      </c>
      <c r="L1358" t="s">
        <v>3531</v>
      </c>
    </row>
    <row r="1359" spans="1:12" x14ac:dyDescent="0.2">
      <c r="A1359" t="s">
        <v>1767</v>
      </c>
      <c r="B1359" t="s">
        <v>1769</v>
      </c>
      <c r="C1359" t="s">
        <v>2789</v>
      </c>
      <c r="D1359">
        <v>4</v>
      </c>
      <c r="E1359">
        <v>53.5</v>
      </c>
      <c r="F1359">
        <v>53.5</v>
      </c>
      <c r="G1359" t="s">
        <v>3530</v>
      </c>
      <c r="H1359" t="s">
        <v>3726</v>
      </c>
      <c r="I1359" t="s">
        <v>3583</v>
      </c>
      <c r="J1359" t="s">
        <v>3748</v>
      </c>
      <c r="L1359" t="s">
        <v>3531</v>
      </c>
    </row>
    <row r="1360" spans="1:12" x14ac:dyDescent="0.2">
      <c r="A1360" t="s">
        <v>1767</v>
      </c>
      <c r="B1360" t="s">
        <v>1769</v>
      </c>
      <c r="C1360" t="s">
        <v>2789</v>
      </c>
      <c r="D1360">
        <v>4</v>
      </c>
      <c r="E1360">
        <v>63.12</v>
      </c>
      <c r="F1360">
        <v>63.12</v>
      </c>
      <c r="G1360" t="s">
        <v>3530</v>
      </c>
      <c r="H1360" t="s">
        <v>3749</v>
      </c>
      <c r="I1360" t="s">
        <v>3583</v>
      </c>
      <c r="J1360" t="s">
        <v>3750</v>
      </c>
      <c r="L1360" t="s">
        <v>3531</v>
      </c>
    </row>
    <row r="1361" spans="1:12" x14ac:dyDescent="0.2">
      <c r="A1361" t="s">
        <v>1767</v>
      </c>
      <c r="B1361" t="s">
        <v>1769</v>
      </c>
      <c r="C1361" t="s">
        <v>2789</v>
      </c>
      <c r="D1361">
        <v>4</v>
      </c>
      <c r="E1361">
        <v>79.900000000000006</v>
      </c>
      <c r="F1361">
        <v>79.900000000000006</v>
      </c>
      <c r="G1361" t="s">
        <v>3530</v>
      </c>
      <c r="H1361" t="s">
        <v>3751</v>
      </c>
      <c r="I1361" t="s">
        <v>3583</v>
      </c>
      <c r="J1361" t="s">
        <v>3752</v>
      </c>
      <c r="L1361" t="s">
        <v>3531</v>
      </c>
    </row>
    <row r="1362" spans="1:12" x14ac:dyDescent="0.2">
      <c r="A1362" t="s">
        <v>1767</v>
      </c>
      <c r="B1362" t="s">
        <v>1769</v>
      </c>
      <c r="C1362" t="s">
        <v>2789</v>
      </c>
      <c r="D1362">
        <v>4</v>
      </c>
      <c r="E1362">
        <v>142.80000000000001</v>
      </c>
      <c r="F1362">
        <v>142.80000000000001</v>
      </c>
      <c r="G1362" t="s">
        <v>3530</v>
      </c>
      <c r="H1362" t="s">
        <v>3753</v>
      </c>
      <c r="I1362" t="s">
        <v>3583</v>
      </c>
      <c r="J1362" t="s">
        <v>3754</v>
      </c>
      <c r="L1362" t="s">
        <v>3531</v>
      </c>
    </row>
    <row r="1363" spans="1:12" x14ac:dyDescent="0.2">
      <c r="A1363" t="s">
        <v>1767</v>
      </c>
      <c r="B1363" t="s">
        <v>1769</v>
      </c>
      <c r="C1363" t="s">
        <v>2789</v>
      </c>
      <c r="D1363">
        <v>4</v>
      </c>
      <c r="E1363">
        <v>201.29</v>
      </c>
      <c r="F1363">
        <v>201.29</v>
      </c>
      <c r="G1363" t="s">
        <v>3530</v>
      </c>
      <c r="H1363" t="s">
        <v>3755</v>
      </c>
      <c r="I1363" t="s">
        <v>3583</v>
      </c>
      <c r="J1363" t="s">
        <v>3756</v>
      </c>
      <c r="L1363" t="s">
        <v>3531</v>
      </c>
    </row>
    <row r="1364" spans="1:12" x14ac:dyDescent="0.2">
      <c r="A1364" t="s">
        <v>1767</v>
      </c>
      <c r="B1364" t="s">
        <v>1769</v>
      </c>
      <c r="C1364" t="s">
        <v>2789</v>
      </c>
      <c r="D1364">
        <v>4</v>
      </c>
      <c r="E1364">
        <v>42.4</v>
      </c>
      <c r="F1364">
        <v>42.4</v>
      </c>
      <c r="G1364" t="s">
        <v>3530</v>
      </c>
      <c r="H1364" t="s">
        <v>3757</v>
      </c>
      <c r="I1364" t="s">
        <v>3583</v>
      </c>
      <c r="J1364" t="s">
        <v>3758</v>
      </c>
      <c r="L1364" t="s">
        <v>3531</v>
      </c>
    </row>
    <row r="1365" spans="1:12" x14ac:dyDescent="0.2">
      <c r="A1365" t="s">
        <v>1767</v>
      </c>
      <c r="B1365" t="s">
        <v>1769</v>
      </c>
      <c r="C1365" t="s">
        <v>2789</v>
      </c>
      <c r="D1365">
        <v>4</v>
      </c>
      <c r="E1365">
        <v>7805</v>
      </c>
      <c r="F1365">
        <v>7805</v>
      </c>
      <c r="G1365" t="s">
        <v>3530</v>
      </c>
      <c r="H1365" t="s">
        <v>3759</v>
      </c>
      <c r="I1365" t="s">
        <v>3583</v>
      </c>
      <c r="J1365" t="s">
        <v>3760</v>
      </c>
      <c r="L1365" t="s">
        <v>3531</v>
      </c>
    </row>
    <row r="1366" spans="1:12" x14ac:dyDescent="0.2">
      <c r="A1366" t="s">
        <v>1767</v>
      </c>
      <c r="B1366" t="s">
        <v>1769</v>
      </c>
      <c r="C1366" t="s">
        <v>2789</v>
      </c>
      <c r="D1366">
        <v>4</v>
      </c>
      <c r="E1366">
        <v>415.4</v>
      </c>
      <c r="F1366">
        <v>415.4</v>
      </c>
      <c r="G1366" t="s">
        <v>3530</v>
      </c>
      <c r="H1366" t="s">
        <v>3761</v>
      </c>
      <c r="I1366" t="s">
        <v>3583</v>
      </c>
      <c r="J1366" t="s">
        <v>3762</v>
      </c>
      <c r="L1366" t="s">
        <v>3531</v>
      </c>
    </row>
    <row r="1367" spans="1:12" x14ac:dyDescent="0.2">
      <c r="A1367" t="s">
        <v>1767</v>
      </c>
      <c r="B1367" t="s">
        <v>1769</v>
      </c>
      <c r="C1367" t="s">
        <v>2789</v>
      </c>
      <c r="D1367">
        <v>4</v>
      </c>
      <c r="E1367">
        <v>826</v>
      </c>
      <c r="F1367">
        <v>826</v>
      </c>
      <c r="G1367" t="s">
        <v>3530</v>
      </c>
      <c r="H1367" t="s">
        <v>3763</v>
      </c>
      <c r="I1367" t="s">
        <v>3583</v>
      </c>
      <c r="J1367" t="s">
        <v>3764</v>
      </c>
      <c r="L1367" t="s">
        <v>3531</v>
      </c>
    </row>
    <row r="1368" spans="1:12" x14ac:dyDescent="0.2">
      <c r="A1368" t="s">
        <v>1767</v>
      </c>
      <c r="B1368" t="s">
        <v>1769</v>
      </c>
      <c r="C1368" t="s">
        <v>2789</v>
      </c>
      <c r="D1368">
        <v>4</v>
      </c>
      <c r="E1368">
        <v>106.52</v>
      </c>
      <c r="F1368">
        <v>106.52</v>
      </c>
      <c r="G1368" t="s">
        <v>3530</v>
      </c>
      <c r="H1368" t="s">
        <v>3765</v>
      </c>
      <c r="I1368" t="s">
        <v>3583</v>
      </c>
      <c r="J1368" t="s">
        <v>3766</v>
      </c>
      <c r="L1368" t="s">
        <v>3531</v>
      </c>
    </row>
    <row r="1369" spans="1:12" x14ac:dyDescent="0.2">
      <c r="A1369" t="s">
        <v>1767</v>
      </c>
      <c r="B1369" t="s">
        <v>1769</v>
      </c>
      <c r="C1369" t="s">
        <v>2789</v>
      </c>
      <c r="D1369">
        <v>4</v>
      </c>
      <c r="E1369">
        <v>90</v>
      </c>
      <c r="F1369">
        <v>90</v>
      </c>
      <c r="G1369" t="s">
        <v>3530</v>
      </c>
      <c r="H1369" t="s">
        <v>3740</v>
      </c>
      <c r="I1369" t="s">
        <v>3583</v>
      </c>
      <c r="J1369" t="s">
        <v>3741</v>
      </c>
      <c r="L1369" t="s">
        <v>3531</v>
      </c>
    </row>
    <row r="1370" spans="1:12" x14ac:dyDescent="0.2">
      <c r="A1370" t="s">
        <v>1767</v>
      </c>
      <c r="B1370" t="s">
        <v>1769</v>
      </c>
      <c r="C1370" t="s">
        <v>2789</v>
      </c>
      <c r="D1370">
        <v>4</v>
      </c>
      <c r="E1370">
        <v>30</v>
      </c>
      <c r="F1370">
        <v>30</v>
      </c>
      <c r="G1370" t="s">
        <v>3530</v>
      </c>
      <c r="H1370" t="s">
        <v>3767</v>
      </c>
      <c r="I1370" t="s">
        <v>3583</v>
      </c>
      <c r="J1370" t="s">
        <v>3768</v>
      </c>
      <c r="L1370" t="s">
        <v>3531</v>
      </c>
    </row>
    <row r="1371" spans="1:12" x14ac:dyDescent="0.2">
      <c r="A1371" t="s">
        <v>1767</v>
      </c>
      <c r="B1371" t="s">
        <v>1769</v>
      </c>
      <c r="C1371" t="s">
        <v>2789</v>
      </c>
      <c r="D1371">
        <v>4</v>
      </c>
      <c r="E1371">
        <v>19</v>
      </c>
      <c r="F1371">
        <v>19</v>
      </c>
      <c r="G1371" t="s">
        <v>3530</v>
      </c>
      <c r="H1371" t="s">
        <v>3769</v>
      </c>
      <c r="I1371" t="s">
        <v>3583</v>
      </c>
      <c r="J1371" t="s">
        <v>3770</v>
      </c>
      <c r="L1371" t="s">
        <v>3531</v>
      </c>
    </row>
    <row r="1372" spans="1:12" x14ac:dyDescent="0.2">
      <c r="A1372" t="s">
        <v>1767</v>
      </c>
      <c r="B1372" t="s">
        <v>1769</v>
      </c>
      <c r="C1372" t="s">
        <v>2789</v>
      </c>
      <c r="D1372">
        <v>4</v>
      </c>
      <c r="E1372">
        <v>4191</v>
      </c>
      <c r="F1372">
        <v>4191</v>
      </c>
      <c r="G1372" t="s">
        <v>3530</v>
      </c>
      <c r="H1372" t="s">
        <v>3771</v>
      </c>
      <c r="I1372" t="s">
        <v>3583</v>
      </c>
      <c r="J1372" t="s">
        <v>3772</v>
      </c>
      <c r="L1372" t="s">
        <v>3531</v>
      </c>
    </row>
    <row r="1373" spans="1:12" x14ac:dyDescent="0.2">
      <c r="A1373" t="s">
        <v>1767</v>
      </c>
      <c r="B1373" t="s">
        <v>1769</v>
      </c>
      <c r="C1373" t="s">
        <v>2789</v>
      </c>
      <c r="D1373">
        <v>4</v>
      </c>
      <c r="E1373">
        <v>193</v>
      </c>
      <c r="F1373">
        <v>193</v>
      </c>
      <c r="G1373" t="s">
        <v>3530</v>
      </c>
      <c r="H1373" t="s">
        <v>3773</v>
      </c>
      <c r="I1373" t="s">
        <v>3583</v>
      </c>
      <c r="J1373" t="s">
        <v>3774</v>
      </c>
      <c r="L1373" t="s">
        <v>3531</v>
      </c>
    </row>
    <row r="1374" spans="1:12" x14ac:dyDescent="0.2">
      <c r="A1374" t="s">
        <v>1767</v>
      </c>
      <c r="B1374" t="s">
        <v>1769</v>
      </c>
      <c r="C1374" t="s">
        <v>2789</v>
      </c>
      <c r="D1374">
        <v>4</v>
      </c>
      <c r="E1374">
        <v>53.5</v>
      </c>
      <c r="F1374">
        <v>53.5</v>
      </c>
      <c r="G1374" t="s">
        <v>3530</v>
      </c>
      <c r="H1374" t="s">
        <v>3726</v>
      </c>
      <c r="I1374" t="s">
        <v>3583</v>
      </c>
      <c r="J1374" t="s">
        <v>3775</v>
      </c>
      <c r="L1374" t="s">
        <v>3531</v>
      </c>
    </row>
    <row r="1375" spans="1:12" x14ac:dyDescent="0.2">
      <c r="A1375" t="s">
        <v>1767</v>
      </c>
      <c r="B1375" t="s">
        <v>1769</v>
      </c>
      <c r="C1375" t="s">
        <v>2789</v>
      </c>
      <c r="D1375">
        <v>4</v>
      </c>
      <c r="E1375">
        <v>252</v>
      </c>
      <c r="F1375">
        <v>252</v>
      </c>
      <c r="G1375" t="s">
        <v>3530</v>
      </c>
      <c r="H1375" t="s">
        <v>3776</v>
      </c>
      <c r="I1375" t="s">
        <v>3583</v>
      </c>
      <c r="J1375" t="s">
        <v>3777</v>
      </c>
      <c r="L1375" t="s">
        <v>3531</v>
      </c>
    </row>
    <row r="1376" spans="1:12" x14ac:dyDescent="0.2">
      <c r="A1376" t="s">
        <v>1767</v>
      </c>
      <c r="B1376" t="s">
        <v>1769</v>
      </c>
      <c r="C1376" t="s">
        <v>2789</v>
      </c>
      <c r="D1376">
        <v>4</v>
      </c>
      <c r="E1376">
        <v>2781</v>
      </c>
      <c r="F1376">
        <v>2781</v>
      </c>
      <c r="G1376" t="s">
        <v>3530</v>
      </c>
      <c r="H1376" t="s">
        <v>3778</v>
      </c>
      <c r="I1376" t="s">
        <v>3583</v>
      </c>
      <c r="J1376" t="s">
        <v>3779</v>
      </c>
      <c r="L1376" t="s">
        <v>3531</v>
      </c>
    </row>
    <row r="1377" spans="1:12" x14ac:dyDescent="0.2">
      <c r="A1377" t="s">
        <v>1767</v>
      </c>
      <c r="B1377" t="s">
        <v>1769</v>
      </c>
      <c r="C1377" t="s">
        <v>2789</v>
      </c>
      <c r="D1377">
        <v>4</v>
      </c>
      <c r="E1377">
        <v>318.86</v>
      </c>
      <c r="F1377">
        <v>318.86</v>
      </c>
      <c r="G1377" t="s">
        <v>3530</v>
      </c>
      <c r="H1377" t="s">
        <v>3780</v>
      </c>
      <c r="I1377" t="s">
        <v>3583</v>
      </c>
      <c r="J1377" t="s">
        <v>3781</v>
      </c>
      <c r="L1377" t="s">
        <v>3531</v>
      </c>
    </row>
    <row r="1378" spans="1:12" x14ac:dyDescent="0.2">
      <c r="A1378" t="s">
        <v>1767</v>
      </c>
      <c r="B1378" t="s">
        <v>1769</v>
      </c>
      <c r="C1378" t="s">
        <v>2789</v>
      </c>
      <c r="D1378">
        <v>4</v>
      </c>
      <c r="E1378">
        <v>58.22</v>
      </c>
      <c r="F1378">
        <v>58.22</v>
      </c>
      <c r="G1378" t="s">
        <v>3530</v>
      </c>
      <c r="H1378" t="s">
        <v>3744</v>
      </c>
      <c r="I1378" t="s">
        <v>3583</v>
      </c>
      <c r="J1378" t="s">
        <v>3745</v>
      </c>
      <c r="L1378" t="s">
        <v>3531</v>
      </c>
    </row>
    <row r="1379" spans="1:12" x14ac:dyDescent="0.2">
      <c r="A1379" t="s">
        <v>1767</v>
      </c>
      <c r="B1379" t="s">
        <v>1769</v>
      </c>
      <c r="C1379" t="s">
        <v>2789</v>
      </c>
      <c r="D1379">
        <v>4</v>
      </c>
      <c r="E1379">
        <v>507.02</v>
      </c>
      <c r="F1379">
        <v>507.02</v>
      </c>
      <c r="G1379" t="s">
        <v>3530</v>
      </c>
      <c r="H1379" t="s">
        <v>3782</v>
      </c>
      <c r="I1379" t="s">
        <v>3583</v>
      </c>
      <c r="J1379" t="s">
        <v>3783</v>
      </c>
      <c r="L1379" t="s">
        <v>3531</v>
      </c>
    </row>
    <row r="1380" spans="1:12" x14ac:dyDescent="0.2">
      <c r="A1380" t="s">
        <v>1767</v>
      </c>
      <c r="B1380" t="s">
        <v>1769</v>
      </c>
      <c r="C1380" t="s">
        <v>2789</v>
      </c>
      <c r="D1380">
        <v>4</v>
      </c>
      <c r="E1380">
        <v>43.68</v>
      </c>
      <c r="F1380">
        <v>43.68</v>
      </c>
      <c r="G1380" t="s">
        <v>3530</v>
      </c>
      <c r="H1380" t="s">
        <v>3784</v>
      </c>
      <c r="I1380" t="s">
        <v>3583</v>
      </c>
      <c r="J1380" t="s">
        <v>3785</v>
      </c>
      <c r="L1380" t="s">
        <v>3531</v>
      </c>
    </row>
    <row r="1381" spans="1:12" x14ac:dyDescent="0.2">
      <c r="A1381" t="s">
        <v>1767</v>
      </c>
      <c r="B1381" t="s">
        <v>1769</v>
      </c>
      <c r="C1381" t="s">
        <v>2789</v>
      </c>
      <c r="D1381">
        <v>4</v>
      </c>
      <c r="E1381">
        <v>49</v>
      </c>
      <c r="F1381">
        <v>49</v>
      </c>
      <c r="G1381" t="s">
        <v>3530</v>
      </c>
      <c r="H1381" t="s">
        <v>3786</v>
      </c>
      <c r="I1381" t="s">
        <v>3583</v>
      </c>
      <c r="J1381" t="s">
        <v>3787</v>
      </c>
      <c r="L1381" t="s">
        <v>3531</v>
      </c>
    </row>
    <row r="1382" spans="1:12" x14ac:dyDescent="0.2">
      <c r="A1382" t="s">
        <v>1767</v>
      </c>
      <c r="B1382" t="s">
        <v>1769</v>
      </c>
      <c r="C1382" t="s">
        <v>2789</v>
      </c>
      <c r="D1382">
        <v>4</v>
      </c>
      <c r="E1382">
        <v>147</v>
      </c>
      <c r="F1382">
        <v>147</v>
      </c>
      <c r="G1382" t="s">
        <v>3530</v>
      </c>
      <c r="H1382" t="s">
        <v>3742</v>
      </c>
      <c r="I1382" t="s">
        <v>3583</v>
      </c>
      <c r="J1382" t="s">
        <v>3743</v>
      </c>
      <c r="L1382" t="s">
        <v>3531</v>
      </c>
    </row>
    <row r="1383" spans="1:12" x14ac:dyDescent="0.2">
      <c r="A1383" t="s">
        <v>1767</v>
      </c>
      <c r="B1383" t="s">
        <v>1769</v>
      </c>
      <c r="C1383" t="s">
        <v>2789</v>
      </c>
      <c r="D1383">
        <v>4</v>
      </c>
      <c r="E1383">
        <v>53.5</v>
      </c>
      <c r="F1383">
        <v>53.5</v>
      </c>
      <c r="G1383" t="s">
        <v>3530</v>
      </c>
      <c r="H1383" t="s">
        <v>3726</v>
      </c>
      <c r="I1383" t="s">
        <v>3583</v>
      </c>
      <c r="J1383" t="s">
        <v>3788</v>
      </c>
      <c r="L1383" t="s">
        <v>3531</v>
      </c>
    </row>
    <row r="1384" spans="1:12" x14ac:dyDescent="0.2">
      <c r="A1384" t="s">
        <v>1767</v>
      </c>
      <c r="B1384" t="s">
        <v>1769</v>
      </c>
      <c r="C1384" t="s">
        <v>2789</v>
      </c>
      <c r="D1384">
        <v>4</v>
      </c>
      <c r="E1384">
        <v>38</v>
      </c>
      <c r="F1384">
        <v>38</v>
      </c>
      <c r="G1384" t="s">
        <v>3530</v>
      </c>
      <c r="H1384" t="s">
        <v>3789</v>
      </c>
      <c r="I1384" t="s">
        <v>3583</v>
      </c>
      <c r="J1384" t="s">
        <v>3790</v>
      </c>
      <c r="L1384" t="s">
        <v>3531</v>
      </c>
    </row>
    <row r="1385" spans="1:12" x14ac:dyDescent="0.2">
      <c r="A1385" t="s">
        <v>1767</v>
      </c>
      <c r="B1385" t="s">
        <v>1769</v>
      </c>
      <c r="C1385" t="s">
        <v>2789</v>
      </c>
      <c r="D1385">
        <v>4</v>
      </c>
      <c r="E1385">
        <v>185</v>
      </c>
      <c r="F1385">
        <v>185</v>
      </c>
      <c r="G1385" t="s">
        <v>3530</v>
      </c>
      <c r="H1385" t="s">
        <v>3791</v>
      </c>
      <c r="I1385" t="s">
        <v>3583</v>
      </c>
      <c r="J1385" t="s">
        <v>3792</v>
      </c>
      <c r="L1385" t="s">
        <v>3531</v>
      </c>
    </row>
    <row r="1386" spans="1:12" x14ac:dyDescent="0.2">
      <c r="A1386" t="s">
        <v>1767</v>
      </c>
      <c r="B1386" t="s">
        <v>1769</v>
      </c>
      <c r="C1386" t="s">
        <v>2789</v>
      </c>
      <c r="D1386">
        <v>4</v>
      </c>
      <c r="E1386">
        <v>76</v>
      </c>
      <c r="F1386">
        <v>76</v>
      </c>
      <c r="G1386" t="s">
        <v>3530</v>
      </c>
      <c r="H1386" t="s">
        <v>3738</v>
      </c>
      <c r="I1386" t="s">
        <v>3583</v>
      </c>
      <c r="J1386" t="s">
        <v>3739</v>
      </c>
      <c r="L1386" t="s">
        <v>3531</v>
      </c>
    </row>
    <row r="1387" spans="1:12" x14ac:dyDescent="0.2">
      <c r="A1387" t="s">
        <v>1767</v>
      </c>
      <c r="B1387" t="s">
        <v>1769</v>
      </c>
      <c r="C1387" t="s">
        <v>2789</v>
      </c>
      <c r="D1387">
        <v>4</v>
      </c>
      <c r="E1387">
        <v>68</v>
      </c>
      <c r="F1387">
        <v>68</v>
      </c>
      <c r="G1387" t="s">
        <v>3530</v>
      </c>
      <c r="H1387" t="s">
        <v>3793</v>
      </c>
      <c r="I1387" t="s">
        <v>3583</v>
      </c>
      <c r="J1387" t="s">
        <v>3794</v>
      </c>
      <c r="L1387" t="s">
        <v>3531</v>
      </c>
    </row>
    <row r="1388" spans="1:12" x14ac:dyDescent="0.2">
      <c r="A1388" t="s">
        <v>1767</v>
      </c>
      <c r="B1388" t="s">
        <v>1769</v>
      </c>
      <c r="C1388" t="s">
        <v>2789</v>
      </c>
      <c r="D1388">
        <v>4</v>
      </c>
      <c r="E1388">
        <v>63.12</v>
      </c>
      <c r="F1388">
        <v>63.12</v>
      </c>
      <c r="G1388" t="s">
        <v>3530</v>
      </c>
      <c r="H1388" t="s">
        <v>3749</v>
      </c>
      <c r="I1388" t="s">
        <v>3583</v>
      </c>
      <c r="J1388" t="s">
        <v>3795</v>
      </c>
      <c r="L1388" t="s">
        <v>3531</v>
      </c>
    </row>
    <row r="1389" spans="1:12" x14ac:dyDescent="0.2">
      <c r="A1389" t="s">
        <v>1767</v>
      </c>
      <c r="B1389" t="s">
        <v>1769</v>
      </c>
      <c r="C1389" t="s">
        <v>2789</v>
      </c>
      <c r="D1389">
        <v>4</v>
      </c>
      <c r="E1389">
        <v>826</v>
      </c>
      <c r="F1389">
        <v>826</v>
      </c>
      <c r="G1389" t="s">
        <v>3530</v>
      </c>
      <c r="H1389" t="s">
        <v>3763</v>
      </c>
      <c r="I1389" t="s">
        <v>3583</v>
      </c>
      <c r="J1389" t="s">
        <v>3764</v>
      </c>
      <c r="L1389" t="s">
        <v>3531</v>
      </c>
    </row>
    <row r="1390" spans="1:12" x14ac:dyDescent="0.2">
      <c r="A1390" t="s">
        <v>1767</v>
      </c>
      <c r="B1390" t="s">
        <v>1769</v>
      </c>
      <c r="C1390" t="s">
        <v>2789</v>
      </c>
      <c r="D1390">
        <v>4</v>
      </c>
      <c r="E1390">
        <v>930</v>
      </c>
      <c r="F1390">
        <v>930</v>
      </c>
      <c r="G1390" t="s">
        <v>3530</v>
      </c>
      <c r="H1390" t="s">
        <v>3796</v>
      </c>
      <c r="I1390" t="s">
        <v>3583</v>
      </c>
      <c r="J1390" t="s">
        <v>3797</v>
      </c>
      <c r="L1390" t="s">
        <v>3531</v>
      </c>
    </row>
    <row r="1391" spans="1:12" x14ac:dyDescent="0.2">
      <c r="A1391" t="s">
        <v>1767</v>
      </c>
      <c r="B1391" t="s">
        <v>1769</v>
      </c>
      <c r="C1391" t="s">
        <v>2789</v>
      </c>
      <c r="D1391">
        <v>4</v>
      </c>
      <c r="E1391">
        <v>696.24</v>
      </c>
      <c r="F1391">
        <v>696.24</v>
      </c>
      <c r="G1391" t="s">
        <v>3530</v>
      </c>
      <c r="H1391" t="s">
        <v>3798</v>
      </c>
      <c r="I1391" t="s">
        <v>3583</v>
      </c>
      <c r="J1391" t="s">
        <v>3799</v>
      </c>
      <c r="L1391" t="s">
        <v>3531</v>
      </c>
    </row>
    <row r="1392" spans="1:12" x14ac:dyDescent="0.2">
      <c r="A1392" t="s">
        <v>1767</v>
      </c>
      <c r="B1392" t="s">
        <v>1769</v>
      </c>
      <c r="C1392" t="s">
        <v>2789</v>
      </c>
      <c r="D1392">
        <v>4</v>
      </c>
      <c r="E1392">
        <v>80.72</v>
      </c>
      <c r="F1392">
        <v>80.72</v>
      </c>
      <c r="G1392" t="s">
        <v>3530</v>
      </c>
      <c r="H1392" t="s">
        <v>3800</v>
      </c>
      <c r="I1392" t="s">
        <v>3583</v>
      </c>
      <c r="J1392" t="s">
        <v>3801</v>
      </c>
      <c r="L1392" t="s">
        <v>3531</v>
      </c>
    </row>
    <row r="1393" spans="1:12" x14ac:dyDescent="0.2">
      <c r="A1393" t="s">
        <v>1767</v>
      </c>
      <c r="B1393" t="s">
        <v>1769</v>
      </c>
      <c r="C1393" t="s">
        <v>2789</v>
      </c>
      <c r="D1393">
        <v>4</v>
      </c>
      <c r="E1393">
        <v>20639</v>
      </c>
      <c r="F1393">
        <v>20639</v>
      </c>
      <c r="G1393" t="s">
        <v>3530</v>
      </c>
      <c r="H1393" t="s">
        <v>3802</v>
      </c>
      <c r="I1393" t="s">
        <v>3583</v>
      </c>
      <c r="J1393" t="s">
        <v>3803</v>
      </c>
      <c r="L1393" t="s">
        <v>3531</v>
      </c>
    </row>
    <row r="1394" spans="1:12" x14ac:dyDescent="0.2">
      <c r="A1394" t="s">
        <v>1767</v>
      </c>
      <c r="B1394" t="s">
        <v>1769</v>
      </c>
      <c r="C1394" t="s">
        <v>2789</v>
      </c>
      <c r="D1394">
        <v>4</v>
      </c>
      <c r="E1394">
        <v>0</v>
      </c>
      <c r="F1394">
        <v>0</v>
      </c>
      <c r="G1394" t="s">
        <v>3530</v>
      </c>
      <c r="H1394" t="s">
        <v>3548</v>
      </c>
      <c r="I1394" t="s">
        <v>3583</v>
      </c>
      <c r="J1394" t="s">
        <v>2131</v>
      </c>
      <c r="L1394" t="s">
        <v>3531</v>
      </c>
    </row>
    <row r="1395" spans="1:12" x14ac:dyDescent="0.2">
      <c r="A1395" t="s">
        <v>1767</v>
      </c>
      <c r="B1395" t="s">
        <v>1769</v>
      </c>
      <c r="C1395" t="s">
        <v>2789</v>
      </c>
      <c r="D1395">
        <v>4</v>
      </c>
      <c r="E1395">
        <v>10.98</v>
      </c>
      <c r="F1395">
        <v>10.98</v>
      </c>
      <c r="G1395" t="s">
        <v>3530</v>
      </c>
      <c r="H1395" t="s">
        <v>3804</v>
      </c>
      <c r="I1395" t="s">
        <v>3583</v>
      </c>
      <c r="J1395" t="s">
        <v>3805</v>
      </c>
      <c r="L1395" t="s">
        <v>3531</v>
      </c>
    </row>
    <row r="1396" spans="1:12" x14ac:dyDescent="0.2">
      <c r="A1396" t="s">
        <v>1767</v>
      </c>
      <c r="B1396" t="s">
        <v>1769</v>
      </c>
      <c r="C1396" t="s">
        <v>2789</v>
      </c>
      <c r="D1396">
        <v>4</v>
      </c>
      <c r="E1396">
        <v>15</v>
      </c>
      <c r="F1396">
        <v>15</v>
      </c>
      <c r="G1396" t="s">
        <v>3530</v>
      </c>
      <c r="H1396" t="s">
        <v>3806</v>
      </c>
      <c r="I1396" t="s">
        <v>3583</v>
      </c>
      <c r="J1396" t="s">
        <v>2128</v>
      </c>
      <c r="L1396" t="s">
        <v>3531</v>
      </c>
    </row>
    <row r="1397" spans="1:12" x14ac:dyDescent="0.2">
      <c r="A1397" t="s">
        <v>1767</v>
      </c>
      <c r="B1397" t="s">
        <v>1769</v>
      </c>
      <c r="C1397" t="s">
        <v>2789</v>
      </c>
      <c r="D1397">
        <v>4</v>
      </c>
      <c r="E1397">
        <v>0</v>
      </c>
      <c r="F1397">
        <v>0</v>
      </c>
      <c r="G1397" t="s">
        <v>3530</v>
      </c>
      <c r="H1397" t="s">
        <v>3548</v>
      </c>
      <c r="I1397" t="s">
        <v>3583</v>
      </c>
      <c r="J1397" t="s">
        <v>2152</v>
      </c>
      <c r="L1397" t="s">
        <v>3531</v>
      </c>
    </row>
    <row r="1398" spans="1:12" x14ac:dyDescent="0.2">
      <c r="A1398" t="s">
        <v>1767</v>
      </c>
      <c r="B1398" t="s">
        <v>1769</v>
      </c>
      <c r="C1398" t="s">
        <v>2789</v>
      </c>
      <c r="D1398">
        <v>4</v>
      </c>
      <c r="E1398">
        <v>0</v>
      </c>
      <c r="F1398">
        <v>0</v>
      </c>
      <c r="G1398" t="s">
        <v>3530</v>
      </c>
      <c r="H1398" t="s">
        <v>3548</v>
      </c>
      <c r="I1398" t="s">
        <v>3583</v>
      </c>
      <c r="J1398" t="s">
        <v>2136</v>
      </c>
      <c r="L1398" t="s">
        <v>3531</v>
      </c>
    </row>
    <row r="1399" spans="1:12" x14ac:dyDescent="0.2">
      <c r="A1399" t="s">
        <v>1767</v>
      </c>
      <c r="B1399" t="s">
        <v>1769</v>
      </c>
      <c r="C1399" t="s">
        <v>2789</v>
      </c>
      <c r="D1399">
        <v>4</v>
      </c>
      <c r="E1399">
        <v>8.6</v>
      </c>
      <c r="F1399">
        <v>8.6</v>
      </c>
      <c r="G1399" t="s">
        <v>3530</v>
      </c>
      <c r="H1399" t="s">
        <v>3807</v>
      </c>
      <c r="I1399" t="s">
        <v>3583</v>
      </c>
      <c r="J1399" t="s">
        <v>2133</v>
      </c>
      <c r="L1399" t="s">
        <v>3531</v>
      </c>
    </row>
    <row r="1400" spans="1:12" x14ac:dyDescent="0.2">
      <c r="A1400" t="s">
        <v>1767</v>
      </c>
      <c r="B1400" t="s">
        <v>1769</v>
      </c>
      <c r="C1400" t="s">
        <v>2789</v>
      </c>
      <c r="D1400">
        <v>4</v>
      </c>
      <c r="E1400">
        <v>0.84</v>
      </c>
      <c r="F1400">
        <v>0.84</v>
      </c>
      <c r="G1400" t="s">
        <v>3530</v>
      </c>
      <c r="H1400" t="s">
        <v>3808</v>
      </c>
      <c r="I1400" t="s">
        <v>3583</v>
      </c>
      <c r="J1400" t="s">
        <v>2135</v>
      </c>
      <c r="L1400" t="s">
        <v>3531</v>
      </c>
    </row>
    <row r="1401" spans="1:12" x14ac:dyDescent="0.2">
      <c r="A1401" t="s">
        <v>1767</v>
      </c>
      <c r="B1401" t="s">
        <v>1769</v>
      </c>
      <c r="C1401" t="s">
        <v>2789</v>
      </c>
      <c r="D1401">
        <v>4</v>
      </c>
      <c r="E1401">
        <v>1.6</v>
      </c>
      <c r="F1401">
        <v>1.6</v>
      </c>
      <c r="G1401" t="s">
        <v>3530</v>
      </c>
      <c r="H1401" t="s">
        <v>3809</v>
      </c>
      <c r="I1401" t="s">
        <v>3583</v>
      </c>
      <c r="J1401" t="s">
        <v>2125</v>
      </c>
      <c r="L1401" t="s">
        <v>3531</v>
      </c>
    </row>
    <row r="1402" spans="1:12" x14ac:dyDescent="0.2">
      <c r="A1402" t="s">
        <v>1767</v>
      </c>
      <c r="B1402" t="s">
        <v>1769</v>
      </c>
      <c r="C1402" t="s">
        <v>2789</v>
      </c>
      <c r="D1402">
        <v>4</v>
      </c>
      <c r="E1402">
        <v>52</v>
      </c>
      <c r="F1402">
        <v>52</v>
      </c>
      <c r="G1402" t="s">
        <v>3530</v>
      </c>
      <c r="H1402" t="s">
        <v>3810</v>
      </c>
      <c r="I1402" t="s">
        <v>3583</v>
      </c>
      <c r="J1402" t="s">
        <v>3811</v>
      </c>
      <c r="L1402" t="s">
        <v>3531</v>
      </c>
    </row>
    <row r="1403" spans="1:12" x14ac:dyDescent="0.2">
      <c r="A1403" t="s">
        <v>1767</v>
      </c>
      <c r="B1403" t="s">
        <v>1769</v>
      </c>
      <c r="C1403" t="s">
        <v>2789</v>
      </c>
      <c r="D1403">
        <v>4</v>
      </c>
      <c r="E1403">
        <v>826</v>
      </c>
      <c r="F1403">
        <v>826</v>
      </c>
      <c r="G1403" t="s">
        <v>3530</v>
      </c>
      <c r="H1403" t="s">
        <v>3763</v>
      </c>
      <c r="I1403" t="s">
        <v>3583</v>
      </c>
      <c r="J1403" t="s">
        <v>3764</v>
      </c>
      <c r="L1403" t="s">
        <v>3531</v>
      </c>
    </row>
    <row r="1404" spans="1:12" x14ac:dyDescent="0.2">
      <c r="A1404" t="s">
        <v>1767</v>
      </c>
      <c r="B1404" t="s">
        <v>1769</v>
      </c>
      <c r="C1404" t="s">
        <v>2789</v>
      </c>
      <c r="D1404">
        <v>4</v>
      </c>
      <c r="E1404">
        <v>318.86</v>
      </c>
      <c r="F1404">
        <v>318.86</v>
      </c>
      <c r="G1404" t="s">
        <v>3530</v>
      </c>
      <c r="H1404" t="s">
        <v>3780</v>
      </c>
      <c r="I1404" t="s">
        <v>3583</v>
      </c>
      <c r="J1404" t="s">
        <v>2011</v>
      </c>
      <c r="L1404" t="s">
        <v>3531</v>
      </c>
    </row>
    <row r="1405" spans="1:12" x14ac:dyDescent="0.2">
      <c r="A1405" t="s">
        <v>1767</v>
      </c>
      <c r="B1405" t="s">
        <v>1769</v>
      </c>
      <c r="C1405" t="s">
        <v>2789</v>
      </c>
      <c r="D1405">
        <v>4</v>
      </c>
      <c r="E1405">
        <v>5758</v>
      </c>
      <c r="F1405">
        <v>5758</v>
      </c>
      <c r="G1405" t="s">
        <v>3530</v>
      </c>
      <c r="H1405" t="s">
        <v>3812</v>
      </c>
      <c r="I1405" t="s">
        <v>3583</v>
      </c>
      <c r="J1405" t="s">
        <v>3813</v>
      </c>
      <c r="L1405" t="s">
        <v>3531</v>
      </c>
    </row>
    <row r="1406" spans="1:12" x14ac:dyDescent="0.2">
      <c r="A1406" t="s">
        <v>1767</v>
      </c>
      <c r="B1406" t="s">
        <v>1769</v>
      </c>
      <c r="C1406" t="s">
        <v>2789</v>
      </c>
      <c r="D1406">
        <v>4</v>
      </c>
      <c r="E1406">
        <v>38.53</v>
      </c>
      <c r="F1406">
        <v>38.53</v>
      </c>
      <c r="G1406" t="s">
        <v>3530</v>
      </c>
      <c r="H1406" t="s">
        <v>3694</v>
      </c>
      <c r="I1406" t="s">
        <v>3583</v>
      </c>
      <c r="J1406" t="s">
        <v>3814</v>
      </c>
      <c r="L1406" t="s">
        <v>3531</v>
      </c>
    </row>
    <row r="1407" spans="1:12" x14ac:dyDescent="0.2">
      <c r="A1407" t="s">
        <v>1767</v>
      </c>
      <c r="B1407" t="s">
        <v>1769</v>
      </c>
      <c r="C1407" t="s">
        <v>2789</v>
      </c>
      <c r="D1407">
        <v>4</v>
      </c>
      <c r="E1407">
        <v>56.45</v>
      </c>
      <c r="F1407">
        <v>56.45</v>
      </c>
      <c r="G1407" t="s">
        <v>3530</v>
      </c>
      <c r="H1407" t="s">
        <v>3815</v>
      </c>
      <c r="I1407" t="s">
        <v>3583</v>
      </c>
      <c r="J1407" t="s">
        <v>3816</v>
      </c>
      <c r="L1407" t="s">
        <v>3531</v>
      </c>
    </row>
    <row r="1408" spans="1:12" x14ac:dyDescent="0.2">
      <c r="A1408" t="s">
        <v>1767</v>
      </c>
      <c r="B1408" t="s">
        <v>1769</v>
      </c>
      <c r="C1408" t="s">
        <v>2789</v>
      </c>
      <c r="D1408">
        <v>4</v>
      </c>
      <c r="E1408">
        <v>2.52</v>
      </c>
      <c r="F1408">
        <v>2.52</v>
      </c>
      <c r="G1408" t="s">
        <v>3530</v>
      </c>
      <c r="H1408" t="s">
        <v>3817</v>
      </c>
      <c r="I1408" t="s">
        <v>3583</v>
      </c>
      <c r="J1408" t="s">
        <v>3818</v>
      </c>
      <c r="L1408" t="s">
        <v>3531</v>
      </c>
    </row>
    <row r="1409" spans="1:12" x14ac:dyDescent="0.2">
      <c r="A1409" t="s">
        <v>1767</v>
      </c>
      <c r="B1409" t="s">
        <v>1769</v>
      </c>
      <c r="C1409" t="s">
        <v>2789</v>
      </c>
      <c r="D1409">
        <v>4</v>
      </c>
      <c r="E1409">
        <v>25.8</v>
      </c>
      <c r="F1409">
        <v>25.8</v>
      </c>
      <c r="G1409" t="s">
        <v>3530</v>
      </c>
      <c r="H1409" t="s">
        <v>3819</v>
      </c>
      <c r="I1409" t="s">
        <v>3583</v>
      </c>
      <c r="J1409" t="s">
        <v>3820</v>
      </c>
      <c r="L1409" t="s">
        <v>3531</v>
      </c>
    </row>
    <row r="1410" spans="1:12" x14ac:dyDescent="0.2">
      <c r="A1410" t="s">
        <v>1767</v>
      </c>
      <c r="B1410" t="s">
        <v>1769</v>
      </c>
      <c r="C1410" t="s">
        <v>2789</v>
      </c>
      <c r="D1410">
        <v>4</v>
      </c>
      <c r="E1410">
        <v>4.8</v>
      </c>
      <c r="F1410">
        <v>4.8</v>
      </c>
      <c r="G1410" t="s">
        <v>3530</v>
      </c>
      <c r="H1410" t="s">
        <v>3821</v>
      </c>
      <c r="I1410" t="s">
        <v>3583</v>
      </c>
      <c r="J1410" t="s">
        <v>3822</v>
      </c>
      <c r="L1410" t="s">
        <v>3531</v>
      </c>
    </row>
    <row r="1411" spans="1:12" x14ac:dyDescent="0.2">
      <c r="A1411" t="s">
        <v>1767</v>
      </c>
      <c r="B1411" t="s">
        <v>1769</v>
      </c>
      <c r="C1411" t="s">
        <v>2789</v>
      </c>
      <c r="D1411">
        <v>4</v>
      </c>
      <c r="E1411">
        <v>44.88</v>
      </c>
      <c r="F1411">
        <v>44.88</v>
      </c>
      <c r="G1411" t="s">
        <v>3530</v>
      </c>
      <c r="H1411" t="s">
        <v>3823</v>
      </c>
      <c r="I1411" t="s">
        <v>3583</v>
      </c>
      <c r="J1411" t="s">
        <v>3824</v>
      </c>
      <c r="L1411" t="s">
        <v>3531</v>
      </c>
    </row>
    <row r="1412" spans="1:12" x14ac:dyDescent="0.2">
      <c r="A1412" t="s">
        <v>1767</v>
      </c>
      <c r="B1412" t="s">
        <v>1769</v>
      </c>
      <c r="C1412" t="s">
        <v>2789</v>
      </c>
      <c r="D1412">
        <v>4</v>
      </c>
      <c r="E1412">
        <v>0</v>
      </c>
      <c r="F1412">
        <v>0</v>
      </c>
      <c r="G1412" t="s">
        <v>3530</v>
      </c>
      <c r="H1412" t="s">
        <v>3548</v>
      </c>
      <c r="I1412" t="s">
        <v>3583</v>
      </c>
      <c r="J1412" t="s">
        <v>2152</v>
      </c>
      <c r="L1412" t="s">
        <v>3531</v>
      </c>
    </row>
    <row r="1413" spans="1:12" x14ac:dyDescent="0.2">
      <c r="A1413" t="s">
        <v>1767</v>
      </c>
      <c r="B1413" t="s">
        <v>1769</v>
      </c>
      <c r="C1413" t="s">
        <v>2789</v>
      </c>
      <c r="D1413">
        <v>4</v>
      </c>
      <c r="E1413">
        <v>120.4</v>
      </c>
      <c r="F1413">
        <v>120.4</v>
      </c>
      <c r="G1413" t="s">
        <v>3530</v>
      </c>
      <c r="H1413" t="s">
        <v>3825</v>
      </c>
      <c r="I1413" t="s">
        <v>3583</v>
      </c>
      <c r="J1413" t="s">
        <v>3826</v>
      </c>
      <c r="L1413" t="s">
        <v>3531</v>
      </c>
    </row>
    <row r="1414" spans="1:12" x14ac:dyDescent="0.2">
      <c r="A1414" t="s">
        <v>1767</v>
      </c>
      <c r="B1414" t="s">
        <v>1769</v>
      </c>
      <c r="C1414" t="s">
        <v>2789</v>
      </c>
      <c r="D1414">
        <v>4</v>
      </c>
      <c r="E1414">
        <v>11.76</v>
      </c>
      <c r="F1414">
        <v>11.76</v>
      </c>
      <c r="G1414" t="s">
        <v>3530</v>
      </c>
      <c r="H1414" t="s">
        <v>3827</v>
      </c>
      <c r="I1414" t="s">
        <v>3583</v>
      </c>
      <c r="J1414" t="s">
        <v>3828</v>
      </c>
      <c r="L1414" t="s">
        <v>3531</v>
      </c>
    </row>
    <row r="1415" spans="1:12" x14ac:dyDescent="0.2">
      <c r="A1415" t="s">
        <v>1767</v>
      </c>
      <c r="B1415" t="s">
        <v>1769</v>
      </c>
      <c r="C1415" t="s">
        <v>2789</v>
      </c>
      <c r="D1415">
        <v>4</v>
      </c>
      <c r="E1415">
        <v>0</v>
      </c>
      <c r="F1415">
        <v>0</v>
      </c>
      <c r="G1415" t="s">
        <v>3530</v>
      </c>
      <c r="H1415" t="s">
        <v>3548</v>
      </c>
      <c r="I1415" t="s">
        <v>3583</v>
      </c>
      <c r="J1415" t="s">
        <v>3829</v>
      </c>
      <c r="L1415" t="s">
        <v>3531</v>
      </c>
    </row>
    <row r="1416" spans="1:12" x14ac:dyDescent="0.2">
      <c r="A1416" t="s">
        <v>1767</v>
      </c>
      <c r="B1416" t="s">
        <v>1769</v>
      </c>
      <c r="C1416" t="s">
        <v>2789</v>
      </c>
      <c r="D1416">
        <v>4</v>
      </c>
      <c r="E1416">
        <v>22.4</v>
      </c>
      <c r="F1416">
        <v>22.4</v>
      </c>
      <c r="G1416" t="s">
        <v>3530</v>
      </c>
      <c r="H1416" t="s">
        <v>3830</v>
      </c>
      <c r="I1416" t="s">
        <v>3583</v>
      </c>
      <c r="J1416" t="s">
        <v>3831</v>
      </c>
      <c r="L1416" t="s">
        <v>3531</v>
      </c>
    </row>
    <row r="1417" spans="1:12" x14ac:dyDescent="0.2">
      <c r="A1417" t="s">
        <v>1767</v>
      </c>
      <c r="B1417" t="s">
        <v>1769</v>
      </c>
      <c r="C1417" t="s">
        <v>2789</v>
      </c>
      <c r="D1417">
        <v>4</v>
      </c>
      <c r="E1417">
        <v>27864</v>
      </c>
      <c r="F1417">
        <v>27864</v>
      </c>
      <c r="G1417" t="s">
        <v>3530</v>
      </c>
      <c r="H1417" t="s">
        <v>3832</v>
      </c>
      <c r="I1417" t="s">
        <v>3583</v>
      </c>
      <c r="J1417" t="s">
        <v>3833</v>
      </c>
      <c r="L1417" t="s">
        <v>3531</v>
      </c>
    </row>
    <row r="1418" spans="1:12" x14ac:dyDescent="0.2">
      <c r="A1418" t="s">
        <v>1767</v>
      </c>
      <c r="B1418" t="s">
        <v>1769</v>
      </c>
      <c r="C1418" t="s">
        <v>2789</v>
      </c>
      <c r="D1418">
        <v>4</v>
      </c>
      <c r="E1418">
        <v>205.7</v>
      </c>
      <c r="F1418">
        <v>205.7</v>
      </c>
      <c r="G1418" t="s">
        <v>3530</v>
      </c>
      <c r="H1418" t="s">
        <v>3834</v>
      </c>
      <c r="I1418" t="s">
        <v>3583</v>
      </c>
      <c r="J1418" t="s">
        <v>3835</v>
      </c>
      <c r="L1418" t="s">
        <v>3531</v>
      </c>
    </row>
    <row r="1419" spans="1:12" x14ac:dyDescent="0.2">
      <c r="A1419" t="s">
        <v>1767</v>
      </c>
      <c r="B1419" t="s">
        <v>1769</v>
      </c>
      <c r="C1419" t="s">
        <v>2789</v>
      </c>
      <c r="D1419">
        <v>4</v>
      </c>
      <c r="E1419">
        <v>0</v>
      </c>
      <c r="F1419">
        <v>0</v>
      </c>
      <c r="G1419" t="s">
        <v>3530</v>
      </c>
      <c r="H1419" t="s">
        <v>3548</v>
      </c>
      <c r="I1419" t="s">
        <v>3583</v>
      </c>
      <c r="J1419" t="s">
        <v>2152</v>
      </c>
      <c r="L1419" t="s">
        <v>3531</v>
      </c>
    </row>
    <row r="1420" spans="1:12" x14ac:dyDescent="0.2">
      <c r="A1420" t="s">
        <v>1767</v>
      </c>
      <c r="B1420" t="s">
        <v>1769</v>
      </c>
      <c r="C1420" t="s">
        <v>2789</v>
      </c>
      <c r="D1420">
        <v>4</v>
      </c>
      <c r="E1420">
        <v>33.6</v>
      </c>
      <c r="F1420">
        <v>33.6</v>
      </c>
      <c r="G1420" t="s">
        <v>3530</v>
      </c>
      <c r="H1420" t="s">
        <v>3836</v>
      </c>
      <c r="I1420" t="s">
        <v>3583</v>
      </c>
      <c r="J1420" t="s">
        <v>3837</v>
      </c>
      <c r="L1420" t="s">
        <v>3531</v>
      </c>
    </row>
    <row r="1421" spans="1:12" x14ac:dyDescent="0.2">
      <c r="A1421" t="s">
        <v>1767</v>
      </c>
      <c r="B1421" t="s">
        <v>1769</v>
      </c>
      <c r="C1421" t="s">
        <v>2789</v>
      </c>
      <c r="D1421">
        <v>4</v>
      </c>
      <c r="E1421">
        <v>64</v>
      </c>
      <c r="F1421">
        <v>64</v>
      </c>
      <c r="G1421" t="s">
        <v>3530</v>
      </c>
      <c r="H1421" t="s">
        <v>3838</v>
      </c>
      <c r="I1421" t="s">
        <v>3583</v>
      </c>
      <c r="J1421" t="s">
        <v>3839</v>
      </c>
      <c r="L1421" t="s">
        <v>3531</v>
      </c>
    </row>
    <row r="1422" spans="1:12" x14ac:dyDescent="0.2">
      <c r="A1422" t="s">
        <v>1767</v>
      </c>
      <c r="B1422" t="s">
        <v>1769</v>
      </c>
      <c r="C1422" t="s">
        <v>2789</v>
      </c>
      <c r="D1422">
        <v>4</v>
      </c>
      <c r="E1422">
        <v>24232</v>
      </c>
      <c r="F1422">
        <v>24232</v>
      </c>
      <c r="G1422" t="s">
        <v>3530</v>
      </c>
      <c r="H1422" t="s">
        <v>3840</v>
      </c>
      <c r="I1422" t="s">
        <v>3583</v>
      </c>
      <c r="J1422" t="s">
        <v>3841</v>
      </c>
      <c r="L1422" t="s">
        <v>3531</v>
      </c>
    </row>
    <row r="1423" spans="1:12" x14ac:dyDescent="0.2">
      <c r="A1423" t="s">
        <v>1767</v>
      </c>
      <c r="B1423" t="s">
        <v>1769</v>
      </c>
      <c r="C1423" t="s">
        <v>2789</v>
      </c>
      <c r="D1423">
        <v>4</v>
      </c>
      <c r="E1423">
        <v>24232</v>
      </c>
      <c r="F1423">
        <v>24232</v>
      </c>
      <c r="G1423" t="s">
        <v>3530</v>
      </c>
      <c r="H1423" t="s">
        <v>3840</v>
      </c>
      <c r="I1423" t="s">
        <v>3583</v>
      </c>
      <c r="J1423" t="s">
        <v>3841</v>
      </c>
      <c r="L1423" t="s">
        <v>3531</v>
      </c>
    </row>
    <row r="1424" spans="1:12" x14ac:dyDescent="0.2">
      <c r="A1424" t="s">
        <v>1767</v>
      </c>
      <c r="B1424" t="s">
        <v>1769</v>
      </c>
      <c r="C1424" t="s">
        <v>2789</v>
      </c>
      <c r="D1424">
        <v>4</v>
      </c>
      <c r="E1424">
        <v>5472</v>
      </c>
      <c r="F1424">
        <v>5472</v>
      </c>
      <c r="G1424" t="s">
        <v>3530</v>
      </c>
      <c r="H1424" t="s">
        <v>3842</v>
      </c>
      <c r="I1424" t="s">
        <v>3583</v>
      </c>
      <c r="J1424" t="s">
        <v>3843</v>
      </c>
      <c r="L1424" t="s">
        <v>3531</v>
      </c>
    </row>
    <row r="1425" spans="1:12" x14ac:dyDescent="0.2">
      <c r="A1425" t="s">
        <v>1767</v>
      </c>
      <c r="B1425" t="s">
        <v>1769</v>
      </c>
      <c r="C1425" t="s">
        <v>2789</v>
      </c>
      <c r="D1425">
        <v>4</v>
      </c>
      <c r="E1425">
        <v>598.4</v>
      </c>
      <c r="F1425">
        <v>598.4</v>
      </c>
      <c r="G1425" t="s">
        <v>3530</v>
      </c>
      <c r="H1425" t="s">
        <v>3844</v>
      </c>
      <c r="I1425" t="s">
        <v>3583</v>
      </c>
      <c r="J1425" t="s">
        <v>3845</v>
      </c>
      <c r="L1425" t="s">
        <v>3531</v>
      </c>
    </row>
    <row r="1426" spans="1:12" x14ac:dyDescent="0.2">
      <c r="A1426" t="s">
        <v>1767</v>
      </c>
      <c r="B1426" t="s">
        <v>1769</v>
      </c>
      <c r="C1426" t="s">
        <v>2789</v>
      </c>
      <c r="D1426">
        <v>4</v>
      </c>
      <c r="E1426">
        <v>416</v>
      </c>
      <c r="F1426">
        <v>416</v>
      </c>
      <c r="G1426" t="s">
        <v>3530</v>
      </c>
      <c r="H1426" t="s">
        <v>3846</v>
      </c>
      <c r="I1426" t="s">
        <v>3583</v>
      </c>
      <c r="J1426" t="s">
        <v>3847</v>
      </c>
      <c r="L1426" t="s">
        <v>3531</v>
      </c>
    </row>
    <row r="1427" spans="1:12" x14ac:dyDescent="0.2">
      <c r="A1427" t="s">
        <v>1767</v>
      </c>
      <c r="B1427" t="s">
        <v>1769</v>
      </c>
      <c r="C1427" t="s">
        <v>2789</v>
      </c>
      <c r="D1427">
        <v>4</v>
      </c>
      <c r="E1427">
        <v>617.55999999999995</v>
      </c>
      <c r="F1427">
        <v>617.55999999999995</v>
      </c>
      <c r="G1427" t="s">
        <v>3530</v>
      </c>
      <c r="H1427" t="s">
        <v>3848</v>
      </c>
      <c r="I1427" t="s">
        <v>3583</v>
      </c>
      <c r="J1427" t="s">
        <v>3849</v>
      </c>
      <c r="L1427" t="s">
        <v>3531</v>
      </c>
    </row>
    <row r="1428" spans="1:12" x14ac:dyDescent="0.2">
      <c r="A1428" t="s">
        <v>1767</v>
      </c>
      <c r="B1428" t="s">
        <v>1769</v>
      </c>
      <c r="C1428" t="s">
        <v>2789</v>
      </c>
      <c r="D1428">
        <v>4</v>
      </c>
      <c r="E1428">
        <v>13074</v>
      </c>
      <c r="F1428">
        <v>13074</v>
      </c>
      <c r="G1428" t="s">
        <v>3530</v>
      </c>
      <c r="H1428" t="s">
        <v>3850</v>
      </c>
      <c r="I1428" t="s">
        <v>3583</v>
      </c>
      <c r="J1428" t="s">
        <v>3851</v>
      </c>
      <c r="L1428" t="s">
        <v>3531</v>
      </c>
    </row>
    <row r="1429" spans="1:12" x14ac:dyDescent="0.2">
      <c r="A1429" t="s">
        <v>1767</v>
      </c>
      <c r="B1429" t="s">
        <v>1769</v>
      </c>
      <c r="C1429" t="s">
        <v>2789</v>
      </c>
      <c r="D1429">
        <v>4</v>
      </c>
      <c r="E1429">
        <v>108.8</v>
      </c>
      <c r="F1429">
        <v>108.8</v>
      </c>
      <c r="G1429" t="s">
        <v>3530</v>
      </c>
      <c r="H1429" t="s">
        <v>3852</v>
      </c>
      <c r="I1429" t="s">
        <v>3583</v>
      </c>
      <c r="J1429" t="s">
        <v>3853</v>
      </c>
      <c r="L1429" t="s">
        <v>3531</v>
      </c>
    </row>
    <row r="1430" spans="1:12" x14ac:dyDescent="0.2">
      <c r="A1430" t="s">
        <v>1767</v>
      </c>
      <c r="B1430" t="s">
        <v>1769</v>
      </c>
      <c r="C1430" t="s">
        <v>2789</v>
      </c>
      <c r="D1430">
        <v>4</v>
      </c>
      <c r="E1430">
        <v>136</v>
      </c>
      <c r="F1430">
        <v>136</v>
      </c>
      <c r="G1430" t="s">
        <v>3530</v>
      </c>
      <c r="H1430" t="s">
        <v>3717</v>
      </c>
      <c r="I1430" t="s">
        <v>3583</v>
      </c>
      <c r="J1430" t="s">
        <v>3854</v>
      </c>
      <c r="L1430" t="s">
        <v>3531</v>
      </c>
    </row>
    <row r="1431" spans="1:12" x14ac:dyDescent="0.2">
      <c r="A1431" t="s">
        <v>1767</v>
      </c>
      <c r="B1431" t="s">
        <v>1769</v>
      </c>
      <c r="C1431" t="s">
        <v>2789</v>
      </c>
      <c r="D1431">
        <v>4</v>
      </c>
      <c r="E1431">
        <v>3572</v>
      </c>
      <c r="F1431">
        <v>3572</v>
      </c>
      <c r="G1431" t="s">
        <v>3530</v>
      </c>
      <c r="H1431" t="s">
        <v>3855</v>
      </c>
      <c r="I1431" t="s">
        <v>3583</v>
      </c>
      <c r="J1431" t="s">
        <v>3856</v>
      </c>
      <c r="L1431" t="s">
        <v>3531</v>
      </c>
    </row>
    <row r="1432" spans="1:12" x14ac:dyDescent="0.2">
      <c r="A1432" t="s">
        <v>1767</v>
      </c>
      <c r="B1432" t="s">
        <v>1769</v>
      </c>
      <c r="C1432" t="s">
        <v>2789</v>
      </c>
      <c r="D1432">
        <v>4</v>
      </c>
      <c r="E1432">
        <v>81.599999999999994</v>
      </c>
      <c r="F1432">
        <v>81.599999999999994</v>
      </c>
      <c r="G1432" t="s">
        <v>3530</v>
      </c>
      <c r="H1432" t="s">
        <v>3857</v>
      </c>
      <c r="I1432" t="s">
        <v>3583</v>
      </c>
      <c r="J1432" t="s">
        <v>3858</v>
      </c>
      <c r="L1432" t="s">
        <v>3531</v>
      </c>
    </row>
    <row r="1433" spans="1:12" x14ac:dyDescent="0.2">
      <c r="A1433" t="s">
        <v>1767</v>
      </c>
      <c r="B1433" t="s">
        <v>1769</v>
      </c>
      <c r="C1433" t="s">
        <v>2789</v>
      </c>
      <c r="D1433">
        <v>4</v>
      </c>
      <c r="E1433">
        <v>1016</v>
      </c>
      <c r="F1433">
        <v>1016</v>
      </c>
      <c r="G1433" t="s">
        <v>3530</v>
      </c>
      <c r="H1433" t="s">
        <v>3859</v>
      </c>
      <c r="I1433" t="s">
        <v>3583</v>
      </c>
      <c r="J1433" t="s">
        <v>3860</v>
      </c>
      <c r="L1433" t="s">
        <v>3531</v>
      </c>
    </row>
    <row r="1434" spans="1:12" x14ac:dyDescent="0.2">
      <c r="A1434" t="s">
        <v>1767</v>
      </c>
      <c r="B1434" t="s">
        <v>1769</v>
      </c>
      <c r="C1434" t="s">
        <v>2789</v>
      </c>
      <c r="D1434">
        <v>4</v>
      </c>
      <c r="E1434">
        <v>4320</v>
      </c>
      <c r="F1434">
        <v>4320</v>
      </c>
      <c r="G1434" t="s">
        <v>3530</v>
      </c>
      <c r="H1434" t="s">
        <v>3861</v>
      </c>
      <c r="I1434" t="s">
        <v>3583</v>
      </c>
      <c r="J1434" t="s">
        <v>3862</v>
      </c>
      <c r="L1434" t="s">
        <v>3531</v>
      </c>
    </row>
    <row r="1435" spans="1:12" x14ac:dyDescent="0.2">
      <c r="A1435" t="s">
        <v>1767</v>
      </c>
      <c r="B1435" t="s">
        <v>1769</v>
      </c>
      <c r="C1435" t="s">
        <v>2789</v>
      </c>
      <c r="D1435">
        <v>4</v>
      </c>
      <c r="E1435">
        <v>24.7</v>
      </c>
      <c r="F1435">
        <v>24.7</v>
      </c>
      <c r="G1435" t="s">
        <v>3530</v>
      </c>
      <c r="H1435" t="s">
        <v>3863</v>
      </c>
      <c r="I1435" t="s">
        <v>3583</v>
      </c>
      <c r="J1435" t="s">
        <v>3864</v>
      </c>
      <c r="L1435" t="s">
        <v>3531</v>
      </c>
    </row>
    <row r="1436" spans="1:12" x14ac:dyDescent="0.2">
      <c r="A1436" t="s">
        <v>1767</v>
      </c>
      <c r="B1436" t="s">
        <v>1769</v>
      </c>
      <c r="C1436" t="s">
        <v>2789</v>
      </c>
      <c r="D1436">
        <v>4</v>
      </c>
      <c r="E1436">
        <v>344</v>
      </c>
      <c r="F1436">
        <v>344</v>
      </c>
      <c r="G1436" t="s">
        <v>3530</v>
      </c>
      <c r="H1436" t="s">
        <v>3865</v>
      </c>
      <c r="I1436" t="s">
        <v>3583</v>
      </c>
      <c r="J1436" t="s">
        <v>3866</v>
      </c>
      <c r="L1436" t="s">
        <v>3531</v>
      </c>
    </row>
    <row r="1437" spans="1:12" x14ac:dyDescent="0.2">
      <c r="A1437" t="s">
        <v>1767</v>
      </c>
      <c r="B1437" t="s">
        <v>1769</v>
      </c>
      <c r="C1437" t="s">
        <v>2789</v>
      </c>
      <c r="D1437">
        <v>4</v>
      </c>
      <c r="E1437">
        <v>0</v>
      </c>
      <c r="F1437">
        <v>0</v>
      </c>
      <c r="G1437" t="s">
        <v>3530</v>
      </c>
      <c r="H1437" t="s">
        <v>3548</v>
      </c>
      <c r="I1437" t="s">
        <v>3583</v>
      </c>
      <c r="J1437" t="s">
        <v>2152</v>
      </c>
      <c r="L1437" t="s">
        <v>3531</v>
      </c>
    </row>
    <row r="1438" spans="1:12" x14ac:dyDescent="0.2">
      <c r="A1438" t="s">
        <v>1767</v>
      </c>
      <c r="B1438" t="s">
        <v>1769</v>
      </c>
      <c r="C1438" t="s">
        <v>2789</v>
      </c>
      <c r="D1438">
        <v>4</v>
      </c>
      <c r="E1438">
        <v>5940</v>
      </c>
      <c r="F1438">
        <v>5940</v>
      </c>
      <c r="G1438" t="s">
        <v>3530</v>
      </c>
      <c r="H1438" t="s">
        <v>3867</v>
      </c>
      <c r="I1438" t="s">
        <v>3583</v>
      </c>
      <c r="J1438" t="s">
        <v>3868</v>
      </c>
      <c r="L1438" t="s">
        <v>3531</v>
      </c>
    </row>
    <row r="1439" spans="1:12" x14ac:dyDescent="0.2">
      <c r="A1439" t="s">
        <v>1767</v>
      </c>
      <c r="B1439" t="s">
        <v>1769</v>
      </c>
      <c r="C1439" t="s">
        <v>2789</v>
      </c>
      <c r="D1439">
        <v>4</v>
      </c>
      <c r="E1439">
        <v>2478</v>
      </c>
      <c r="F1439">
        <v>2478</v>
      </c>
      <c r="G1439" t="s">
        <v>3530</v>
      </c>
      <c r="H1439" t="s">
        <v>3869</v>
      </c>
      <c r="I1439" t="s">
        <v>3583</v>
      </c>
      <c r="J1439" t="s">
        <v>3870</v>
      </c>
      <c r="L1439" t="s">
        <v>3531</v>
      </c>
    </row>
    <row r="1440" spans="1:12" x14ac:dyDescent="0.2">
      <c r="A1440" t="s">
        <v>1767</v>
      </c>
      <c r="B1440" t="s">
        <v>1769</v>
      </c>
      <c r="C1440" t="s">
        <v>2789</v>
      </c>
      <c r="D1440">
        <v>4</v>
      </c>
      <c r="E1440">
        <v>52</v>
      </c>
      <c r="F1440">
        <v>52</v>
      </c>
      <c r="G1440" t="s">
        <v>3530</v>
      </c>
      <c r="H1440" t="s">
        <v>3810</v>
      </c>
      <c r="I1440" t="s">
        <v>3583</v>
      </c>
      <c r="J1440" t="s">
        <v>3871</v>
      </c>
      <c r="L1440" t="s">
        <v>3531</v>
      </c>
    </row>
    <row r="1441" spans="1:12" x14ac:dyDescent="0.2">
      <c r="A1441" t="s">
        <v>1767</v>
      </c>
      <c r="B1441" t="s">
        <v>1769</v>
      </c>
      <c r="C1441" t="s">
        <v>2789</v>
      </c>
      <c r="D1441">
        <v>4</v>
      </c>
      <c r="E1441">
        <v>144</v>
      </c>
      <c r="F1441">
        <v>144</v>
      </c>
      <c r="G1441" t="s">
        <v>3530</v>
      </c>
      <c r="H1441" t="s">
        <v>3872</v>
      </c>
      <c r="I1441" t="s">
        <v>3583</v>
      </c>
      <c r="J1441" t="s">
        <v>3873</v>
      </c>
      <c r="L1441" t="s">
        <v>3531</v>
      </c>
    </row>
    <row r="1442" spans="1:12" x14ac:dyDescent="0.2">
      <c r="A1442" t="s">
        <v>1767</v>
      </c>
      <c r="B1442" t="s">
        <v>1769</v>
      </c>
      <c r="C1442" t="s">
        <v>2789</v>
      </c>
      <c r="D1442">
        <v>4</v>
      </c>
      <c r="E1442">
        <v>115.6</v>
      </c>
      <c r="F1442">
        <v>115.6</v>
      </c>
      <c r="G1442" t="s">
        <v>3530</v>
      </c>
      <c r="H1442" t="s">
        <v>3874</v>
      </c>
      <c r="I1442" t="s">
        <v>3583</v>
      </c>
      <c r="J1442" t="s">
        <v>3875</v>
      </c>
      <c r="L1442" t="s">
        <v>3531</v>
      </c>
    </row>
    <row r="1443" spans="1:12" x14ac:dyDescent="0.2">
      <c r="A1443" t="s">
        <v>1767</v>
      </c>
      <c r="B1443" t="s">
        <v>1769</v>
      </c>
      <c r="C1443" t="s">
        <v>2789</v>
      </c>
      <c r="D1443">
        <v>4</v>
      </c>
      <c r="E1443">
        <v>17820</v>
      </c>
      <c r="F1443">
        <v>17820</v>
      </c>
      <c r="G1443" t="s">
        <v>3530</v>
      </c>
      <c r="H1443" t="s">
        <v>3876</v>
      </c>
      <c r="I1443" t="s">
        <v>3583</v>
      </c>
      <c r="J1443" t="s">
        <v>3877</v>
      </c>
      <c r="L1443" t="s">
        <v>3531</v>
      </c>
    </row>
    <row r="1444" spans="1:12" x14ac:dyDescent="0.2">
      <c r="A1444" t="s">
        <v>1767</v>
      </c>
      <c r="B1444" t="s">
        <v>1769</v>
      </c>
      <c r="C1444" t="s">
        <v>2789</v>
      </c>
      <c r="D1444">
        <v>4</v>
      </c>
      <c r="E1444">
        <v>156</v>
      </c>
      <c r="F1444">
        <v>156</v>
      </c>
      <c r="G1444" t="s">
        <v>3530</v>
      </c>
      <c r="H1444" t="s">
        <v>3878</v>
      </c>
      <c r="I1444" t="s">
        <v>3583</v>
      </c>
      <c r="J1444" t="s">
        <v>3879</v>
      </c>
      <c r="L1444" t="s">
        <v>3531</v>
      </c>
    </row>
    <row r="1445" spans="1:12" x14ac:dyDescent="0.2">
      <c r="A1445" t="s">
        <v>1767</v>
      </c>
      <c r="B1445" t="s">
        <v>1769</v>
      </c>
      <c r="C1445" t="s">
        <v>2789</v>
      </c>
      <c r="D1445">
        <v>4</v>
      </c>
      <c r="E1445">
        <v>279</v>
      </c>
      <c r="F1445">
        <v>279</v>
      </c>
      <c r="G1445" t="s">
        <v>3530</v>
      </c>
      <c r="H1445" t="s">
        <v>3880</v>
      </c>
      <c r="I1445" t="s">
        <v>3583</v>
      </c>
      <c r="J1445" t="s">
        <v>3881</v>
      </c>
      <c r="L1445" t="s">
        <v>3531</v>
      </c>
    </row>
    <row r="1446" spans="1:12" x14ac:dyDescent="0.2">
      <c r="A1446" t="s">
        <v>1767</v>
      </c>
      <c r="B1446" t="s">
        <v>1769</v>
      </c>
      <c r="C1446" t="s">
        <v>2789</v>
      </c>
      <c r="D1446">
        <v>4</v>
      </c>
      <c r="E1446">
        <v>2970</v>
      </c>
      <c r="F1446">
        <v>2970</v>
      </c>
      <c r="G1446" t="s">
        <v>3530</v>
      </c>
      <c r="H1446" t="s">
        <v>3882</v>
      </c>
      <c r="I1446" t="s">
        <v>3583</v>
      </c>
      <c r="J1446" t="s">
        <v>3883</v>
      </c>
      <c r="L1446" t="s">
        <v>3531</v>
      </c>
    </row>
    <row r="1447" spans="1:12" x14ac:dyDescent="0.2">
      <c r="A1447" t="s">
        <v>1767</v>
      </c>
      <c r="B1447" t="s">
        <v>1769</v>
      </c>
      <c r="C1447" t="s">
        <v>2789</v>
      </c>
      <c r="D1447">
        <v>4</v>
      </c>
      <c r="E1447">
        <v>26</v>
      </c>
      <c r="F1447">
        <v>26</v>
      </c>
      <c r="G1447" t="s">
        <v>3530</v>
      </c>
      <c r="H1447" t="s">
        <v>3884</v>
      </c>
      <c r="I1447" t="s">
        <v>3583</v>
      </c>
      <c r="J1447" t="s">
        <v>3885</v>
      </c>
      <c r="L1447" t="s">
        <v>3531</v>
      </c>
    </row>
    <row r="1448" spans="1:12" x14ac:dyDescent="0.2">
      <c r="A1448" t="s">
        <v>1767</v>
      </c>
      <c r="B1448" t="s">
        <v>1769</v>
      </c>
      <c r="C1448" t="s">
        <v>2789</v>
      </c>
      <c r="D1448">
        <v>4</v>
      </c>
      <c r="E1448">
        <v>8.99</v>
      </c>
      <c r="F1448">
        <v>8.99</v>
      </c>
      <c r="G1448" t="s">
        <v>3530</v>
      </c>
      <c r="H1448" t="s">
        <v>3886</v>
      </c>
      <c r="I1448" t="s">
        <v>3583</v>
      </c>
      <c r="J1448" t="s">
        <v>3887</v>
      </c>
      <c r="L1448" t="s">
        <v>3531</v>
      </c>
    </row>
    <row r="1449" spans="1:12" x14ac:dyDescent="0.2">
      <c r="A1449" t="s">
        <v>1767</v>
      </c>
      <c r="B1449" t="s">
        <v>1769</v>
      </c>
      <c r="C1449" t="s">
        <v>2789</v>
      </c>
      <c r="D1449">
        <v>4</v>
      </c>
      <c r="E1449">
        <v>17.82</v>
      </c>
      <c r="F1449">
        <v>17.82</v>
      </c>
      <c r="G1449" t="s">
        <v>3530</v>
      </c>
      <c r="H1449" t="s">
        <v>3888</v>
      </c>
      <c r="I1449" t="s">
        <v>3583</v>
      </c>
      <c r="J1449" t="s">
        <v>3889</v>
      </c>
      <c r="L1449" t="s">
        <v>3531</v>
      </c>
    </row>
    <row r="1450" spans="1:12" x14ac:dyDescent="0.2">
      <c r="A1450" t="s">
        <v>1767</v>
      </c>
      <c r="B1450" t="s">
        <v>1769</v>
      </c>
      <c r="C1450" t="s">
        <v>2789</v>
      </c>
      <c r="D1450">
        <v>4</v>
      </c>
      <c r="E1450">
        <v>6220</v>
      </c>
      <c r="F1450">
        <v>6220</v>
      </c>
      <c r="G1450" t="s">
        <v>3530</v>
      </c>
      <c r="H1450" t="s">
        <v>3890</v>
      </c>
      <c r="I1450" t="s">
        <v>3583</v>
      </c>
      <c r="J1450" t="s">
        <v>3891</v>
      </c>
      <c r="L1450" t="s">
        <v>3531</v>
      </c>
    </row>
    <row r="1451" spans="1:12" x14ac:dyDescent="0.2">
      <c r="A1451" t="s">
        <v>1767</v>
      </c>
      <c r="B1451" t="s">
        <v>1769</v>
      </c>
      <c r="C1451" t="s">
        <v>2789</v>
      </c>
      <c r="D1451">
        <v>4</v>
      </c>
      <c r="E1451">
        <v>10981</v>
      </c>
      <c r="F1451">
        <v>10981</v>
      </c>
      <c r="G1451" t="s">
        <v>3530</v>
      </c>
      <c r="H1451" t="s">
        <v>3892</v>
      </c>
      <c r="I1451" t="s">
        <v>3583</v>
      </c>
      <c r="J1451" t="s">
        <v>3893</v>
      </c>
      <c r="L1451" t="s">
        <v>3531</v>
      </c>
    </row>
    <row r="1452" spans="1:12" x14ac:dyDescent="0.2">
      <c r="A1452" t="s">
        <v>1767</v>
      </c>
      <c r="B1452" t="s">
        <v>1769</v>
      </c>
      <c r="C1452" t="s">
        <v>2789</v>
      </c>
      <c r="D1452">
        <v>4</v>
      </c>
      <c r="E1452">
        <v>19.27</v>
      </c>
      <c r="F1452">
        <v>19.27</v>
      </c>
      <c r="G1452" t="s">
        <v>3530</v>
      </c>
      <c r="H1452" t="s">
        <v>3730</v>
      </c>
      <c r="I1452" t="s">
        <v>3583</v>
      </c>
      <c r="J1452" t="s">
        <v>3894</v>
      </c>
      <c r="L1452" t="s">
        <v>3531</v>
      </c>
    </row>
    <row r="1453" spans="1:12" x14ac:dyDescent="0.2">
      <c r="A1453" t="s">
        <v>1767</v>
      </c>
      <c r="B1453" t="s">
        <v>1769</v>
      </c>
      <c r="C1453" t="s">
        <v>2789</v>
      </c>
      <c r="D1453">
        <v>4</v>
      </c>
      <c r="E1453">
        <v>2515.6799999999998</v>
      </c>
      <c r="F1453">
        <v>2515.6799999999998</v>
      </c>
      <c r="G1453" t="s">
        <v>3530</v>
      </c>
      <c r="H1453" t="s">
        <v>3895</v>
      </c>
      <c r="I1453" t="s">
        <v>3583</v>
      </c>
      <c r="J1453" t="s">
        <v>3896</v>
      </c>
      <c r="L1453" t="s">
        <v>3531</v>
      </c>
    </row>
    <row r="1454" spans="1:12" x14ac:dyDescent="0.2">
      <c r="A1454" t="s">
        <v>1767</v>
      </c>
      <c r="B1454" t="s">
        <v>1769</v>
      </c>
      <c r="C1454" t="s">
        <v>2789</v>
      </c>
      <c r="D1454">
        <v>4</v>
      </c>
      <c r="E1454">
        <v>204</v>
      </c>
      <c r="F1454">
        <v>204</v>
      </c>
      <c r="G1454" t="s">
        <v>3530</v>
      </c>
      <c r="H1454" t="s">
        <v>3897</v>
      </c>
      <c r="I1454" t="s">
        <v>3583</v>
      </c>
      <c r="J1454" t="s">
        <v>3898</v>
      </c>
      <c r="L1454" t="s">
        <v>3531</v>
      </c>
    </row>
    <row r="1455" spans="1:12" x14ac:dyDescent="0.2">
      <c r="A1455" t="s">
        <v>1767</v>
      </c>
      <c r="B1455" t="s">
        <v>1769</v>
      </c>
      <c r="C1455" t="s">
        <v>2789</v>
      </c>
      <c r="D1455">
        <v>4</v>
      </c>
      <c r="E1455">
        <v>312</v>
      </c>
      <c r="F1455">
        <v>312</v>
      </c>
      <c r="G1455" t="s">
        <v>3530</v>
      </c>
      <c r="H1455" t="s">
        <v>3899</v>
      </c>
      <c r="I1455" t="s">
        <v>3583</v>
      </c>
      <c r="J1455" t="s">
        <v>3900</v>
      </c>
      <c r="L1455" t="s">
        <v>3531</v>
      </c>
    </row>
    <row r="1456" spans="1:12" x14ac:dyDescent="0.2">
      <c r="A1456" t="s">
        <v>1767</v>
      </c>
      <c r="B1456" t="s">
        <v>1769</v>
      </c>
      <c r="C1456" t="s">
        <v>2789</v>
      </c>
      <c r="D1456">
        <v>4</v>
      </c>
      <c r="E1456">
        <v>4728</v>
      </c>
      <c r="F1456">
        <v>4728</v>
      </c>
      <c r="G1456" t="s">
        <v>3530</v>
      </c>
      <c r="H1456" t="s">
        <v>3901</v>
      </c>
      <c r="I1456" t="s">
        <v>3583</v>
      </c>
      <c r="J1456" t="s">
        <v>3902</v>
      </c>
      <c r="L1456" t="s">
        <v>3531</v>
      </c>
    </row>
    <row r="1457" spans="1:12" x14ac:dyDescent="0.2">
      <c r="A1457" t="s">
        <v>1767</v>
      </c>
      <c r="B1457" t="s">
        <v>1769</v>
      </c>
      <c r="C1457" t="s">
        <v>2789</v>
      </c>
      <c r="D1457">
        <v>4</v>
      </c>
      <c r="E1457">
        <v>2.52</v>
      </c>
      <c r="F1457">
        <v>2.52</v>
      </c>
      <c r="G1457" t="s">
        <v>3530</v>
      </c>
      <c r="H1457" t="s">
        <v>3817</v>
      </c>
      <c r="I1457" t="s">
        <v>3583</v>
      </c>
      <c r="J1457" t="s">
        <v>3903</v>
      </c>
      <c r="L1457" t="s">
        <v>3531</v>
      </c>
    </row>
    <row r="1458" spans="1:12" x14ac:dyDescent="0.2">
      <c r="A1458" t="s">
        <v>1767</v>
      </c>
      <c r="B1458" t="s">
        <v>1769</v>
      </c>
      <c r="C1458" t="s">
        <v>2789</v>
      </c>
      <c r="D1458">
        <v>4</v>
      </c>
      <c r="E1458">
        <v>77328</v>
      </c>
      <c r="F1458">
        <v>77328</v>
      </c>
      <c r="G1458" t="s">
        <v>3530</v>
      </c>
      <c r="H1458" t="s">
        <v>3904</v>
      </c>
      <c r="I1458" t="s">
        <v>3583</v>
      </c>
      <c r="J1458" t="s">
        <v>3905</v>
      </c>
      <c r="L1458" t="s">
        <v>3531</v>
      </c>
    </row>
    <row r="1459" spans="1:12" x14ac:dyDescent="0.2">
      <c r="A1459" t="s">
        <v>1767</v>
      </c>
      <c r="B1459" t="s">
        <v>1769</v>
      </c>
      <c r="C1459" t="s">
        <v>2789</v>
      </c>
      <c r="D1459">
        <v>4</v>
      </c>
      <c r="E1459">
        <v>104.4</v>
      </c>
      <c r="F1459">
        <v>104.4</v>
      </c>
      <c r="G1459" t="s">
        <v>3530</v>
      </c>
      <c r="H1459" t="s">
        <v>3906</v>
      </c>
      <c r="I1459" t="s">
        <v>3583</v>
      </c>
      <c r="J1459" t="s">
        <v>3907</v>
      </c>
      <c r="L1459" t="s">
        <v>3531</v>
      </c>
    </row>
    <row r="1460" spans="1:12" x14ac:dyDescent="0.2">
      <c r="A1460" t="s">
        <v>1767</v>
      </c>
      <c r="B1460" t="s">
        <v>1769</v>
      </c>
      <c r="C1460" t="s">
        <v>2789</v>
      </c>
      <c r="D1460">
        <v>4</v>
      </c>
      <c r="E1460">
        <v>92</v>
      </c>
      <c r="F1460">
        <v>92</v>
      </c>
      <c r="G1460" t="s">
        <v>3530</v>
      </c>
      <c r="H1460" t="s">
        <v>3908</v>
      </c>
      <c r="I1460" t="s">
        <v>3583</v>
      </c>
      <c r="J1460" t="s">
        <v>3909</v>
      </c>
      <c r="L1460" t="s">
        <v>3531</v>
      </c>
    </row>
    <row r="1461" spans="1:12" x14ac:dyDescent="0.2">
      <c r="A1461" t="s">
        <v>1767</v>
      </c>
      <c r="B1461" t="s">
        <v>1769</v>
      </c>
      <c r="C1461" t="s">
        <v>2789</v>
      </c>
      <c r="D1461">
        <v>4</v>
      </c>
      <c r="E1461">
        <v>338.4</v>
      </c>
      <c r="F1461">
        <v>338.4</v>
      </c>
      <c r="G1461" t="s">
        <v>3530</v>
      </c>
      <c r="H1461" t="s">
        <v>3910</v>
      </c>
      <c r="I1461" t="s">
        <v>3583</v>
      </c>
      <c r="J1461" t="s">
        <v>3911</v>
      </c>
      <c r="L1461" t="s">
        <v>3531</v>
      </c>
    </row>
    <row r="1462" spans="1:12" x14ac:dyDescent="0.2">
      <c r="A1462" t="s">
        <v>1767</v>
      </c>
      <c r="B1462" t="s">
        <v>1769</v>
      </c>
      <c r="C1462" t="s">
        <v>2789</v>
      </c>
      <c r="D1462">
        <v>4</v>
      </c>
      <c r="E1462">
        <v>7986</v>
      </c>
      <c r="F1462">
        <v>7986</v>
      </c>
      <c r="G1462" t="s">
        <v>3530</v>
      </c>
      <c r="H1462" t="s">
        <v>3912</v>
      </c>
      <c r="I1462" t="s">
        <v>3583</v>
      </c>
      <c r="J1462" t="s">
        <v>3913</v>
      </c>
      <c r="L1462" t="s">
        <v>3531</v>
      </c>
    </row>
    <row r="1463" spans="1:12" x14ac:dyDescent="0.2">
      <c r="A1463" t="s">
        <v>1767</v>
      </c>
      <c r="B1463" t="s">
        <v>1769</v>
      </c>
      <c r="C1463" t="s">
        <v>2789</v>
      </c>
      <c r="D1463">
        <v>4</v>
      </c>
      <c r="E1463">
        <v>1085.04</v>
      </c>
      <c r="F1463">
        <v>1085.04</v>
      </c>
      <c r="G1463" t="s">
        <v>3530</v>
      </c>
      <c r="H1463" t="s">
        <v>3914</v>
      </c>
      <c r="I1463" t="s">
        <v>3583</v>
      </c>
      <c r="J1463" t="s">
        <v>3915</v>
      </c>
      <c r="L1463" t="s">
        <v>3531</v>
      </c>
    </row>
    <row r="1464" spans="1:12" x14ac:dyDescent="0.2">
      <c r="A1464" t="s">
        <v>1767</v>
      </c>
      <c r="B1464" t="s">
        <v>1769</v>
      </c>
      <c r="C1464" t="s">
        <v>2789</v>
      </c>
      <c r="D1464">
        <v>4</v>
      </c>
      <c r="E1464">
        <v>16.8</v>
      </c>
      <c r="F1464">
        <v>16.8</v>
      </c>
      <c r="G1464" t="s">
        <v>3530</v>
      </c>
      <c r="H1464" t="s">
        <v>3916</v>
      </c>
      <c r="I1464" t="s">
        <v>3583</v>
      </c>
      <c r="J1464" t="s">
        <v>3917</v>
      </c>
      <c r="L1464" t="s">
        <v>3531</v>
      </c>
    </row>
    <row r="1465" spans="1:12" x14ac:dyDescent="0.2">
      <c r="A1465" t="s">
        <v>1767</v>
      </c>
      <c r="B1465" t="s">
        <v>1769</v>
      </c>
      <c r="C1465" t="s">
        <v>2789</v>
      </c>
      <c r="D1465">
        <v>4</v>
      </c>
      <c r="E1465">
        <v>1168</v>
      </c>
      <c r="F1465">
        <v>1168</v>
      </c>
      <c r="G1465" t="s">
        <v>3530</v>
      </c>
      <c r="H1465" t="s">
        <v>3918</v>
      </c>
      <c r="I1465" t="s">
        <v>3583</v>
      </c>
      <c r="J1465" t="s">
        <v>3919</v>
      </c>
      <c r="L1465" t="s">
        <v>3531</v>
      </c>
    </row>
    <row r="1466" spans="1:12" x14ac:dyDescent="0.2">
      <c r="A1466" t="s">
        <v>1767</v>
      </c>
      <c r="B1466" t="s">
        <v>1769</v>
      </c>
      <c r="C1466" t="s">
        <v>2789</v>
      </c>
      <c r="D1466">
        <v>4</v>
      </c>
      <c r="E1466">
        <v>195.84</v>
      </c>
      <c r="F1466">
        <v>195.84</v>
      </c>
      <c r="G1466" t="s">
        <v>3530</v>
      </c>
      <c r="H1466" t="s">
        <v>3920</v>
      </c>
      <c r="I1466" t="s">
        <v>3583</v>
      </c>
      <c r="J1466" t="s">
        <v>3921</v>
      </c>
      <c r="L1466" t="s">
        <v>3531</v>
      </c>
    </row>
    <row r="1467" spans="1:12" x14ac:dyDescent="0.2">
      <c r="A1467" t="s">
        <v>1767</v>
      </c>
      <c r="B1467" t="s">
        <v>1769</v>
      </c>
      <c r="C1467" t="s">
        <v>2792</v>
      </c>
      <c r="D1467">
        <v>1</v>
      </c>
      <c r="E1467">
        <v>0</v>
      </c>
      <c r="F1467">
        <v>0</v>
      </c>
      <c r="G1467" t="s">
        <v>3922</v>
      </c>
      <c r="L1467" t="s">
        <v>3923</v>
      </c>
    </row>
    <row r="1468" spans="1:12" x14ac:dyDescent="0.2">
      <c r="A1468" t="s">
        <v>1767</v>
      </c>
      <c r="B1468" t="s">
        <v>1769</v>
      </c>
      <c r="C1468" t="s">
        <v>2792</v>
      </c>
      <c r="D1468">
        <v>3</v>
      </c>
      <c r="E1468">
        <v>887.23</v>
      </c>
      <c r="F1468">
        <v>887.23</v>
      </c>
      <c r="G1468" t="s">
        <v>3922</v>
      </c>
      <c r="H1468" t="s">
        <v>3924</v>
      </c>
      <c r="I1468" t="s">
        <v>3925</v>
      </c>
      <c r="L1468" t="s">
        <v>3923</v>
      </c>
    </row>
    <row r="1469" spans="1:12" x14ac:dyDescent="0.2">
      <c r="A1469" t="s">
        <v>1767</v>
      </c>
      <c r="B1469" t="s">
        <v>1769</v>
      </c>
      <c r="C1469" t="s">
        <v>2792</v>
      </c>
      <c r="D1469">
        <v>3</v>
      </c>
      <c r="E1469">
        <v>0</v>
      </c>
      <c r="F1469">
        <v>0</v>
      </c>
      <c r="G1469" t="s">
        <v>3922</v>
      </c>
      <c r="H1469" t="s">
        <v>3926</v>
      </c>
      <c r="I1469" t="s">
        <v>3927</v>
      </c>
      <c r="L1469" t="s">
        <v>3923</v>
      </c>
    </row>
    <row r="1470" spans="1:12" x14ac:dyDescent="0.2">
      <c r="A1470" t="s">
        <v>1767</v>
      </c>
      <c r="B1470" t="s">
        <v>1769</v>
      </c>
      <c r="C1470" t="s">
        <v>2792</v>
      </c>
      <c r="D1470">
        <v>3</v>
      </c>
      <c r="E1470">
        <v>124.83</v>
      </c>
      <c r="F1470">
        <v>124.83</v>
      </c>
      <c r="G1470" t="s">
        <v>3922</v>
      </c>
      <c r="H1470" t="s">
        <v>3928</v>
      </c>
      <c r="I1470" t="s">
        <v>3929</v>
      </c>
      <c r="L1470" t="s">
        <v>3923</v>
      </c>
    </row>
    <row r="1471" spans="1:12" x14ac:dyDescent="0.2">
      <c r="A1471" t="s">
        <v>1767</v>
      </c>
      <c r="B1471" t="s">
        <v>1769</v>
      </c>
      <c r="C1471" t="s">
        <v>2792</v>
      </c>
      <c r="D1471">
        <v>3</v>
      </c>
      <c r="E1471">
        <v>7</v>
      </c>
      <c r="F1471">
        <v>7</v>
      </c>
      <c r="G1471" t="s">
        <v>3922</v>
      </c>
      <c r="H1471" t="s">
        <v>3930</v>
      </c>
      <c r="I1471" t="s">
        <v>3931</v>
      </c>
      <c r="L1471" t="s">
        <v>3923</v>
      </c>
    </row>
    <row r="1472" spans="1:12" x14ac:dyDescent="0.2">
      <c r="A1472" t="s">
        <v>1767</v>
      </c>
      <c r="B1472" t="s">
        <v>1769</v>
      </c>
      <c r="C1472" t="s">
        <v>2792</v>
      </c>
      <c r="D1472">
        <v>3</v>
      </c>
      <c r="E1472">
        <v>0</v>
      </c>
      <c r="F1472">
        <v>0</v>
      </c>
      <c r="G1472" t="s">
        <v>3922</v>
      </c>
      <c r="H1472" t="s">
        <v>3926</v>
      </c>
      <c r="I1472" t="s">
        <v>3932</v>
      </c>
      <c r="L1472" t="s">
        <v>3923</v>
      </c>
    </row>
    <row r="1473" spans="1:12" x14ac:dyDescent="0.2">
      <c r="A1473" t="s">
        <v>1767</v>
      </c>
      <c r="B1473" t="s">
        <v>1769</v>
      </c>
      <c r="C1473" t="s">
        <v>2792</v>
      </c>
      <c r="D1473">
        <v>3</v>
      </c>
      <c r="E1473">
        <v>5.65</v>
      </c>
      <c r="F1473">
        <v>5.65</v>
      </c>
      <c r="G1473" t="s">
        <v>3922</v>
      </c>
      <c r="H1473" t="s">
        <v>3933</v>
      </c>
      <c r="I1473" t="s">
        <v>3934</v>
      </c>
      <c r="L1473" t="s">
        <v>3923</v>
      </c>
    </row>
    <row r="1474" spans="1:12" x14ac:dyDescent="0.2">
      <c r="A1474" t="s">
        <v>1767</v>
      </c>
      <c r="B1474" t="s">
        <v>1769</v>
      </c>
      <c r="C1474" t="s">
        <v>2792</v>
      </c>
      <c r="D1474">
        <v>3</v>
      </c>
      <c r="E1474">
        <v>6.45</v>
      </c>
      <c r="F1474">
        <v>6.45</v>
      </c>
      <c r="G1474" t="s">
        <v>3922</v>
      </c>
      <c r="H1474" t="s">
        <v>3935</v>
      </c>
      <c r="I1474" t="s">
        <v>3936</v>
      </c>
      <c r="L1474" t="s">
        <v>3923</v>
      </c>
    </row>
    <row r="1475" spans="1:12" x14ac:dyDescent="0.2">
      <c r="A1475" t="s">
        <v>1767</v>
      </c>
      <c r="B1475" t="s">
        <v>1769</v>
      </c>
      <c r="C1475" t="s">
        <v>2792</v>
      </c>
      <c r="D1475">
        <v>3</v>
      </c>
      <c r="E1475">
        <v>1.8</v>
      </c>
      <c r="F1475">
        <v>1.8</v>
      </c>
      <c r="G1475" t="s">
        <v>3922</v>
      </c>
      <c r="H1475" t="s">
        <v>3937</v>
      </c>
      <c r="I1475" t="s">
        <v>3938</v>
      </c>
      <c r="L1475" t="s">
        <v>3923</v>
      </c>
    </row>
    <row r="1476" spans="1:12" x14ac:dyDescent="0.2">
      <c r="A1476" t="s">
        <v>1767</v>
      </c>
      <c r="B1476" t="s">
        <v>1769</v>
      </c>
      <c r="C1476" t="s">
        <v>2792</v>
      </c>
      <c r="D1476">
        <v>3</v>
      </c>
      <c r="E1476">
        <v>623.4</v>
      </c>
      <c r="F1476">
        <v>623.4</v>
      </c>
      <c r="G1476" t="s">
        <v>3922</v>
      </c>
      <c r="H1476" t="s">
        <v>3939</v>
      </c>
      <c r="I1476" t="s">
        <v>3940</v>
      </c>
      <c r="L1476" t="s">
        <v>3923</v>
      </c>
    </row>
    <row r="1477" spans="1:12" x14ac:dyDescent="0.2">
      <c r="A1477" t="s">
        <v>1767</v>
      </c>
      <c r="B1477" t="s">
        <v>1769</v>
      </c>
      <c r="C1477" t="s">
        <v>2792</v>
      </c>
      <c r="D1477">
        <v>3</v>
      </c>
      <c r="E1477">
        <v>870.9</v>
      </c>
      <c r="F1477">
        <v>870.9</v>
      </c>
      <c r="G1477" t="s">
        <v>3922</v>
      </c>
      <c r="H1477" t="s">
        <v>3941</v>
      </c>
      <c r="I1477" t="s">
        <v>3942</v>
      </c>
      <c r="L1477" t="s">
        <v>3923</v>
      </c>
    </row>
    <row r="1478" spans="1:12" x14ac:dyDescent="0.2">
      <c r="A1478" t="s">
        <v>1767</v>
      </c>
      <c r="B1478" t="s">
        <v>1769</v>
      </c>
      <c r="C1478" t="s">
        <v>2792</v>
      </c>
      <c r="D1478">
        <v>3</v>
      </c>
      <c r="E1478">
        <v>7</v>
      </c>
      <c r="F1478">
        <v>7</v>
      </c>
      <c r="G1478" t="s">
        <v>3922</v>
      </c>
      <c r="H1478" t="s">
        <v>3930</v>
      </c>
      <c r="I1478" t="s">
        <v>3931</v>
      </c>
      <c r="L1478" t="s">
        <v>3923</v>
      </c>
    </row>
    <row r="1479" spans="1:12" x14ac:dyDescent="0.2">
      <c r="A1479" t="s">
        <v>1767</v>
      </c>
      <c r="B1479" t="s">
        <v>1769</v>
      </c>
      <c r="C1479" t="s">
        <v>2792</v>
      </c>
      <c r="D1479">
        <v>3</v>
      </c>
      <c r="E1479">
        <v>44.4</v>
      </c>
      <c r="F1479">
        <v>44.4</v>
      </c>
      <c r="G1479" t="s">
        <v>3922</v>
      </c>
      <c r="H1479" t="s">
        <v>3943</v>
      </c>
      <c r="I1479" t="s">
        <v>3944</v>
      </c>
      <c r="L1479" t="s">
        <v>3923</v>
      </c>
    </row>
    <row r="1480" spans="1:12" x14ac:dyDescent="0.2">
      <c r="A1480" t="s">
        <v>1767</v>
      </c>
      <c r="B1480" t="s">
        <v>1769</v>
      </c>
      <c r="C1480" t="s">
        <v>2792</v>
      </c>
      <c r="D1480">
        <v>3</v>
      </c>
      <c r="E1480">
        <v>7.74</v>
      </c>
      <c r="F1480">
        <v>7.74</v>
      </c>
      <c r="G1480" t="s">
        <v>3922</v>
      </c>
      <c r="H1480" t="s">
        <v>3945</v>
      </c>
      <c r="I1480" t="s">
        <v>3946</v>
      </c>
      <c r="L1480" t="s">
        <v>3923</v>
      </c>
    </row>
    <row r="1481" spans="1:12" x14ac:dyDescent="0.2">
      <c r="A1481" t="s">
        <v>1767</v>
      </c>
      <c r="B1481" t="s">
        <v>1769</v>
      </c>
      <c r="C1481" t="s">
        <v>2792</v>
      </c>
      <c r="D1481">
        <v>3</v>
      </c>
      <c r="E1481">
        <v>7.55</v>
      </c>
      <c r="F1481">
        <v>7.55</v>
      </c>
      <c r="G1481" t="s">
        <v>3922</v>
      </c>
      <c r="H1481" t="s">
        <v>3947</v>
      </c>
      <c r="I1481" t="s">
        <v>3948</v>
      </c>
      <c r="L1481" t="s">
        <v>3923</v>
      </c>
    </row>
    <row r="1482" spans="1:12" x14ac:dyDescent="0.2">
      <c r="A1482" t="s">
        <v>1767</v>
      </c>
      <c r="B1482" t="s">
        <v>1769</v>
      </c>
      <c r="C1482" t="s">
        <v>2792</v>
      </c>
      <c r="D1482">
        <v>3</v>
      </c>
      <c r="E1482">
        <v>589.5</v>
      </c>
      <c r="F1482">
        <v>589.5</v>
      </c>
      <c r="G1482" t="s">
        <v>3922</v>
      </c>
      <c r="H1482" t="s">
        <v>3949</v>
      </c>
      <c r="I1482" t="s">
        <v>3950</v>
      </c>
      <c r="L1482" t="s">
        <v>3923</v>
      </c>
    </row>
    <row r="1483" spans="1:12" x14ac:dyDescent="0.2">
      <c r="A1483" t="s">
        <v>1767</v>
      </c>
      <c r="B1483" t="s">
        <v>1769</v>
      </c>
      <c r="C1483" t="s">
        <v>2792</v>
      </c>
      <c r="D1483">
        <v>3</v>
      </c>
      <c r="E1483">
        <v>0</v>
      </c>
      <c r="F1483">
        <v>0</v>
      </c>
      <c r="G1483" t="s">
        <v>3922</v>
      </c>
      <c r="H1483" t="s">
        <v>3926</v>
      </c>
      <c r="I1483" t="s">
        <v>3951</v>
      </c>
      <c r="L1483" t="s">
        <v>3923</v>
      </c>
    </row>
    <row r="1484" spans="1:12" x14ac:dyDescent="0.2">
      <c r="A1484" t="s">
        <v>1767</v>
      </c>
      <c r="B1484" t="s">
        <v>1769</v>
      </c>
      <c r="C1484" t="s">
        <v>2792</v>
      </c>
      <c r="D1484">
        <v>3</v>
      </c>
      <c r="E1484">
        <v>1418.63</v>
      </c>
      <c r="F1484">
        <v>1418.63</v>
      </c>
      <c r="G1484" t="s">
        <v>3922</v>
      </c>
      <c r="H1484" t="s">
        <v>3952</v>
      </c>
      <c r="I1484" t="s">
        <v>3953</v>
      </c>
      <c r="L1484" t="s">
        <v>3923</v>
      </c>
    </row>
    <row r="1485" spans="1:12" x14ac:dyDescent="0.2">
      <c r="A1485" t="s">
        <v>1767</v>
      </c>
      <c r="B1485" t="s">
        <v>1769</v>
      </c>
      <c r="C1485" t="s">
        <v>2792</v>
      </c>
      <c r="D1485">
        <v>3</v>
      </c>
      <c r="E1485">
        <v>0</v>
      </c>
      <c r="F1485">
        <v>0</v>
      </c>
      <c r="G1485" t="s">
        <v>3922</v>
      </c>
      <c r="H1485" t="s">
        <v>3926</v>
      </c>
      <c r="I1485" t="s">
        <v>3954</v>
      </c>
      <c r="L1485" t="s">
        <v>3923</v>
      </c>
    </row>
    <row r="1486" spans="1:12" x14ac:dyDescent="0.2">
      <c r="A1486" t="s">
        <v>1767</v>
      </c>
      <c r="B1486" t="s">
        <v>1769</v>
      </c>
      <c r="C1486" t="s">
        <v>2792</v>
      </c>
      <c r="D1486">
        <v>3</v>
      </c>
      <c r="E1486">
        <v>105</v>
      </c>
      <c r="F1486">
        <v>105</v>
      </c>
      <c r="G1486" t="s">
        <v>3922</v>
      </c>
      <c r="H1486" t="s">
        <v>3955</v>
      </c>
      <c r="I1486" t="s">
        <v>3956</v>
      </c>
      <c r="L1486" t="s">
        <v>3923</v>
      </c>
    </row>
    <row r="1487" spans="1:12" x14ac:dyDescent="0.2">
      <c r="A1487" t="s">
        <v>1767</v>
      </c>
      <c r="B1487" t="s">
        <v>1769</v>
      </c>
      <c r="C1487" t="s">
        <v>2792</v>
      </c>
      <c r="D1487">
        <v>3</v>
      </c>
      <c r="E1487">
        <v>0</v>
      </c>
      <c r="F1487">
        <v>0</v>
      </c>
      <c r="G1487" t="s">
        <v>3922</v>
      </c>
      <c r="H1487" t="s">
        <v>3926</v>
      </c>
      <c r="I1487" t="s">
        <v>3957</v>
      </c>
      <c r="L1487" t="s">
        <v>3923</v>
      </c>
    </row>
    <row r="1488" spans="1:12" x14ac:dyDescent="0.2">
      <c r="A1488" t="s">
        <v>1767</v>
      </c>
      <c r="B1488" t="s">
        <v>1769</v>
      </c>
      <c r="C1488" t="s">
        <v>2792</v>
      </c>
      <c r="D1488">
        <v>3</v>
      </c>
      <c r="E1488">
        <v>0</v>
      </c>
      <c r="F1488">
        <v>0</v>
      </c>
      <c r="G1488" t="s">
        <v>3922</v>
      </c>
      <c r="H1488" t="s">
        <v>3926</v>
      </c>
      <c r="I1488" t="s">
        <v>3958</v>
      </c>
      <c r="L1488" t="s">
        <v>3923</v>
      </c>
    </row>
    <row r="1489" spans="1:12" x14ac:dyDescent="0.2">
      <c r="A1489" t="s">
        <v>1767</v>
      </c>
      <c r="B1489" t="s">
        <v>1769</v>
      </c>
      <c r="C1489" t="s">
        <v>2792</v>
      </c>
      <c r="D1489">
        <v>3</v>
      </c>
      <c r="E1489">
        <v>0</v>
      </c>
      <c r="F1489">
        <v>0</v>
      </c>
      <c r="G1489" t="s">
        <v>3922</v>
      </c>
      <c r="H1489" t="s">
        <v>3926</v>
      </c>
      <c r="I1489" t="s">
        <v>3959</v>
      </c>
      <c r="L1489" t="s">
        <v>3923</v>
      </c>
    </row>
    <row r="1490" spans="1:12" x14ac:dyDescent="0.2">
      <c r="A1490" t="s">
        <v>1767</v>
      </c>
      <c r="B1490" t="s">
        <v>1769</v>
      </c>
      <c r="C1490" t="s">
        <v>2792</v>
      </c>
      <c r="D1490">
        <v>3</v>
      </c>
      <c r="E1490">
        <v>215.8</v>
      </c>
      <c r="F1490">
        <v>215.8</v>
      </c>
      <c r="G1490" t="s">
        <v>3922</v>
      </c>
      <c r="H1490" t="s">
        <v>3960</v>
      </c>
      <c r="I1490" t="s">
        <v>3961</v>
      </c>
      <c r="L1490" t="s">
        <v>3923</v>
      </c>
    </row>
    <row r="1491" spans="1:12" x14ac:dyDescent="0.2">
      <c r="A1491" t="s">
        <v>1767</v>
      </c>
      <c r="B1491" t="s">
        <v>1769</v>
      </c>
      <c r="C1491" t="s">
        <v>2792</v>
      </c>
      <c r="D1491">
        <v>3</v>
      </c>
      <c r="E1491">
        <v>0</v>
      </c>
      <c r="F1491">
        <v>0</v>
      </c>
      <c r="G1491" t="s">
        <v>3922</v>
      </c>
      <c r="H1491" t="s">
        <v>3926</v>
      </c>
      <c r="I1491" t="s">
        <v>3962</v>
      </c>
      <c r="L1491" t="s">
        <v>3923</v>
      </c>
    </row>
    <row r="1492" spans="1:12" x14ac:dyDescent="0.2">
      <c r="A1492" t="s">
        <v>1767</v>
      </c>
      <c r="B1492" t="s">
        <v>1769</v>
      </c>
      <c r="C1492" t="s">
        <v>2792</v>
      </c>
      <c r="D1492">
        <v>3</v>
      </c>
      <c r="E1492">
        <v>0</v>
      </c>
      <c r="F1492">
        <v>0</v>
      </c>
      <c r="G1492" t="s">
        <v>3922</v>
      </c>
      <c r="H1492" t="s">
        <v>3926</v>
      </c>
      <c r="I1492" t="s">
        <v>3963</v>
      </c>
      <c r="L1492" t="s">
        <v>3923</v>
      </c>
    </row>
    <row r="1493" spans="1:12" x14ac:dyDescent="0.2">
      <c r="A1493" t="s">
        <v>1767</v>
      </c>
      <c r="B1493" t="s">
        <v>1769</v>
      </c>
      <c r="C1493" t="s">
        <v>2792</v>
      </c>
      <c r="D1493">
        <v>3</v>
      </c>
      <c r="E1493">
        <v>63</v>
      </c>
      <c r="F1493">
        <v>63</v>
      </c>
      <c r="G1493" t="s">
        <v>3922</v>
      </c>
      <c r="H1493" t="s">
        <v>3964</v>
      </c>
      <c r="I1493" t="s">
        <v>3965</v>
      </c>
      <c r="L1493" t="s">
        <v>3923</v>
      </c>
    </row>
    <row r="1494" spans="1:12" x14ac:dyDescent="0.2">
      <c r="A1494" t="s">
        <v>1767</v>
      </c>
      <c r="B1494" t="s">
        <v>1769</v>
      </c>
      <c r="C1494" t="s">
        <v>2792</v>
      </c>
      <c r="D1494">
        <v>3</v>
      </c>
      <c r="E1494">
        <v>0</v>
      </c>
      <c r="F1494">
        <v>0</v>
      </c>
      <c r="G1494" t="s">
        <v>3922</v>
      </c>
      <c r="H1494" t="s">
        <v>3926</v>
      </c>
      <c r="I1494" t="s">
        <v>3966</v>
      </c>
      <c r="L1494" t="s">
        <v>3923</v>
      </c>
    </row>
    <row r="1495" spans="1:12" x14ac:dyDescent="0.2">
      <c r="A1495" t="s">
        <v>1767</v>
      </c>
      <c r="B1495" t="s">
        <v>1769</v>
      </c>
      <c r="C1495" t="s">
        <v>2792</v>
      </c>
      <c r="D1495">
        <v>3</v>
      </c>
      <c r="E1495">
        <v>37.5</v>
      </c>
      <c r="F1495">
        <v>37.5</v>
      </c>
      <c r="G1495" t="s">
        <v>3922</v>
      </c>
      <c r="H1495" t="s">
        <v>3967</v>
      </c>
      <c r="I1495" t="s">
        <v>3968</v>
      </c>
      <c r="L1495" t="s">
        <v>3923</v>
      </c>
    </row>
    <row r="1496" spans="1:12" x14ac:dyDescent="0.2">
      <c r="A1496" t="s">
        <v>1767</v>
      </c>
      <c r="B1496" t="s">
        <v>1769</v>
      </c>
      <c r="C1496" t="s">
        <v>2792</v>
      </c>
      <c r="D1496">
        <v>3</v>
      </c>
      <c r="E1496">
        <v>1188.5999999999999</v>
      </c>
      <c r="F1496">
        <v>1188.5999999999999</v>
      </c>
      <c r="G1496" t="s">
        <v>3922</v>
      </c>
      <c r="H1496" t="s">
        <v>3969</v>
      </c>
      <c r="I1496" t="s">
        <v>3970</v>
      </c>
      <c r="L1496" t="s">
        <v>3923</v>
      </c>
    </row>
    <row r="1497" spans="1:12" x14ac:dyDescent="0.2">
      <c r="A1497" t="s">
        <v>1767</v>
      </c>
      <c r="B1497" t="s">
        <v>1769</v>
      </c>
      <c r="C1497" t="s">
        <v>2792</v>
      </c>
      <c r="D1497">
        <v>3</v>
      </c>
      <c r="E1497">
        <v>0</v>
      </c>
      <c r="F1497">
        <v>0</v>
      </c>
      <c r="G1497" t="s">
        <v>3922</v>
      </c>
      <c r="H1497" t="s">
        <v>3926</v>
      </c>
      <c r="I1497" t="s">
        <v>3971</v>
      </c>
      <c r="L1497" t="s">
        <v>3923</v>
      </c>
    </row>
    <row r="1498" spans="1:12" x14ac:dyDescent="0.2">
      <c r="A1498" t="s">
        <v>1767</v>
      </c>
      <c r="B1498" t="s">
        <v>1769</v>
      </c>
      <c r="C1498" t="s">
        <v>2792</v>
      </c>
      <c r="D1498">
        <v>3</v>
      </c>
      <c r="E1498">
        <v>2510</v>
      </c>
      <c r="F1498">
        <v>2510</v>
      </c>
      <c r="G1498" t="s">
        <v>3922</v>
      </c>
      <c r="H1498" t="s">
        <v>3972</v>
      </c>
      <c r="I1498" t="s">
        <v>3973</v>
      </c>
      <c r="L1498" t="s">
        <v>3923</v>
      </c>
    </row>
    <row r="1499" spans="1:12" x14ac:dyDescent="0.2">
      <c r="A1499" t="s">
        <v>1767</v>
      </c>
      <c r="B1499" t="s">
        <v>1769</v>
      </c>
      <c r="C1499" t="s">
        <v>2792</v>
      </c>
      <c r="D1499">
        <v>3</v>
      </c>
      <c r="E1499">
        <v>2150</v>
      </c>
      <c r="F1499">
        <v>2150</v>
      </c>
      <c r="G1499" t="s">
        <v>3922</v>
      </c>
      <c r="H1499" t="s">
        <v>3974</v>
      </c>
      <c r="I1499" t="s">
        <v>3975</v>
      </c>
      <c r="L1499" t="s">
        <v>3923</v>
      </c>
    </row>
    <row r="1500" spans="1:12" x14ac:dyDescent="0.2">
      <c r="A1500" t="s">
        <v>1767</v>
      </c>
      <c r="B1500" t="s">
        <v>1769</v>
      </c>
      <c r="C1500" t="s">
        <v>2792</v>
      </c>
      <c r="D1500">
        <v>3</v>
      </c>
      <c r="E1500">
        <v>601.25</v>
      </c>
      <c r="F1500">
        <v>601.25</v>
      </c>
      <c r="G1500" t="s">
        <v>3922</v>
      </c>
      <c r="H1500" t="s">
        <v>3976</v>
      </c>
      <c r="I1500" t="s">
        <v>3977</v>
      </c>
      <c r="L1500" t="s">
        <v>3923</v>
      </c>
    </row>
    <row r="1501" spans="1:12" x14ac:dyDescent="0.2">
      <c r="A1501" t="s">
        <v>1767</v>
      </c>
      <c r="B1501" t="s">
        <v>1769</v>
      </c>
      <c r="C1501" t="s">
        <v>2792</v>
      </c>
      <c r="D1501">
        <v>3</v>
      </c>
      <c r="E1501">
        <v>1345.46</v>
      </c>
      <c r="F1501">
        <v>1345.46</v>
      </c>
      <c r="G1501" t="s">
        <v>3922</v>
      </c>
      <c r="H1501" t="s">
        <v>3978</v>
      </c>
      <c r="I1501" t="s">
        <v>3979</v>
      </c>
      <c r="L1501" t="s">
        <v>3923</v>
      </c>
    </row>
    <row r="1502" spans="1:12" x14ac:dyDescent="0.2">
      <c r="A1502" t="s">
        <v>1767</v>
      </c>
      <c r="B1502" t="s">
        <v>1769</v>
      </c>
      <c r="C1502" t="s">
        <v>2792</v>
      </c>
      <c r="D1502">
        <v>3</v>
      </c>
      <c r="E1502">
        <v>3.91</v>
      </c>
      <c r="F1502">
        <v>3.91</v>
      </c>
      <c r="G1502" t="s">
        <v>3922</v>
      </c>
      <c r="H1502" t="s">
        <v>3980</v>
      </c>
      <c r="I1502" t="s">
        <v>3981</v>
      </c>
      <c r="L1502" t="s">
        <v>3923</v>
      </c>
    </row>
    <row r="1503" spans="1:12" x14ac:dyDescent="0.2">
      <c r="A1503" t="s">
        <v>1767</v>
      </c>
      <c r="B1503" t="s">
        <v>1769</v>
      </c>
      <c r="C1503" t="s">
        <v>2792</v>
      </c>
      <c r="D1503">
        <v>3</v>
      </c>
      <c r="E1503">
        <v>3514</v>
      </c>
      <c r="F1503">
        <v>3514</v>
      </c>
      <c r="G1503" t="s">
        <v>3922</v>
      </c>
      <c r="H1503" t="s">
        <v>3982</v>
      </c>
      <c r="I1503" t="s">
        <v>3983</v>
      </c>
      <c r="L1503" t="s">
        <v>3923</v>
      </c>
    </row>
    <row r="1504" spans="1:12" x14ac:dyDescent="0.2">
      <c r="A1504" t="s">
        <v>1767</v>
      </c>
      <c r="B1504" t="s">
        <v>1769</v>
      </c>
      <c r="C1504" t="s">
        <v>2792</v>
      </c>
      <c r="D1504">
        <v>3</v>
      </c>
      <c r="E1504">
        <v>24</v>
      </c>
      <c r="F1504">
        <v>24</v>
      </c>
      <c r="G1504" t="s">
        <v>3922</v>
      </c>
      <c r="H1504" t="s">
        <v>3984</v>
      </c>
      <c r="I1504" t="s">
        <v>3985</v>
      </c>
      <c r="L1504" t="s">
        <v>3923</v>
      </c>
    </row>
    <row r="1505" spans="1:12" x14ac:dyDescent="0.2">
      <c r="A1505" t="s">
        <v>1767</v>
      </c>
      <c r="B1505" t="s">
        <v>1769</v>
      </c>
      <c r="C1505" t="s">
        <v>2792</v>
      </c>
      <c r="D1505">
        <v>3</v>
      </c>
      <c r="E1505">
        <v>15</v>
      </c>
      <c r="F1505">
        <v>15</v>
      </c>
      <c r="G1505" t="s">
        <v>3922</v>
      </c>
      <c r="H1505" t="s">
        <v>3986</v>
      </c>
      <c r="I1505" t="s">
        <v>3987</v>
      </c>
      <c r="L1505" t="s">
        <v>3923</v>
      </c>
    </row>
    <row r="1506" spans="1:12" x14ac:dyDescent="0.2">
      <c r="A1506" t="s">
        <v>1767</v>
      </c>
      <c r="B1506" t="s">
        <v>1769</v>
      </c>
      <c r="C1506" t="s">
        <v>2792</v>
      </c>
      <c r="D1506">
        <v>3</v>
      </c>
      <c r="E1506">
        <v>11.1</v>
      </c>
      <c r="F1506">
        <v>11.1</v>
      </c>
      <c r="G1506" t="s">
        <v>3922</v>
      </c>
      <c r="H1506" t="s">
        <v>3988</v>
      </c>
      <c r="I1506" t="s">
        <v>3989</v>
      </c>
      <c r="L1506" t="s">
        <v>3923</v>
      </c>
    </row>
    <row r="1507" spans="1:12" x14ac:dyDescent="0.2">
      <c r="A1507" t="s">
        <v>1767</v>
      </c>
      <c r="B1507" t="s">
        <v>1769</v>
      </c>
      <c r="C1507" t="s">
        <v>2792</v>
      </c>
      <c r="D1507">
        <v>3</v>
      </c>
      <c r="E1507">
        <v>0</v>
      </c>
      <c r="F1507">
        <v>0</v>
      </c>
      <c r="G1507" t="s">
        <v>3922</v>
      </c>
      <c r="H1507" t="s">
        <v>3926</v>
      </c>
      <c r="I1507" t="s">
        <v>3990</v>
      </c>
      <c r="L1507" t="s">
        <v>3923</v>
      </c>
    </row>
    <row r="1508" spans="1:12" x14ac:dyDescent="0.2">
      <c r="A1508" t="s">
        <v>1767</v>
      </c>
      <c r="B1508" t="s">
        <v>1769</v>
      </c>
      <c r="C1508" t="s">
        <v>2792</v>
      </c>
      <c r="D1508">
        <v>3</v>
      </c>
      <c r="E1508">
        <v>3.95</v>
      </c>
      <c r="F1508">
        <v>3.95</v>
      </c>
      <c r="G1508" t="s">
        <v>3922</v>
      </c>
      <c r="H1508" t="s">
        <v>3991</v>
      </c>
      <c r="I1508" t="s">
        <v>3992</v>
      </c>
      <c r="L1508" t="s">
        <v>3923</v>
      </c>
    </row>
    <row r="1509" spans="1:12" x14ac:dyDescent="0.2">
      <c r="A1509" t="s">
        <v>1767</v>
      </c>
      <c r="B1509" t="s">
        <v>1769</v>
      </c>
      <c r="C1509" t="s">
        <v>2792</v>
      </c>
      <c r="D1509">
        <v>3</v>
      </c>
      <c r="E1509">
        <v>6.4</v>
      </c>
      <c r="F1509">
        <v>6.4</v>
      </c>
      <c r="G1509" t="s">
        <v>3922</v>
      </c>
      <c r="H1509" t="s">
        <v>3993</v>
      </c>
      <c r="I1509" t="s">
        <v>3994</v>
      </c>
      <c r="L1509" t="s">
        <v>3923</v>
      </c>
    </row>
    <row r="1510" spans="1:12" x14ac:dyDescent="0.2">
      <c r="A1510" t="s">
        <v>1767</v>
      </c>
      <c r="B1510" t="s">
        <v>1769</v>
      </c>
      <c r="C1510" t="s">
        <v>2792</v>
      </c>
      <c r="D1510">
        <v>3</v>
      </c>
      <c r="E1510">
        <v>7.4</v>
      </c>
      <c r="F1510">
        <v>7.4</v>
      </c>
      <c r="G1510" t="s">
        <v>3922</v>
      </c>
      <c r="H1510" t="s">
        <v>3995</v>
      </c>
      <c r="I1510" t="s">
        <v>3996</v>
      </c>
      <c r="L1510" t="s">
        <v>3923</v>
      </c>
    </row>
    <row r="1511" spans="1:12" x14ac:dyDescent="0.2">
      <c r="A1511" t="s">
        <v>1767</v>
      </c>
      <c r="B1511" t="s">
        <v>1769</v>
      </c>
      <c r="C1511" t="s">
        <v>2792</v>
      </c>
      <c r="D1511">
        <v>3</v>
      </c>
      <c r="E1511">
        <v>14.04</v>
      </c>
      <c r="F1511">
        <v>14.04</v>
      </c>
      <c r="G1511" t="s">
        <v>3922</v>
      </c>
      <c r="H1511" t="s">
        <v>3997</v>
      </c>
      <c r="I1511" t="s">
        <v>3998</v>
      </c>
      <c r="L1511" t="s">
        <v>3923</v>
      </c>
    </row>
    <row r="1512" spans="1:12" x14ac:dyDescent="0.2">
      <c r="A1512" t="s">
        <v>1767</v>
      </c>
      <c r="B1512" t="s">
        <v>1769</v>
      </c>
      <c r="C1512" t="s">
        <v>2792</v>
      </c>
      <c r="D1512">
        <v>3</v>
      </c>
      <c r="E1512">
        <v>105</v>
      </c>
      <c r="F1512">
        <v>105</v>
      </c>
      <c r="G1512" t="s">
        <v>3922</v>
      </c>
      <c r="H1512" t="s">
        <v>3955</v>
      </c>
      <c r="I1512" t="s">
        <v>3999</v>
      </c>
      <c r="L1512" t="s">
        <v>3923</v>
      </c>
    </row>
    <row r="1513" spans="1:12" x14ac:dyDescent="0.2">
      <c r="A1513" t="s">
        <v>1767</v>
      </c>
      <c r="B1513" t="s">
        <v>1769</v>
      </c>
      <c r="C1513" t="s">
        <v>2792</v>
      </c>
      <c r="D1513">
        <v>3</v>
      </c>
      <c r="E1513">
        <v>5</v>
      </c>
      <c r="F1513">
        <v>5</v>
      </c>
      <c r="G1513" t="s">
        <v>3922</v>
      </c>
      <c r="H1513" t="s">
        <v>4000</v>
      </c>
      <c r="I1513" t="s">
        <v>4001</v>
      </c>
      <c r="L1513" t="s">
        <v>3923</v>
      </c>
    </row>
    <row r="1514" spans="1:12" x14ac:dyDescent="0.2">
      <c r="A1514" t="s">
        <v>1767</v>
      </c>
      <c r="B1514" t="s">
        <v>1769</v>
      </c>
      <c r="C1514" t="s">
        <v>2792</v>
      </c>
      <c r="D1514">
        <v>3</v>
      </c>
      <c r="E1514">
        <v>5.0599999999999996</v>
      </c>
      <c r="F1514">
        <v>5.0599999999999996</v>
      </c>
      <c r="G1514" t="s">
        <v>3922</v>
      </c>
      <c r="H1514" t="s">
        <v>4002</v>
      </c>
      <c r="I1514" t="s">
        <v>4003</v>
      </c>
      <c r="L1514" t="s">
        <v>3923</v>
      </c>
    </row>
    <row r="1515" spans="1:12" x14ac:dyDescent="0.2">
      <c r="A1515" t="s">
        <v>1767</v>
      </c>
      <c r="B1515" t="s">
        <v>1769</v>
      </c>
      <c r="C1515" t="s">
        <v>2792</v>
      </c>
      <c r="D1515">
        <v>3</v>
      </c>
      <c r="E1515">
        <v>16.5</v>
      </c>
      <c r="F1515">
        <v>16.5</v>
      </c>
      <c r="G1515" t="s">
        <v>3922</v>
      </c>
      <c r="H1515" t="s">
        <v>4004</v>
      </c>
      <c r="I1515" t="s">
        <v>4005</v>
      </c>
      <c r="L1515" t="s">
        <v>3923</v>
      </c>
    </row>
    <row r="1516" spans="1:12" x14ac:dyDescent="0.2">
      <c r="A1516" t="s">
        <v>1767</v>
      </c>
      <c r="B1516" t="s">
        <v>1769</v>
      </c>
      <c r="C1516" t="s">
        <v>2792</v>
      </c>
      <c r="D1516">
        <v>3</v>
      </c>
      <c r="E1516">
        <v>5</v>
      </c>
      <c r="F1516">
        <v>5</v>
      </c>
      <c r="G1516" t="s">
        <v>3922</v>
      </c>
      <c r="H1516" t="s">
        <v>4000</v>
      </c>
      <c r="I1516" t="s">
        <v>4006</v>
      </c>
      <c r="L1516" t="s">
        <v>3923</v>
      </c>
    </row>
    <row r="1517" spans="1:12" x14ac:dyDescent="0.2">
      <c r="A1517" t="s">
        <v>1767</v>
      </c>
      <c r="B1517" t="s">
        <v>1769</v>
      </c>
      <c r="C1517" t="s">
        <v>2792</v>
      </c>
      <c r="D1517">
        <v>3</v>
      </c>
      <c r="E1517">
        <v>8.1</v>
      </c>
      <c r="F1517">
        <v>8.1</v>
      </c>
      <c r="G1517" t="s">
        <v>3922</v>
      </c>
      <c r="H1517" t="s">
        <v>4007</v>
      </c>
      <c r="I1517" t="s">
        <v>4008</v>
      </c>
      <c r="L1517" t="s">
        <v>3923</v>
      </c>
    </row>
    <row r="1518" spans="1:12" x14ac:dyDescent="0.2">
      <c r="A1518" t="s">
        <v>1767</v>
      </c>
      <c r="B1518" t="s">
        <v>1769</v>
      </c>
      <c r="C1518" t="s">
        <v>2792</v>
      </c>
      <c r="D1518">
        <v>3</v>
      </c>
      <c r="E1518">
        <v>7</v>
      </c>
      <c r="F1518">
        <v>7</v>
      </c>
      <c r="G1518" t="s">
        <v>3922</v>
      </c>
      <c r="H1518" t="s">
        <v>3930</v>
      </c>
      <c r="I1518" t="s">
        <v>4009</v>
      </c>
      <c r="L1518" t="s">
        <v>3923</v>
      </c>
    </row>
    <row r="1519" spans="1:12" x14ac:dyDescent="0.2">
      <c r="A1519" t="s">
        <v>1767</v>
      </c>
      <c r="B1519" t="s">
        <v>1769</v>
      </c>
      <c r="C1519" t="s">
        <v>2792</v>
      </c>
      <c r="D1519">
        <v>3</v>
      </c>
      <c r="E1519">
        <v>10.5</v>
      </c>
      <c r="F1519">
        <v>10.5</v>
      </c>
      <c r="G1519" t="s">
        <v>3922</v>
      </c>
      <c r="H1519" t="s">
        <v>4010</v>
      </c>
      <c r="I1519" t="s">
        <v>4011</v>
      </c>
      <c r="L1519" t="s">
        <v>3923</v>
      </c>
    </row>
    <row r="1520" spans="1:12" x14ac:dyDescent="0.2">
      <c r="A1520" t="s">
        <v>1767</v>
      </c>
      <c r="B1520" t="s">
        <v>1769</v>
      </c>
      <c r="C1520" t="s">
        <v>2792</v>
      </c>
      <c r="D1520">
        <v>3</v>
      </c>
      <c r="E1520">
        <v>3564</v>
      </c>
      <c r="F1520">
        <v>3564</v>
      </c>
      <c r="G1520" t="s">
        <v>3922</v>
      </c>
      <c r="H1520" t="s">
        <v>4012</v>
      </c>
      <c r="I1520" t="s">
        <v>4013</v>
      </c>
      <c r="L1520" t="s">
        <v>3923</v>
      </c>
    </row>
    <row r="1521" spans="1:12" x14ac:dyDescent="0.2">
      <c r="A1521" t="s">
        <v>1767</v>
      </c>
      <c r="B1521" t="s">
        <v>1769</v>
      </c>
      <c r="C1521" t="s">
        <v>2792</v>
      </c>
      <c r="D1521">
        <v>3</v>
      </c>
      <c r="E1521">
        <v>20</v>
      </c>
      <c r="F1521">
        <v>20</v>
      </c>
      <c r="G1521" t="s">
        <v>3922</v>
      </c>
      <c r="H1521" t="s">
        <v>4014</v>
      </c>
      <c r="I1521" t="s">
        <v>4015</v>
      </c>
      <c r="L1521" t="s">
        <v>3923</v>
      </c>
    </row>
    <row r="1522" spans="1:12" x14ac:dyDescent="0.2">
      <c r="A1522" t="s">
        <v>1767</v>
      </c>
      <c r="B1522" t="s">
        <v>1769</v>
      </c>
      <c r="C1522" t="s">
        <v>2792</v>
      </c>
      <c r="D1522">
        <v>3</v>
      </c>
      <c r="E1522">
        <v>12.6</v>
      </c>
      <c r="F1522">
        <v>12.6</v>
      </c>
      <c r="G1522" t="s">
        <v>3922</v>
      </c>
      <c r="H1522" t="s">
        <v>4016</v>
      </c>
      <c r="I1522" t="s">
        <v>4017</v>
      </c>
      <c r="L1522" t="s">
        <v>3923</v>
      </c>
    </row>
    <row r="1523" spans="1:12" x14ac:dyDescent="0.2">
      <c r="A1523" t="s">
        <v>1767</v>
      </c>
      <c r="B1523" t="s">
        <v>1769</v>
      </c>
      <c r="C1523" t="s">
        <v>2792</v>
      </c>
      <c r="D1523">
        <v>3</v>
      </c>
      <c r="E1523">
        <v>4.96</v>
      </c>
      <c r="F1523">
        <v>4.96</v>
      </c>
      <c r="G1523" t="s">
        <v>3922</v>
      </c>
      <c r="H1523" t="s">
        <v>4018</v>
      </c>
      <c r="I1523" t="s">
        <v>4019</v>
      </c>
      <c r="L1523" t="s">
        <v>3923</v>
      </c>
    </row>
    <row r="1524" spans="1:12" x14ac:dyDescent="0.2">
      <c r="A1524" t="s">
        <v>1767</v>
      </c>
      <c r="B1524" t="s">
        <v>1769</v>
      </c>
      <c r="C1524" t="s">
        <v>2792</v>
      </c>
      <c r="D1524">
        <v>3</v>
      </c>
      <c r="E1524">
        <v>4.5999999999999996</v>
      </c>
      <c r="F1524">
        <v>4.5999999999999996</v>
      </c>
      <c r="G1524" t="s">
        <v>3922</v>
      </c>
      <c r="H1524" t="s">
        <v>4020</v>
      </c>
      <c r="I1524" t="s">
        <v>4021</v>
      </c>
      <c r="L1524" t="s">
        <v>3923</v>
      </c>
    </row>
    <row r="1525" spans="1:12" x14ac:dyDescent="0.2">
      <c r="A1525" t="s">
        <v>1767</v>
      </c>
      <c r="B1525" t="s">
        <v>1769</v>
      </c>
      <c r="C1525" t="s">
        <v>2792</v>
      </c>
      <c r="D1525">
        <v>3</v>
      </c>
      <c r="E1525">
        <v>4.92</v>
      </c>
      <c r="F1525">
        <v>4.92</v>
      </c>
      <c r="G1525" t="s">
        <v>3922</v>
      </c>
      <c r="H1525" t="s">
        <v>4022</v>
      </c>
      <c r="I1525" t="s">
        <v>4023</v>
      </c>
      <c r="L1525" t="s">
        <v>3923</v>
      </c>
    </row>
    <row r="1526" spans="1:12" x14ac:dyDescent="0.2">
      <c r="A1526" t="s">
        <v>1767</v>
      </c>
      <c r="B1526" t="s">
        <v>1769</v>
      </c>
      <c r="C1526" t="s">
        <v>2792</v>
      </c>
      <c r="D1526">
        <v>3</v>
      </c>
      <c r="E1526">
        <v>5</v>
      </c>
      <c r="F1526">
        <v>5</v>
      </c>
      <c r="G1526" t="s">
        <v>3922</v>
      </c>
      <c r="H1526" t="s">
        <v>4000</v>
      </c>
      <c r="I1526" t="s">
        <v>4024</v>
      </c>
      <c r="L1526" t="s">
        <v>3923</v>
      </c>
    </row>
    <row r="1527" spans="1:12" x14ac:dyDescent="0.2">
      <c r="A1527" t="s">
        <v>1767</v>
      </c>
      <c r="B1527" t="s">
        <v>1769</v>
      </c>
      <c r="C1527" t="s">
        <v>2792</v>
      </c>
      <c r="D1527">
        <v>3</v>
      </c>
      <c r="E1527">
        <v>5</v>
      </c>
      <c r="F1527">
        <v>5</v>
      </c>
      <c r="G1527" t="s">
        <v>3922</v>
      </c>
      <c r="H1527" t="s">
        <v>4000</v>
      </c>
      <c r="I1527" t="s">
        <v>4006</v>
      </c>
      <c r="L1527" t="s">
        <v>3923</v>
      </c>
    </row>
    <row r="1528" spans="1:12" x14ac:dyDescent="0.2">
      <c r="A1528" t="s">
        <v>1767</v>
      </c>
      <c r="B1528" t="s">
        <v>1769</v>
      </c>
      <c r="C1528" t="s">
        <v>2792</v>
      </c>
      <c r="D1528">
        <v>3</v>
      </c>
      <c r="E1528">
        <v>0</v>
      </c>
      <c r="F1528">
        <v>0</v>
      </c>
      <c r="G1528" t="s">
        <v>3922</v>
      </c>
      <c r="H1528" t="s">
        <v>3926</v>
      </c>
      <c r="I1528" t="s">
        <v>4025</v>
      </c>
      <c r="L1528" t="s">
        <v>3923</v>
      </c>
    </row>
    <row r="1529" spans="1:12" x14ac:dyDescent="0.2">
      <c r="A1529" t="s">
        <v>1767</v>
      </c>
      <c r="B1529" t="s">
        <v>1769</v>
      </c>
      <c r="C1529" t="s">
        <v>2792</v>
      </c>
      <c r="D1529">
        <v>3</v>
      </c>
      <c r="E1529">
        <v>535.04</v>
      </c>
      <c r="F1529">
        <v>535.04</v>
      </c>
      <c r="G1529" t="s">
        <v>3922</v>
      </c>
      <c r="H1529" t="s">
        <v>4026</v>
      </c>
      <c r="I1529" t="s">
        <v>4027</v>
      </c>
      <c r="L1529" t="s">
        <v>3923</v>
      </c>
    </row>
    <row r="1530" spans="1:12" x14ac:dyDescent="0.2">
      <c r="A1530" t="s">
        <v>1767</v>
      </c>
      <c r="B1530" t="s">
        <v>1769</v>
      </c>
      <c r="C1530" t="s">
        <v>2792</v>
      </c>
      <c r="D1530">
        <v>3</v>
      </c>
      <c r="E1530">
        <v>571.74</v>
      </c>
      <c r="F1530">
        <v>571.74</v>
      </c>
      <c r="G1530" t="s">
        <v>3922</v>
      </c>
      <c r="H1530" t="s">
        <v>4028</v>
      </c>
      <c r="I1530" t="s">
        <v>4029</v>
      </c>
      <c r="L1530" t="s">
        <v>3923</v>
      </c>
    </row>
    <row r="1531" spans="1:12" x14ac:dyDescent="0.2">
      <c r="A1531" t="s">
        <v>1767</v>
      </c>
      <c r="B1531" t="s">
        <v>1769</v>
      </c>
      <c r="C1531" t="s">
        <v>2792</v>
      </c>
      <c r="D1531">
        <v>3</v>
      </c>
      <c r="E1531">
        <v>1334.06</v>
      </c>
      <c r="F1531">
        <v>1334.06</v>
      </c>
      <c r="G1531" t="s">
        <v>3922</v>
      </c>
      <c r="H1531" t="s">
        <v>4030</v>
      </c>
      <c r="I1531" t="s">
        <v>4031</v>
      </c>
      <c r="L1531" t="s">
        <v>3923</v>
      </c>
    </row>
    <row r="1532" spans="1:12" x14ac:dyDescent="0.2">
      <c r="A1532" t="s">
        <v>1767</v>
      </c>
      <c r="B1532" t="s">
        <v>1769</v>
      </c>
      <c r="C1532" t="s">
        <v>2792</v>
      </c>
      <c r="D1532">
        <v>3</v>
      </c>
      <c r="E1532">
        <v>876.67</v>
      </c>
      <c r="F1532">
        <v>876.67</v>
      </c>
      <c r="G1532" t="s">
        <v>3922</v>
      </c>
      <c r="H1532" t="s">
        <v>4032</v>
      </c>
      <c r="I1532" t="s">
        <v>4033</v>
      </c>
      <c r="L1532" t="s">
        <v>3923</v>
      </c>
    </row>
    <row r="1533" spans="1:12" x14ac:dyDescent="0.2">
      <c r="A1533" t="s">
        <v>1767</v>
      </c>
      <c r="B1533" t="s">
        <v>1769</v>
      </c>
      <c r="C1533" t="s">
        <v>2792</v>
      </c>
      <c r="D1533">
        <v>3</v>
      </c>
      <c r="E1533">
        <v>1029.1300000000001</v>
      </c>
      <c r="F1533">
        <v>1029.1300000000001</v>
      </c>
      <c r="G1533" t="s">
        <v>3922</v>
      </c>
      <c r="H1533" t="s">
        <v>4034</v>
      </c>
      <c r="I1533" t="s">
        <v>4035</v>
      </c>
      <c r="L1533" t="s">
        <v>3923</v>
      </c>
    </row>
    <row r="1534" spans="1:12" x14ac:dyDescent="0.2">
      <c r="A1534" t="s">
        <v>1767</v>
      </c>
      <c r="B1534" t="s">
        <v>1769</v>
      </c>
      <c r="C1534" t="s">
        <v>2792</v>
      </c>
      <c r="D1534">
        <v>3</v>
      </c>
      <c r="E1534">
        <v>14551.29</v>
      </c>
      <c r="F1534">
        <v>14551.29</v>
      </c>
      <c r="G1534" t="s">
        <v>3922</v>
      </c>
      <c r="H1534" t="s">
        <v>4036</v>
      </c>
      <c r="I1534" t="s">
        <v>4037</v>
      </c>
      <c r="L1534" t="s">
        <v>3923</v>
      </c>
    </row>
    <row r="1535" spans="1:12" x14ac:dyDescent="0.2">
      <c r="A1535" t="s">
        <v>1767</v>
      </c>
      <c r="B1535" t="s">
        <v>1769</v>
      </c>
      <c r="C1535" t="s">
        <v>2792</v>
      </c>
      <c r="D1535">
        <v>3</v>
      </c>
      <c r="E1535">
        <v>33953.01</v>
      </c>
      <c r="F1535">
        <v>33953.01</v>
      </c>
      <c r="G1535" t="s">
        <v>3922</v>
      </c>
      <c r="H1535" t="s">
        <v>4038</v>
      </c>
      <c r="I1535" t="s">
        <v>4039</v>
      </c>
      <c r="L1535" t="s">
        <v>3923</v>
      </c>
    </row>
    <row r="1536" spans="1:12" x14ac:dyDescent="0.2">
      <c r="A1536" t="s">
        <v>1767</v>
      </c>
      <c r="B1536" t="s">
        <v>1769</v>
      </c>
      <c r="C1536" t="s">
        <v>2792</v>
      </c>
      <c r="D1536">
        <v>3</v>
      </c>
      <c r="E1536">
        <v>22311.98</v>
      </c>
      <c r="F1536">
        <v>22311.98</v>
      </c>
      <c r="G1536" t="s">
        <v>3922</v>
      </c>
      <c r="H1536" t="s">
        <v>4040</v>
      </c>
      <c r="I1536" t="s">
        <v>4041</v>
      </c>
      <c r="L1536" t="s">
        <v>3923</v>
      </c>
    </row>
    <row r="1537" spans="1:12" x14ac:dyDescent="0.2">
      <c r="A1537" t="s">
        <v>1767</v>
      </c>
      <c r="B1537" t="s">
        <v>1769</v>
      </c>
      <c r="C1537" t="s">
        <v>2792</v>
      </c>
      <c r="D1537">
        <v>3</v>
      </c>
      <c r="E1537">
        <v>26192.32</v>
      </c>
      <c r="F1537">
        <v>26192.32</v>
      </c>
      <c r="G1537" t="s">
        <v>3922</v>
      </c>
      <c r="H1537" t="s">
        <v>4042</v>
      </c>
      <c r="I1537" t="s">
        <v>4043</v>
      </c>
      <c r="L1537" t="s">
        <v>3923</v>
      </c>
    </row>
    <row r="1538" spans="1:12" x14ac:dyDescent="0.2">
      <c r="A1538" t="s">
        <v>1767</v>
      </c>
      <c r="B1538" t="s">
        <v>1769</v>
      </c>
      <c r="C1538" t="s">
        <v>2792</v>
      </c>
      <c r="D1538">
        <v>3</v>
      </c>
      <c r="E1538">
        <v>0</v>
      </c>
      <c r="F1538">
        <v>0</v>
      </c>
      <c r="G1538" t="s">
        <v>3922</v>
      </c>
      <c r="H1538" t="s">
        <v>3926</v>
      </c>
      <c r="I1538" t="s">
        <v>4044</v>
      </c>
      <c r="L1538" t="s">
        <v>3923</v>
      </c>
    </row>
    <row r="1539" spans="1:12" x14ac:dyDescent="0.2">
      <c r="A1539" t="s">
        <v>1767</v>
      </c>
      <c r="B1539" t="s">
        <v>1769</v>
      </c>
      <c r="C1539" t="s">
        <v>2792</v>
      </c>
      <c r="D1539">
        <v>3</v>
      </c>
      <c r="E1539">
        <v>2700</v>
      </c>
      <c r="F1539">
        <v>2700</v>
      </c>
      <c r="G1539" t="s">
        <v>3922</v>
      </c>
      <c r="H1539" t="s">
        <v>4045</v>
      </c>
      <c r="I1539" t="s">
        <v>4046</v>
      </c>
      <c r="L1539" t="s">
        <v>3923</v>
      </c>
    </row>
    <row r="1540" spans="1:12" x14ac:dyDescent="0.2">
      <c r="A1540" t="s">
        <v>1767</v>
      </c>
      <c r="B1540" t="s">
        <v>1769</v>
      </c>
      <c r="C1540" t="s">
        <v>2792</v>
      </c>
      <c r="D1540">
        <v>3</v>
      </c>
      <c r="E1540">
        <v>5</v>
      </c>
      <c r="F1540">
        <v>5</v>
      </c>
      <c r="G1540" t="s">
        <v>3922</v>
      </c>
      <c r="H1540" t="s">
        <v>4000</v>
      </c>
      <c r="I1540" t="s">
        <v>4006</v>
      </c>
      <c r="L1540" t="s">
        <v>3923</v>
      </c>
    </row>
    <row r="1541" spans="1:12" x14ac:dyDescent="0.2">
      <c r="A1541" t="s">
        <v>1767</v>
      </c>
      <c r="B1541" t="s">
        <v>1769</v>
      </c>
      <c r="C1541" t="s">
        <v>2792</v>
      </c>
      <c r="D1541">
        <v>3</v>
      </c>
      <c r="E1541">
        <v>6.78</v>
      </c>
      <c r="F1541">
        <v>6.78</v>
      </c>
      <c r="G1541" t="s">
        <v>3922</v>
      </c>
      <c r="H1541" t="s">
        <v>4047</v>
      </c>
      <c r="I1541" t="s">
        <v>4048</v>
      </c>
      <c r="L1541" t="s">
        <v>3923</v>
      </c>
    </row>
    <row r="1542" spans="1:12" x14ac:dyDescent="0.2">
      <c r="A1542" t="s">
        <v>1767</v>
      </c>
      <c r="B1542" t="s">
        <v>1769</v>
      </c>
      <c r="C1542" t="s">
        <v>2792</v>
      </c>
      <c r="D1542">
        <v>3</v>
      </c>
      <c r="E1542">
        <v>21</v>
      </c>
      <c r="F1542">
        <v>21</v>
      </c>
      <c r="G1542" t="s">
        <v>3922</v>
      </c>
      <c r="H1542" t="s">
        <v>4049</v>
      </c>
      <c r="I1542" t="s">
        <v>4050</v>
      </c>
      <c r="L1542" t="s">
        <v>3923</v>
      </c>
    </row>
    <row r="1543" spans="1:12" x14ac:dyDescent="0.2">
      <c r="A1543" t="s">
        <v>1767</v>
      </c>
      <c r="B1543" t="s">
        <v>1769</v>
      </c>
      <c r="C1543" t="s">
        <v>2792</v>
      </c>
      <c r="D1543">
        <v>3</v>
      </c>
      <c r="E1543">
        <v>5.08</v>
      </c>
      <c r="F1543">
        <v>5.08</v>
      </c>
      <c r="G1543" t="s">
        <v>3922</v>
      </c>
      <c r="H1543" t="s">
        <v>4051</v>
      </c>
      <c r="I1543" t="s">
        <v>4052</v>
      </c>
      <c r="L1543" t="s">
        <v>3923</v>
      </c>
    </row>
    <row r="1544" spans="1:12" x14ac:dyDescent="0.2">
      <c r="A1544" t="s">
        <v>1767</v>
      </c>
      <c r="B1544" t="s">
        <v>1769</v>
      </c>
      <c r="C1544" t="s">
        <v>2792</v>
      </c>
      <c r="D1544">
        <v>3</v>
      </c>
      <c r="E1544">
        <v>0.77</v>
      </c>
      <c r="F1544">
        <v>0.77</v>
      </c>
      <c r="G1544" t="s">
        <v>3922</v>
      </c>
      <c r="H1544" t="s">
        <v>4053</v>
      </c>
      <c r="I1544" t="s">
        <v>4054</v>
      </c>
      <c r="L1544" t="s">
        <v>3923</v>
      </c>
    </row>
    <row r="1545" spans="1:12" x14ac:dyDescent="0.2">
      <c r="A1545" t="s">
        <v>1767</v>
      </c>
      <c r="B1545" t="s">
        <v>1769</v>
      </c>
      <c r="C1545" t="s">
        <v>2792</v>
      </c>
      <c r="D1545">
        <v>3</v>
      </c>
      <c r="E1545">
        <v>0.33</v>
      </c>
      <c r="F1545">
        <v>0.33</v>
      </c>
      <c r="G1545" t="s">
        <v>3922</v>
      </c>
      <c r="H1545" t="s">
        <v>4055</v>
      </c>
      <c r="I1545" t="s">
        <v>4056</v>
      </c>
      <c r="L1545" t="s">
        <v>3923</v>
      </c>
    </row>
    <row r="1546" spans="1:12" x14ac:dyDescent="0.2">
      <c r="A1546" t="s">
        <v>1767</v>
      </c>
      <c r="B1546" t="s">
        <v>1769</v>
      </c>
      <c r="C1546" t="s">
        <v>2792</v>
      </c>
      <c r="D1546">
        <v>3</v>
      </c>
      <c r="E1546">
        <v>2542</v>
      </c>
      <c r="F1546">
        <v>2542</v>
      </c>
      <c r="G1546" t="s">
        <v>3922</v>
      </c>
      <c r="H1546" t="s">
        <v>4057</v>
      </c>
      <c r="I1546" t="s">
        <v>4058</v>
      </c>
      <c r="L1546" t="s">
        <v>3923</v>
      </c>
    </row>
    <row r="1547" spans="1:12" x14ac:dyDescent="0.2">
      <c r="A1547" t="s">
        <v>1767</v>
      </c>
      <c r="B1547" t="s">
        <v>1769</v>
      </c>
      <c r="C1547" t="s">
        <v>2792</v>
      </c>
      <c r="D1547">
        <v>3</v>
      </c>
      <c r="E1547">
        <v>1944</v>
      </c>
      <c r="F1547">
        <v>1944</v>
      </c>
      <c r="G1547" t="s">
        <v>3922</v>
      </c>
      <c r="H1547" t="s">
        <v>4059</v>
      </c>
      <c r="I1547" t="s">
        <v>4060</v>
      </c>
      <c r="L1547" t="s">
        <v>3923</v>
      </c>
    </row>
    <row r="1548" spans="1:12" x14ac:dyDescent="0.2">
      <c r="A1548" t="s">
        <v>1767</v>
      </c>
      <c r="B1548" t="s">
        <v>1769</v>
      </c>
      <c r="C1548" t="s">
        <v>2792</v>
      </c>
      <c r="D1548">
        <v>3</v>
      </c>
      <c r="E1548">
        <v>0</v>
      </c>
      <c r="F1548">
        <v>0</v>
      </c>
      <c r="G1548" t="s">
        <v>3922</v>
      </c>
      <c r="H1548" t="s">
        <v>3926</v>
      </c>
      <c r="I1548" t="s">
        <v>4061</v>
      </c>
      <c r="L1548" t="s">
        <v>3923</v>
      </c>
    </row>
    <row r="1549" spans="1:12" x14ac:dyDescent="0.2">
      <c r="A1549" t="s">
        <v>1767</v>
      </c>
      <c r="B1549" t="s">
        <v>1769</v>
      </c>
      <c r="C1549" t="s">
        <v>2792</v>
      </c>
      <c r="D1549">
        <v>3</v>
      </c>
      <c r="E1549">
        <v>9.73</v>
      </c>
      <c r="F1549">
        <v>9.73</v>
      </c>
      <c r="G1549" t="s">
        <v>3922</v>
      </c>
      <c r="H1549" t="s">
        <v>4062</v>
      </c>
      <c r="I1549" t="s">
        <v>4063</v>
      </c>
      <c r="L1549" t="s">
        <v>3923</v>
      </c>
    </row>
    <row r="1550" spans="1:12" x14ac:dyDescent="0.2">
      <c r="A1550" t="s">
        <v>1767</v>
      </c>
      <c r="B1550" t="s">
        <v>1769</v>
      </c>
      <c r="C1550" t="s">
        <v>2792</v>
      </c>
      <c r="D1550">
        <v>3</v>
      </c>
      <c r="E1550">
        <v>1.32</v>
      </c>
      <c r="F1550">
        <v>1.32</v>
      </c>
      <c r="G1550" t="s">
        <v>3922</v>
      </c>
      <c r="H1550" t="s">
        <v>4064</v>
      </c>
      <c r="I1550" t="s">
        <v>4065</v>
      </c>
      <c r="L1550" t="s">
        <v>3923</v>
      </c>
    </row>
    <row r="1551" spans="1:12" x14ac:dyDescent="0.2">
      <c r="A1551" t="s">
        <v>1767</v>
      </c>
      <c r="B1551" t="s">
        <v>1769</v>
      </c>
      <c r="C1551" t="s">
        <v>2792</v>
      </c>
      <c r="D1551">
        <v>3</v>
      </c>
      <c r="E1551">
        <v>0.35</v>
      </c>
      <c r="F1551">
        <v>0.35</v>
      </c>
      <c r="G1551" t="s">
        <v>3922</v>
      </c>
      <c r="H1551" t="s">
        <v>4066</v>
      </c>
      <c r="I1551" t="s">
        <v>2399</v>
      </c>
      <c r="L1551" t="s">
        <v>3923</v>
      </c>
    </row>
    <row r="1552" spans="1:12" x14ac:dyDescent="0.2">
      <c r="A1552" t="s">
        <v>1767</v>
      </c>
      <c r="B1552" t="s">
        <v>1769</v>
      </c>
      <c r="C1552" t="s">
        <v>2792</v>
      </c>
      <c r="D1552">
        <v>3</v>
      </c>
      <c r="E1552">
        <v>4</v>
      </c>
      <c r="F1552">
        <v>4</v>
      </c>
      <c r="G1552" t="s">
        <v>3922</v>
      </c>
      <c r="H1552" t="s">
        <v>4067</v>
      </c>
      <c r="I1552" t="s">
        <v>4068</v>
      </c>
      <c r="L1552" t="s">
        <v>3923</v>
      </c>
    </row>
    <row r="1553" spans="1:12" x14ac:dyDescent="0.2">
      <c r="A1553" t="s">
        <v>1767</v>
      </c>
      <c r="B1553" t="s">
        <v>1769</v>
      </c>
      <c r="C1553" t="s">
        <v>2792</v>
      </c>
      <c r="D1553">
        <v>3</v>
      </c>
      <c r="E1553">
        <v>9.6</v>
      </c>
      <c r="F1553">
        <v>9.6</v>
      </c>
      <c r="G1553" t="s">
        <v>3922</v>
      </c>
      <c r="H1553" t="s">
        <v>4069</v>
      </c>
      <c r="I1553" t="s">
        <v>4070</v>
      </c>
      <c r="L1553" t="s">
        <v>3923</v>
      </c>
    </row>
    <row r="1554" spans="1:12" x14ac:dyDescent="0.2">
      <c r="A1554" t="s">
        <v>1767</v>
      </c>
      <c r="B1554" t="s">
        <v>1769</v>
      </c>
      <c r="C1554" t="s">
        <v>2792</v>
      </c>
      <c r="D1554">
        <v>3</v>
      </c>
      <c r="E1554">
        <v>10.23</v>
      </c>
      <c r="F1554">
        <v>10.23</v>
      </c>
      <c r="G1554" t="s">
        <v>3922</v>
      </c>
      <c r="H1554" t="s">
        <v>4071</v>
      </c>
      <c r="I1554" t="s">
        <v>4072</v>
      </c>
      <c r="L1554" t="s">
        <v>3923</v>
      </c>
    </row>
    <row r="1555" spans="1:12" x14ac:dyDescent="0.2">
      <c r="A1555" t="s">
        <v>1767</v>
      </c>
      <c r="B1555" t="s">
        <v>1769</v>
      </c>
      <c r="C1555" t="s">
        <v>2792</v>
      </c>
      <c r="D1555">
        <v>3</v>
      </c>
      <c r="E1555">
        <v>36.72</v>
      </c>
      <c r="F1555">
        <v>36.72</v>
      </c>
      <c r="G1555" t="s">
        <v>3922</v>
      </c>
      <c r="H1555" t="s">
        <v>4073</v>
      </c>
      <c r="I1555" t="s">
        <v>4074</v>
      </c>
      <c r="L1555" t="s">
        <v>3923</v>
      </c>
    </row>
    <row r="1556" spans="1:12" x14ac:dyDescent="0.2">
      <c r="A1556" t="s">
        <v>1767</v>
      </c>
      <c r="B1556" t="s">
        <v>1769</v>
      </c>
      <c r="C1556" t="s">
        <v>2792</v>
      </c>
      <c r="D1556">
        <v>3</v>
      </c>
      <c r="E1556">
        <v>0</v>
      </c>
      <c r="F1556">
        <v>0</v>
      </c>
      <c r="G1556" t="s">
        <v>3922</v>
      </c>
      <c r="H1556" t="s">
        <v>3926</v>
      </c>
      <c r="I1556" t="s">
        <v>4075</v>
      </c>
      <c r="L1556" t="s">
        <v>3923</v>
      </c>
    </row>
    <row r="1557" spans="1:12" x14ac:dyDescent="0.2">
      <c r="A1557" t="s">
        <v>1767</v>
      </c>
      <c r="B1557" t="s">
        <v>1769</v>
      </c>
      <c r="C1557" t="s">
        <v>2792</v>
      </c>
      <c r="D1557">
        <v>3</v>
      </c>
      <c r="E1557">
        <v>0</v>
      </c>
      <c r="F1557">
        <v>0</v>
      </c>
      <c r="G1557" t="s">
        <v>3922</v>
      </c>
      <c r="H1557" t="s">
        <v>3926</v>
      </c>
      <c r="I1557" t="s">
        <v>4076</v>
      </c>
      <c r="L1557" t="s">
        <v>3923</v>
      </c>
    </row>
    <row r="1558" spans="1:12" x14ac:dyDescent="0.2">
      <c r="A1558" t="s">
        <v>1767</v>
      </c>
      <c r="B1558" t="s">
        <v>1769</v>
      </c>
      <c r="C1558" t="s">
        <v>2792</v>
      </c>
      <c r="D1558">
        <v>3</v>
      </c>
      <c r="E1558">
        <v>1334</v>
      </c>
      <c r="F1558">
        <v>1334</v>
      </c>
      <c r="G1558" t="s">
        <v>3922</v>
      </c>
      <c r="H1558" t="s">
        <v>4077</v>
      </c>
      <c r="I1558" t="s">
        <v>4078</v>
      </c>
      <c r="L1558" t="s">
        <v>3923</v>
      </c>
    </row>
    <row r="1559" spans="1:12" x14ac:dyDescent="0.2">
      <c r="A1559" t="s">
        <v>1767</v>
      </c>
      <c r="B1559" t="s">
        <v>1769</v>
      </c>
      <c r="C1559" t="s">
        <v>2792</v>
      </c>
      <c r="D1559">
        <v>3</v>
      </c>
      <c r="E1559">
        <v>1450</v>
      </c>
      <c r="F1559">
        <v>1450</v>
      </c>
      <c r="G1559" t="s">
        <v>3922</v>
      </c>
      <c r="H1559" t="s">
        <v>4079</v>
      </c>
      <c r="I1559" t="s">
        <v>4080</v>
      </c>
      <c r="L1559" t="s">
        <v>3923</v>
      </c>
    </row>
    <row r="1560" spans="1:12" x14ac:dyDescent="0.2">
      <c r="A1560" t="s">
        <v>1767</v>
      </c>
      <c r="B1560" t="s">
        <v>1769</v>
      </c>
      <c r="C1560" t="s">
        <v>2792</v>
      </c>
      <c r="D1560">
        <v>3</v>
      </c>
      <c r="E1560">
        <v>1.9</v>
      </c>
      <c r="F1560">
        <v>1.9</v>
      </c>
      <c r="G1560" t="s">
        <v>3922</v>
      </c>
      <c r="H1560" t="s">
        <v>4081</v>
      </c>
      <c r="I1560" t="s">
        <v>4082</v>
      </c>
      <c r="L1560" t="s">
        <v>3923</v>
      </c>
    </row>
    <row r="1561" spans="1:12" x14ac:dyDescent="0.2">
      <c r="A1561" t="s">
        <v>1767</v>
      </c>
      <c r="B1561" t="s">
        <v>1769</v>
      </c>
      <c r="C1561" t="s">
        <v>2792</v>
      </c>
      <c r="D1561">
        <v>3</v>
      </c>
      <c r="E1561">
        <v>15650.33</v>
      </c>
      <c r="F1561">
        <v>15650.33</v>
      </c>
      <c r="G1561" t="s">
        <v>3922</v>
      </c>
      <c r="H1561" t="s">
        <v>4083</v>
      </c>
      <c r="I1561" t="s">
        <v>4084</v>
      </c>
      <c r="L1561" t="s">
        <v>3923</v>
      </c>
    </row>
    <row r="1562" spans="1:12" x14ac:dyDescent="0.2">
      <c r="A1562" t="s">
        <v>1767</v>
      </c>
      <c r="B1562" t="s">
        <v>1769</v>
      </c>
      <c r="C1562" t="s">
        <v>2792</v>
      </c>
      <c r="D1562">
        <v>3</v>
      </c>
      <c r="E1562">
        <v>30908.400000000001</v>
      </c>
      <c r="F1562">
        <v>30908.400000000001</v>
      </c>
      <c r="G1562" t="s">
        <v>3922</v>
      </c>
      <c r="H1562" t="s">
        <v>4085</v>
      </c>
      <c r="I1562" t="s">
        <v>4086</v>
      </c>
      <c r="L1562" t="s">
        <v>3923</v>
      </c>
    </row>
    <row r="1563" spans="1:12" x14ac:dyDescent="0.2">
      <c r="A1563" t="s">
        <v>1767</v>
      </c>
      <c r="B1563" t="s">
        <v>1769</v>
      </c>
      <c r="C1563" t="s">
        <v>2792</v>
      </c>
      <c r="D1563">
        <v>3</v>
      </c>
      <c r="E1563">
        <v>0</v>
      </c>
      <c r="F1563">
        <v>0</v>
      </c>
      <c r="G1563" t="s">
        <v>3922</v>
      </c>
      <c r="H1563" t="s">
        <v>3926</v>
      </c>
      <c r="I1563" t="s">
        <v>4087</v>
      </c>
      <c r="L1563" t="s">
        <v>3923</v>
      </c>
    </row>
    <row r="1564" spans="1:12" x14ac:dyDescent="0.2">
      <c r="A1564" t="s">
        <v>1767</v>
      </c>
      <c r="B1564" t="s">
        <v>1769</v>
      </c>
      <c r="C1564" t="s">
        <v>2792</v>
      </c>
      <c r="D1564">
        <v>3</v>
      </c>
      <c r="E1564">
        <v>0</v>
      </c>
      <c r="F1564">
        <v>0</v>
      </c>
      <c r="G1564" t="s">
        <v>3922</v>
      </c>
      <c r="H1564" t="s">
        <v>3926</v>
      </c>
      <c r="I1564" t="s">
        <v>4088</v>
      </c>
      <c r="L1564" t="s">
        <v>3923</v>
      </c>
    </row>
    <row r="1565" spans="1:12" x14ac:dyDescent="0.2">
      <c r="A1565" t="s">
        <v>1767</v>
      </c>
      <c r="B1565" t="s">
        <v>1769</v>
      </c>
      <c r="C1565" t="s">
        <v>2792</v>
      </c>
      <c r="D1565">
        <v>3</v>
      </c>
      <c r="E1565">
        <v>0</v>
      </c>
      <c r="F1565">
        <v>0</v>
      </c>
      <c r="G1565" t="s">
        <v>3922</v>
      </c>
      <c r="H1565" t="s">
        <v>3926</v>
      </c>
      <c r="I1565" t="s">
        <v>4089</v>
      </c>
      <c r="L1565" t="s">
        <v>3923</v>
      </c>
    </row>
    <row r="1566" spans="1:12" x14ac:dyDescent="0.2">
      <c r="A1566" t="s">
        <v>1767</v>
      </c>
      <c r="B1566" t="s">
        <v>1769</v>
      </c>
      <c r="C1566" t="s">
        <v>2792</v>
      </c>
      <c r="D1566">
        <v>3</v>
      </c>
      <c r="E1566">
        <v>1.5</v>
      </c>
      <c r="F1566">
        <v>1.5</v>
      </c>
      <c r="G1566" t="s">
        <v>3922</v>
      </c>
      <c r="H1566" t="s">
        <v>4090</v>
      </c>
      <c r="I1566" t="s">
        <v>4091</v>
      </c>
      <c r="L1566" t="s">
        <v>3923</v>
      </c>
    </row>
    <row r="1567" spans="1:12" x14ac:dyDescent="0.2">
      <c r="A1567" t="s">
        <v>1767</v>
      </c>
      <c r="B1567" t="s">
        <v>1769</v>
      </c>
      <c r="C1567" t="s">
        <v>2792</v>
      </c>
      <c r="D1567">
        <v>3</v>
      </c>
      <c r="E1567">
        <v>10.5</v>
      </c>
      <c r="F1567">
        <v>10.5</v>
      </c>
      <c r="G1567" t="s">
        <v>3922</v>
      </c>
      <c r="H1567" t="s">
        <v>4010</v>
      </c>
      <c r="I1567" t="s">
        <v>4092</v>
      </c>
      <c r="L1567" t="s">
        <v>3923</v>
      </c>
    </row>
    <row r="1568" spans="1:12" x14ac:dyDescent="0.2">
      <c r="A1568" t="s">
        <v>1767</v>
      </c>
      <c r="B1568" t="s">
        <v>1769</v>
      </c>
      <c r="C1568" t="s">
        <v>2792</v>
      </c>
      <c r="D1568">
        <v>3</v>
      </c>
      <c r="E1568">
        <v>3.5</v>
      </c>
      <c r="F1568">
        <v>3.5</v>
      </c>
      <c r="G1568" t="s">
        <v>3922</v>
      </c>
      <c r="H1568" t="s">
        <v>4093</v>
      </c>
      <c r="I1568" t="s">
        <v>4094</v>
      </c>
      <c r="L1568" t="s">
        <v>3923</v>
      </c>
    </row>
    <row r="1569" spans="1:12" x14ac:dyDescent="0.2">
      <c r="A1569" t="s">
        <v>1767</v>
      </c>
      <c r="B1569" t="s">
        <v>1769</v>
      </c>
      <c r="C1569" t="s">
        <v>2792</v>
      </c>
      <c r="D1569">
        <v>3</v>
      </c>
      <c r="E1569">
        <v>6.4</v>
      </c>
      <c r="F1569">
        <v>6.4</v>
      </c>
      <c r="G1569" t="s">
        <v>3922</v>
      </c>
      <c r="H1569" t="s">
        <v>3993</v>
      </c>
      <c r="I1569" t="s">
        <v>3994</v>
      </c>
      <c r="L1569" t="s">
        <v>3923</v>
      </c>
    </row>
    <row r="1570" spans="1:12" x14ac:dyDescent="0.2">
      <c r="A1570" t="s">
        <v>1767</v>
      </c>
      <c r="B1570" t="s">
        <v>1769</v>
      </c>
      <c r="C1570" t="s">
        <v>2792</v>
      </c>
      <c r="D1570">
        <v>3</v>
      </c>
      <c r="E1570">
        <v>2.1</v>
      </c>
      <c r="F1570">
        <v>2.1</v>
      </c>
      <c r="G1570" t="s">
        <v>3922</v>
      </c>
      <c r="H1570" t="s">
        <v>4095</v>
      </c>
      <c r="I1570" t="s">
        <v>4096</v>
      </c>
      <c r="L1570" t="s">
        <v>3923</v>
      </c>
    </row>
    <row r="1571" spans="1:12" x14ac:dyDescent="0.2">
      <c r="A1571" t="s">
        <v>1767</v>
      </c>
      <c r="B1571" t="s">
        <v>1769</v>
      </c>
      <c r="C1571" t="s">
        <v>2792</v>
      </c>
      <c r="D1571">
        <v>3</v>
      </c>
      <c r="E1571">
        <v>2.1</v>
      </c>
      <c r="F1571">
        <v>2.1</v>
      </c>
      <c r="G1571" t="s">
        <v>3922</v>
      </c>
      <c r="H1571" t="s">
        <v>4095</v>
      </c>
      <c r="I1571" t="s">
        <v>4097</v>
      </c>
      <c r="L1571" t="s">
        <v>3923</v>
      </c>
    </row>
    <row r="1572" spans="1:12" x14ac:dyDescent="0.2">
      <c r="A1572" t="s">
        <v>1767</v>
      </c>
      <c r="B1572" t="s">
        <v>1769</v>
      </c>
      <c r="C1572" t="s">
        <v>2792</v>
      </c>
      <c r="D1572">
        <v>3</v>
      </c>
      <c r="E1572">
        <v>729.6</v>
      </c>
      <c r="F1572">
        <v>729.6</v>
      </c>
      <c r="G1572" t="s">
        <v>3922</v>
      </c>
      <c r="H1572" t="s">
        <v>4098</v>
      </c>
      <c r="I1572" t="s">
        <v>4099</v>
      </c>
      <c r="L1572" t="s">
        <v>3923</v>
      </c>
    </row>
    <row r="1573" spans="1:12" x14ac:dyDescent="0.2">
      <c r="A1573" t="s">
        <v>1767</v>
      </c>
      <c r="B1573" t="s">
        <v>1769</v>
      </c>
      <c r="C1573" t="s">
        <v>2792</v>
      </c>
      <c r="D1573">
        <v>3</v>
      </c>
      <c r="E1573">
        <v>1392</v>
      </c>
      <c r="F1573">
        <v>1392</v>
      </c>
      <c r="G1573" t="s">
        <v>3922</v>
      </c>
      <c r="H1573" t="s">
        <v>4100</v>
      </c>
      <c r="I1573" t="s">
        <v>4101</v>
      </c>
      <c r="L1573" t="s">
        <v>3923</v>
      </c>
    </row>
    <row r="1574" spans="1:12" x14ac:dyDescent="0.2">
      <c r="A1574" t="s">
        <v>1767</v>
      </c>
      <c r="B1574" t="s">
        <v>1769</v>
      </c>
      <c r="C1574" t="s">
        <v>2792</v>
      </c>
      <c r="D1574">
        <v>3</v>
      </c>
      <c r="E1574">
        <v>0</v>
      </c>
      <c r="F1574">
        <v>0</v>
      </c>
      <c r="G1574" t="s">
        <v>3922</v>
      </c>
      <c r="H1574" t="s">
        <v>3926</v>
      </c>
      <c r="I1574" t="s">
        <v>4102</v>
      </c>
      <c r="L1574" t="s">
        <v>3923</v>
      </c>
    </row>
    <row r="1575" spans="1:12" x14ac:dyDescent="0.2">
      <c r="A1575" t="s">
        <v>1767</v>
      </c>
      <c r="B1575" t="s">
        <v>1769</v>
      </c>
      <c r="C1575" t="s">
        <v>2792</v>
      </c>
      <c r="D1575">
        <v>3</v>
      </c>
      <c r="E1575">
        <v>1188.5999999999999</v>
      </c>
      <c r="F1575">
        <v>1188.5999999999999</v>
      </c>
      <c r="G1575" t="s">
        <v>3922</v>
      </c>
      <c r="H1575" t="s">
        <v>3969</v>
      </c>
      <c r="I1575" t="s">
        <v>3970</v>
      </c>
      <c r="L1575" t="s">
        <v>3923</v>
      </c>
    </row>
    <row r="1576" spans="1:12" x14ac:dyDescent="0.2">
      <c r="A1576" t="s">
        <v>1767</v>
      </c>
      <c r="B1576" t="s">
        <v>1769</v>
      </c>
      <c r="C1576" t="s">
        <v>2792</v>
      </c>
      <c r="D1576">
        <v>3</v>
      </c>
      <c r="E1576">
        <v>5.74</v>
      </c>
      <c r="F1576">
        <v>5.74</v>
      </c>
      <c r="G1576" t="s">
        <v>3922</v>
      </c>
      <c r="H1576" t="s">
        <v>4103</v>
      </c>
      <c r="I1576" t="s">
        <v>4104</v>
      </c>
      <c r="L1576" t="s">
        <v>3923</v>
      </c>
    </row>
    <row r="1577" spans="1:12" x14ac:dyDescent="0.2">
      <c r="A1577" t="s">
        <v>1767</v>
      </c>
      <c r="B1577" t="s">
        <v>1769</v>
      </c>
      <c r="C1577" t="s">
        <v>2792</v>
      </c>
      <c r="D1577">
        <v>3</v>
      </c>
      <c r="E1577">
        <v>972</v>
      </c>
      <c r="F1577">
        <v>972</v>
      </c>
      <c r="G1577" t="s">
        <v>3922</v>
      </c>
      <c r="H1577" t="s">
        <v>4105</v>
      </c>
      <c r="I1577" t="s">
        <v>4106</v>
      </c>
      <c r="L1577" t="s">
        <v>3923</v>
      </c>
    </row>
    <row r="1578" spans="1:12" x14ac:dyDescent="0.2">
      <c r="A1578" t="s">
        <v>1767</v>
      </c>
      <c r="B1578" t="s">
        <v>1769</v>
      </c>
      <c r="C1578" t="s">
        <v>2792</v>
      </c>
      <c r="D1578">
        <v>3</v>
      </c>
      <c r="E1578">
        <v>800</v>
      </c>
      <c r="F1578">
        <v>800</v>
      </c>
      <c r="G1578" t="s">
        <v>3922</v>
      </c>
      <c r="H1578" t="s">
        <v>4107</v>
      </c>
      <c r="I1578" t="s">
        <v>4108</v>
      </c>
      <c r="L1578" t="s">
        <v>3923</v>
      </c>
    </row>
    <row r="1579" spans="1:12" x14ac:dyDescent="0.2">
      <c r="A1579" t="s">
        <v>1767</v>
      </c>
      <c r="B1579" t="s">
        <v>1769</v>
      </c>
      <c r="C1579" t="s">
        <v>2792</v>
      </c>
      <c r="D1579">
        <v>3</v>
      </c>
      <c r="E1579">
        <v>7.0000000000000007E-2</v>
      </c>
      <c r="F1579">
        <v>7.0000000000000007E-2</v>
      </c>
      <c r="G1579" t="s">
        <v>3922</v>
      </c>
      <c r="H1579" t="s">
        <v>4109</v>
      </c>
      <c r="I1579" t="s">
        <v>4110</v>
      </c>
      <c r="L1579" t="s">
        <v>3923</v>
      </c>
    </row>
    <row r="1580" spans="1:12" x14ac:dyDescent="0.2">
      <c r="A1580" t="s">
        <v>1767</v>
      </c>
      <c r="B1580" t="s">
        <v>1769</v>
      </c>
      <c r="C1580" t="s">
        <v>2792</v>
      </c>
      <c r="D1580">
        <v>3</v>
      </c>
      <c r="E1580">
        <v>0.09</v>
      </c>
      <c r="F1580">
        <v>0.09</v>
      </c>
      <c r="G1580" t="s">
        <v>3922</v>
      </c>
      <c r="H1580" t="s">
        <v>4111</v>
      </c>
      <c r="I1580" t="s">
        <v>4112</v>
      </c>
      <c r="L1580" t="s">
        <v>3923</v>
      </c>
    </row>
    <row r="1581" spans="1:12" x14ac:dyDescent="0.2">
      <c r="A1581" t="s">
        <v>1767</v>
      </c>
      <c r="B1581" t="s">
        <v>1769</v>
      </c>
      <c r="C1581" t="s">
        <v>2792</v>
      </c>
      <c r="D1581">
        <v>3</v>
      </c>
      <c r="E1581">
        <v>0.54</v>
      </c>
      <c r="F1581">
        <v>0.54</v>
      </c>
      <c r="G1581" t="s">
        <v>3922</v>
      </c>
      <c r="H1581" t="s">
        <v>4113</v>
      </c>
      <c r="I1581" t="s">
        <v>4114</v>
      </c>
      <c r="L1581" t="s">
        <v>3923</v>
      </c>
    </row>
    <row r="1582" spans="1:12" x14ac:dyDescent="0.2">
      <c r="A1582" t="s">
        <v>1767</v>
      </c>
      <c r="B1582" t="s">
        <v>1769</v>
      </c>
      <c r="C1582" t="s">
        <v>2792</v>
      </c>
      <c r="D1582">
        <v>3</v>
      </c>
      <c r="E1582">
        <v>3.39</v>
      </c>
      <c r="F1582">
        <v>3.39</v>
      </c>
      <c r="G1582" t="s">
        <v>3922</v>
      </c>
      <c r="H1582" t="s">
        <v>4115</v>
      </c>
      <c r="I1582" t="s">
        <v>4116</v>
      </c>
      <c r="L1582" t="s">
        <v>3923</v>
      </c>
    </row>
    <row r="1583" spans="1:12" x14ac:dyDescent="0.2">
      <c r="A1583" t="s">
        <v>1767</v>
      </c>
      <c r="B1583" t="s">
        <v>1769</v>
      </c>
      <c r="C1583" t="s">
        <v>2792</v>
      </c>
      <c r="D1583">
        <v>3</v>
      </c>
      <c r="E1583">
        <v>0</v>
      </c>
      <c r="F1583">
        <v>0</v>
      </c>
      <c r="G1583" t="s">
        <v>3922</v>
      </c>
      <c r="H1583" t="s">
        <v>3926</v>
      </c>
      <c r="I1583" t="s">
        <v>4117</v>
      </c>
      <c r="L1583" t="s">
        <v>3923</v>
      </c>
    </row>
    <row r="1584" spans="1:12" x14ac:dyDescent="0.2">
      <c r="A1584" t="s">
        <v>1767</v>
      </c>
      <c r="B1584" t="s">
        <v>1769</v>
      </c>
      <c r="C1584" t="s">
        <v>2792</v>
      </c>
      <c r="D1584">
        <v>3</v>
      </c>
      <c r="E1584">
        <v>9.66</v>
      </c>
      <c r="F1584">
        <v>9.66</v>
      </c>
      <c r="G1584" t="s">
        <v>3922</v>
      </c>
      <c r="H1584" t="s">
        <v>4118</v>
      </c>
      <c r="I1584" t="s">
        <v>4119</v>
      </c>
      <c r="L1584" t="s">
        <v>3923</v>
      </c>
    </row>
    <row r="1585" spans="1:12" x14ac:dyDescent="0.2">
      <c r="A1585" t="s">
        <v>1767</v>
      </c>
      <c r="B1585" t="s">
        <v>1769</v>
      </c>
      <c r="C1585" t="s">
        <v>2792</v>
      </c>
      <c r="D1585">
        <v>3</v>
      </c>
      <c r="E1585">
        <v>0.02</v>
      </c>
      <c r="F1585">
        <v>0.02</v>
      </c>
      <c r="G1585" t="s">
        <v>3922</v>
      </c>
      <c r="H1585" t="s">
        <v>4120</v>
      </c>
      <c r="I1585" t="s">
        <v>4121</v>
      </c>
      <c r="L1585" t="s">
        <v>3923</v>
      </c>
    </row>
    <row r="1586" spans="1:12" x14ac:dyDescent="0.2">
      <c r="A1586" t="s">
        <v>1767</v>
      </c>
      <c r="B1586" t="s">
        <v>1769</v>
      </c>
      <c r="C1586" t="s">
        <v>2792</v>
      </c>
      <c r="D1586">
        <v>3</v>
      </c>
      <c r="E1586">
        <v>2.2599999999999998</v>
      </c>
      <c r="F1586">
        <v>2.2599999999999998</v>
      </c>
      <c r="G1586" t="s">
        <v>3922</v>
      </c>
      <c r="H1586" t="s">
        <v>4122</v>
      </c>
      <c r="I1586" t="s">
        <v>4123</v>
      </c>
      <c r="L1586" t="s">
        <v>3923</v>
      </c>
    </row>
    <row r="1587" spans="1:12" x14ac:dyDescent="0.2">
      <c r="A1587" t="s">
        <v>1767</v>
      </c>
      <c r="B1587" t="s">
        <v>1769</v>
      </c>
      <c r="C1587" t="s">
        <v>2792</v>
      </c>
      <c r="D1587">
        <v>3</v>
      </c>
      <c r="E1587">
        <v>12.24</v>
      </c>
      <c r="F1587">
        <v>12.24</v>
      </c>
      <c r="G1587" t="s">
        <v>3922</v>
      </c>
      <c r="H1587" t="s">
        <v>4124</v>
      </c>
      <c r="I1587" t="s">
        <v>4125</v>
      </c>
      <c r="L1587" t="s">
        <v>3923</v>
      </c>
    </row>
    <row r="1588" spans="1:12" x14ac:dyDescent="0.2">
      <c r="A1588" t="s">
        <v>1767</v>
      </c>
      <c r="B1588" t="s">
        <v>1769</v>
      </c>
      <c r="C1588" t="s">
        <v>2792</v>
      </c>
      <c r="D1588">
        <v>3</v>
      </c>
      <c r="E1588">
        <v>0</v>
      </c>
      <c r="F1588">
        <v>0</v>
      </c>
      <c r="G1588" t="s">
        <v>3922</v>
      </c>
      <c r="H1588" t="s">
        <v>3926</v>
      </c>
      <c r="I1588" t="s">
        <v>4075</v>
      </c>
      <c r="L1588" t="s">
        <v>3923</v>
      </c>
    </row>
    <row r="1589" spans="1:12" x14ac:dyDescent="0.2">
      <c r="A1589" t="s">
        <v>1767</v>
      </c>
      <c r="B1589" t="s">
        <v>1769</v>
      </c>
      <c r="C1589" t="s">
        <v>2792</v>
      </c>
      <c r="D1589">
        <v>3</v>
      </c>
      <c r="E1589">
        <v>37.5</v>
      </c>
      <c r="F1589">
        <v>37.5</v>
      </c>
      <c r="G1589" t="s">
        <v>3922</v>
      </c>
      <c r="H1589" t="s">
        <v>3967</v>
      </c>
      <c r="I1589" t="s">
        <v>3968</v>
      </c>
      <c r="L1589" t="s">
        <v>3923</v>
      </c>
    </row>
    <row r="1590" spans="1:12" x14ac:dyDescent="0.2">
      <c r="A1590" t="s">
        <v>1767</v>
      </c>
      <c r="B1590" t="s">
        <v>1769</v>
      </c>
      <c r="C1590" t="s">
        <v>2792</v>
      </c>
      <c r="D1590">
        <v>3</v>
      </c>
      <c r="E1590">
        <v>4</v>
      </c>
      <c r="F1590">
        <v>4</v>
      </c>
      <c r="G1590" t="s">
        <v>3922</v>
      </c>
      <c r="H1590" t="s">
        <v>4067</v>
      </c>
      <c r="I1590" t="s">
        <v>4126</v>
      </c>
      <c r="L1590" t="s">
        <v>3923</v>
      </c>
    </row>
    <row r="1591" spans="1:12" x14ac:dyDescent="0.2">
      <c r="A1591" t="s">
        <v>1767</v>
      </c>
      <c r="B1591" t="s">
        <v>1769</v>
      </c>
      <c r="C1591" t="s">
        <v>2792</v>
      </c>
      <c r="D1591">
        <v>3</v>
      </c>
      <c r="E1591">
        <v>4</v>
      </c>
      <c r="F1591">
        <v>4</v>
      </c>
      <c r="G1591" t="s">
        <v>3922</v>
      </c>
      <c r="H1591" t="s">
        <v>4067</v>
      </c>
      <c r="I1591" t="s">
        <v>4127</v>
      </c>
      <c r="L1591" t="s">
        <v>3923</v>
      </c>
    </row>
    <row r="1592" spans="1:12" x14ac:dyDescent="0.2">
      <c r="A1592" t="s">
        <v>1767</v>
      </c>
      <c r="B1592" t="s">
        <v>1769</v>
      </c>
      <c r="C1592" t="s">
        <v>2792</v>
      </c>
      <c r="D1592">
        <v>3</v>
      </c>
      <c r="E1592">
        <v>2.16</v>
      </c>
      <c r="F1592">
        <v>2.16</v>
      </c>
      <c r="G1592" t="s">
        <v>3922</v>
      </c>
      <c r="H1592" t="s">
        <v>4128</v>
      </c>
      <c r="I1592" t="s">
        <v>4129</v>
      </c>
      <c r="L1592" t="s">
        <v>3923</v>
      </c>
    </row>
    <row r="1593" spans="1:12" x14ac:dyDescent="0.2">
      <c r="A1593" t="s">
        <v>1767</v>
      </c>
      <c r="B1593" t="s">
        <v>1769</v>
      </c>
      <c r="C1593" t="s">
        <v>2792</v>
      </c>
      <c r="D1593">
        <v>3</v>
      </c>
      <c r="E1593">
        <v>3.41</v>
      </c>
      <c r="F1593">
        <v>3.41</v>
      </c>
      <c r="G1593" t="s">
        <v>3922</v>
      </c>
      <c r="H1593" t="s">
        <v>4130</v>
      </c>
      <c r="I1593" t="s">
        <v>4131</v>
      </c>
      <c r="L1593" t="s">
        <v>3923</v>
      </c>
    </row>
    <row r="1594" spans="1:12" x14ac:dyDescent="0.2">
      <c r="A1594" t="s">
        <v>1767</v>
      </c>
      <c r="B1594" t="s">
        <v>1769</v>
      </c>
      <c r="C1594" t="s">
        <v>2792</v>
      </c>
      <c r="D1594">
        <v>3</v>
      </c>
      <c r="E1594">
        <v>59.2</v>
      </c>
      <c r="F1594">
        <v>59.2</v>
      </c>
      <c r="G1594" t="s">
        <v>3922</v>
      </c>
      <c r="H1594" t="s">
        <v>4132</v>
      </c>
      <c r="I1594" t="s">
        <v>4133</v>
      </c>
      <c r="L1594" t="s">
        <v>3923</v>
      </c>
    </row>
    <row r="1595" spans="1:12" x14ac:dyDescent="0.2">
      <c r="A1595" t="s">
        <v>1767</v>
      </c>
      <c r="B1595" t="s">
        <v>1769</v>
      </c>
      <c r="C1595" t="s">
        <v>2792</v>
      </c>
      <c r="D1595">
        <v>3</v>
      </c>
      <c r="E1595">
        <v>37.5</v>
      </c>
      <c r="F1595">
        <v>37.5</v>
      </c>
      <c r="G1595" t="s">
        <v>3922</v>
      </c>
      <c r="H1595" t="s">
        <v>3967</v>
      </c>
      <c r="I1595" t="s">
        <v>3968</v>
      </c>
      <c r="L1595" t="s">
        <v>3923</v>
      </c>
    </row>
    <row r="1596" spans="1:12" x14ac:dyDescent="0.2">
      <c r="A1596" t="s">
        <v>1767</v>
      </c>
      <c r="B1596" t="s">
        <v>1769</v>
      </c>
      <c r="C1596" t="s">
        <v>2792</v>
      </c>
      <c r="D1596">
        <v>3</v>
      </c>
      <c r="E1596">
        <v>3825</v>
      </c>
      <c r="F1596">
        <v>3825</v>
      </c>
      <c r="G1596" t="s">
        <v>3922</v>
      </c>
      <c r="H1596" t="s">
        <v>4134</v>
      </c>
      <c r="I1596" t="s">
        <v>4135</v>
      </c>
      <c r="L1596" t="s">
        <v>3923</v>
      </c>
    </row>
    <row r="1597" spans="1:12" x14ac:dyDescent="0.2">
      <c r="A1597" t="s">
        <v>1767</v>
      </c>
      <c r="B1597" t="s">
        <v>1769</v>
      </c>
      <c r="C1597" t="s">
        <v>2792</v>
      </c>
      <c r="D1597">
        <v>3</v>
      </c>
      <c r="E1597">
        <v>9.9</v>
      </c>
      <c r="F1597">
        <v>9.9</v>
      </c>
      <c r="G1597" t="s">
        <v>3922</v>
      </c>
      <c r="H1597" t="s">
        <v>4136</v>
      </c>
      <c r="I1597" t="s">
        <v>2946</v>
      </c>
      <c r="L1597" t="s">
        <v>3923</v>
      </c>
    </row>
    <row r="1598" spans="1:12" x14ac:dyDescent="0.2">
      <c r="A1598" t="s">
        <v>1767</v>
      </c>
      <c r="B1598" t="s">
        <v>1769</v>
      </c>
      <c r="C1598" t="s">
        <v>2792</v>
      </c>
      <c r="D1598">
        <v>3</v>
      </c>
      <c r="E1598">
        <v>4</v>
      </c>
      <c r="F1598">
        <v>4</v>
      </c>
      <c r="G1598" t="s">
        <v>3922</v>
      </c>
      <c r="H1598" t="s">
        <v>4067</v>
      </c>
      <c r="I1598" t="s">
        <v>4137</v>
      </c>
      <c r="L1598" t="s">
        <v>3923</v>
      </c>
    </row>
    <row r="1599" spans="1:12" x14ac:dyDescent="0.2">
      <c r="A1599" t="s">
        <v>1767</v>
      </c>
      <c r="B1599" t="s">
        <v>1769</v>
      </c>
      <c r="C1599" t="s">
        <v>2792</v>
      </c>
      <c r="D1599">
        <v>3</v>
      </c>
      <c r="E1599">
        <v>0.7</v>
      </c>
      <c r="F1599">
        <v>0.7</v>
      </c>
      <c r="G1599" t="s">
        <v>3922</v>
      </c>
      <c r="H1599" t="s">
        <v>4138</v>
      </c>
      <c r="I1599" t="s">
        <v>4139</v>
      </c>
      <c r="L1599" t="s">
        <v>3923</v>
      </c>
    </row>
    <row r="1600" spans="1:12" x14ac:dyDescent="0.2">
      <c r="A1600" t="s">
        <v>1767</v>
      </c>
      <c r="B1600" t="s">
        <v>1769</v>
      </c>
      <c r="C1600" t="s">
        <v>2792</v>
      </c>
      <c r="D1600">
        <v>3</v>
      </c>
      <c r="E1600">
        <v>1.9</v>
      </c>
      <c r="F1600">
        <v>1.9</v>
      </c>
      <c r="G1600" t="s">
        <v>3922</v>
      </c>
      <c r="H1600" t="s">
        <v>4081</v>
      </c>
      <c r="I1600" t="s">
        <v>4082</v>
      </c>
      <c r="L1600" t="s">
        <v>3923</v>
      </c>
    </row>
    <row r="1601" spans="1:12" x14ac:dyDescent="0.2">
      <c r="A1601" t="s">
        <v>1767</v>
      </c>
      <c r="B1601" t="s">
        <v>1769</v>
      </c>
      <c r="C1601" t="s">
        <v>2792</v>
      </c>
      <c r="D1601">
        <v>3</v>
      </c>
      <c r="E1601">
        <v>2.7</v>
      </c>
      <c r="F1601">
        <v>2.7</v>
      </c>
      <c r="G1601" t="s">
        <v>3922</v>
      </c>
      <c r="H1601" t="s">
        <v>4140</v>
      </c>
      <c r="I1601" t="s">
        <v>2676</v>
      </c>
      <c r="L1601" t="s">
        <v>3923</v>
      </c>
    </row>
    <row r="1602" spans="1:12" x14ac:dyDescent="0.2">
      <c r="A1602" t="s">
        <v>1767</v>
      </c>
      <c r="B1602" t="s">
        <v>1769</v>
      </c>
      <c r="C1602" t="s">
        <v>2792</v>
      </c>
      <c r="D1602">
        <v>3</v>
      </c>
      <c r="E1602">
        <v>7.4</v>
      </c>
      <c r="F1602">
        <v>7.4</v>
      </c>
      <c r="G1602" t="s">
        <v>3922</v>
      </c>
      <c r="H1602" t="s">
        <v>3995</v>
      </c>
      <c r="I1602" t="s">
        <v>3996</v>
      </c>
      <c r="L1602" t="s">
        <v>3923</v>
      </c>
    </row>
    <row r="1603" spans="1:12" x14ac:dyDescent="0.2">
      <c r="A1603" t="s">
        <v>1767</v>
      </c>
      <c r="B1603" t="s">
        <v>1769</v>
      </c>
      <c r="C1603" t="s">
        <v>2792</v>
      </c>
      <c r="D1603">
        <v>3</v>
      </c>
      <c r="E1603">
        <v>5</v>
      </c>
      <c r="F1603">
        <v>5</v>
      </c>
      <c r="G1603" t="s">
        <v>3922</v>
      </c>
      <c r="H1603" t="s">
        <v>4000</v>
      </c>
      <c r="I1603" t="s">
        <v>4024</v>
      </c>
      <c r="L1603" t="s">
        <v>3923</v>
      </c>
    </row>
    <row r="1604" spans="1:12" x14ac:dyDescent="0.2">
      <c r="A1604" t="s">
        <v>1767</v>
      </c>
      <c r="B1604" t="s">
        <v>1769</v>
      </c>
      <c r="C1604" t="s">
        <v>2792</v>
      </c>
      <c r="D1604">
        <v>3</v>
      </c>
      <c r="E1604">
        <v>7</v>
      </c>
      <c r="F1604">
        <v>7</v>
      </c>
      <c r="G1604" t="s">
        <v>3922</v>
      </c>
      <c r="H1604" t="s">
        <v>3930</v>
      </c>
      <c r="I1604" t="s">
        <v>4141</v>
      </c>
      <c r="L1604" t="s">
        <v>3923</v>
      </c>
    </row>
    <row r="1605" spans="1:12" x14ac:dyDescent="0.2">
      <c r="A1605" t="s">
        <v>1767</v>
      </c>
      <c r="B1605" t="s">
        <v>1769</v>
      </c>
      <c r="C1605" t="s">
        <v>2792</v>
      </c>
      <c r="D1605">
        <v>3</v>
      </c>
      <c r="E1605">
        <v>7.89</v>
      </c>
      <c r="F1605">
        <v>7.89</v>
      </c>
      <c r="G1605" t="s">
        <v>3922</v>
      </c>
      <c r="H1605" t="s">
        <v>4142</v>
      </c>
      <c r="I1605" t="s">
        <v>4143</v>
      </c>
      <c r="L1605" t="s">
        <v>3923</v>
      </c>
    </row>
    <row r="1606" spans="1:12" x14ac:dyDescent="0.2">
      <c r="A1606" t="s">
        <v>1767</v>
      </c>
      <c r="B1606" t="s">
        <v>1769</v>
      </c>
      <c r="C1606" t="s">
        <v>2792</v>
      </c>
      <c r="D1606">
        <v>3</v>
      </c>
      <c r="E1606">
        <v>5.26</v>
      </c>
      <c r="F1606">
        <v>5.26</v>
      </c>
      <c r="G1606" t="s">
        <v>3922</v>
      </c>
      <c r="H1606" t="s">
        <v>4144</v>
      </c>
      <c r="I1606" t="s">
        <v>4145</v>
      </c>
      <c r="L1606" t="s">
        <v>3923</v>
      </c>
    </row>
    <row r="1607" spans="1:12" x14ac:dyDescent="0.2">
      <c r="A1607" t="s">
        <v>1767</v>
      </c>
      <c r="B1607" t="s">
        <v>1769</v>
      </c>
      <c r="C1607" t="s">
        <v>2792</v>
      </c>
      <c r="D1607">
        <v>3</v>
      </c>
      <c r="E1607">
        <v>1048</v>
      </c>
      <c r="F1607">
        <v>1048</v>
      </c>
      <c r="G1607" t="s">
        <v>3922</v>
      </c>
      <c r="H1607" t="s">
        <v>4146</v>
      </c>
      <c r="I1607" t="s">
        <v>4147</v>
      </c>
      <c r="L1607" t="s">
        <v>3923</v>
      </c>
    </row>
    <row r="1608" spans="1:12" x14ac:dyDescent="0.2">
      <c r="A1608" t="s">
        <v>1767</v>
      </c>
      <c r="B1608" t="s">
        <v>1769</v>
      </c>
      <c r="C1608" t="s">
        <v>2792</v>
      </c>
      <c r="D1608">
        <v>3</v>
      </c>
      <c r="E1608">
        <v>0</v>
      </c>
      <c r="F1608">
        <v>0</v>
      </c>
      <c r="G1608" t="s">
        <v>3922</v>
      </c>
      <c r="H1608" t="s">
        <v>3926</v>
      </c>
      <c r="I1608" t="s">
        <v>4148</v>
      </c>
      <c r="L1608" t="s">
        <v>3923</v>
      </c>
    </row>
    <row r="1609" spans="1:12" x14ac:dyDescent="0.2">
      <c r="A1609" t="s">
        <v>1767</v>
      </c>
      <c r="B1609" t="s">
        <v>1769</v>
      </c>
      <c r="C1609" t="s">
        <v>2792</v>
      </c>
      <c r="D1609">
        <v>3</v>
      </c>
      <c r="E1609">
        <v>950</v>
      </c>
      <c r="F1609">
        <v>950</v>
      </c>
      <c r="G1609" t="s">
        <v>3922</v>
      </c>
      <c r="H1609" t="s">
        <v>4149</v>
      </c>
      <c r="I1609" t="s">
        <v>4150</v>
      </c>
      <c r="L1609" t="s">
        <v>3923</v>
      </c>
    </row>
    <row r="1610" spans="1:12" x14ac:dyDescent="0.2">
      <c r="A1610" t="s">
        <v>1767</v>
      </c>
      <c r="B1610" t="s">
        <v>1769</v>
      </c>
      <c r="C1610" t="s">
        <v>2792</v>
      </c>
      <c r="D1610">
        <v>3</v>
      </c>
      <c r="E1610">
        <v>1102</v>
      </c>
      <c r="F1610">
        <v>1102</v>
      </c>
      <c r="G1610" t="s">
        <v>3922</v>
      </c>
      <c r="H1610" t="s">
        <v>4151</v>
      </c>
      <c r="I1610" t="s">
        <v>4152</v>
      </c>
      <c r="L1610" t="s">
        <v>3923</v>
      </c>
    </row>
    <row r="1611" spans="1:12" x14ac:dyDescent="0.2">
      <c r="A1611" t="s">
        <v>1767</v>
      </c>
      <c r="B1611" t="s">
        <v>1769</v>
      </c>
      <c r="C1611" t="s">
        <v>2792</v>
      </c>
      <c r="D1611">
        <v>3</v>
      </c>
      <c r="E1611">
        <v>4379</v>
      </c>
      <c r="F1611">
        <v>4379</v>
      </c>
      <c r="G1611" t="s">
        <v>3922</v>
      </c>
      <c r="H1611" t="s">
        <v>4153</v>
      </c>
      <c r="I1611" t="s">
        <v>4154</v>
      </c>
      <c r="L1611" t="s">
        <v>3923</v>
      </c>
    </row>
    <row r="1612" spans="1:12" x14ac:dyDescent="0.2">
      <c r="A1612" t="s">
        <v>1767</v>
      </c>
      <c r="B1612" t="s">
        <v>1769</v>
      </c>
      <c r="C1612" t="s">
        <v>2792</v>
      </c>
      <c r="D1612">
        <v>3</v>
      </c>
      <c r="E1612">
        <v>2190</v>
      </c>
      <c r="F1612">
        <v>2190</v>
      </c>
      <c r="G1612" t="s">
        <v>3922</v>
      </c>
      <c r="H1612" t="s">
        <v>4155</v>
      </c>
      <c r="I1612" t="s">
        <v>4156</v>
      </c>
      <c r="L1612" t="s">
        <v>3923</v>
      </c>
    </row>
    <row r="1613" spans="1:12" x14ac:dyDescent="0.2">
      <c r="A1613" t="s">
        <v>1767</v>
      </c>
      <c r="B1613" t="s">
        <v>1769</v>
      </c>
      <c r="C1613" t="s">
        <v>2792</v>
      </c>
      <c r="D1613">
        <v>3</v>
      </c>
      <c r="E1613">
        <v>10</v>
      </c>
      <c r="F1613">
        <v>10</v>
      </c>
      <c r="G1613" t="s">
        <v>3922</v>
      </c>
      <c r="H1613" t="s">
        <v>4157</v>
      </c>
      <c r="I1613" t="s">
        <v>4158</v>
      </c>
      <c r="L1613" t="s">
        <v>3923</v>
      </c>
    </row>
    <row r="1614" spans="1:12" x14ac:dyDescent="0.2">
      <c r="A1614" t="s">
        <v>1767</v>
      </c>
      <c r="B1614" t="s">
        <v>1769</v>
      </c>
      <c r="C1614" t="s">
        <v>2792</v>
      </c>
      <c r="D1614">
        <v>3</v>
      </c>
      <c r="E1614">
        <v>1.1000000000000001</v>
      </c>
      <c r="F1614">
        <v>1.1000000000000001</v>
      </c>
      <c r="G1614" t="s">
        <v>3922</v>
      </c>
      <c r="H1614" t="s">
        <v>4159</v>
      </c>
      <c r="I1614" t="s">
        <v>4160</v>
      </c>
      <c r="L1614" t="s">
        <v>3923</v>
      </c>
    </row>
    <row r="1615" spans="1:12" x14ac:dyDescent="0.2">
      <c r="A1615" t="s">
        <v>1767</v>
      </c>
      <c r="B1615" t="s">
        <v>1769</v>
      </c>
      <c r="C1615" t="s">
        <v>2792</v>
      </c>
      <c r="D1615">
        <v>3</v>
      </c>
      <c r="E1615">
        <v>11.1</v>
      </c>
      <c r="F1615">
        <v>11.1</v>
      </c>
      <c r="G1615" t="s">
        <v>3922</v>
      </c>
      <c r="H1615" t="s">
        <v>3988</v>
      </c>
      <c r="I1615" t="s">
        <v>4161</v>
      </c>
      <c r="L1615" t="s">
        <v>3923</v>
      </c>
    </row>
    <row r="1616" spans="1:12" x14ac:dyDescent="0.2">
      <c r="A1616" t="s">
        <v>1767</v>
      </c>
      <c r="B1616" t="s">
        <v>1769</v>
      </c>
      <c r="C1616" t="s">
        <v>2792</v>
      </c>
      <c r="D1616">
        <v>3</v>
      </c>
      <c r="E1616">
        <v>7.5</v>
      </c>
      <c r="F1616">
        <v>7.5</v>
      </c>
      <c r="G1616" t="s">
        <v>3922</v>
      </c>
      <c r="H1616" t="s">
        <v>4162</v>
      </c>
      <c r="I1616" t="s">
        <v>4163</v>
      </c>
      <c r="L1616" t="s">
        <v>3923</v>
      </c>
    </row>
    <row r="1617" spans="1:12" x14ac:dyDescent="0.2">
      <c r="A1617" t="s">
        <v>1767</v>
      </c>
      <c r="B1617" t="s">
        <v>1769</v>
      </c>
      <c r="C1617" t="s">
        <v>2792</v>
      </c>
      <c r="D1617">
        <v>3</v>
      </c>
      <c r="E1617">
        <v>6.06</v>
      </c>
      <c r="F1617">
        <v>6.06</v>
      </c>
      <c r="G1617" t="s">
        <v>3922</v>
      </c>
      <c r="H1617" t="s">
        <v>4164</v>
      </c>
      <c r="I1617" t="s">
        <v>4165</v>
      </c>
      <c r="L1617" t="s">
        <v>3923</v>
      </c>
    </row>
    <row r="1618" spans="1:12" x14ac:dyDescent="0.2">
      <c r="A1618" t="s">
        <v>1767</v>
      </c>
      <c r="B1618" t="s">
        <v>1769</v>
      </c>
      <c r="C1618" t="s">
        <v>2792</v>
      </c>
      <c r="D1618">
        <v>3</v>
      </c>
      <c r="E1618">
        <v>9.2100000000000009</v>
      </c>
      <c r="F1618">
        <v>9.2100000000000009</v>
      </c>
      <c r="G1618" t="s">
        <v>3922</v>
      </c>
      <c r="H1618" t="s">
        <v>4166</v>
      </c>
      <c r="I1618" t="s">
        <v>4167</v>
      </c>
      <c r="L1618" t="s">
        <v>3923</v>
      </c>
    </row>
    <row r="1619" spans="1:12" x14ac:dyDescent="0.2">
      <c r="A1619" t="s">
        <v>1767</v>
      </c>
      <c r="B1619" t="s">
        <v>1769</v>
      </c>
      <c r="C1619" t="s">
        <v>2792</v>
      </c>
      <c r="D1619">
        <v>3</v>
      </c>
      <c r="E1619">
        <v>4.32</v>
      </c>
      <c r="F1619">
        <v>4.32</v>
      </c>
      <c r="G1619" t="s">
        <v>3922</v>
      </c>
      <c r="H1619" t="s">
        <v>4168</v>
      </c>
      <c r="I1619" t="s">
        <v>4169</v>
      </c>
      <c r="L1619" t="s">
        <v>3923</v>
      </c>
    </row>
    <row r="1620" spans="1:12" x14ac:dyDescent="0.2">
      <c r="A1620" t="s">
        <v>1767</v>
      </c>
      <c r="B1620" t="s">
        <v>1769</v>
      </c>
      <c r="C1620" t="s">
        <v>2792</v>
      </c>
      <c r="D1620">
        <v>3</v>
      </c>
      <c r="E1620">
        <v>6.25</v>
      </c>
      <c r="F1620">
        <v>6.25</v>
      </c>
      <c r="G1620" t="s">
        <v>3922</v>
      </c>
      <c r="H1620" t="s">
        <v>4170</v>
      </c>
      <c r="I1620" t="s">
        <v>4171</v>
      </c>
      <c r="L1620" t="s">
        <v>3923</v>
      </c>
    </row>
    <row r="1621" spans="1:12" x14ac:dyDescent="0.2">
      <c r="A1621" t="s">
        <v>1767</v>
      </c>
      <c r="B1621" t="s">
        <v>1769</v>
      </c>
      <c r="C1621" t="s">
        <v>2792</v>
      </c>
      <c r="D1621">
        <v>3</v>
      </c>
      <c r="E1621">
        <v>40.71</v>
      </c>
      <c r="F1621">
        <v>40.71</v>
      </c>
      <c r="G1621" t="s">
        <v>3922</v>
      </c>
      <c r="H1621" t="s">
        <v>4172</v>
      </c>
      <c r="I1621" t="s">
        <v>4173</v>
      </c>
      <c r="L1621" t="s">
        <v>3923</v>
      </c>
    </row>
    <row r="1622" spans="1:12" x14ac:dyDescent="0.2">
      <c r="A1622" t="s">
        <v>1767</v>
      </c>
      <c r="B1622" t="s">
        <v>1769</v>
      </c>
      <c r="C1622" t="s">
        <v>2792</v>
      </c>
      <c r="D1622">
        <v>3</v>
      </c>
      <c r="E1622">
        <v>4.5</v>
      </c>
      <c r="F1622">
        <v>4.5</v>
      </c>
      <c r="G1622" t="s">
        <v>3922</v>
      </c>
      <c r="H1622" t="s">
        <v>4174</v>
      </c>
      <c r="I1622" t="s">
        <v>4175</v>
      </c>
      <c r="L1622" t="s">
        <v>3923</v>
      </c>
    </row>
    <row r="1623" spans="1:12" x14ac:dyDescent="0.2">
      <c r="A1623" t="s">
        <v>1767</v>
      </c>
      <c r="B1623" t="s">
        <v>1769</v>
      </c>
      <c r="C1623" t="s">
        <v>2792</v>
      </c>
      <c r="D1623">
        <v>3</v>
      </c>
      <c r="E1623">
        <v>20.7</v>
      </c>
      <c r="F1623">
        <v>20.7</v>
      </c>
      <c r="G1623" t="s">
        <v>3922</v>
      </c>
      <c r="H1623" t="s">
        <v>4176</v>
      </c>
      <c r="I1623" t="s">
        <v>4177</v>
      </c>
      <c r="L1623" t="s">
        <v>3923</v>
      </c>
    </row>
    <row r="1624" spans="1:12" x14ac:dyDescent="0.2">
      <c r="A1624" t="s">
        <v>1767</v>
      </c>
      <c r="B1624" t="s">
        <v>1769</v>
      </c>
      <c r="C1624" t="s">
        <v>2792</v>
      </c>
      <c r="D1624">
        <v>3</v>
      </c>
      <c r="E1624">
        <v>20</v>
      </c>
      <c r="F1624">
        <v>20</v>
      </c>
      <c r="G1624" t="s">
        <v>3922</v>
      </c>
      <c r="H1624" t="s">
        <v>4014</v>
      </c>
      <c r="I1624" t="s">
        <v>4015</v>
      </c>
      <c r="L1624" t="s">
        <v>3923</v>
      </c>
    </row>
    <row r="1625" spans="1:12" x14ac:dyDescent="0.2">
      <c r="A1625" t="s">
        <v>1767</v>
      </c>
      <c r="B1625" t="s">
        <v>1769</v>
      </c>
      <c r="C1625" t="s">
        <v>2792</v>
      </c>
      <c r="D1625">
        <v>3</v>
      </c>
      <c r="E1625">
        <v>9.6</v>
      </c>
      <c r="F1625">
        <v>9.6</v>
      </c>
      <c r="G1625" t="s">
        <v>3922</v>
      </c>
      <c r="H1625" t="s">
        <v>4069</v>
      </c>
      <c r="I1625" t="s">
        <v>4178</v>
      </c>
      <c r="L1625" t="s">
        <v>3923</v>
      </c>
    </row>
    <row r="1626" spans="1:12" x14ac:dyDescent="0.2">
      <c r="A1626" t="s">
        <v>1767</v>
      </c>
      <c r="B1626" t="s">
        <v>1769</v>
      </c>
      <c r="C1626" t="s">
        <v>2792</v>
      </c>
      <c r="D1626">
        <v>3</v>
      </c>
      <c r="E1626">
        <v>1.54</v>
      </c>
      <c r="F1626">
        <v>1.54</v>
      </c>
      <c r="G1626" t="s">
        <v>3922</v>
      </c>
      <c r="H1626" t="s">
        <v>4179</v>
      </c>
      <c r="I1626" t="s">
        <v>4180</v>
      </c>
      <c r="L1626" t="s">
        <v>3923</v>
      </c>
    </row>
    <row r="1627" spans="1:12" x14ac:dyDescent="0.2">
      <c r="A1627" t="s">
        <v>1767</v>
      </c>
      <c r="B1627" t="s">
        <v>1769</v>
      </c>
      <c r="C1627" t="s">
        <v>2792</v>
      </c>
      <c r="D1627">
        <v>3</v>
      </c>
      <c r="E1627">
        <v>0.23</v>
      </c>
      <c r="F1627">
        <v>0.23</v>
      </c>
      <c r="G1627" t="s">
        <v>3922</v>
      </c>
      <c r="H1627" t="s">
        <v>4181</v>
      </c>
      <c r="I1627" t="s">
        <v>4182</v>
      </c>
      <c r="L1627" t="s">
        <v>3923</v>
      </c>
    </row>
    <row r="1628" spans="1:12" x14ac:dyDescent="0.2">
      <c r="A1628" t="s">
        <v>1767</v>
      </c>
      <c r="B1628" t="s">
        <v>1769</v>
      </c>
      <c r="C1628" t="s">
        <v>2792</v>
      </c>
      <c r="D1628">
        <v>3</v>
      </c>
      <c r="E1628">
        <v>1.06</v>
      </c>
      <c r="F1628">
        <v>1.06</v>
      </c>
      <c r="G1628" t="s">
        <v>3922</v>
      </c>
      <c r="H1628" t="s">
        <v>4183</v>
      </c>
      <c r="I1628" t="s">
        <v>4184</v>
      </c>
      <c r="L1628" t="s">
        <v>3923</v>
      </c>
    </row>
    <row r="1629" spans="1:12" x14ac:dyDescent="0.2">
      <c r="A1629" t="s">
        <v>1767</v>
      </c>
      <c r="B1629" t="s">
        <v>1769</v>
      </c>
      <c r="C1629" t="s">
        <v>2792</v>
      </c>
      <c r="D1629">
        <v>3</v>
      </c>
      <c r="E1629">
        <v>5.82</v>
      </c>
      <c r="F1629">
        <v>5.82</v>
      </c>
      <c r="G1629" t="s">
        <v>3922</v>
      </c>
      <c r="H1629" t="s">
        <v>4185</v>
      </c>
      <c r="I1629" t="s">
        <v>4186</v>
      </c>
      <c r="L1629" t="s">
        <v>3923</v>
      </c>
    </row>
    <row r="1630" spans="1:12" x14ac:dyDescent="0.2">
      <c r="A1630" t="s">
        <v>1767</v>
      </c>
      <c r="B1630" t="s">
        <v>1769</v>
      </c>
      <c r="C1630" t="s">
        <v>2792</v>
      </c>
      <c r="D1630">
        <v>3</v>
      </c>
      <c r="E1630">
        <v>7</v>
      </c>
      <c r="F1630">
        <v>7</v>
      </c>
      <c r="G1630" t="s">
        <v>3922</v>
      </c>
      <c r="H1630" t="s">
        <v>3930</v>
      </c>
      <c r="I1630" t="s">
        <v>4009</v>
      </c>
      <c r="L1630" t="s">
        <v>3923</v>
      </c>
    </row>
    <row r="1631" spans="1:12" x14ac:dyDescent="0.2">
      <c r="A1631" t="s">
        <v>1767</v>
      </c>
      <c r="B1631" t="s">
        <v>1769</v>
      </c>
      <c r="C1631" t="s">
        <v>2792</v>
      </c>
      <c r="D1631">
        <v>3</v>
      </c>
      <c r="E1631">
        <v>1.06</v>
      </c>
      <c r="F1631">
        <v>1.06</v>
      </c>
      <c r="G1631" t="s">
        <v>3922</v>
      </c>
      <c r="H1631" t="s">
        <v>4183</v>
      </c>
      <c r="I1631" t="s">
        <v>4187</v>
      </c>
      <c r="L1631" t="s">
        <v>3923</v>
      </c>
    </row>
    <row r="1632" spans="1:12" x14ac:dyDescent="0.2">
      <c r="A1632" t="s">
        <v>1767</v>
      </c>
      <c r="B1632" t="s">
        <v>1769</v>
      </c>
      <c r="C1632" t="s">
        <v>2792</v>
      </c>
      <c r="D1632">
        <v>3</v>
      </c>
      <c r="E1632">
        <v>3.36</v>
      </c>
      <c r="F1632">
        <v>3.36</v>
      </c>
      <c r="G1632" t="s">
        <v>3922</v>
      </c>
      <c r="H1632" t="s">
        <v>4188</v>
      </c>
      <c r="I1632" t="s">
        <v>4189</v>
      </c>
      <c r="L1632" t="s">
        <v>3923</v>
      </c>
    </row>
    <row r="1633" spans="1:12" x14ac:dyDescent="0.2">
      <c r="A1633" t="s">
        <v>1767</v>
      </c>
      <c r="B1633" t="s">
        <v>1769</v>
      </c>
      <c r="C1633" t="s">
        <v>2792</v>
      </c>
      <c r="D1633">
        <v>3</v>
      </c>
      <c r="E1633">
        <v>0</v>
      </c>
      <c r="F1633">
        <v>0</v>
      </c>
      <c r="G1633" t="s">
        <v>3922</v>
      </c>
      <c r="H1633" t="s">
        <v>3926</v>
      </c>
      <c r="I1633" t="s">
        <v>4190</v>
      </c>
      <c r="L1633" t="s">
        <v>3923</v>
      </c>
    </row>
    <row r="1634" spans="1:12" x14ac:dyDescent="0.2">
      <c r="A1634" t="s">
        <v>1767</v>
      </c>
      <c r="B1634" t="s">
        <v>1769</v>
      </c>
      <c r="C1634" t="s">
        <v>2792</v>
      </c>
      <c r="D1634">
        <v>3</v>
      </c>
      <c r="E1634">
        <v>0.11</v>
      </c>
      <c r="F1634">
        <v>0.11</v>
      </c>
      <c r="G1634" t="s">
        <v>3922</v>
      </c>
      <c r="H1634" t="s">
        <v>4191</v>
      </c>
      <c r="I1634" t="s">
        <v>4192</v>
      </c>
      <c r="L1634" t="s">
        <v>3923</v>
      </c>
    </row>
    <row r="1635" spans="1:12" x14ac:dyDescent="0.2">
      <c r="A1635" t="s">
        <v>1767</v>
      </c>
      <c r="B1635" t="s">
        <v>1769</v>
      </c>
      <c r="C1635" t="s">
        <v>2792</v>
      </c>
      <c r="D1635">
        <v>3</v>
      </c>
      <c r="E1635">
        <v>0.32</v>
      </c>
      <c r="F1635">
        <v>0.32</v>
      </c>
      <c r="G1635" t="s">
        <v>3922</v>
      </c>
      <c r="H1635" t="s">
        <v>4193</v>
      </c>
      <c r="I1635" t="s">
        <v>4194</v>
      </c>
      <c r="L1635" t="s">
        <v>3923</v>
      </c>
    </row>
    <row r="1636" spans="1:12" x14ac:dyDescent="0.2">
      <c r="A1636" t="s">
        <v>1767</v>
      </c>
      <c r="B1636" t="s">
        <v>1769</v>
      </c>
      <c r="C1636" t="s">
        <v>2792</v>
      </c>
      <c r="D1636">
        <v>3</v>
      </c>
      <c r="E1636">
        <v>4.33</v>
      </c>
      <c r="F1636">
        <v>4.33</v>
      </c>
      <c r="G1636" t="s">
        <v>3922</v>
      </c>
      <c r="H1636" t="s">
        <v>4195</v>
      </c>
      <c r="I1636" t="s">
        <v>4196</v>
      </c>
      <c r="L1636" t="s">
        <v>3923</v>
      </c>
    </row>
    <row r="1637" spans="1:12" x14ac:dyDescent="0.2">
      <c r="A1637" t="s">
        <v>1767</v>
      </c>
      <c r="B1637" t="s">
        <v>1769</v>
      </c>
      <c r="C1637" t="s">
        <v>2792</v>
      </c>
      <c r="D1637">
        <v>3</v>
      </c>
      <c r="E1637">
        <v>0.6</v>
      </c>
      <c r="F1637">
        <v>0.6</v>
      </c>
      <c r="G1637" t="s">
        <v>3922</v>
      </c>
      <c r="H1637" t="s">
        <v>4197</v>
      </c>
      <c r="I1637" t="s">
        <v>4198</v>
      </c>
      <c r="L1637" t="s">
        <v>3923</v>
      </c>
    </row>
    <row r="1638" spans="1:12" x14ac:dyDescent="0.2">
      <c r="A1638" t="s">
        <v>1767</v>
      </c>
      <c r="B1638" t="s">
        <v>1769</v>
      </c>
      <c r="C1638" t="s">
        <v>2792</v>
      </c>
      <c r="D1638">
        <v>3</v>
      </c>
      <c r="E1638">
        <v>1.58</v>
      </c>
      <c r="F1638">
        <v>1.58</v>
      </c>
      <c r="G1638" t="s">
        <v>3922</v>
      </c>
      <c r="H1638" t="s">
        <v>4199</v>
      </c>
      <c r="I1638" t="s">
        <v>4200</v>
      </c>
      <c r="L1638" t="s">
        <v>3923</v>
      </c>
    </row>
    <row r="1639" spans="1:12" x14ac:dyDescent="0.2">
      <c r="A1639" t="s">
        <v>1767</v>
      </c>
      <c r="B1639" t="s">
        <v>1769</v>
      </c>
      <c r="C1639" t="s">
        <v>2792</v>
      </c>
      <c r="D1639">
        <v>3</v>
      </c>
      <c r="E1639">
        <v>9.8800000000000008</v>
      </c>
      <c r="F1639">
        <v>9.8800000000000008</v>
      </c>
      <c r="G1639" t="s">
        <v>3922</v>
      </c>
      <c r="H1639" t="s">
        <v>4201</v>
      </c>
      <c r="I1639" t="s">
        <v>4202</v>
      </c>
      <c r="L1639" t="s">
        <v>3923</v>
      </c>
    </row>
    <row r="1640" spans="1:12" x14ac:dyDescent="0.2">
      <c r="A1640" t="s">
        <v>1767</v>
      </c>
      <c r="B1640" t="s">
        <v>1769</v>
      </c>
      <c r="C1640" t="s">
        <v>2792</v>
      </c>
      <c r="D1640">
        <v>3</v>
      </c>
      <c r="E1640">
        <v>0</v>
      </c>
      <c r="F1640">
        <v>0</v>
      </c>
      <c r="G1640" t="s">
        <v>3922</v>
      </c>
      <c r="H1640" t="s">
        <v>3926</v>
      </c>
      <c r="I1640" t="s">
        <v>4203</v>
      </c>
      <c r="L1640" t="s">
        <v>3923</v>
      </c>
    </row>
    <row r="1641" spans="1:12" x14ac:dyDescent="0.2">
      <c r="A1641" t="s">
        <v>1767</v>
      </c>
      <c r="B1641" t="s">
        <v>1769</v>
      </c>
      <c r="C1641" t="s">
        <v>2792</v>
      </c>
      <c r="D1641">
        <v>3</v>
      </c>
      <c r="E1641">
        <v>2.88</v>
      </c>
      <c r="F1641">
        <v>2.88</v>
      </c>
      <c r="G1641" t="s">
        <v>3922</v>
      </c>
      <c r="H1641" t="s">
        <v>4204</v>
      </c>
      <c r="I1641" t="s">
        <v>4205</v>
      </c>
      <c r="L1641" t="s">
        <v>3923</v>
      </c>
    </row>
    <row r="1642" spans="1:12" x14ac:dyDescent="0.2">
      <c r="A1642" t="s">
        <v>1767</v>
      </c>
      <c r="B1642" t="s">
        <v>1769</v>
      </c>
      <c r="C1642" t="s">
        <v>2792</v>
      </c>
      <c r="D1642">
        <v>3</v>
      </c>
      <c r="E1642">
        <v>13.47</v>
      </c>
      <c r="F1642">
        <v>13.47</v>
      </c>
      <c r="G1642" t="s">
        <v>3922</v>
      </c>
      <c r="H1642" t="s">
        <v>4206</v>
      </c>
      <c r="I1642" t="s">
        <v>4207</v>
      </c>
      <c r="L1642" t="s">
        <v>3923</v>
      </c>
    </row>
    <row r="1643" spans="1:12" x14ac:dyDescent="0.2">
      <c r="A1643" t="s">
        <v>1767</v>
      </c>
      <c r="B1643" t="s">
        <v>1769</v>
      </c>
      <c r="C1643" t="s">
        <v>2792</v>
      </c>
      <c r="D1643">
        <v>3</v>
      </c>
      <c r="E1643">
        <v>19.600000000000001</v>
      </c>
      <c r="F1643">
        <v>19.600000000000001</v>
      </c>
      <c r="G1643" t="s">
        <v>3922</v>
      </c>
      <c r="H1643" t="s">
        <v>4208</v>
      </c>
      <c r="I1643" t="s">
        <v>4209</v>
      </c>
      <c r="L1643" t="s">
        <v>3923</v>
      </c>
    </row>
    <row r="1644" spans="1:12" x14ac:dyDescent="0.2">
      <c r="A1644" t="s">
        <v>1767</v>
      </c>
      <c r="B1644" t="s">
        <v>1769</v>
      </c>
      <c r="C1644" t="s">
        <v>2792</v>
      </c>
      <c r="D1644">
        <v>3</v>
      </c>
      <c r="E1644">
        <v>4.33</v>
      </c>
      <c r="F1644">
        <v>4.33</v>
      </c>
      <c r="G1644" t="s">
        <v>3922</v>
      </c>
      <c r="H1644" t="s">
        <v>4195</v>
      </c>
      <c r="I1644" t="s">
        <v>4196</v>
      </c>
      <c r="L1644" t="s">
        <v>3923</v>
      </c>
    </row>
    <row r="1645" spans="1:12" x14ac:dyDescent="0.2">
      <c r="A1645" t="s">
        <v>1767</v>
      </c>
      <c r="B1645" t="s">
        <v>1769</v>
      </c>
      <c r="C1645" t="s">
        <v>2792</v>
      </c>
      <c r="D1645">
        <v>3</v>
      </c>
      <c r="E1645">
        <v>27.39</v>
      </c>
      <c r="F1645">
        <v>27.39</v>
      </c>
      <c r="G1645" t="s">
        <v>3922</v>
      </c>
      <c r="H1645" t="s">
        <v>4210</v>
      </c>
      <c r="I1645" t="s">
        <v>4211</v>
      </c>
      <c r="L1645" t="s">
        <v>3923</v>
      </c>
    </row>
    <row r="1646" spans="1:12" x14ac:dyDescent="0.2">
      <c r="A1646" t="s">
        <v>1767</v>
      </c>
      <c r="B1646" t="s">
        <v>1769</v>
      </c>
      <c r="C1646" t="s">
        <v>2792</v>
      </c>
      <c r="D1646">
        <v>3</v>
      </c>
      <c r="E1646">
        <v>5.0199999999999996</v>
      </c>
      <c r="F1646">
        <v>5.0199999999999996</v>
      </c>
      <c r="G1646" t="s">
        <v>3922</v>
      </c>
      <c r="H1646" t="s">
        <v>4212</v>
      </c>
      <c r="I1646" t="s">
        <v>4213</v>
      </c>
      <c r="L1646" t="s">
        <v>3923</v>
      </c>
    </row>
    <row r="1647" spans="1:12" x14ac:dyDescent="0.2">
      <c r="A1647" t="s">
        <v>1767</v>
      </c>
      <c r="B1647" t="s">
        <v>1769</v>
      </c>
      <c r="C1647" t="s">
        <v>2792</v>
      </c>
      <c r="D1647">
        <v>3</v>
      </c>
      <c r="E1647">
        <v>3.01</v>
      </c>
      <c r="F1647">
        <v>3.01</v>
      </c>
      <c r="G1647" t="s">
        <v>3922</v>
      </c>
      <c r="H1647" t="s">
        <v>4214</v>
      </c>
      <c r="I1647" t="s">
        <v>4215</v>
      </c>
      <c r="L1647" t="s">
        <v>3923</v>
      </c>
    </row>
    <row r="1648" spans="1:12" x14ac:dyDescent="0.2">
      <c r="A1648" t="s">
        <v>1767</v>
      </c>
      <c r="B1648" t="s">
        <v>1769</v>
      </c>
      <c r="C1648" t="s">
        <v>2792</v>
      </c>
      <c r="D1648">
        <v>3</v>
      </c>
      <c r="E1648">
        <v>7.2</v>
      </c>
      <c r="F1648">
        <v>7.2</v>
      </c>
      <c r="G1648" t="s">
        <v>3922</v>
      </c>
      <c r="H1648" t="s">
        <v>4216</v>
      </c>
      <c r="I1648" t="s">
        <v>4217</v>
      </c>
      <c r="L1648" t="s">
        <v>3923</v>
      </c>
    </row>
    <row r="1649" spans="1:12" x14ac:dyDescent="0.2">
      <c r="A1649" t="s">
        <v>1767</v>
      </c>
      <c r="B1649" t="s">
        <v>1769</v>
      </c>
      <c r="C1649" t="s">
        <v>2792</v>
      </c>
      <c r="D1649">
        <v>3</v>
      </c>
      <c r="E1649">
        <v>1.02</v>
      </c>
      <c r="F1649">
        <v>1.02</v>
      </c>
      <c r="G1649" t="s">
        <v>3922</v>
      </c>
      <c r="H1649" t="s">
        <v>4218</v>
      </c>
      <c r="I1649" t="s">
        <v>4219</v>
      </c>
      <c r="L1649" t="s">
        <v>3923</v>
      </c>
    </row>
    <row r="1650" spans="1:12" x14ac:dyDescent="0.2">
      <c r="A1650" t="s">
        <v>1767</v>
      </c>
      <c r="B1650" t="s">
        <v>1769</v>
      </c>
      <c r="C1650" t="s">
        <v>2792</v>
      </c>
      <c r="D1650">
        <v>3</v>
      </c>
      <c r="E1650">
        <v>2030.39</v>
      </c>
      <c r="F1650">
        <v>2030.39</v>
      </c>
      <c r="G1650" t="s">
        <v>3922</v>
      </c>
      <c r="H1650" t="s">
        <v>4220</v>
      </c>
      <c r="I1650" t="s">
        <v>4221</v>
      </c>
      <c r="L1650" t="s">
        <v>3923</v>
      </c>
    </row>
    <row r="1651" spans="1:12" x14ac:dyDescent="0.2">
      <c r="A1651" t="s">
        <v>1767</v>
      </c>
      <c r="B1651" t="s">
        <v>1769</v>
      </c>
      <c r="C1651" t="s">
        <v>2792</v>
      </c>
      <c r="D1651">
        <v>3</v>
      </c>
      <c r="E1651">
        <v>2030.39</v>
      </c>
      <c r="F1651">
        <v>2030.39</v>
      </c>
      <c r="G1651" t="s">
        <v>3922</v>
      </c>
      <c r="H1651" t="s">
        <v>4220</v>
      </c>
      <c r="I1651" t="s">
        <v>4221</v>
      </c>
      <c r="L1651" t="s">
        <v>3923</v>
      </c>
    </row>
    <row r="1652" spans="1:12" x14ac:dyDescent="0.2">
      <c r="A1652" t="s">
        <v>1767</v>
      </c>
      <c r="B1652" t="s">
        <v>1769</v>
      </c>
      <c r="C1652" t="s">
        <v>2792</v>
      </c>
      <c r="D1652">
        <v>3</v>
      </c>
      <c r="E1652">
        <v>4060.78</v>
      </c>
      <c r="F1652">
        <v>4060.78</v>
      </c>
      <c r="G1652" t="s">
        <v>3922</v>
      </c>
      <c r="H1652" t="s">
        <v>4222</v>
      </c>
      <c r="I1652" t="s">
        <v>4223</v>
      </c>
      <c r="L1652" t="s">
        <v>3923</v>
      </c>
    </row>
    <row r="1653" spans="1:12" x14ac:dyDescent="0.2">
      <c r="A1653" t="s">
        <v>1767</v>
      </c>
      <c r="B1653" t="s">
        <v>1769</v>
      </c>
      <c r="C1653" t="s">
        <v>2792</v>
      </c>
      <c r="D1653">
        <v>3</v>
      </c>
      <c r="E1653">
        <v>1015.2</v>
      </c>
      <c r="F1653">
        <v>1015.2</v>
      </c>
      <c r="G1653" t="s">
        <v>3922</v>
      </c>
      <c r="H1653" t="s">
        <v>4224</v>
      </c>
      <c r="I1653" t="s">
        <v>4225</v>
      </c>
      <c r="L1653" t="s">
        <v>3923</v>
      </c>
    </row>
    <row r="1654" spans="1:12" x14ac:dyDescent="0.2">
      <c r="A1654" t="s">
        <v>1767</v>
      </c>
      <c r="B1654" t="s">
        <v>1769</v>
      </c>
      <c r="C1654" t="s">
        <v>2792</v>
      </c>
      <c r="D1654">
        <v>3</v>
      </c>
      <c r="E1654">
        <v>1015.2</v>
      </c>
      <c r="F1654">
        <v>1015.2</v>
      </c>
      <c r="G1654" t="s">
        <v>3922</v>
      </c>
      <c r="H1654" t="s">
        <v>4224</v>
      </c>
      <c r="I1654" t="s">
        <v>4225</v>
      </c>
      <c r="L1654" t="s">
        <v>3923</v>
      </c>
    </row>
    <row r="1655" spans="1:12" x14ac:dyDescent="0.2">
      <c r="A1655" t="s">
        <v>1767</v>
      </c>
      <c r="B1655" t="s">
        <v>1769</v>
      </c>
      <c r="C1655" t="s">
        <v>2792</v>
      </c>
      <c r="D1655">
        <v>3</v>
      </c>
      <c r="E1655">
        <v>0</v>
      </c>
      <c r="F1655">
        <v>0</v>
      </c>
      <c r="G1655" t="s">
        <v>3922</v>
      </c>
      <c r="H1655" t="s">
        <v>3926</v>
      </c>
      <c r="I1655" t="s">
        <v>4226</v>
      </c>
      <c r="L1655" t="s">
        <v>3923</v>
      </c>
    </row>
    <row r="1656" spans="1:12" x14ac:dyDescent="0.2">
      <c r="A1656" t="s">
        <v>1767</v>
      </c>
      <c r="B1656" t="s">
        <v>1769</v>
      </c>
      <c r="C1656" t="s">
        <v>2792</v>
      </c>
      <c r="D1656">
        <v>3</v>
      </c>
      <c r="E1656">
        <v>2604.44</v>
      </c>
      <c r="F1656">
        <v>2604.44</v>
      </c>
      <c r="G1656" t="s">
        <v>3922</v>
      </c>
      <c r="H1656" t="s">
        <v>4227</v>
      </c>
      <c r="I1656" t="s">
        <v>4228</v>
      </c>
      <c r="L1656" t="s">
        <v>3923</v>
      </c>
    </row>
    <row r="1657" spans="1:12" x14ac:dyDescent="0.2">
      <c r="A1657" t="s">
        <v>1767</v>
      </c>
      <c r="B1657" t="s">
        <v>1769</v>
      </c>
      <c r="C1657" t="s">
        <v>2792</v>
      </c>
      <c r="D1657">
        <v>3</v>
      </c>
      <c r="E1657">
        <v>2407.7800000000002</v>
      </c>
      <c r="F1657">
        <v>2407.7800000000002</v>
      </c>
      <c r="G1657" t="s">
        <v>3922</v>
      </c>
      <c r="H1657" t="s">
        <v>4229</v>
      </c>
      <c r="I1657" t="s">
        <v>4230</v>
      </c>
      <c r="L1657" t="s">
        <v>3923</v>
      </c>
    </row>
    <row r="1658" spans="1:12" x14ac:dyDescent="0.2">
      <c r="A1658" t="s">
        <v>1767</v>
      </c>
      <c r="B1658" t="s">
        <v>1769</v>
      </c>
      <c r="C1658" t="s">
        <v>2792</v>
      </c>
      <c r="D1658">
        <v>3</v>
      </c>
      <c r="E1658">
        <v>0</v>
      </c>
      <c r="F1658">
        <v>0</v>
      </c>
      <c r="G1658" t="s">
        <v>3922</v>
      </c>
      <c r="H1658" t="s">
        <v>3926</v>
      </c>
      <c r="I1658" t="s">
        <v>4231</v>
      </c>
      <c r="L1658" t="s">
        <v>3923</v>
      </c>
    </row>
    <row r="1659" spans="1:12" x14ac:dyDescent="0.2">
      <c r="A1659" t="s">
        <v>1767</v>
      </c>
      <c r="B1659" t="s">
        <v>1769</v>
      </c>
      <c r="C1659" t="s">
        <v>2792</v>
      </c>
      <c r="D1659">
        <v>3</v>
      </c>
      <c r="E1659">
        <v>0</v>
      </c>
      <c r="F1659">
        <v>0</v>
      </c>
      <c r="G1659" t="s">
        <v>3922</v>
      </c>
      <c r="H1659" t="s">
        <v>3926</v>
      </c>
      <c r="I1659" t="s">
        <v>4232</v>
      </c>
      <c r="L1659" t="s">
        <v>3923</v>
      </c>
    </row>
    <row r="1660" spans="1:12" x14ac:dyDescent="0.2">
      <c r="A1660" t="s">
        <v>1767</v>
      </c>
      <c r="B1660" t="s">
        <v>1769</v>
      </c>
      <c r="C1660" t="s">
        <v>2792</v>
      </c>
      <c r="D1660">
        <v>3</v>
      </c>
      <c r="E1660">
        <v>0</v>
      </c>
      <c r="F1660">
        <v>0</v>
      </c>
      <c r="G1660" t="s">
        <v>3922</v>
      </c>
      <c r="H1660" t="s">
        <v>3926</v>
      </c>
      <c r="I1660" t="s">
        <v>4233</v>
      </c>
      <c r="L1660" t="s">
        <v>3923</v>
      </c>
    </row>
    <row r="1661" spans="1:12" x14ac:dyDescent="0.2">
      <c r="A1661" t="s">
        <v>1767</v>
      </c>
      <c r="B1661" t="s">
        <v>1769</v>
      </c>
      <c r="C1661" t="s">
        <v>2792</v>
      </c>
      <c r="D1661">
        <v>3</v>
      </c>
      <c r="E1661">
        <v>0</v>
      </c>
      <c r="F1661">
        <v>0</v>
      </c>
      <c r="G1661" t="s">
        <v>3922</v>
      </c>
      <c r="H1661" t="s">
        <v>3926</v>
      </c>
      <c r="I1661" t="s">
        <v>4234</v>
      </c>
      <c r="L1661" t="s">
        <v>3923</v>
      </c>
    </row>
    <row r="1662" spans="1:12" x14ac:dyDescent="0.2">
      <c r="A1662" t="s">
        <v>1767</v>
      </c>
      <c r="B1662" t="s">
        <v>1769</v>
      </c>
      <c r="C1662" t="s">
        <v>2792</v>
      </c>
      <c r="D1662">
        <v>3</v>
      </c>
      <c r="E1662">
        <v>8910</v>
      </c>
      <c r="F1662">
        <v>8910</v>
      </c>
      <c r="G1662" t="s">
        <v>3922</v>
      </c>
      <c r="H1662" t="s">
        <v>4235</v>
      </c>
      <c r="I1662" t="s">
        <v>4236</v>
      </c>
      <c r="L1662" t="s">
        <v>3923</v>
      </c>
    </row>
    <row r="1663" spans="1:12" x14ac:dyDescent="0.2">
      <c r="A1663" t="s">
        <v>1767</v>
      </c>
      <c r="B1663" t="s">
        <v>1769</v>
      </c>
      <c r="C1663" t="s">
        <v>2792</v>
      </c>
      <c r="D1663">
        <v>3</v>
      </c>
      <c r="E1663">
        <v>8910</v>
      </c>
      <c r="F1663">
        <v>8910</v>
      </c>
      <c r="G1663" t="s">
        <v>3922</v>
      </c>
      <c r="H1663" t="s">
        <v>4235</v>
      </c>
      <c r="I1663" t="s">
        <v>4236</v>
      </c>
      <c r="L1663" t="s">
        <v>3923</v>
      </c>
    </row>
    <row r="1664" spans="1:12" x14ac:dyDescent="0.2">
      <c r="A1664" t="s">
        <v>1767</v>
      </c>
      <c r="B1664" t="s">
        <v>1769</v>
      </c>
      <c r="C1664" t="s">
        <v>2792</v>
      </c>
      <c r="D1664">
        <v>3</v>
      </c>
      <c r="E1664">
        <v>4.75</v>
      </c>
      <c r="F1664">
        <v>4.75</v>
      </c>
      <c r="G1664" t="s">
        <v>3922</v>
      </c>
      <c r="H1664" t="s">
        <v>4237</v>
      </c>
      <c r="I1664" t="s">
        <v>4238</v>
      </c>
      <c r="L1664" t="s">
        <v>3923</v>
      </c>
    </row>
    <row r="1665" spans="1:12" x14ac:dyDescent="0.2">
      <c r="A1665" t="s">
        <v>1767</v>
      </c>
      <c r="B1665" t="s">
        <v>1769</v>
      </c>
      <c r="C1665" t="s">
        <v>2792</v>
      </c>
      <c r="D1665">
        <v>3</v>
      </c>
      <c r="E1665">
        <v>316</v>
      </c>
      <c r="F1665">
        <v>316</v>
      </c>
      <c r="G1665" t="s">
        <v>3922</v>
      </c>
      <c r="H1665" t="s">
        <v>4239</v>
      </c>
      <c r="I1665" t="s">
        <v>4240</v>
      </c>
      <c r="L1665" t="s">
        <v>3923</v>
      </c>
    </row>
    <row r="1666" spans="1:12" x14ac:dyDescent="0.2">
      <c r="A1666" t="s">
        <v>1767</v>
      </c>
      <c r="B1666" t="s">
        <v>1769</v>
      </c>
      <c r="C1666" t="s">
        <v>2792</v>
      </c>
      <c r="D1666">
        <v>3</v>
      </c>
      <c r="E1666">
        <v>0</v>
      </c>
      <c r="F1666">
        <v>0</v>
      </c>
      <c r="G1666" t="s">
        <v>3922</v>
      </c>
      <c r="H1666" t="s">
        <v>3926</v>
      </c>
      <c r="I1666" t="s">
        <v>4241</v>
      </c>
      <c r="L1666" t="s">
        <v>3923</v>
      </c>
    </row>
    <row r="1667" spans="1:12" x14ac:dyDescent="0.2">
      <c r="A1667" t="s">
        <v>1767</v>
      </c>
      <c r="B1667" t="s">
        <v>1769</v>
      </c>
      <c r="C1667" t="s">
        <v>2792</v>
      </c>
      <c r="D1667">
        <v>3</v>
      </c>
      <c r="E1667">
        <v>1217.74</v>
      </c>
      <c r="F1667">
        <v>1217.74</v>
      </c>
      <c r="G1667" t="s">
        <v>3922</v>
      </c>
      <c r="H1667" t="s">
        <v>4242</v>
      </c>
      <c r="I1667" t="s">
        <v>4243</v>
      </c>
      <c r="L1667" t="s">
        <v>3923</v>
      </c>
    </row>
    <row r="1668" spans="1:12" x14ac:dyDescent="0.2">
      <c r="A1668" t="s">
        <v>1767</v>
      </c>
      <c r="B1668" t="s">
        <v>1769</v>
      </c>
      <c r="C1668" t="s">
        <v>2792</v>
      </c>
      <c r="D1668">
        <v>3</v>
      </c>
      <c r="E1668">
        <v>32.71</v>
      </c>
      <c r="F1668">
        <v>32.71</v>
      </c>
      <c r="G1668" t="s">
        <v>3922</v>
      </c>
      <c r="H1668" t="s">
        <v>4244</v>
      </c>
      <c r="I1668" t="s">
        <v>4245</v>
      </c>
      <c r="L1668" t="s">
        <v>3923</v>
      </c>
    </row>
    <row r="1669" spans="1:12" x14ac:dyDescent="0.2">
      <c r="A1669" t="s">
        <v>1767</v>
      </c>
      <c r="B1669" t="s">
        <v>1769</v>
      </c>
      <c r="C1669" t="s">
        <v>2792</v>
      </c>
      <c r="D1669">
        <v>3</v>
      </c>
      <c r="E1669">
        <v>58.91</v>
      </c>
      <c r="F1669">
        <v>58.91</v>
      </c>
      <c r="G1669" t="s">
        <v>3922</v>
      </c>
      <c r="H1669" t="s">
        <v>4246</v>
      </c>
      <c r="I1669" t="s">
        <v>4247</v>
      </c>
      <c r="L1669" t="s">
        <v>3923</v>
      </c>
    </row>
    <row r="1670" spans="1:12" x14ac:dyDescent="0.2">
      <c r="A1670" t="s">
        <v>1767</v>
      </c>
      <c r="B1670" t="s">
        <v>1769</v>
      </c>
      <c r="C1670" t="s">
        <v>2792</v>
      </c>
      <c r="D1670">
        <v>3</v>
      </c>
      <c r="E1670">
        <v>0</v>
      </c>
      <c r="F1670">
        <v>0</v>
      </c>
      <c r="G1670" t="s">
        <v>3922</v>
      </c>
      <c r="H1670" t="s">
        <v>3926</v>
      </c>
      <c r="I1670" t="s">
        <v>2417</v>
      </c>
      <c r="L1670" t="s">
        <v>3923</v>
      </c>
    </row>
    <row r="1671" spans="1:12" x14ac:dyDescent="0.2">
      <c r="A1671" t="s">
        <v>1767</v>
      </c>
      <c r="B1671" t="s">
        <v>1769</v>
      </c>
      <c r="C1671" t="s">
        <v>2792</v>
      </c>
      <c r="D1671">
        <v>3</v>
      </c>
      <c r="E1671">
        <v>118000</v>
      </c>
      <c r="F1671">
        <v>118000</v>
      </c>
      <c r="G1671" t="s">
        <v>3922</v>
      </c>
      <c r="H1671" t="s">
        <v>4248</v>
      </c>
      <c r="I1671" t="s">
        <v>4249</v>
      </c>
      <c r="L1671" t="s">
        <v>3923</v>
      </c>
    </row>
    <row r="1672" spans="1:12" x14ac:dyDescent="0.2">
      <c r="A1672" t="s">
        <v>1767</v>
      </c>
      <c r="B1672" t="s">
        <v>1769</v>
      </c>
      <c r="C1672" t="s">
        <v>2792</v>
      </c>
      <c r="D1672">
        <v>3</v>
      </c>
      <c r="E1672">
        <v>0</v>
      </c>
      <c r="F1672">
        <v>0</v>
      </c>
      <c r="G1672" t="s">
        <v>3922</v>
      </c>
      <c r="H1672" t="s">
        <v>3926</v>
      </c>
      <c r="I1672" t="s">
        <v>4250</v>
      </c>
      <c r="L1672" t="s">
        <v>3923</v>
      </c>
    </row>
    <row r="1673" spans="1:12" x14ac:dyDescent="0.2">
      <c r="A1673" t="s">
        <v>1767</v>
      </c>
      <c r="B1673" t="s">
        <v>1769</v>
      </c>
      <c r="C1673" t="s">
        <v>2792</v>
      </c>
      <c r="D1673">
        <v>3</v>
      </c>
      <c r="E1673">
        <v>321.62</v>
      </c>
      <c r="F1673">
        <v>321.62</v>
      </c>
      <c r="G1673" t="s">
        <v>3922</v>
      </c>
      <c r="H1673" t="s">
        <v>4251</v>
      </c>
      <c r="I1673" t="s">
        <v>4252</v>
      </c>
      <c r="L1673" t="s">
        <v>3923</v>
      </c>
    </row>
    <row r="1674" spans="1:12" x14ac:dyDescent="0.2">
      <c r="A1674" t="s">
        <v>1767</v>
      </c>
      <c r="B1674" t="s">
        <v>1769</v>
      </c>
      <c r="C1674" t="s">
        <v>2792</v>
      </c>
      <c r="D1674">
        <v>3</v>
      </c>
      <c r="E1674">
        <v>45.95</v>
      </c>
      <c r="F1674">
        <v>45.95</v>
      </c>
      <c r="G1674" t="s">
        <v>3922</v>
      </c>
      <c r="H1674" t="s">
        <v>4253</v>
      </c>
      <c r="I1674" t="s">
        <v>4254</v>
      </c>
      <c r="L1674" t="s">
        <v>3923</v>
      </c>
    </row>
    <row r="1675" spans="1:12" x14ac:dyDescent="0.2">
      <c r="A1675" t="s">
        <v>1767</v>
      </c>
      <c r="B1675" t="s">
        <v>1769</v>
      </c>
      <c r="C1675" t="s">
        <v>2792</v>
      </c>
      <c r="D1675">
        <v>3</v>
      </c>
      <c r="E1675">
        <v>54</v>
      </c>
      <c r="F1675">
        <v>54</v>
      </c>
      <c r="G1675" t="s">
        <v>3922</v>
      </c>
      <c r="H1675" t="s">
        <v>4255</v>
      </c>
      <c r="I1675" t="s">
        <v>4256</v>
      </c>
      <c r="L1675" t="s">
        <v>3923</v>
      </c>
    </row>
    <row r="1676" spans="1:12" x14ac:dyDescent="0.2">
      <c r="A1676" t="s">
        <v>1767</v>
      </c>
      <c r="B1676" t="s">
        <v>1769</v>
      </c>
      <c r="C1676" t="s">
        <v>2792</v>
      </c>
      <c r="D1676">
        <v>3</v>
      </c>
      <c r="E1676">
        <v>0</v>
      </c>
      <c r="F1676">
        <v>0</v>
      </c>
      <c r="G1676" t="s">
        <v>3922</v>
      </c>
      <c r="H1676" t="s">
        <v>3926</v>
      </c>
      <c r="I1676" t="s">
        <v>4257</v>
      </c>
      <c r="L1676" t="s">
        <v>3923</v>
      </c>
    </row>
    <row r="1677" spans="1:12" x14ac:dyDescent="0.2">
      <c r="A1677" t="s">
        <v>1767</v>
      </c>
      <c r="B1677" t="s">
        <v>1769</v>
      </c>
      <c r="C1677" t="s">
        <v>2792</v>
      </c>
      <c r="D1677">
        <v>3</v>
      </c>
      <c r="E1677">
        <v>11.88</v>
      </c>
      <c r="F1677">
        <v>11.88</v>
      </c>
      <c r="G1677" t="s">
        <v>3922</v>
      </c>
      <c r="H1677" t="s">
        <v>4258</v>
      </c>
      <c r="I1677" t="s">
        <v>4259</v>
      </c>
      <c r="L1677" t="s">
        <v>3923</v>
      </c>
    </row>
    <row r="1678" spans="1:12" x14ac:dyDescent="0.2">
      <c r="A1678" t="s">
        <v>1767</v>
      </c>
      <c r="B1678" t="s">
        <v>1769</v>
      </c>
      <c r="C1678" t="s">
        <v>2792</v>
      </c>
      <c r="D1678">
        <v>3</v>
      </c>
      <c r="E1678">
        <v>10.72</v>
      </c>
      <c r="F1678">
        <v>10.72</v>
      </c>
      <c r="G1678" t="s">
        <v>3922</v>
      </c>
      <c r="H1678" t="s">
        <v>4260</v>
      </c>
      <c r="I1678" t="s">
        <v>4261</v>
      </c>
      <c r="L1678" t="s">
        <v>3923</v>
      </c>
    </row>
    <row r="1679" spans="1:12" x14ac:dyDescent="0.2">
      <c r="A1679" t="s">
        <v>1767</v>
      </c>
      <c r="B1679" t="s">
        <v>1769</v>
      </c>
      <c r="C1679" t="s">
        <v>2792</v>
      </c>
      <c r="D1679">
        <v>3</v>
      </c>
      <c r="E1679">
        <v>0.75</v>
      </c>
      <c r="F1679">
        <v>0.75</v>
      </c>
      <c r="G1679" t="s">
        <v>3922</v>
      </c>
      <c r="H1679" t="s">
        <v>4262</v>
      </c>
      <c r="I1679" t="s">
        <v>4263</v>
      </c>
      <c r="L1679" t="s">
        <v>3923</v>
      </c>
    </row>
    <row r="1680" spans="1:12" x14ac:dyDescent="0.2">
      <c r="A1680" t="s">
        <v>1767</v>
      </c>
      <c r="B1680" t="s">
        <v>1769</v>
      </c>
      <c r="C1680" t="s">
        <v>2792</v>
      </c>
      <c r="D1680">
        <v>3</v>
      </c>
      <c r="E1680">
        <v>316</v>
      </c>
      <c r="F1680">
        <v>316</v>
      </c>
      <c r="G1680" t="s">
        <v>3922</v>
      </c>
      <c r="H1680" t="s">
        <v>4239</v>
      </c>
      <c r="I1680" t="s">
        <v>4240</v>
      </c>
      <c r="L1680" t="s">
        <v>3923</v>
      </c>
    </row>
    <row r="1681" spans="1:12" x14ac:dyDescent="0.2">
      <c r="A1681" t="s">
        <v>1767</v>
      </c>
      <c r="B1681" t="s">
        <v>1769</v>
      </c>
      <c r="C1681" t="s">
        <v>2792</v>
      </c>
      <c r="D1681">
        <v>3</v>
      </c>
      <c r="E1681">
        <v>16.649999999999999</v>
      </c>
      <c r="F1681">
        <v>16.649999999999999</v>
      </c>
      <c r="G1681" t="s">
        <v>3922</v>
      </c>
      <c r="H1681" t="s">
        <v>4264</v>
      </c>
      <c r="I1681" t="s">
        <v>4265</v>
      </c>
      <c r="L1681" t="s">
        <v>3923</v>
      </c>
    </row>
    <row r="1682" spans="1:12" x14ac:dyDescent="0.2">
      <c r="A1682" t="s">
        <v>1767</v>
      </c>
      <c r="B1682" t="s">
        <v>1769</v>
      </c>
      <c r="C1682" t="s">
        <v>2792</v>
      </c>
      <c r="D1682">
        <v>3</v>
      </c>
      <c r="E1682">
        <v>8.08</v>
      </c>
      <c r="F1682">
        <v>8.08</v>
      </c>
      <c r="G1682" t="s">
        <v>3922</v>
      </c>
      <c r="H1682" t="s">
        <v>4266</v>
      </c>
      <c r="I1682" t="s">
        <v>4267</v>
      </c>
      <c r="L1682" t="s">
        <v>3923</v>
      </c>
    </row>
    <row r="1683" spans="1:12" x14ac:dyDescent="0.2">
      <c r="A1683" t="s">
        <v>1767</v>
      </c>
      <c r="B1683" t="s">
        <v>1769</v>
      </c>
      <c r="C1683" t="s">
        <v>2792</v>
      </c>
      <c r="D1683">
        <v>3</v>
      </c>
      <c r="E1683">
        <v>6.16</v>
      </c>
      <c r="F1683">
        <v>6.16</v>
      </c>
      <c r="G1683" t="s">
        <v>3922</v>
      </c>
      <c r="H1683" t="s">
        <v>4268</v>
      </c>
      <c r="I1683" t="s">
        <v>4269</v>
      </c>
      <c r="L1683" t="s">
        <v>3923</v>
      </c>
    </row>
    <row r="1684" spans="1:12" x14ac:dyDescent="0.2">
      <c r="A1684" t="s">
        <v>1767</v>
      </c>
      <c r="B1684" t="s">
        <v>1769</v>
      </c>
      <c r="C1684" t="s">
        <v>2792</v>
      </c>
      <c r="D1684">
        <v>3</v>
      </c>
      <c r="E1684">
        <v>0</v>
      </c>
      <c r="F1684">
        <v>0</v>
      </c>
      <c r="G1684" t="s">
        <v>3922</v>
      </c>
      <c r="H1684" t="s">
        <v>3926</v>
      </c>
      <c r="I1684" t="s">
        <v>4270</v>
      </c>
      <c r="L1684" t="s">
        <v>3923</v>
      </c>
    </row>
    <row r="1685" spans="1:12" x14ac:dyDescent="0.2">
      <c r="A1685" t="s">
        <v>1767</v>
      </c>
      <c r="B1685" t="s">
        <v>1769</v>
      </c>
      <c r="C1685" t="s">
        <v>2792</v>
      </c>
      <c r="D1685">
        <v>3</v>
      </c>
      <c r="E1685">
        <v>0</v>
      </c>
      <c r="F1685">
        <v>0</v>
      </c>
      <c r="G1685" t="s">
        <v>3922</v>
      </c>
      <c r="H1685" t="s">
        <v>3926</v>
      </c>
      <c r="I1685" t="s">
        <v>4271</v>
      </c>
      <c r="L1685" t="s">
        <v>3923</v>
      </c>
    </row>
    <row r="1686" spans="1:12" x14ac:dyDescent="0.2">
      <c r="A1686" t="s">
        <v>1767</v>
      </c>
      <c r="B1686" t="s">
        <v>1769</v>
      </c>
      <c r="C1686" t="s">
        <v>2792</v>
      </c>
      <c r="D1686">
        <v>3</v>
      </c>
      <c r="E1686">
        <v>0</v>
      </c>
      <c r="F1686">
        <v>0</v>
      </c>
      <c r="G1686" t="s">
        <v>3922</v>
      </c>
      <c r="H1686" t="s">
        <v>3926</v>
      </c>
      <c r="I1686" t="s">
        <v>4272</v>
      </c>
      <c r="L1686" t="s">
        <v>3923</v>
      </c>
    </row>
    <row r="1687" spans="1:12" x14ac:dyDescent="0.2">
      <c r="A1687" t="s">
        <v>1767</v>
      </c>
      <c r="B1687" t="s">
        <v>1769</v>
      </c>
      <c r="C1687" t="s">
        <v>2792</v>
      </c>
      <c r="D1687">
        <v>3</v>
      </c>
      <c r="E1687">
        <v>0</v>
      </c>
      <c r="F1687">
        <v>0</v>
      </c>
      <c r="G1687" t="s">
        <v>3922</v>
      </c>
      <c r="H1687" t="s">
        <v>3926</v>
      </c>
      <c r="I1687" t="s">
        <v>4273</v>
      </c>
      <c r="L1687" t="s">
        <v>3923</v>
      </c>
    </row>
    <row r="1688" spans="1:12" x14ac:dyDescent="0.2">
      <c r="A1688" t="s">
        <v>1767</v>
      </c>
      <c r="B1688" t="s">
        <v>1769</v>
      </c>
      <c r="C1688" t="s">
        <v>2792</v>
      </c>
      <c r="D1688">
        <v>3</v>
      </c>
      <c r="E1688">
        <v>40.98</v>
      </c>
      <c r="F1688">
        <v>40.98</v>
      </c>
      <c r="G1688" t="s">
        <v>3922</v>
      </c>
      <c r="H1688" t="s">
        <v>4274</v>
      </c>
      <c r="I1688" t="s">
        <v>4275</v>
      </c>
      <c r="L1688" t="s">
        <v>3923</v>
      </c>
    </row>
    <row r="1689" spans="1:12" x14ac:dyDescent="0.2">
      <c r="A1689" t="s">
        <v>1767</v>
      </c>
      <c r="B1689" t="s">
        <v>1769</v>
      </c>
      <c r="C1689" t="s">
        <v>2792</v>
      </c>
      <c r="D1689">
        <v>3</v>
      </c>
      <c r="E1689">
        <v>39</v>
      </c>
      <c r="F1689">
        <v>39</v>
      </c>
      <c r="G1689" t="s">
        <v>3922</v>
      </c>
      <c r="H1689" t="s">
        <v>4276</v>
      </c>
      <c r="I1689" t="s">
        <v>4277</v>
      </c>
      <c r="L1689" t="s">
        <v>3923</v>
      </c>
    </row>
    <row r="1690" spans="1:12" x14ac:dyDescent="0.2">
      <c r="A1690" t="s">
        <v>1767</v>
      </c>
      <c r="B1690" t="s">
        <v>1769</v>
      </c>
      <c r="C1690" t="s">
        <v>2792</v>
      </c>
      <c r="D1690">
        <v>3</v>
      </c>
      <c r="E1690">
        <v>100.98</v>
      </c>
      <c r="F1690">
        <v>100.98</v>
      </c>
      <c r="G1690" t="s">
        <v>3922</v>
      </c>
      <c r="H1690" t="s">
        <v>4278</v>
      </c>
      <c r="I1690" t="s">
        <v>4279</v>
      </c>
      <c r="L1690" t="s">
        <v>3923</v>
      </c>
    </row>
    <row r="1691" spans="1:12" x14ac:dyDescent="0.2">
      <c r="A1691" t="s">
        <v>1767</v>
      </c>
      <c r="B1691" t="s">
        <v>1769</v>
      </c>
      <c r="C1691" t="s">
        <v>2792</v>
      </c>
      <c r="D1691">
        <v>3</v>
      </c>
      <c r="E1691">
        <v>11.34</v>
      </c>
      <c r="F1691">
        <v>11.34</v>
      </c>
      <c r="G1691" t="s">
        <v>3922</v>
      </c>
      <c r="H1691" t="s">
        <v>4280</v>
      </c>
      <c r="I1691" t="s">
        <v>4281</v>
      </c>
      <c r="L1691" t="s">
        <v>3923</v>
      </c>
    </row>
    <row r="1692" spans="1:12" x14ac:dyDescent="0.2">
      <c r="A1692" t="s">
        <v>1767</v>
      </c>
      <c r="B1692" t="s">
        <v>1769</v>
      </c>
      <c r="C1692" t="s">
        <v>2792</v>
      </c>
      <c r="D1692">
        <v>3</v>
      </c>
      <c r="E1692">
        <v>1.1000000000000001</v>
      </c>
      <c r="F1692">
        <v>1.1000000000000001</v>
      </c>
      <c r="G1692" t="s">
        <v>3922</v>
      </c>
      <c r="H1692" t="s">
        <v>4159</v>
      </c>
      <c r="I1692" t="s">
        <v>4282</v>
      </c>
      <c r="L1692" t="s">
        <v>3923</v>
      </c>
    </row>
    <row r="1693" spans="1:12" x14ac:dyDescent="0.2">
      <c r="A1693" t="s">
        <v>1767</v>
      </c>
      <c r="B1693" t="s">
        <v>1769</v>
      </c>
      <c r="C1693" t="s">
        <v>2792</v>
      </c>
      <c r="D1693">
        <v>3</v>
      </c>
      <c r="E1693">
        <v>10.88</v>
      </c>
      <c r="F1693">
        <v>10.88</v>
      </c>
      <c r="G1693" t="s">
        <v>3922</v>
      </c>
      <c r="H1693" t="s">
        <v>4283</v>
      </c>
      <c r="I1693" t="s">
        <v>4284</v>
      </c>
      <c r="L1693" t="s">
        <v>3923</v>
      </c>
    </row>
    <row r="1694" spans="1:12" x14ac:dyDescent="0.2">
      <c r="A1694" t="s">
        <v>1767</v>
      </c>
      <c r="B1694" t="s">
        <v>1769</v>
      </c>
      <c r="C1694" t="s">
        <v>2792</v>
      </c>
      <c r="D1694">
        <v>3</v>
      </c>
      <c r="E1694">
        <v>210.24</v>
      </c>
      <c r="F1694">
        <v>210.24</v>
      </c>
      <c r="G1694" t="s">
        <v>3922</v>
      </c>
      <c r="H1694" t="s">
        <v>4285</v>
      </c>
      <c r="I1694" t="s">
        <v>4286</v>
      </c>
      <c r="L1694" t="s">
        <v>3923</v>
      </c>
    </row>
    <row r="1695" spans="1:12" x14ac:dyDescent="0.2">
      <c r="A1695" t="s">
        <v>1767</v>
      </c>
      <c r="B1695" t="s">
        <v>1769</v>
      </c>
      <c r="C1695" t="s">
        <v>2792</v>
      </c>
      <c r="D1695">
        <v>3</v>
      </c>
      <c r="E1695">
        <v>11.72</v>
      </c>
      <c r="F1695">
        <v>11.72</v>
      </c>
      <c r="G1695" t="s">
        <v>3922</v>
      </c>
      <c r="H1695" t="s">
        <v>4287</v>
      </c>
      <c r="I1695" t="s">
        <v>4288</v>
      </c>
      <c r="L1695" t="s">
        <v>3923</v>
      </c>
    </row>
    <row r="1696" spans="1:12" x14ac:dyDescent="0.2">
      <c r="A1696" t="s">
        <v>1767</v>
      </c>
      <c r="B1696" t="s">
        <v>1769</v>
      </c>
      <c r="C1696" t="s">
        <v>2792</v>
      </c>
      <c r="D1696">
        <v>3</v>
      </c>
      <c r="E1696">
        <v>15.52</v>
      </c>
      <c r="F1696">
        <v>15.52</v>
      </c>
      <c r="G1696" t="s">
        <v>3922</v>
      </c>
      <c r="H1696" t="s">
        <v>4289</v>
      </c>
      <c r="I1696" t="s">
        <v>4290</v>
      </c>
      <c r="L1696" t="s">
        <v>3923</v>
      </c>
    </row>
    <row r="1697" spans="1:12" x14ac:dyDescent="0.2">
      <c r="A1697" t="s">
        <v>1767</v>
      </c>
      <c r="B1697" t="s">
        <v>1769</v>
      </c>
      <c r="C1697" t="s">
        <v>2792</v>
      </c>
      <c r="D1697">
        <v>3</v>
      </c>
      <c r="E1697">
        <v>24.96</v>
      </c>
      <c r="F1697">
        <v>24.96</v>
      </c>
      <c r="G1697" t="s">
        <v>3922</v>
      </c>
      <c r="H1697" t="s">
        <v>4291</v>
      </c>
      <c r="I1697" t="s">
        <v>4292</v>
      </c>
      <c r="L1697" t="s">
        <v>3923</v>
      </c>
    </row>
    <row r="1698" spans="1:12" x14ac:dyDescent="0.2">
      <c r="A1698" t="s">
        <v>1767</v>
      </c>
      <c r="B1698" t="s">
        <v>1769</v>
      </c>
      <c r="C1698" t="s">
        <v>2792</v>
      </c>
      <c r="D1698">
        <v>3</v>
      </c>
      <c r="E1698">
        <v>0.52</v>
      </c>
      <c r="F1698">
        <v>0.52</v>
      </c>
      <c r="G1698" t="s">
        <v>3922</v>
      </c>
      <c r="H1698" t="s">
        <v>4293</v>
      </c>
      <c r="I1698" t="s">
        <v>4294</v>
      </c>
      <c r="L1698" t="s">
        <v>3923</v>
      </c>
    </row>
    <row r="1699" spans="1:12" x14ac:dyDescent="0.2">
      <c r="A1699" t="s">
        <v>1767</v>
      </c>
      <c r="B1699" t="s">
        <v>1769</v>
      </c>
      <c r="C1699" t="s">
        <v>2792</v>
      </c>
      <c r="D1699">
        <v>3</v>
      </c>
      <c r="E1699">
        <v>215.56</v>
      </c>
      <c r="F1699">
        <v>215.56</v>
      </c>
      <c r="G1699" t="s">
        <v>3922</v>
      </c>
      <c r="H1699" t="s">
        <v>4295</v>
      </c>
      <c r="I1699" t="s">
        <v>4296</v>
      </c>
      <c r="L1699" t="s">
        <v>3923</v>
      </c>
    </row>
    <row r="1700" spans="1:12" x14ac:dyDescent="0.2">
      <c r="A1700" t="s">
        <v>1767</v>
      </c>
      <c r="B1700" t="s">
        <v>1769</v>
      </c>
      <c r="C1700" t="s">
        <v>2792</v>
      </c>
      <c r="D1700">
        <v>3</v>
      </c>
      <c r="E1700">
        <v>143</v>
      </c>
      <c r="F1700">
        <v>143</v>
      </c>
      <c r="G1700" t="s">
        <v>3922</v>
      </c>
      <c r="H1700" t="s">
        <v>4297</v>
      </c>
      <c r="I1700" t="s">
        <v>4298</v>
      </c>
      <c r="L1700" t="s">
        <v>3923</v>
      </c>
    </row>
    <row r="1701" spans="1:12" x14ac:dyDescent="0.2">
      <c r="A1701" t="s">
        <v>1767</v>
      </c>
      <c r="B1701" t="s">
        <v>1769</v>
      </c>
      <c r="C1701" t="s">
        <v>2792</v>
      </c>
      <c r="D1701">
        <v>3</v>
      </c>
      <c r="E1701">
        <v>6.75</v>
      </c>
      <c r="F1701">
        <v>6.75</v>
      </c>
      <c r="G1701" t="s">
        <v>3922</v>
      </c>
      <c r="H1701" t="s">
        <v>4299</v>
      </c>
      <c r="I1701" t="s">
        <v>4300</v>
      </c>
      <c r="L1701" t="s">
        <v>3923</v>
      </c>
    </row>
    <row r="1702" spans="1:12" x14ac:dyDescent="0.2">
      <c r="A1702" t="s">
        <v>1767</v>
      </c>
      <c r="B1702" t="s">
        <v>1769</v>
      </c>
      <c r="C1702" t="s">
        <v>2792</v>
      </c>
      <c r="D1702">
        <v>3</v>
      </c>
      <c r="E1702">
        <v>0</v>
      </c>
      <c r="F1702">
        <v>0</v>
      </c>
      <c r="G1702" t="s">
        <v>3922</v>
      </c>
      <c r="H1702" t="s">
        <v>3926</v>
      </c>
      <c r="I1702" t="s">
        <v>4301</v>
      </c>
      <c r="L1702" t="s">
        <v>3923</v>
      </c>
    </row>
    <row r="1703" spans="1:12" x14ac:dyDescent="0.2">
      <c r="A1703" t="s">
        <v>1767</v>
      </c>
      <c r="B1703" t="s">
        <v>1769</v>
      </c>
      <c r="C1703" t="s">
        <v>2792</v>
      </c>
      <c r="D1703">
        <v>3</v>
      </c>
      <c r="E1703">
        <v>0</v>
      </c>
      <c r="F1703">
        <v>0</v>
      </c>
      <c r="G1703" t="s">
        <v>3922</v>
      </c>
      <c r="H1703" t="s">
        <v>3926</v>
      </c>
      <c r="I1703" t="s">
        <v>4302</v>
      </c>
      <c r="L1703" t="s">
        <v>3923</v>
      </c>
    </row>
    <row r="1704" spans="1:12" x14ac:dyDescent="0.2">
      <c r="A1704" t="s">
        <v>1767</v>
      </c>
      <c r="B1704" t="s">
        <v>1769</v>
      </c>
      <c r="C1704" t="s">
        <v>2792</v>
      </c>
      <c r="D1704">
        <v>3</v>
      </c>
      <c r="E1704">
        <v>44.04</v>
      </c>
      <c r="F1704">
        <v>44.04</v>
      </c>
      <c r="G1704" t="s">
        <v>3922</v>
      </c>
      <c r="H1704" t="s">
        <v>4303</v>
      </c>
      <c r="I1704" t="s">
        <v>4304</v>
      </c>
      <c r="L1704" t="s">
        <v>3923</v>
      </c>
    </row>
    <row r="1705" spans="1:12" x14ac:dyDescent="0.2">
      <c r="A1705" t="s">
        <v>1767</v>
      </c>
      <c r="B1705" t="s">
        <v>1769</v>
      </c>
      <c r="C1705" t="s">
        <v>2792</v>
      </c>
      <c r="D1705">
        <v>3</v>
      </c>
      <c r="E1705">
        <v>4569.2</v>
      </c>
      <c r="F1705">
        <v>4569.2</v>
      </c>
      <c r="G1705" t="s">
        <v>3922</v>
      </c>
      <c r="H1705" t="s">
        <v>4305</v>
      </c>
      <c r="I1705" t="s">
        <v>4306</v>
      </c>
      <c r="L1705" t="s">
        <v>3923</v>
      </c>
    </row>
    <row r="1706" spans="1:12" x14ac:dyDescent="0.2">
      <c r="A1706" t="s">
        <v>1767</v>
      </c>
      <c r="B1706" t="s">
        <v>1769</v>
      </c>
      <c r="C1706" t="s">
        <v>2792</v>
      </c>
      <c r="D1706">
        <v>3</v>
      </c>
      <c r="E1706">
        <v>17.5</v>
      </c>
      <c r="F1706">
        <v>17.5</v>
      </c>
      <c r="G1706" t="s">
        <v>3922</v>
      </c>
      <c r="H1706" t="s">
        <v>4307</v>
      </c>
      <c r="I1706" t="s">
        <v>2824</v>
      </c>
      <c r="L1706" t="s">
        <v>3923</v>
      </c>
    </row>
    <row r="1707" spans="1:12" x14ac:dyDescent="0.2">
      <c r="A1707" t="s">
        <v>1767</v>
      </c>
      <c r="B1707" t="s">
        <v>1769</v>
      </c>
      <c r="C1707" t="s">
        <v>2792</v>
      </c>
      <c r="D1707">
        <v>3</v>
      </c>
      <c r="E1707">
        <v>12.5</v>
      </c>
      <c r="F1707">
        <v>12.5</v>
      </c>
      <c r="G1707" t="s">
        <v>3922</v>
      </c>
      <c r="H1707" t="s">
        <v>4308</v>
      </c>
      <c r="I1707" t="s">
        <v>4309</v>
      </c>
      <c r="L1707" t="s">
        <v>3923</v>
      </c>
    </row>
    <row r="1708" spans="1:12" x14ac:dyDescent="0.2">
      <c r="A1708" t="s">
        <v>1767</v>
      </c>
      <c r="B1708" t="s">
        <v>1769</v>
      </c>
      <c r="C1708" t="s">
        <v>2792</v>
      </c>
      <c r="D1708">
        <v>3</v>
      </c>
      <c r="E1708">
        <v>12.9</v>
      </c>
      <c r="F1708">
        <v>12.9</v>
      </c>
      <c r="G1708" t="s">
        <v>3922</v>
      </c>
      <c r="H1708" t="s">
        <v>4310</v>
      </c>
      <c r="I1708" t="s">
        <v>4311</v>
      </c>
      <c r="L1708" t="s">
        <v>3923</v>
      </c>
    </row>
    <row r="1709" spans="1:12" x14ac:dyDescent="0.2">
      <c r="A1709" t="s">
        <v>1767</v>
      </c>
      <c r="B1709" t="s">
        <v>1769</v>
      </c>
      <c r="C1709" t="s">
        <v>2792</v>
      </c>
      <c r="D1709">
        <v>3</v>
      </c>
      <c r="E1709">
        <v>5.6</v>
      </c>
      <c r="F1709">
        <v>5.6</v>
      </c>
      <c r="G1709" t="s">
        <v>3922</v>
      </c>
      <c r="H1709" t="s">
        <v>4312</v>
      </c>
      <c r="I1709" t="s">
        <v>4313</v>
      </c>
      <c r="L1709" t="s">
        <v>3923</v>
      </c>
    </row>
    <row r="1710" spans="1:12" x14ac:dyDescent="0.2">
      <c r="A1710" t="s">
        <v>1767</v>
      </c>
      <c r="B1710" t="s">
        <v>1769</v>
      </c>
      <c r="C1710" t="s">
        <v>2792</v>
      </c>
      <c r="D1710">
        <v>3</v>
      </c>
      <c r="E1710">
        <v>9.59</v>
      </c>
      <c r="F1710">
        <v>9.59</v>
      </c>
      <c r="G1710" t="s">
        <v>3922</v>
      </c>
      <c r="H1710" t="s">
        <v>4314</v>
      </c>
      <c r="I1710" t="s">
        <v>4315</v>
      </c>
      <c r="L1710" t="s">
        <v>3923</v>
      </c>
    </row>
    <row r="1711" spans="1:12" x14ac:dyDescent="0.2">
      <c r="A1711" t="s">
        <v>1767</v>
      </c>
      <c r="B1711" t="s">
        <v>1769</v>
      </c>
      <c r="C1711" t="s">
        <v>2792</v>
      </c>
      <c r="D1711">
        <v>3</v>
      </c>
      <c r="E1711">
        <v>12.5</v>
      </c>
      <c r="F1711">
        <v>12.5</v>
      </c>
      <c r="G1711" t="s">
        <v>3922</v>
      </c>
      <c r="H1711" t="s">
        <v>4308</v>
      </c>
      <c r="I1711" t="s">
        <v>4316</v>
      </c>
      <c r="L1711" t="s">
        <v>3923</v>
      </c>
    </row>
    <row r="1712" spans="1:12" x14ac:dyDescent="0.2">
      <c r="A1712" t="s">
        <v>1767</v>
      </c>
      <c r="B1712" t="s">
        <v>1769</v>
      </c>
      <c r="C1712" t="s">
        <v>2792</v>
      </c>
      <c r="D1712">
        <v>3</v>
      </c>
      <c r="E1712">
        <v>5.21</v>
      </c>
      <c r="F1712">
        <v>5.21</v>
      </c>
      <c r="G1712" t="s">
        <v>3922</v>
      </c>
      <c r="H1712" t="s">
        <v>4317</v>
      </c>
      <c r="I1712" t="s">
        <v>4318</v>
      </c>
      <c r="L1712" t="s">
        <v>3923</v>
      </c>
    </row>
    <row r="1713" spans="1:12" x14ac:dyDescent="0.2">
      <c r="A1713" t="s">
        <v>1767</v>
      </c>
      <c r="B1713" t="s">
        <v>1769</v>
      </c>
      <c r="C1713" t="s">
        <v>2792</v>
      </c>
      <c r="D1713">
        <v>3</v>
      </c>
      <c r="E1713">
        <v>10.5</v>
      </c>
      <c r="F1713">
        <v>10.5</v>
      </c>
      <c r="G1713" t="s">
        <v>3922</v>
      </c>
      <c r="H1713" t="s">
        <v>4010</v>
      </c>
      <c r="I1713" t="s">
        <v>4092</v>
      </c>
      <c r="L1713" t="s">
        <v>3923</v>
      </c>
    </row>
    <row r="1714" spans="1:12" x14ac:dyDescent="0.2">
      <c r="A1714" t="s">
        <v>1767</v>
      </c>
      <c r="B1714" t="s">
        <v>1769</v>
      </c>
      <c r="C1714" t="s">
        <v>2792</v>
      </c>
      <c r="D1714">
        <v>3</v>
      </c>
      <c r="E1714">
        <v>536.9</v>
      </c>
      <c r="F1714">
        <v>536.9</v>
      </c>
      <c r="G1714" t="s">
        <v>3922</v>
      </c>
      <c r="H1714" t="s">
        <v>4319</v>
      </c>
      <c r="I1714" t="s">
        <v>4320</v>
      </c>
      <c r="L1714" t="s">
        <v>3923</v>
      </c>
    </row>
    <row r="1715" spans="1:12" x14ac:dyDescent="0.2">
      <c r="A1715" t="s">
        <v>1767</v>
      </c>
      <c r="B1715" t="s">
        <v>1769</v>
      </c>
      <c r="C1715" t="s">
        <v>2792</v>
      </c>
      <c r="D1715">
        <v>3</v>
      </c>
      <c r="E1715">
        <v>0.36</v>
      </c>
      <c r="F1715">
        <v>0.36</v>
      </c>
      <c r="G1715" t="s">
        <v>3922</v>
      </c>
      <c r="H1715" t="s">
        <v>4321</v>
      </c>
      <c r="I1715" t="s">
        <v>4322</v>
      </c>
      <c r="L1715" t="s">
        <v>3923</v>
      </c>
    </row>
    <row r="1716" spans="1:12" x14ac:dyDescent="0.2">
      <c r="A1716" t="s">
        <v>1767</v>
      </c>
      <c r="B1716" t="s">
        <v>1769</v>
      </c>
      <c r="C1716" t="s">
        <v>2792</v>
      </c>
      <c r="D1716">
        <v>3</v>
      </c>
      <c r="E1716">
        <v>7.89</v>
      </c>
      <c r="F1716">
        <v>7.89</v>
      </c>
      <c r="G1716" t="s">
        <v>3922</v>
      </c>
      <c r="H1716" t="s">
        <v>4142</v>
      </c>
      <c r="I1716" t="s">
        <v>4143</v>
      </c>
      <c r="L1716" t="s">
        <v>3923</v>
      </c>
    </row>
    <row r="1717" spans="1:12" x14ac:dyDescent="0.2">
      <c r="A1717" t="s">
        <v>1767</v>
      </c>
      <c r="B1717" t="s">
        <v>1769</v>
      </c>
      <c r="C1717" t="s">
        <v>2792</v>
      </c>
      <c r="D1717">
        <v>3</v>
      </c>
      <c r="E1717">
        <v>16.559999999999999</v>
      </c>
      <c r="F1717">
        <v>16.559999999999999</v>
      </c>
      <c r="G1717" t="s">
        <v>3922</v>
      </c>
      <c r="H1717" t="s">
        <v>4323</v>
      </c>
      <c r="I1717" t="s">
        <v>4324</v>
      </c>
      <c r="L1717" t="s">
        <v>3923</v>
      </c>
    </row>
    <row r="1718" spans="1:12" x14ac:dyDescent="0.2">
      <c r="A1718" t="s">
        <v>1767</v>
      </c>
      <c r="B1718" t="s">
        <v>1769</v>
      </c>
      <c r="C1718" t="s">
        <v>2792</v>
      </c>
      <c r="D1718">
        <v>3</v>
      </c>
      <c r="E1718">
        <v>16</v>
      </c>
      <c r="F1718">
        <v>16</v>
      </c>
      <c r="G1718" t="s">
        <v>3922</v>
      </c>
      <c r="H1718" t="s">
        <v>4325</v>
      </c>
      <c r="I1718" t="s">
        <v>4326</v>
      </c>
      <c r="L1718" t="s">
        <v>3923</v>
      </c>
    </row>
    <row r="1719" spans="1:12" x14ac:dyDescent="0.2">
      <c r="A1719" t="s">
        <v>1767</v>
      </c>
      <c r="B1719" t="s">
        <v>1769</v>
      </c>
      <c r="C1719" t="s">
        <v>2792</v>
      </c>
      <c r="D1719">
        <v>3</v>
      </c>
      <c r="E1719">
        <v>0</v>
      </c>
      <c r="F1719">
        <v>0</v>
      </c>
      <c r="G1719" t="s">
        <v>3922</v>
      </c>
      <c r="H1719" t="s">
        <v>3926</v>
      </c>
      <c r="I1719" t="s">
        <v>4327</v>
      </c>
      <c r="L1719" t="s">
        <v>3923</v>
      </c>
    </row>
    <row r="1720" spans="1:12" x14ac:dyDescent="0.2">
      <c r="A1720" t="s">
        <v>1767</v>
      </c>
      <c r="B1720" t="s">
        <v>1769</v>
      </c>
      <c r="C1720" t="s">
        <v>2792</v>
      </c>
      <c r="D1720">
        <v>3</v>
      </c>
      <c r="E1720">
        <v>6.3</v>
      </c>
      <c r="F1720">
        <v>6.3</v>
      </c>
      <c r="G1720" t="s">
        <v>3922</v>
      </c>
      <c r="H1720" t="s">
        <v>4328</v>
      </c>
      <c r="I1720" t="s">
        <v>4329</v>
      </c>
      <c r="L1720" t="s">
        <v>3923</v>
      </c>
    </row>
    <row r="1721" spans="1:12" x14ac:dyDescent="0.2">
      <c r="A1721" t="s">
        <v>1767</v>
      </c>
      <c r="B1721" t="s">
        <v>1769</v>
      </c>
      <c r="C1721" t="s">
        <v>2792</v>
      </c>
      <c r="D1721">
        <v>3</v>
      </c>
      <c r="E1721">
        <v>68.22</v>
      </c>
      <c r="F1721">
        <v>68.22</v>
      </c>
      <c r="G1721" t="s">
        <v>3922</v>
      </c>
      <c r="H1721" t="s">
        <v>4330</v>
      </c>
      <c r="I1721" t="s">
        <v>4331</v>
      </c>
      <c r="L1721" t="s">
        <v>3923</v>
      </c>
    </row>
    <row r="1722" spans="1:12" x14ac:dyDescent="0.2">
      <c r="A1722" t="s">
        <v>1767</v>
      </c>
      <c r="B1722" t="s">
        <v>1769</v>
      </c>
      <c r="C1722" t="s">
        <v>2792</v>
      </c>
      <c r="D1722">
        <v>3</v>
      </c>
      <c r="E1722">
        <v>4.12</v>
      </c>
      <c r="F1722">
        <v>4.12</v>
      </c>
      <c r="G1722" t="s">
        <v>3922</v>
      </c>
      <c r="H1722" t="s">
        <v>4332</v>
      </c>
      <c r="I1722" t="s">
        <v>4333</v>
      </c>
      <c r="L1722" t="s">
        <v>3923</v>
      </c>
    </row>
    <row r="1723" spans="1:12" x14ac:dyDescent="0.2">
      <c r="A1723" t="s">
        <v>1767</v>
      </c>
      <c r="B1723" t="s">
        <v>1769</v>
      </c>
      <c r="C1723" t="s">
        <v>2792</v>
      </c>
      <c r="D1723">
        <v>3</v>
      </c>
      <c r="E1723">
        <v>0</v>
      </c>
      <c r="F1723">
        <v>0</v>
      </c>
      <c r="G1723" t="s">
        <v>3922</v>
      </c>
      <c r="H1723" t="s">
        <v>3926</v>
      </c>
      <c r="I1723" t="s">
        <v>4203</v>
      </c>
      <c r="L1723" t="s">
        <v>3923</v>
      </c>
    </row>
    <row r="1724" spans="1:12" x14ac:dyDescent="0.2">
      <c r="A1724" t="s">
        <v>1767</v>
      </c>
      <c r="B1724" t="s">
        <v>1769</v>
      </c>
      <c r="C1724" t="s">
        <v>2792</v>
      </c>
      <c r="D1724">
        <v>3</v>
      </c>
      <c r="E1724">
        <v>1.92</v>
      </c>
      <c r="F1724">
        <v>1.92</v>
      </c>
      <c r="G1724" t="s">
        <v>3922</v>
      </c>
      <c r="H1724" t="s">
        <v>4334</v>
      </c>
      <c r="I1724" t="s">
        <v>4335</v>
      </c>
      <c r="L1724" t="s">
        <v>3923</v>
      </c>
    </row>
    <row r="1725" spans="1:12" x14ac:dyDescent="0.2">
      <c r="A1725" t="s">
        <v>1767</v>
      </c>
      <c r="B1725" t="s">
        <v>1769</v>
      </c>
      <c r="C1725" t="s">
        <v>2792</v>
      </c>
      <c r="D1725">
        <v>3</v>
      </c>
      <c r="E1725">
        <v>0</v>
      </c>
      <c r="F1725">
        <v>0</v>
      </c>
      <c r="G1725" t="s">
        <v>3922</v>
      </c>
      <c r="H1725" t="s">
        <v>3926</v>
      </c>
      <c r="I1725" t="s">
        <v>4336</v>
      </c>
      <c r="L1725" t="s">
        <v>3923</v>
      </c>
    </row>
    <row r="1726" spans="1:12" x14ac:dyDescent="0.2">
      <c r="A1726" t="s">
        <v>1767</v>
      </c>
      <c r="B1726" t="s">
        <v>1769</v>
      </c>
      <c r="C1726" t="s">
        <v>2792</v>
      </c>
      <c r="D1726">
        <v>3</v>
      </c>
      <c r="E1726">
        <v>18.809999999999999</v>
      </c>
      <c r="F1726">
        <v>18.809999999999999</v>
      </c>
      <c r="G1726" t="s">
        <v>3922</v>
      </c>
      <c r="H1726" t="s">
        <v>4337</v>
      </c>
      <c r="I1726" t="s">
        <v>4338</v>
      </c>
      <c r="L1726" t="s">
        <v>3923</v>
      </c>
    </row>
    <row r="1727" spans="1:12" x14ac:dyDescent="0.2">
      <c r="A1727" t="s">
        <v>1767</v>
      </c>
      <c r="B1727" t="s">
        <v>1769</v>
      </c>
      <c r="C1727" t="s">
        <v>2792</v>
      </c>
      <c r="D1727">
        <v>3</v>
      </c>
      <c r="E1727">
        <v>0</v>
      </c>
      <c r="F1727">
        <v>0</v>
      </c>
      <c r="G1727" t="s">
        <v>3922</v>
      </c>
      <c r="H1727" t="s">
        <v>3926</v>
      </c>
      <c r="I1727" t="s">
        <v>4339</v>
      </c>
      <c r="L1727" t="s">
        <v>3923</v>
      </c>
    </row>
    <row r="1728" spans="1:12" x14ac:dyDescent="0.2">
      <c r="A1728" t="s">
        <v>1767</v>
      </c>
      <c r="B1728" t="s">
        <v>1769</v>
      </c>
      <c r="C1728" t="s">
        <v>2792</v>
      </c>
      <c r="D1728">
        <v>3</v>
      </c>
      <c r="E1728">
        <v>198.62</v>
      </c>
      <c r="F1728">
        <v>198.62</v>
      </c>
      <c r="G1728" t="s">
        <v>3922</v>
      </c>
      <c r="H1728" t="s">
        <v>4340</v>
      </c>
      <c r="I1728" t="s">
        <v>4341</v>
      </c>
      <c r="L1728" t="s">
        <v>3923</v>
      </c>
    </row>
    <row r="1729" spans="1:12" x14ac:dyDescent="0.2">
      <c r="A1729" t="s">
        <v>1767</v>
      </c>
      <c r="B1729" t="s">
        <v>1769</v>
      </c>
      <c r="C1729" t="s">
        <v>2792</v>
      </c>
      <c r="D1729">
        <v>3</v>
      </c>
      <c r="E1729">
        <v>3.42</v>
      </c>
      <c r="F1729">
        <v>3.42</v>
      </c>
      <c r="G1729" t="s">
        <v>3922</v>
      </c>
      <c r="H1729" t="s">
        <v>4342</v>
      </c>
      <c r="I1729" t="s">
        <v>4343</v>
      </c>
      <c r="L1729" t="s">
        <v>3923</v>
      </c>
    </row>
    <row r="1730" spans="1:12" x14ac:dyDescent="0.2">
      <c r="A1730" t="s">
        <v>1767</v>
      </c>
      <c r="B1730" t="s">
        <v>1769</v>
      </c>
      <c r="C1730" t="s">
        <v>2792</v>
      </c>
      <c r="D1730">
        <v>3</v>
      </c>
      <c r="E1730">
        <v>0.49</v>
      </c>
      <c r="F1730">
        <v>0.49</v>
      </c>
      <c r="G1730" t="s">
        <v>3922</v>
      </c>
      <c r="H1730" t="s">
        <v>4344</v>
      </c>
      <c r="I1730" t="s">
        <v>4345</v>
      </c>
      <c r="L1730" t="s">
        <v>3923</v>
      </c>
    </row>
    <row r="1731" spans="1:12" x14ac:dyDescent="0.2">
      <c r="A1731" t="s">
        <v>1767</v>
      </c>
      <c r="B1731" t="s">
        <v>1769</v>
      </c>
      <c r="C1731" t="s">
        <v>2792</v>
      </c>
      <c r="D1731">
        <v>3</v>
      </c>
      <c r="E1731">
        <v>2.1</v>
      </c>
      <c r="F1731">
        <v>2.1</v>
      </c>
      <c r="G1731" t="s">
        <v>3922</v>
      </c>
      <c r="H1731" t="s">
        <v>4095</v>
      </c>
      <c r="I1731" t="s">
        <v>4346</v>
      </c>
      <c r="L1731" t="s">
        <v>3923</v>
      </c>
    </row>
    <row r="1732" spans="1:12" x14ac:dyDescent="0.2">
      <c r="A1732" t="s">
        <v>1767</v>
      </c>
      <c r="B1732" t="s">
        <v>1769</v>
      </c>
      <c r="C1732" t="s">
        <v>2792</v>
      </c>
      <c r="D1732">
        <v>3</v>
      </c>
      <c r="E1732">
        <v>2100</v>
      </c>
      <c r="F1732">
        <v>2100</v>
      </c>
      <c r="G1732" t="s">
        <v>3922</v>
      </c>
      <c r="H1732" t="s">
        <v>4347</v>
      </c>
      <c r="I1732" t="s">
        <v>4348</v>
      </c>
      <c r="L1732" t="s">
        <v>3923</v>
      </c>
    </row>
    <row r="1733" spans="1:12" x14ac:dyDescent="0.2">
      <c r="A1733" t="s">
        <v>1767</v>
      </c>
      <c r="B1733" t="s">
        <v>1769</v>
      </c>
      <c r="C1733" t="s">
        <v>2792</v>
      </c>
      <c r="D1733">
        <v>3</v>
      </c>
      <c r="E1733">
        <v>0</v>
      </c>
      <c r="F1733">
        <v>0</v>
      </c>
      <c r="G1733" t="s">
        <v>3922</v>
      </c>
      <c r="H1733" t="s">
        <v>3926</v>
      </c>
      <c r="I1733" t="s">
        <v>4349</v>
      </c>
      <c r="L1733" t="s">
        <v>3923</v>
      </c>
    </row>
    <row r="1734" spans="1:12" x14ac:dyDescent="0.2">
      <c r="A1734" t="s">
        <v>1767</v>
      </c>
      <c r="B1734" t="s">
        <v>1769</v>
      </c>
      <c r="C1734" t="s">
        <v>2792</v>
      </c>
      <c r="D1734">
        <v>3</v>
      </c>
      <c r="E1734">
        <v>20.52</v>
      </c>
      <c r="F1734">
        <v>20.52</v>
      </c>
      <c r="G1734" t="s">
        <v>3922</v>
      </c>
      <c r="H1734" t="s">
        <v>4350</v>
      </c>
      <c r="I1734" t="s">
        <v>4351</v>
      </c>
      <c r="L1734" t="s">
        <v>3923</v>
      </c>
    </row>
    <row r="1735" spans="1:12" x14ac:dyDescent="0.2">
      <c r="A1735" t="s">
        <v>1767</v>
      </c>
      <c r="B1735" t="s">
        <v>1769</v>
      </c>
      <c r="C1735" t="s">
        <v>2792</v>
      </c>
      <c r="D1735">
        <v>3</v>
      </c>
      <c r="E1735">
        <v>60</v>
      </c>
      <c r="F1735">
        <v>60</v>
      </c>
      <c r="G1735" t="s">
        <v>3922</v>
      </c>
      <c r="H1735" t="s">
        <v>4352</v>
      </c>
      <c r="I1735" t="s">
        <v>4353</v>
      </c>
      <c r="L1735" t="s">
        <v>3923</v>
      </c>
    </row>
    <row r="1736" spans="1:12" x14ac:dyDescent="0.2">
      <c r="A1736" t="s">
        <v>1767</v>
      </c>
      <c r="B1736" t="s">
        <v>1769</v>
      </c>
      <c r="C1736" t="s">
        <v>2792</v>
      </c>
      <c r="D1736">
        <v>3</v>
      </c>
      <c r="E1736">
        <v>73.44</v>
      </c>
      <c r="F1736">
        <v>73.44</v>
      </c>
      <c r="G1736" t="s">
        <v>3922</v>
      </c>
      <c r="H1736" t="s">
        <v>4354</v>
      </c>
      <c r="I1736" t="s">
        <v>4355</v>
      </c>
      <c r="L1736" t="s">
        <v>3923</v>
      </c>
    </row>
    <row r="1737" spans="1:12" x14ac:dyDescent="0.2">
      <c r="A1737" t="s">
        <v>1767</v>
      </c>
      <c r="B1737" t="s">
        <v>1769</v>
      </c>
      <c r="C1737" t="s">
        <v>2792</v>
      </c>
      <c r="D1737">
        <v>3</v>
      </c>
      <c r="E1737">
        <v>0</v>
      </c>
      <c r="F1737">
        <v>0</v>
      </c>
      <c r="G1737" t="s">
        <v>3922</v>
      </c>
      <c r="H1737" t="s">
        <v>3926</v>
      </c>
      <c r="I1737" t="s">
        <v>4356</v>
      </c>
      <c r="L1737" t="s">
        <v>3923</v>
      </c>
    </row>
    <row r="1738" spans="1:12" x14ac:dyDescent="0.2">
      <c r="A1738" t="s">
        <v>1767</v>
      </c>
      <c r="B1738" t="s">
        <v>1769</v>
      </c>
      <c r="C1738" t="s">
        <v>2792</v>
      </c>
      <c r="D1738">
        <v>3</v>
      </c>
      <c r="E1738">
        <v>0</v>
      </c>
      <c r="F1738">
        <v>0</v>
      </c>
      <c r="G1738" t="s">
        <v>3922</v>
      </c>
      <c r="H1738" t="s">
        <v>3926</v>
      </c>
      <c r="I1738" t="s">
        <v>4357</v>
      </c>
      <c r="L1738" t="s">
        <v>3923</v>
      </c>
    </row>
    <row r="1739" spans="1:12" x14ac:dyDescent="0.2">
      <c r="A1739" t="s">
        <v>1767</v>
      </c>
      <c r="B1739" t="s">
        <v>1769</v>
      </c>
      <c r="C1739" t="s">
        <v>2792</v>
      </c>
      <c r="D1739">
        <v>3</v>
      </c>
      <c r="E1739">
        <v>0</v>
      </c>
      <c r="F1739">
        <v>0</v>
      </c>
      <c r="G1739" t="s">
        <v>3922</v>
      </c>
      <c r="H1739" t="s">
        <v>3926</v>
      </c>
      <c r="I1739" t="s">
        <v>4358</v>
      </c>
      <c r="L1739" t="s">
        <v>3923</v>
      </c>
    </row>
    <row r="1740" spans="1:12" x14ac:dyDescent="0.2">
      <c r="A1740" t="s">
        <v>1767</v>
      </c>
      <c r="B1740" t="s">
        <v>1769</v>
      </c>
      <c r="C1740" t="s">
        <v>2792</v>
      </c>
      <c r="D1740">
        <v>3</v>
      </c>
      <c r="E1740">
        <v>0</v>
      </c>
      <c r="F1740">
        <v>0</v>
      </c>
      <c r="G1740" t="s">
        <v>3922</v>
      </c>
      <c r="H1740" t="s">
        <v>3926</v>
      </c>
      <c r="I1740" t="s">
        <v>4359</v>
      </c>
      <c r="L1740" t="s">
        <v>3923</v>
      </c>
    </row>
    <row r="1741" spans="1:12" x14ac:dyDescent="0.2">
      <c r="A1741" t="s">
        <v>1767</v>
      </c>
      <c r="B1741" t="s">
        <v>1769</v>
      </c>
      <c r="C1741" t="s">
        <v>2792</v>
      </c>
      <c r="D1741">
        <v>3</v>
      </c>
      <c r="E1741">
        <v>45.12</v>
      </c>
      <c r="F1741">
        <v>45.12</v>
      </c>
      <c r="G1741" t="s">
        <v>3922</v>
      </c>
      <c r="H1741" t="s">
        <v>4360</v>
      </c>
      <c r="I1741" t="s">
        <v>4361</v>
      </c>
      <c r="L1741" t="s">
        <v>3923</v>
      </c>
    </row>
    <row r="1742" spans="1:12" x14ac:dyDescent="0.2">
      <c r="A1742" t="s">
        <v>1767</v>
      </c>
      <c r="B1742" t="s">
        <v>1769</v>
      </c>
      <c r="C1742" t="s">
        <v>2792</v>
      </c>
      <c r="D1742">
        <v>3</v>
      </c>
      <c r="E1742">
        <v>1.54</v>
      </c>
      <c r="F1742">
        <v>1.54</v>
      </c>
      <c r="G1742" t="s">
        <v>3922</v>
      </c>
      <c r="H1742" t="s">
        <v>4179</v>
      </c>
      <c r="I1742" t="s">
        <v>4362</v>
      </c>
      <c r="L1742" t="s">
        <v>3923</v>
      </c>
    </row>
    <row r="1743" spans="1:12" x14ac:dyDescent="0.2">
      <c r="A1743" t="s">
        <v>1767</v>
      </c>
      <c r="B1743" t="s">
        <v>1769</v>
      </c>
      <c r="C1743" t="s">
        <v>2792</v>
      </c>
      <c r="D1743">
        <v>3</v>
      </c>
      <c r="E1743">
        <v>26</v>
      </c>
      <c r="F1743">
        <v>26</v>
      </c>
      <c r="G1743" t="s">
        <v>3922</v>
      </c>
      <c r="H1743" t="s">
        <v>4363</v>
      </c>
      <c r="I1743" t="s">
        <v>4364</v>
      </c>
      <c r="L1743" t="s">
        <v>3923</v>
      </c>
    </row>
    <row r="1744" spans="1:12" x14ac:dyDescent="0.2">
      <c r="A1744" t="s">
        <v>1767</v>
      </c>
      <c r="B1744" t="s">
        <v>1769</v>
      </c>
      <c r="C1744" t="s">
        <v>2792</v>
      </c>
      <c r="D1744">
        <v>3</v>
      </c>
      <c r="E1744">
        <v>195</v>
      </c>
      <c r="F1744">
        <v>195</v>
      </c>
      <c r="G1744" t="s">
        <v>3922</v>
      </c>
      <c r="H1744" t="s">
        <v>4365</v>
      </c>
      <c r="I1744" t="s">
        <v>4366</v>
      </c>
      <c r="L1744" t="s">
        <v>3923</v>
      </c>
    </row>
    <row r="1745" spans="1:12" x14ac:dyDescent="0.2">
      <c r="A1745" t="s">
        <v>1767</v>
      </c>
      <c r="B1745" t="s">
        <v>1769</v>
      </c>
      <c r="C1745" t="s">
        <v>2792</v>
      </c>
      <c r="D1745">
        <v>3</v>
      </c>
      <c r="E1745">
        <v>16.100000000000001</v>
      </c>
      <c r="F1745">
        <v>16.100000000000001</v>
      </c>
      <c r="G1745" t="s">
        <v>3922</v>
      </c>
      <c r="H1745" t="s">
        <v>4367</v>
      </c>
      <c r="I1745" t="s">
        <v>4368</v>
      </c>
      <c r="L1745" t="s">
        <v>3923</v>
      </c>
    </row>
    <row r="1746" spans="1:12" x14ac:dyDescent="0.2">
      <c r="A1746" t="s">
        <v>1767</v>
      </c>
      <c r="B1746" t="s">
        <v>1769</v>
      </c>
      <c r="C1746" t="s">
        <v>2792</v>
      </c>
      <c r="D1746">
        <v>3</v>
      </c>
      <c r="E1746">
        <v>13.2</v>
      </c>
      <c r="F1746">
        <v>13.2</v>
      </c>
      <c r="G1746" t="s">
        <v>3922</v>
      </c>
      <c r="H1746" t="s">
        <v>4369</v>
      </c>
      <c r="I1746" t="s">
        <v>4370</v>
      </c>
      <c r="L1746" t="s">
        <v>3923</v>
      </c>
    </row>
    <row r="1747" spans="1:12" x14ac:dyDescent="0.2">
      <c r="A1747" t="s">
        <v>1767</v>
      </c>
      <c r="B1747" t="s">
        <v>1769</v>
      </c>
      <c r="C1747" t="s">
        <v>2792</v>
      </c>
      <c r="D1747">
        <v>3</v>
      </c>
      <c r="E1747">
        <v>59.98</v>
      </c>
      <c r="F1747">
        <v>59.98</v>
      </c>
      <c r="G1747" t="s">
        <v>3922</v>
      </c>
      <c r="H1747" t="s">
        <v>4371</v>
      </c>
      <c r="I1747" t="s">
        <v>4372</v>
      </c>
      <c r="L1747" t="s">
        <v>3923</v>
      </c>
    </row>
    <row r="1748" spans="1:12" x14ac:dyDescent="0.2">
      <c r="A1748" t="s">
        <v>1767</v>
      </c>
      <c r="B1748" t="s">
        <v>1769</v>
      </c>
      <c r="C1748" t="s">
        <v>2792</v>
      </c>
      <c r="D1748">
        <v>3</v>
      </c>
      <c r="E1748">
        <v>52.1</v>
      </c>
      <c r="F1748">
        <v>52.1</v>
      </c>
      <c r="G1748" t="s">
        <v>3922</v>
      </c>
      <c r="H1748" t="s">
        <v>4373</v>
      </c>
      <c r="I1748" t="s">
        <v>4374</v>
      </c>
      <c r="L1748" t="s">
        <v>3923</v>
      </c>
    </row>
    <row r="1749" spans="1:12" x14ac:dyDescent="0.2">
      <c r="A1749" t="s">
        <v>1767</v>
      </c>
      <c r="B1749" t="s">
        <v>1769</v>
      </c>
      <c r="C1749" t="s">
        <v>2792</v>
      </c>
      <c r="D1749">
        <v>4</v>
      </c>
      <c r="E1749">
        <v>204.77</v>
      </c>
      <c r="F1749">
        <v>204.77</v>
      </c>
      <c r="G1749" t="s">
        <v>3922</v>
      </c>
      <c r="H1749" t="s">
        <v>4375</v>
      </c>
      <c r="I1749" t="s">
        <v>4084</v>
      </c>
      <c r="J1749" t="s">
        <v>4376</v>
      </c>
      <c r="L1749" t="s">
        <v>3923</v>
      </c>
    </row>
    <row r="1750" spans="1:12" x14ac:dyDescent="0.2">
      <c r="A1750" t="s">
        <v>1767</v>
      </c>
      <c r="B1750" t="s">
        <v>1769</v>
      </c>
      <c r="C1750" t="s">
        <v>2792</v>
      </c>
      <c r="D1750">
        <v>4</v>
      </c>
      <c r="E1750">
        <v>867.04</v>
      </c>
      <c r="F1750">
        <v>867.04</v>
      </c>
      <c r="G1750" t="s">
        <v>3922</v>
      </c>
      <c r="H1750" t="s">
        <v>4377</v>
      </c>
      <c r="I1750" t="s">
        <v>4084</v>
      </c>
      <c r="J1750" t="s">
        <v>4378</v>
      </c>
      <c r="L1750" t="s">
        <v>3923</v>
      </c>
    </row>
    <row r="1751" spans="1:12" x14ac:dyDescent="0.2">
      <c r="A1751" t="s">
        <v>1767</v>
      </c>
      <c r="B1751" t="s">
        <v>1769</v>
      </c>
      <c r="C1751" t="s">
        <v>2792</v>
      </c>
      <c r="D1751">
        <v>4</v>
      </c>
      <c r="E1751">
        <v>571.52</v>
      </c>
      <c r="F1751">
        <v>571.52</v>
      </c>
      <c r="G1751" t="s">
        <v>3922</v>
      </c>
      <c r="H1751" t="s">
        <v>4379</v>
      </c>
      <c r="I1751" t="s">
        <v>4084</v>
      </c>
      <c r="J1751" t="s">
        <v>4380</v>
      </c>
      <c r="L1751" t="s">
        <v>3923</v>
      </c>
    </row>
    <row r="1752" spans="1:12" x14ac:dyDescent="0.2">
      <c r="A1752" t="s">
        <v>1767</v>
      </c>
      <c r="B1752" t="s">
        <v>1769</v>
      </c>
      <c r="C1752" t="s">
        <v>2792</v>
      </c>
      <c r="D1752">
        <v>4</v>
      </c>
      <c r="E1752">
        <v>39.28</v>
      </c>
      <c r="F1752">
        <v>39.28</v>
      </c>
      <c r="G1752" t="s">
        <v>3922</v>
      </c>
      <c r="H1752" t="s">
        <v>4381</v>
      </c>
      <c r="I1752" t="s">
        <v>4084</v>
      </c>
      <c r="J1752" t="s">
        <v>4382</v>
      </c>
      <c r="L1752" t="s">
        <v>3923</v>
      </c>
    </row>
    <row r="1753" spans="1:12" x14ac:dyDescent="0.2">
      <c r="A1753" t="s">
        <v>1767</v>
      </c>
      <c r="B1753" t="s">
        <v>1769</v>
      </c>
      <c r="C1753" t="s">
        <v>2792</v>
      </c>
      <c r="D1753">
        <v>4</v>
      </c>
      <c r="E1753">
        <v>358.32</v>
      </c>
      <c r="F1753">
        <v>358.32</v>
      </c>
      <c r="G1753" t="s">
        <v>3922</v>
      </c>
      <c r="H1753" t="s">
        <v>4383</v>
      </c>
      <c r="I1753" t="s">
        <v>4084</v>
      </c>
      <c r="J1753" t="s">
        <v>4384</v>
      </c>
      <c r="L1753" t="s">
        <v>3923</v>
      </c>
    </row>
    <row r="1754" spans="1:12" x14ac:dyDescent="0.2">
      <c r="A1754" t="s">
        <v>1767</v>
      </c>
      <c r="B1754" t="s">
        <v>1769</v>
      </c>
      <c r="C1754" t="s">
        <v>2792</v>
      </c>
      <c r="D1754">
        <v>4</v>
      </c>
      <c r="E1754">
        <v>0</v>
      </c>
      <c r="F1754">
        <v>0</v>
      </c>
      <c r="G1754" t="s">
        <v>3922</v>
      </c>
      <c r="H1754" t="s">
        <v>3926</v>
      </c>
      <c r="I1754" t="s">
        <v>4084</v>
      </c>
      <c r="J1754" t="s">
        <v>4385</v>
      </c>
      <c r="L1754" t="s">
        <v>3923</v>
      </c>
    </row>
    <row r="1755" spans="1:12" x14ac:dyDescent="0.2">
      <c r="A1755" t="s">
        <v>1767</v>
      </c>
      <c r="B1755" t="s">
        <v>1769</v>
      </c>
      <c r="C1755" t="s">
        <v>2792</v>
      </c>
      <c r="D1755">
        <v>4</v>
      </c>
      <c r="E1755">
        <v>0</v>
      </c>
      <c r="F1755">
        <v>0</v>
      </c>
      <c r="G1755" t="s">
        <v>3922</v>
      </c>
      <c r="H1755" t="s">
        <v>3926</v>
      </c>
      <c r="I1755" t="s">
        <v>4084</v>
      </c>
      <c r="J1755" t="s">
        <v>4385</v>
      </c>
      <c r="L1755" t="s">
        <v>3923</v>
      </c>
    </row>
    <row r="1756" spans="1:12" x14ac:dyDescent="0.2">
      <c r="A1756" t="s">
        <v>1767</v>
      </c>
      <c r="B1756" t="s">
        <v>1769</v>
      </c>
      <c r="C1756" t="s">
        <v>2792</v>
      </c>
      <c r="D1756">
        <v>4</v>
      </c>
      <c r="E1756">
        <v>1291.05</v>
      </c>
      <c r="F1756">
        <v>1291.05</v>
      </c>
      <c r="G1756" t="s">
        <v>3922</v>
      </c>
      <c r="H1756" t="s">
        <v>4386</v>
      </c>
      <c r="I1756" t="s">
        <v>4084</v>
      </c>
      <c r="J1756" t="s">
        <v>4387</v>
      </c>
      <c r="L1756" t="s">
        <v>3923</v>
      </c>
    </row>
    <row r="1757" spans="1:12" x14ac:dyDescent="0.2">
      <c r="A1757" t="s">
        <v>1767</v>
      </c>
      <c r="B1757" t="s">
        <v>1769</v>
      </c>
      <c r="C1757" t="s">
        <v>2792</v>
      </c>
      <c r="D1757">
        <v>4</v>
      </c>
      <c r="E1757">
        <v>1291.05</v>
      </c>
      <c r="F1757">
        <v>1291.05</v>
      </c>
      <c r="G1757" t="s">
        <v>3922</v>
      </c>
      <c r="H1757" t="s">
        <v>4386</v>
      </c>
      <c r="I1757" t="s">
        <v>4084</v>
      </c>
      <c r="J1757" t="s">
        <v>4387</v>
      </c>
      <c r="L1757" t="s">
        <v>3923</v>
      </c>
    </row>
    <row r="1758" spans="1:12" x14ac:dyDescent="0.2">
      <c r="A1758" t="s">
        <v>1767</v>
      </c>
      <c r="B1758" t="s">
        <v>1769</v>
      </c>
      <c r="C1758" t="s">
        <v>2792</v>
      </c>
      <c r="D1758">
        <v>4</v>
      </c>
      <c r="E1758">
        <v>198.62</v>
      </c>
      <c r="F1758">
        <v>198.62</v>
      </c>
      <c r="G1758" t="s">
        <v>3922</v>
      </c>
      <c r="H1758" t="s">
        <v>4340</v>
      </c>
      <c r="I1758" t="s">
        <v>4084</v>
      </c>
      <c r="J1758" t="s">
        <v>4388</v>
      </c>
      <c r="L1758" t="s">
        <v>3923</v>
      </c>
    </row>
    <row r="1759" spans="1:12" x14ac:dyDescent="0.2">
      <c r="A1759" t="s">
        <v>1767</v>
      </c>
      <c r="B1759" t="s">
        <v>1769</v>
      </c>
      <c r="C1759" t="s">
        <v>2792</v>
      </c>
      <c r="D1759">
        <v>4</v>
      </c>
      <c r="E1759">
        <v>358.32</v>
      </c>
      <c r="F1759">
        <v>358.32</v>
      </c>
      <c r="G1759" t="s">
        <v>3922</v>
      </c>
      <c r="H1759" t="s">
        <v>4383</v>
      </c>
      <c r="I1759" t="s">
        <v>4084</v>
      </c>
      <c r="J1759" t="s">
        <v>4389</v>
      </c>
      <c r="L1759" t="s">
        <v>3923</v>
      </c>
    </row>
    <row r="1760" spans="1:12" x14ac:dyDescent="0.2">
      <c r="A1760" t="s">
        <v>1767</v>
      </c>
      <c r="B1760" t="s">
        <v>1769</v>
      </c>
      <c r="C1760" t="s">
        <v>2792</v>
      </c>
      <c r="D1760">
        <v>4</v>
      </c>
      <c r="E1760">
        <v>44.4</v>
      </c>
      <c r="F1760">
        <v>44.4</v>
      </c>
      <c r="G1760" t="s">
        <v>3922</v>
      </c>
      <c r="H1760" t="s">
        <v>3943</v>
      </c>
      <c r="I1760" t="s">
        <v>4084</v>
      </c>
      <c r="J1760" t="s">
        <v>4390</v>
      </c>
      <c r="L1760" t="s">
        <v>3923</v>
      </c>
    </row>
    <row r="1761" spans="1:12" x14ac:dyDescent="0.2">
      <c r="A1761" t="s">
        <v>1767</v>
      </c>
      <c r="B1761" t="s">
        <v>1769</v>
      </c>
      <c r="C1761" t="s">
        <v>2792</v>
      </c>
      <c r="D1761">
        <v>4</v>
      </c>
      <c r="E1761">
        <v>30.9</v>
      </c>
      <c r="F1761">
        <v>30.9</v>
      </c>
      <c r="G1761" t="s">
        <v>3922</v>
      </c>
      <c r="H1761" t="s">
        <v>4391</v>
      </c>
      <c r="I1761" t="s">
        <v>4084</v>
      </c>
      <c r="J1761" t="s">
        <v>4392</v>
      </c>
      <c r="L1761" t="s">
        <v>3923</v>
      </c>
    </row>
    <row r="1762" spans="1:12" x14ac:dyDescent="0.2">
      <c r="A1762" t="s">
        <v>1767</v>
      </c>
      <c r="B1762" t="s">
        <v>1769</v>
      </c>
      <c r="C1762" t="s">
        <v>2792</v>
      </c>
      <c r="D1762">
        <v>4</v>
      </c>
      <c r="E1762">
        <v>173.52</v>
      </c>
      <c r="F1762">
        <v>173.52</v>
      </c>
      <c r="G1762" t="s">
        <v>3922</v>
      </c>
      <c r="H1762" t="s">
        <v>4393</v>
      </c>
      <c r="I1762" t="s">
        <v>4084</v>
      </c>
      <c r="J1762" t="s">
        <v>4394</v>
      </c>
      <c r="L1762" t="s">
        <v>3923</v>
      </c>
    </row>
    <row r="1763" spans="1:12" x14ac:dyDescent="0.2">
      <c r="A1763" t="s">
        <v>1767</v>
      </c>
      <c r="B1763" t="s">
        <v>1769</v>
      </c>
      <c r="C1763" t="s">
        <v>2792</v>
      </c>
      <c r="D1763">
        <v>4</v>
      </c>
      <c r="E1763">
        <v>52</v>
      </c>
      <c r="F1763">
        <v>52</v>
      </c>
      <c r="G1763" t="s">
        <v>3922</v>
      </c>
      <c r="H1763" t="s">
        <v>4395</v>
      </c>
      <c r="I1763" t="s">
        <v>4084</v>
      </c>
      <c r="J1763" t="s">
        <v>4396</v>
      </c>
      <c r="L1763" t="s">
        <v>3923</v>
      </c>
    </row>
    <row r="1764" spans="1:12" x14ac:dyDescent="0.2">
      <c r="A1764" t="s">
        <v>1767</v>
      </c>
      <c r="B1764" t="s">
        <v>1769</v>
      </c>
      <c r="C1764" t="s">
        <v>2792</v>
      </c>
      <c r="D1764">
        <v>4</v>
      </c>
      <c r="E1764">
        <v>40</v>
      </c>
      <c r="F1764">
        <v>40</v>
      </c>
      <c r="G1764" t="s">
        <v>3922</v>
      </c>
      <c r="H1764" t="s">
        <v>4397</v>
      </c>
      <c r="I1764" t="s">
        <v>4084</v>
      </c>
      <c r="J1764" t="s">
        <v>4398</v>
      </c>
      <c r="L1764" t="s">
        <v>3923</v>
      </c>
    </row>
    <row r="1765" spans="1:12" x14ac:dyDescent="0.2">
      <c r="A1765" t="s">
        <v>1767</v>
      </c>
      <c r="B1765" t="s">
        <v>1769</v>
      </c>
      <c r="C1765" t="s">
        <v>2792</v>
      </c>
      <c r="D1765">
        <v>4</v>
      </c>
      <c r="E1765">
        <v>142.4</v>
      </c>
      <c r="F1765">
        <v>142.4</v>
      </c>
      <c r="G1765" t="s">
        <v>3922</v>
      </c>
      <c r="H1765" t="s">
        <v>4399</v>
      </c>
      <c r="I1765" t="s">
        <v>4084</v>
      </c>
      <c r="J1765" t="s">
        <v>4400</v>
      </c>
      <c r="L1765" t="s">
        <v>3923</v>
      </c>
    </row>
    <row r="1766" spans="1:12" x14ac:dyDescent="0.2">
      <c r="A1766" t="s">
        <v>1767</v>
      </c>
      <c r="B1766" t="s">
        <v>1769</v>
      </c>
      <c r="C1766" t="s">
        <v>2792</v>
      </c>
      <c r="D1766">
        <v>4</v>
      </c>
      <c r="E1766">
        <v>35.5</v>
      </c>
      <c r="F1766">
        <v>35.5</v>
      </c>
      <c r="G1766" t="s">
        <v>3922</v>
      </c>
      <c r="H1766" t="s">
        <v>4401</v>
      </c>
      <c r="I1766" t="s">
        <v>4084</v>
      </c>
      <c r="J1766" t="s">
        <v>4402</v>
      </c>
      <c r="L1766" t="s">
        <v>3923</v>
      </c>
    </row>
    <row r="1767" spans="1:12" x14ac:dyDescent="0.2">
      <c r="A1767" t="s">
        <v>1767</v>
      </c>
      <c r="B1767" t="s">
        <v>1769</v>
      </c>
      <c r="C1767" t="s">
        <v>2792</v>
      </c>
      <c r="D1767">
        <v>4</v>
      </c>
      <c r="E1767">
        <v>4.7300000000000004</v>
      </c>
      <c r="F1767">
        <v>4.7300000000000004</v>
      </c>
      <c r="G1767" t="s">
        <v>3922</v>
      </c>
      <c r="H1767" t="s">
        <v>4403</v>
      </c>
      <c r="I1767" t="s">
        <v>4084</v>
      </c>
      <c r="J1767" t="s">
        <v>4404</v>
      </c>
      <c r="L1767" t="s">
        <v>3923</v>
      </c>
    </row>
    <row r="1768" spans="1:12" x14ac:dyDescent="0.2">
      <c r="A1768" t="s">
        <v>1767</v>
      </c>
      <c r="B1768" t="s">
        <v>1769</v>
      </c>
      <c r="C1768" t="s">
        <v>2792</v>
      </c>
      <c r="D1768">
        <v>4</v>
      </c>
      <c r="E1768">
        <v>66.88</v>
      </c>
      <c r="F1768">
        <v>66.88</v>
      </c>
      <c r="G1768" t="s">
        <v>3922</v>
      </c>
      <c r="H1768" t="s">
        <v>4405</v>
      </c>
      <c r="I1768" t="s">
        <v>4084</v>
      </c>
      <c r="J1768" t="s">
        <v>4406</v>
      </c>
      <c r="L1768" t="s">
        <v>3923</v>
      </c>
    </row>
    <row r="1769" spans="1:12" x14ac:dyDescent="0.2">
      <c r="A1769" t="s">
        <v>1767</v>
      </c>
      <c r="B1769" t="s">
        <v>1769</v>
      </c>
      <c r="C1769" t="s">
        <v>2792</v>
      </c>
      <c r="D1769">
        <v>4</v>
      </c>
      <c r="E1769">
        <v>15.45</v>
      </c>
      <c r="F1769">
        <v>15.45</v>
      </c>
      <c r="G1769" t="s">
        <v>3922</v>
      </c>
      <c r="H1769" t="s">
        <v>4407</v>
      </c>
      <c r="I1769" t="s">
        <v>4084</v>
      </c>
      <c r="J1769" t="s">
        <v>4408</v>
      </c>
      <c r="L1769" t="s">
        <v>3923</v>
      </c>
    </row>
    <row r="1770" spans="1:12" x14ac:dyDescent="0.2">
      <c r="A1770" t="s">
        <v>1767</v>
      </c>
      <c r="B1770" t="s">
        <v>1769</v>
      </c>
      <c r="C1770" t="s">
        <v>2792</v>
      </c>
      <c r="D1770">
        <v>4</v>
      </c>
      <c r="E1770">
        <v>108.15</v>
      </c>
      <c r="F1770">
        <v>108.15</v>
      </c>
      <c r="G1770" t="s">
        <v>3922</v>
      </c>
      <c r="H1770" t="s">
        <v>4409</v>
      </c>
      <c r="I1770" t="s">
        <v>4084</v>
      </c>
      <c r="J1770" t="s">
        <v>4410</v>
      </c>
      <c r="L1770" t="s">
        <v>3923</v>
      </c>
    </row>
    <row r="1771" spans="1:12" x14ac:dyDescent="0.2">
      <c r="A1771" t="s">
        <v>1767</v>
      </c>
      <c r="B1771" t="s">
        <v>1769</v>
      </c>
      <c r="C1771" t="s">
        <v>2792</v>
      </c>
      <c r="D1771">
        <v>4</v>
      </c>
      <c r="E1771">
        <v>0</v>
      </c>
      <c r="F1771">
        <v>0</v>
      </c>
      <c r="G1771" t="s">
        <v>3922</v>
      </c>
      <c r="H1771" t="s">
        <v>3926</v>
      </c>
      <c r="I1771" t="s">
        <v>4084</v>
      </c>
      <c r="J1771" t="s">
        <v>4411</v>
      </c>
      <c r="L1771" t="s">
        <v>3923</v>
      </c>
    </row>
    <row r="1772" spans="1:12" x14ac:dyDescent="0.2">
      <c r="A1772" t="s">
        <v>1767</v>
      </c>
      <c r="B1772" t="s">
        <v>1769</v>
      </c>
      <c r="C1772" t="s">
        <v>2792</v>
      </c>
      <c r="D1772">
        <v>4</v>
      </c>
      <c r="E1772">
        <v>101.4</v>
      </c>
      <c r="F1772">
        <v>101.4</v>
      </c>
      <c r="G1772" t="s">
        <v>3922</v>
      </c>
      <c r="H1772" t="s">
        <v>4412</v>
      </c>
      <c r="I1772" t="s">
        <v>4084</v>
      </c>
      <c r="J1772" t="s">
        <v>4413</v>
      </c>
      <c r="L1772" t="s">
        <v>3923</v>
      </c>
    </row>
    <row r="1773" spans="1:12" x14ac:dyDescent="0.2">
      <c r="A1773" t="s">
        <v>1767</v>
      </c>
      <c r="B1773" t="s">
        <v>1769</v>
      </c>
      <c r="C1773" t="s">
        <v>2792</v>
      </c>
      <c r="D1773">
        <v>4</v>
      </c>
      <c r="E1773">
        <v>43.9</v>
      </c>
      <c r="F1773">
        <v>43.9</v>
      </c>
      <c r="G1773" t="s">
        <v>3922</v>
      </c>
      <c r="H1773" t="s">
        <v>4414</v>
      </c>
      <c r="I1773" t="s">
        <v>4084</v>
      </c>
      <c r="J1773" t="s">
        <v>4415</v>
      </c>
      <c r="L1773" t="s">
        <v>3923</v>
      </c>
    </row>
    <row r="1774" spans="1:12" x14ac:dyDescent="0.2">
      <c r="A1774" t="s">
        <v>1767</v>
      </c>
      <c r="B1774" t="s">
        <v>1769</v>
      </c>
      <c r="C1774" t="s">
        <v>2792</v>
      </c>
      <c r="D1774">
        <v>4</v>
      </c>
      <c r="E1774">
        <v>1234.7</v>
      </c>
      <c r="F1774">
        <v>1234.7</v>
      </c>
      <c r="G1774" t="s">
        <v>3922</v>
      </c>
      <c r="H1774" t="s">
        <v>4416</v>
      </c>
      <c r="I1774" t="s">
        <v>4084</v>
      </c>
      <c r="J1774" t="s">
        <v>4417</v>
      </c>
      <c r="L1774" t="s">
        <v>3923</v>
      </c>
    </row>
    <row r="1775" spans="1:12" x14ac:dyDescent="0.2">
      <c r="A1775" t="s">
        <v>1767</v>
      </c>
      <c r="B1775" t="s">
        <v>1769</v>
      </c>
      <c r="C1775" t="s">
        <v>2792</v>
      </c>
      <c r="D1775">
        <v>4</v>
      </c>
      <c r="E1775">
        <v>520.79999999999995</v>
      </c>
      <c r="F1775">
        <v>520.79999999999995</v>
      </c>
      <c r="G1775" t="s">
        <v>3922</v>
      </c>
      <c r="H1775" t="s">
        <v>4418</v>
      </c>
      <c r="I1775" t="s">
        <v>4084</v>
      </c>
      <c r="J1775" t="s">
        <v>4419</v>
      </c>
      <c r="L1775" t="s">
        <v>3923</v>
      </c>
    </row>
    <row r="1776" spans="1:12" x14ac:dyDescent="0.2">
      <c r="A1776" t="s">
        <v>1767</v>
      </c>
      <c r="B1776" t="s">
        <v>1769</v>
      </c>
      <c r="C1776" t="s">
        <v>2792</v>
      </c>
      <c r="D1776">
        <v>4</v>
      </c>
      <c r="E1776">
        <v>52.65</v>
      </c>
      <c r="F1776">
        <v>52.65</v>
      </c>
      <c r="G1776" t="s">
        <v>3922</v>
      </c>
      <c r="H1776" t="s">
        <v>4420</v>
      </c>
      <c r="I1776" t="s">
        <v>4084</v>
      </c>
      <c r="J1776" t="s">
        <v>4421</v>
      </c>
      <c r="L1776" t="s">
        <v>3923</v>
      </c>
    </row>
    <row r="1777" spans="1:12" x14ac:dyDescent="0.2">
      <c r="A1777" t="s">
        <v>1767</v>
      </c>
      <c r="B1777" t="s">
        <v>1769</v>
      </c>
      <c r="C1777" t="s">
        <v>2792</v>
      </c>
      <c r="D1777">
        <v>4</v>
      </c>
      <c r="E1777">
        <v>92.5</v>
      </c>
      <c r="F1777">
        <v>92.5</v>
      </c>
      <c r="G1777" t="s">
        <v>3922</v>
      </c>
      <c r="H1777" t="s">
        <v>4422</v>
      </c>
      <c r="I1777" t="s">
        <v>4084</v>
      </c>
      <c r="J1777" t="s">
        <v>4423</v>
      </c>
      <c r="L1777" t="s">
        <v>3923</v>
      </c>
    </row>
    <row r="1778" spans="1:12" x14ac:dyDescent="0.2">
      <c r="A1778" t="s">
        <v>1767</v>
      </c>
      <c r="B1778" t="s">
        <v>1769</v>
      </c>
      <c r="C1778" t="s">
        <v>2792</v>
      </c>
      <c r="D1778">
        <v>4</v>
      </c>
      <c r="E1778">
        <v>32.5</v>
      </c>
      <c r="F1778">
        <v>32.5</v>
      </c>
      <c r="G1778" t="s">
        <v>3922</v>
      </c>
      <c r="H1778" t="s">
        <v>4424</v>
      </c>
      <c r="I1778" t="s">
        <v>4084</v>
      </c>
      <c r="J1778" t="s">
        <v>4425</v>
      </c>
      <c r="L1778" t="s">
        <v>3923</v>
      </c>
    </row>
    <row r="1779" spans="1:12" x14ac:dyDescent="0.2">
      <c r="A1779" t="s">
        <v>1767</v>
      </c>
      <c r="B1779" t="s">
        <v>1769</v>
      </c>
      <c r="C1779" t="s">
        <v>2792</v>
      </c>
      <c r="D1779">
        <v>4</v>
      </c>
      <c r="E1779">
        <v>27.24</v>
      </c>
      <c r="F1779">
        <v>27.24</v>
      </c>
      <c r="G1779" t="s">
        <v>3922</v>
      </c>
      <c r="H1779" t="s">
        <v>4426</v>
      </c>
      <c r="I1779" t="s">
        <v>4084</v>
      </c>
      <c r="J1779" t="s">
        <v>4427</v>
      </c>
      <c r="L1779" t="s">
        <v>3923</v>
      </c>
    </row>
    <row r="1780" spans="1:12" x14ac:dyDescent="0.2">
      <c r="A1780" t="s">
        <v>1767</v>
      </c>
      <c r="B1780" t="s">
        <v>1769</v>
      </c>
      <c r="C1780" t="s">
        <v>2792</v>
      </c>
      <c r="D1780">
        <v>4</v>
      </c>
      <c r="E1780">
        <v>3.2</v>
      </c>
      <c r="F1780">
        <v>3.2</v>
      </c>
      <c r="G1780" t="s">
        <v>3922</v>
      </c>
      <c r="H1780" t="s">
        <v>4428</v>
      </c>
      <c r="I1780" t="s">
        <v>4084</v>
      </c>
      <c r="J1780" t="s">
        <v>4429</v>
      </c>
      <c r="L1780" t="s">
        <v>3923</v>
      </c>
    </row>
    <row r="1781" spans="1:12" x14ac:dyDescent="0.2">
      <c r="A1781" t="s">
        <v>1767</v>
      </c>
      <c r="B1781" t="s">
        <v>1769</v>
      </c>
      <c r="C1781" t="s">
        <v>2792</v>
      </c>
      <c r="D1781">
        <v>4</v>
      </c>
      <c r="E1781">
        <v>0</v>
      </c>
      <c r="F1781">
        <v>0</v>
      </c>
      <c r="G1781" t="s">
        <v>3922</v>
      </c>
      <c r="H1781" t="s">
        <v>3926</v>
      </c>
      <c r="I1781" t="s">
        <v>4084</v>
      </c>
      <c r="J1781" t="s">
        <v>3131</v>
      </c>
      <c r="L1781" t="s">
        <v>3923</v>
      </c>
    </row>
    <row r="1782" spans="1:12" x14ac:dyDescent="0.2">
      <c r="A1782" t="s">
        <v>1767</v>
      </c>
      <c r="B1782" t="s">
        <v>1769</v>
      </c>
      <c r="C1782" t="s">
        <v>2792</v>
      </c>
      <c r="D1782">
        <v>4</v>
      </c>
      <c r="E1782">
        <v>9</v>
      </c>
      <c r="F1782">
        <v>9</v>
      </c>
      <c r="G1782" t="s">
        <v>3922</v>
      </c>
      <c r="H1782" t="s">
        <v>4430</v>
      </c>
      <c r="I1782" t="s">
        <v>4084</v>
      </c>
      <c r="J1782" t="s">
        <v>4431</v>
      </c>
      <c r="L1782" t="s">
        <v>3923</v>
      </c>
    </row>
    <row r="1783" spans="1:12" x14ac:dyDescent="0.2">
      <c r="A1783" t="s">
        <v>1767</v>
      </c>
      <c r="B1783" t="s">
        <v>1769</v>
      </c>
      <c r="C1783" t="s">
        <v>2792</v>
      </c>
      <c r="D1783">
        <v>4</v>
      </c>
      <c r="E1783">
        <v>6.24</v>
      </c>
      <c r="F1783">
        <v>6.24</v>
      </c>
      <c r="G1783" t="s">
        <v>3922</v>
      </c>
      <c r="H1783" t="s">
        <v>4432</v>
      </c>
      <c r="I1783" t="s">
        <v>4084</v>
      </c>
      <c r="J1783" t="s">
        <v>4433</v>
      </c>
      <c r="L1783" t="s">
        <v>3923</v>
      </c>
    </row>
    <row r="1784" spans="1:12" x14ac:dyDescent="0.2">
      <c r="A1784" t="s">
        <v>1767</v>
      </c>
      <c r="B1784" t="s">
        <v>1769</v>
      </c>
      <c r="C1784" t="s">
        <v>2792</v>
      </c>
      <c r="D1784">
        <v>4</v>
      </c>
      <c r="E1784">
        <v>5.13</v>
      </c>
      <c r="F1784">
        <v>5.13</v>
      </c>
      <c r="G1784" t="s">
        <v>3922</v>
      </c>
      <c r="H1784" t="s">
        <v>4434</v>
      </c>
      <c r="I1784" t="s">
        <v>4084</v>
      </c>
      <c r="J1784" t="s">
        <v>4435</v>
      </c>
      <c r="L1784" t="s">
        <v>3923</v>
      </c>
    </row>
    <row r="1785" spans="1:12" x14ac:dyDescent="0.2">
      <c r="A1785" t="s">
        <v>1767</v>
      </c>
      <c r="B1785" t="s">
        <v>1769</v>
      </c>
      <c r="C1785" t="s">
        <v>2792</v>
      </c>
      <c r="D1785">
        <v>4</v>
      </c>
      <c r="E1785">
        <v>7.44</v>
      </c>
      <c r="F1785">
        <v>7.44</v>
      </c>
      <c r="G1785" t="s">
        <v>3922</v>
      </c>
      <c r="H1785" t="s">
        <v>4436</v>
      </c>
      <c r="I1785" t="s">
        <v>4084</v>
      </c>
      <c r="J1785" t="s">
        <v>4437</v>
      </c>
      <c r="L1785" t="s">
        <v>3923</v>
      </c>
    </row>
    <row r="1786" spans="1:12" x14ac:dyDescent="0.2">
      <c r="A1786" t="s">
        <v>1767</v>
      </c>
      <c r="B1786" t="s">
        <v>1769</v>
      </c>
      <c r="C1786" t="s">
        <v>2792</v>
      </c>
      <c r="D1786">
        <v>4</v>
      </c>
      <c r="E1786">
        <v>8.16</v>
      </c>
      <c r="F1786">
        <v>8.16</v>
      </c>
      <c r="G1786" t="s">
        <v>3922</v>
      </c>
      <c r="H1786" t="s">
        <v>4438</v>
      </c>
      <c r="I1786" t="s">
        <v>4084</v>
      </c>
      <c r="J1786" t="s">
        <v>4439</v>
      </c>
      <c r="L1786" t="s">
        <v>3923</v>
      </c>
    </row>
    <row r="1787" spans="1:12" x14ac:dyDescent="0.2">
      <c r="A1787" t="s">
        <v>1767</v>
      </c>
      <c r="B1787" t="s">
        <v>1769</v>
      </c>
      <c r="C1787" t="s">
        <v>2792</v>
      </c>
      <c r="D1787">
        <v>4</v>
      </c>
      <c r="E1787">
        <v>1248.78</v>
      </c>
      <c r="F1787">
        <v>1248.78</v>
      </c>
      <c r="G1787" t="s">
        <v>3922</v>
      </c>
      <c r="H1787" t="s">
        <v>4440</v>
      </c>
      <c r="I1787" t="s">
        <v>4084</v>
      </c>
      <c r="J1787" t="s">
        <v>4441</v>
      </c>
      <c r="L1787" t="s">
        <v>3923</v>
      </c>
    </row>
    <row r="1788" spans="1:12" x14ac:dyDescent="0.2">
      <c r="A1788" t="s">
        <v>1767</v>
      </c>
      <c r="B1788" t="s">
        <v>1769</v>
      </c>
      <c r="C1788" t="s">
        <v>2792</v>
      </c>
      <c r="D1788">
        <v>4</v>
      </c>
      <c r="E1788">
        <v>0</v>
      </c>
      <c r="F1788">
        <v>0</v>
      </c>
      <c r="G1788" t="s">
        <v>3922</v>
      </c>
      <c r="H1788" t="s">
        <v>3926</v>
      </c>
      <c r="I1788" t="s">
        <v>4084</v>
      </c>
      <c r="J1788" t="s">
        <v>4442</v>
      </c>
      <c r="L1788" t="s">
        <v>3923</v>
      </c>
    </row>
    <row r="1789" spans="1:12" x14ac:dyDescent="0.2">
      <c r="A1789" t="s">
        <v>1767</v>
      </c>
      <c r="B1789" t="s">
        <v>1769</v>
      </c>
      <c r="C1789" t="s">
        <v>2792</v>
      </c>
      <c r="D1789">
        <v>4</v>
      </c>
      <c r="E1789">
        <v>35.5</v>
      </c>
      <c r="F1789">
        <v>35.5</v>
      </c>
      <c r="G1789" t="s">
        <v>3922</v>
      </c>
      <c r="H1789" t="s">
        <v>4401</v>
      </c>
      <c r="I1789" t="s">
        <v>4084</v>
      </c>
      <c r="J1789" t="s">
        <v>4402</v>
      </c>
      <c r="L1789" t="s">
        <v>3923</v>
      </c>
    </row>
    <row r="1790" spans="1:12" x14ac:dyDescent="0.2">
      <c r="A1790" t="s">
        <v>1767</v>
      </c>
      <c r="B1790" t="s">
        <v>1769</v>
      </c>
      <c r="C1790" t="s">
        <v>2792</v>
      </c>
      <c r="D1790">
        <v>4</v>
      </c>
      <c r="E1790">
        <v>247.8</v>
      </c>
      <c r="F1790">
        <v>247.8</v>
      </c>
      <c r="G1790" t="s">
        <v>3922</v>
      </c>
      <c r="H1790" t="s">
        <v>4443</v>
      </c>
      <c r="I1790" t="s">
        <v>4084</v>
      </c>
      <c r="J1790" t="s">
        <v>4444</v>
      </c>
      <c r="L1790" t="s">
        <v>3923</v>
      </c>
    </row>
    <row r="1791" spans="1:12" x14ac:dyDescent="0.2">
      <c r="A1791" t="s">
        <v>1767</v>
      </c>
      <c r="B1791" t="s">
        <v>1769</v>
      </c>
      <c r="C1791" t="s">
        <v>2792</v>
      </c>
      <c r="D1791">
        <v>4</v>
      </c>
      <c r="E1791">
        <v>92.5</v>
      </c>
      <c r="F1791">
        <v>92.5</v>
      </c>
      <c r="G1791" t="s">
        <v>3922</v>
      </c>
      <c r="H1791" t="s">
        <v>4422</v>
      </c>
      <c r="I1791" t="s">
        <v>4084</v>
      </c>
      <c r="J1791" t="s">
        <v>4423</v>
      </c>
      <c r="L1791" t="s">
        <v>3923</v>
      </c>
    </row>
    <row r="1792" spans="1:12" x14ac:dyDescent="0.2">
      <c r="A1792" t="s">
        <v>1767</v>
      </c>
      <c r="B1792" t="s">
        <v>1769</v>
      </c>
      <c r="C1792" t="s">
        <v>2792</v>
      </c>
      <c r="D1792">
        <v>4</v>
      </c>
      <c r="E1792">
        <v>210.24</v>
      </c>
      <c r="F1792">
        <v>210.24</v>
      </c>
      <c r="G1792" t="s">
        <v>3922</v>
      </c>
      <c r="H1792" t="s">
        <v>4285</v>
      </c>
      <c r="I1792" t="s">
        <v>4084</v>
      </c>
      <c r="J1792" t="s">
        <v>4445</v>
      </c>
      <c r="L1792" t="s">
        <v>3923</v>
      </c>
    </row>
    <row r="1793" spans="1:12" x14ac:dyDescent="0.2">
      <c r="A1793" t="s">
        <v>1767</v>
      </c>
      <c r="B1793" t="s">
        <v>1769</v>
      </c>
      <c r="C1793" t="s">
        <v>2792</v>
      </c>
      <c r="D1793">
        <v>4</v>
      </c>
      <c r="E1793">
        <v>153.4</v>
      </c>
      <c r="F1793">
        <v>153.4</v>
      </c>
      <c r="G1793" t="s">
        <v>3922</v>
      </c>
      <c r="H1793" t="s">
        <v>4446</v>
      </c>
      <c r="I1793" t="s">
        <v>4084</v>
      </c>
      <c r="J1793" t="s">
        <v>4447</v>
      </c>
      <c r="L1793" t="s">
        <v>3923</v>
      </c>
    </row>
    <row r="1794" spans="1:12" x14ac:dyDescent="0.2">
      <c r="A1794" t="s">
        <v>1767</v>
      </c>
      <c r="B1794" t="s">
        <v>1769</v>
      </c>
      <c r="C1794" t="s">
        <v>2792</v>
      </c>
      <c r="D1794">
        <v>4</v>
      </c>
      <c r="E1794">
        <v>35.5</v>
      </c>
      <c r="F1794">
        <v>35.5</v>
      </c>
      <c r="G1794" t="s">
        <v>3922</v>
      </c>
      <c r="H1794" t="s">
        <v>4401</v>
      </c>
      <c r="I1794" t="s">
        <v>4084</v>
      </c>
      <c r="J1794" t="s">
        <v>4402</v>
      </c>
      <c r="L1794" t="s">
        <v>3923</v>
      </c>
    </row>
    <row r="1795" spans="1:12" x14ac:dyDescent="0.2">
      <c r="A1795" t="s">
        <v>1767</v>
      </c>
      <c r="B1795" t="s">
        <v>1769</v>
      </c>
      <c r="C1795" t="s">
        <v>2792</v>
      </c>
      <c r="D1795">
        <v>4</v>
      </c>
      <c r="E1795">
        <v>247.8</v>
      </c>
      <c r="F1795">
        <v>247.8</v>
      </c>
      <c r="G1795" t="s">
        <v>3922</v>
      </c>
      <c r="H1795" t="s">
        <v>4443</v>
      </c>
      <c r="I1795" t="s">
        <v>4084</v>
      </c>
      <c r="J1795" t="s">
        <v>4444</v>
      </c>
      <c r="L1795" t="s">
        <v>3923</v>
      </c>
    </row>
    <row r="1796" spans="1:12" x14ac:dyDescent="0.2">
      <c r="A1796" t="s">
        <v>1767</v>
      </c>
      <c r="B1796" t="s">
        <v>1769</v>
      </c>
      <c r="C1796" t="s">
        <v>2792</v>
      </c>
      <c r="D1796">
        <v>4</v>
      </c>
      <c r="E1796">
        <v>204.77</v>
      </c>
      <c r="F1796">
        <v>204.77</v>
      </c>
      <c r="G1796" t="s">
        <v>3922</v>
      </c>
      <c r="H1796" t="s">
        <v>4375</v>
      </c>
      <c r="I1796" t="s">
        <v>4084</v>
      </c>
      <c r="J1796" t="s">
        <v>4376</v>
      </c>
      <c r="L1796" t="s">
        <v>3923</v>
      </c>
    </row>
    <row r="1797" spans="1:12" x14ac:dyDescent="0.2">
      <c r="A1797" t="s">
        <v>1767</v>
      </c>
      <c r="B1797" t="s">
        <v>1769</v>
      </c>
      <c r="C1797" t="s">
        <v>2792</v>
      </c>
      <c r="D1797">
        <v>4</v>
      </c>
      <c r="E1797">
        <v>216.76</v>
      </c>
      <c r="F1797">
        <v>216.76</v>
      </c>
      <c r="G1797" t="s">
        <v>3922</v>
      </c>
      <c r="H1797" t="s">
        <v>4448</v>
      </c>
      <c r="I1797" t="s">
        <v>4084</v>
      </c>
      <c r="J1797" t="s">
        <v>4449</v>
      </c>
      <c r="L1797" t="s">
        <v>3923</v>
      </c>
    </row>
    <row r="1798" spans="1:12" x14ac:dyDescent="0.2">
      <c r="A1798" t="s">
        <v>1767</v>
      </c>
      <c r="B1798" t="s">
        <v>1769</v>
      </c>
      <c r="C1798" t="s">
        <v>2792</v>
      </c>
      <c r="D1798">
        <v>4</v>
      </c>
      <c r="E1798">
        <v>165.6</v>
      </c>
      <c r="F1798">
        <v>165.6</v>
      </c>
      <c r="G1798" t="s">
        <v>3922</v>
      </c>
      <c r="H1798" t="s">
        <v>4450</v>
      </c>
      <c r="I1798" t="s">
        <v>4084</v>
      </c>
      <c r="J1798" t="s">
        <v>4451</v>
      </c>
      <c r="L1798" t="s">
        <v>3923</v>
      </c>
    </row>
    <row r="1799" spans="1:12" x14ac:dyDescent="0.2">
      <c r="A1799" t="s">
        <v>1767</v>
      </c>
      <c r="B1799" t="s">
        <v>1769</v>
      </c>
      <c r="C1799" t="s">
        <v>2792</v>
      </c>
      <c r="D1799">
        <v>4</v>
      </c>
      <c r="E1799">
        <v>386.4</v>
      </c>
      <c r="F1799">
        <v>386.4</v>
      </c>
      <c r="G1799" t="s">
        <v>3922</v>
      </c>
      <c r="H1799" t="s">
        <v>4452</v>
      </c>
      <c r="I1799" t="s">
        <v>4084</v>
      </c>
      <c r="J1799" t="s">
        <v>4453</v>
      </c>
      <c r="L1799" t="s">
        <v>3923</v>
      </c>
    </row>
    <row r="1800" spans="1:12" x14ac:dyDescent="0.2">
      <c r="A1800" t="s">
        <v>1767</v>
      </c>
      <c r="B1800" t="s">
        <v>1769</v>
      </c>
      <c r="C1800" t="s">
        <v>2792</v>
      </c>
      <c r="D1800">
        <v>4</v>
      </c>
      <c r="E1800">
        <v>37.200000000000003</v>
      </c>
      <c r="F1800">
        <v>37.200000000000003</v>
      </c>
      <c r="G1800" t="s">
        <v>3922</v>
      </c>
      <c r="H1800" t="s">
        <v>4454</v>
      </c>
      <c r="I1800" t="s">
        <v>4084</v>
      </c>
      <c r="J1800" t="s">
        <v>4455</v>
      </c>
      <c r="L1800" t="s">
        <v>3923</v>
      </c>
    </row>
    <row r="1801" spans="1:12" x14ac:dyDescent="0.2">
      <c r="A1801" t="s">
        <v>1767</v>
      </c>
      <c r="B1801" t="s">
        <v>1769</v>
      </c>
      <c r="C1801" t="s">
        <v>2792</v>
      </c>
      <c r="D1801">
        <v>4</v>
      </c>
      <c r="E1801">
        <v>35.04</v>
      </c>
      <c r="F1801">
        <v>35.04</v>
      </c>
      <c r="G1801" t="s">
        <v>3922</v>
      </c>
      <c r="H1801" t="s">
        <v>4456</v>
      </c>
      <c r="I1801" t="s">
        <v>4084</v>
      </c>
      <c r="J1801" t="s">
        <v>4457</v>
      </c>
      <c r="L1801" t="s">
        <v>3923</v>
      </c>
    </row>
    <row r="1802" spans="1:12" x14ac:dyDescent="0.2">
      <c r="A1802" t="s">
        <v>1767</v>
      </c>
      <c r="B1802" t="s">
        <v>1769</v>
      </c>
      <c r="C1802" t="s">
        <v>2792</v>
      </c>
      <c r="D1802">
        <v>4</v>
      </c>
      <c r="E1802">
        <v>20.47</v>
      </c>
      <c r="F1802">
        <v>20.47</v>
      </c>
      <c r="G1802" t="s">
        <v>3922</v>
      </c>
      <c r="H1802" t="s">
        <v>4458</v>
      </c>
      <c r="I1802" t="s">
        <v>4084</v>
      </c>
      <c r="J1802" t="s">
        <v>4459</v>
      </c>
      <c r="L1802" t="s">
        <v>3923</v>
      </c>
    </row>
    <row r="1803" spans="1:12" x14ac:dyDescent="0.2">
      <c r="A1803" t="s">
        <v>1767</v>
      </c>
      <c r="B1803" t="s">
        <v>1769</v>
      </c>
      <c r="C1803" t="s">
        <v>2792</v>
      </c>
      <c r="D1803">
        <v>4</v>
      </c>
      <c r="E1803">
        <v>346.68</v>
      </c>
      <c r="F1803">
        <v>346.68</v>
      </c>
      <c r="G1803" t="s">
        <v>3922</v>
      </c>
      <c r="H1803" t="s">
        <v>4460</v>
      </c>
      <c r="I1803" t="s">
        <v>4084</v>
      </c>
      <c r="J1803" t="s">
        <v>4461</v>
      </c>
      <c r="L1803" t="s">
        <v>3923</v>
      </c>
    </row>
    <row r="1804" spans="1:12" x14ac:dyDescent="0.2">
      <c r="A1804" t="s">
        <v>1767</v>
      </c>
      <c r="B1804" t="s">
        <v>1769</v>
      </c>
      <c r="C1804" t="s">
        <v>2792</v>
      </c>
      <c r="D1804">
        <v>4</v>
      </c>
      <c r="E1804">
        <v>20.47</v>
      </c>
      <c r="F1804">
        <v>20.47</v>
      </c>
      <c r="G1804" t="s">
        <v>3922</v>
      </c>
      <c r="H1804" t="s">
        <v>4458</v>
      </c>
      <c r="I1804" t="s">
        <v>4084</v>
      </c>
      <c r="J1804" t="s">
        <v>4459</v>
      </c>
      <c r="L1804" t="s">
        <v>3923</v>
      </c>
    </row>
    <row r="1805" spans="1:12" x14ac:dyDescent="0.2">
      <c r="A1805" t="s">
        <v>1767</v>
      </c>
      <c r="B1805" t="s">
        <v>1769</v>
      </c>
      <c r="C1805" t="s">
        <v>2792</v>
      </c>
      <c r="D1805">
        <v>4</v>
      </c>
      <c r="E1805">
        <v>0.77</v>
      </c>
      <c r="F1805">
        <v>0.77</v>
      </c>
      <c r="G1805" t="s">
        <v>3922</v>
      </c>
      <c r="H1805" t="s">
        <v>4053</v>
      </c>
      <c r="I1805" t="s">
        <v>4084</v>
      </c>
      <c r="J1805" t="s">
        <v>4462</v>
      </c>
      <c r="L1805" t="s">
        <v>3923</v>
      </c>
    </row>
    <row r="1806" spans="1:12" x14ac:dyDescent="0.2">
      <c r="A1806" t="s">
        <v>1767</v>
      </c>
      <c r="B1806" t="s">
        <v>1769</v>
      </c>
      <c r="C1806" t="s">
        <v>2792</v>
      </c>
      <c r="D1806">
        <v>4</v>
      </c>
      <c r="E1806">
        <v>355.86</v>
      </c>
      <c r="F1806">
        <v>355.86</v>
      </c>
      <c r="G1806" t="s">
        <v>3922</v>
      </c>
      <c r="H1806" t="s">
        <v>4463</v>
      </c>
      <c r="I1806" t="s">
        <v>4084</v>
      </c>
      <c r="J1806" t="s">
        <v>4464</v>
      </c>
      <c r="L1806" t="s">
        <v>3923</v>
      </c>
    </row>
    <row r="1807" spans="1:12" x14ac:dyDescent="0.2">
      <c r="A1807" t="s">
        <v>1767</v>
      </c>
      <c r="B1807" t="s">
        <v>1769</v>
      </c>
      <c r="C1807" t="s">
        <v>2792</v>
      </c>
      <c r="D1807">
        <v>4</v>
      </c>
      <c r="E1807">
        <v>296</v>
      </c>
      <c r="F1807">
        <v>296</v>
      </c>
      <c r="G1807" t="s">
        <v>3922</v>
      </c>
      <c r="H1807" t="s">
        <v>4465</v>
      </c>
      <c r="I1807" t="s">
        <v>4084</v>
      </c>
      <c r="J1807" t="s">
        <v>4466</v>
      </c>
      <c r="L1807" t="s">
        <v>3923</v>
      </c>
    </row>
    <row r="1808" spans="1:12" x14ac:dyDescent="0.2">
      <c r="A1808" t="s">
        <v>1767</v>
      </c>
      <c r="B1808" t="s">
        <v>1769</v>
      </c>
      <c r="C1808" t="s">
        <v>2792</v>
      </c>
      <c r="D1808">
        <v>4</v>
      </c>
      <c r="E1808">
        <v>933</v>
      </c>
      <c r="F1808">
        <v>933</v>
      </c>
      <c r="G1808" t="s">
        <v>3922</v>
      </c>
      <c r="H1808" t="s">
        <v>4467</v>
      </c>
      <c r="I1808" t="s">
        <v>4084</v>
      </c>
      <c r="J1808" t="s">
        <v>4468</v>
      </c>
      <c r="L1808" t="s">
        <v>3923</v>
      </c>
    </row>
    <row r="1809" spans="1:12" x14ac:dyDescent="0.2">
      <c r="A1809" t="s">
        <v>1767</v>
      </c>
      <c r="B1809" t="s">
        <v>1769</v>
      </c>
      <c r="C1809" t="s">
        <v>2792</v>
      </c>
      <c r="D1809">
        <v>4</v>
      </c>
      <c r="E1809">
        <v>35</v>
      </c>
      <c r="F1809">
        <v>35</v>
      </c>
      <c r="G1809" t="s">
        <v>3922</v>
      </c>
      <c r="H1809" t="s">
        <v>4469</v>
      </c>
      <c r="I1809" t="s">
        <v>4084</v>
      </c>
      <c r="J1809" t="s">
        <v>4470</v>
      </c>
      <c r="L1809" t="s">
        <v>3923</v>
      </c>
    </row>
    <row r="1810" spans="1:12" x14ac:dyDescent="0.2">
      <c r="A1810" t="s">
        <v>1767</v>
      </c>
      <c r="B1810" t="s">
        <v>1769</v>
      </c>
      <c r="C1810" t="s">
        <v>2792</v>
      </c>
      <c r="D1810">
        <v>4</v>
      </c>
      <c r="E1810">
        <v>17.5</v>
      </c>
      <c r="F1810">
        <v>17.5</v>
      </c>
      <c r="G1810" t="s">
        <v>3922</v>
      </c>
      <c r="H1810" t="s">
        <v>4307</v>
      </c>
      <c r="I1810" t="s">
        <v>4084</v>
      </c>
      <c r="J1810" t="s">
        <v>4471</v>
      </c>
      <c r="L1810" t="s">
        <v>3923</v>
      </c>
    </row>
    <row r="1811" spans="1:12" x14ac:dyDescent="0.2">
      <c r="A1811" t="s">
        <v>1767</v>
      </c>
      <c r="B1811" t="s">
        <v>1769</v>
      </c>
      <c r="C1811" t="s">
        <v>2792</v>
      </c>
      <c r="D1811">
        <v>4</v>
      </c>
      <c r="E1811">
        <v>45</v>
      </c>
      <c r="F1811">
        <v>45</v>
      </c>
      <c r="G1811" t="s">
        <v>3922</v>
      </c>
      <c r="H1811" t="s">
        <v>4472</v>
      </c>
      <c r="I1811" t="s">
        <v>4084</v>
      </c>
      <c r="J1811" t="s">
        <v>4473</v>
      </c>
      <c r="L1811" t="s">
        <v>3923</v>
      </c>
    </row>
    <row r="1812" spans="1:12" x14ac:dyDescent="0.2">
      <c r="A1812" t="s">
        <v>1767</v>
      </c>
      <c r="B1812" t="s">
        <v>1769</v>
      </c>
      <c r="C1812" t="s">
        <v>2792</v>
      </c>
      <c r="D1812">
        <v>4</v>
      </c>
      <c r="E1812">
        <v>22.5</v>
      </c>
      <c r="F1812">
        <v>22.5</v>
      </c>
      <c r="G1812" t="s">
        <v>3922</v>
      </c>
      <c r="H1812" t="s">
        <v>4474</v>
      </c>
      <c r="I1812" t="s">
        <v>4084</v>
      </c>
      <c r="J1812" t="s">
        <v>4475</v>
      </c>
      <c r="L1812" t="s">
        <v>3923</v>
      </c>
    </row>
    <row r="1813" spans="1:12" x14ac:dyDescent="0.2">
      <c r="A1813" t="s">
        <v>1767</v>
      </c>
      <c r="B1813" t="s">
        <v>1769</v>
      </c>
      <c r="C1813" t="s">
        <v>2792</v>
      </c>
      <c r="D1813">
        <v>4</v>
      </c>
      <c r="E1813">
        <v>16.100000000000001</v>
      </c>
      <c r="F1813">
        <v>16.100000000000001</v>
      </c>
      <c r="G1813" t="s">
        <v>3922</v>
      </c>
      <c r="H1813" t="s">
        <v>4367</v>
      </c>
      <c r="I1813" t="s">
        <v>4084</v>
      </c>
      <c r="J1813" t="s">
        <v>4476</v>
      </c>
      <c r="L1813" t="s">
        <v>3923</v>
      </c>
    </row>
    <row r="1814" spans="1:12" x14ac:dyDescent="0.2">
      <c r="A1814" t="s">
        <v>1767</v>
      </c>
      <c r="B1814" t="s">
        <v>1769</v>
      </c>
      <c r="C1814" t="s">
        <v>2792</v>
      </c>
      <c r="D1814">
        <v>4</v>
      </c>
      <c r="E1814">
        <v>55</v>
      </c>
      <c r="F1814">
        <v>55</v>
      </c>
      <c r="G1814" t="s">
        <v>3922</v>
      </c>
      <c r="H1814" t="s">
        <v>4477</v>
      </c>
      <c r="I1814" t="s">
        <v>4084</v>
      </c>
      <c r="J1814" t="s">
        <v>4478</v>
      </c>
      <c r="L1814" t="s">
        <v>3923</v>
      </c>
    </row>
    <row r="1815" spans="1:12" x14ac:dyDescent="0.2">
      <c r="A1815" t="s">
        <v>1767</v>
      </c>
      <c r="B1815" t="s">
        <v>1769</v>
      </c>
      <c r="C1815" t="s">
        <v>2792</v>
      </c>
      <c r="D1815">
        <v>4</v>
      </c>
      <c r="E1815">
        <v>46.55</v>
      </c>
      <c r="F1815">
        <v>46.55</v>
      </c>
      <c r="G1815" t="s">
        <v>3922</v>
      </c>
      <c r="H1815" t="s">
        <v>4479</v>
      </c>
      <c r="I1815" t="s">
        <v>4084</v>
      </c>
      <c r="J1815" t="s">
        <v>4480</v>
      </c>
      <c r="L1815" t="s">
        <v>3923</v>
      </c>
    </row>
    <row r="1816" spans="1:12" x14ac:dyDescent="0.2">
      <c r="A1816" t="s">
        <v>1767</v>
      </c>
      <c r="B1816" t="s">
        <v>1769</v>
      </c>
      <c r="C1816" t="s">
        <v>2792</v>
      </c>
      <c r="D1816">
        <v>4</v>
      </c>
      <c r="E1816">
        <v>55</v>
      </c>
      <c r="F1816">
        <v>55</v>
      </c>
      <c r="G1816" t="s">
        <v>3922</v>
      </c>
      <c r="H1816" t="s">
        <v>4477</v>
      </c>
      <c r="I1816" t="s">
        <v>4084</v>
      </c>
      <c r="J1816" t="s">
        <v>4478</v>
      </c>
      <c r="L1816" t="s">
        <v>3923</v>
      </c>
    </row>
    <row r="1817" spans="1:12" x14ac:dyDescent="0.2">
      <c r="A1817" t="s">
        <v>1767</v>
      </c>
      <c r="B1817" t="s">
        <v>1769</v>
      </c>
      <c r="C1817" t="s">
        <v>2792</v>
      </c>
      <c r="D1817">
        <v>4</v>
      </c>
      <c r="E1817">
        <v>188.64</v>
      </c>
      <c r="F1817">
        <v>188.64</v>
      </c>
      <c r="G1817" t="s">
        <v>3922</v>
      </c>
      <c r="H1817" t="s">
        <v>4481</v>
      </c>
      <c r="I1817" t="s">
        <v>4084</v>
      </c>
      <c r="J1817" t="s">
        <v>4482</v>
      </c>
      <c r="L1817" t="s">
        <v>3923</v>
      </c>
    </row>
    <row r="1818" spans="1:12" x14ac:dyDescent="0.2">
      <c r="A1818" t="s">
        <v>1767</v>
      </c>
      <c r="B1818" t="s">
        <v>1769</v>
      </c>
      <c r="C1818" t="s">
        <v>2792</v>
      </c>
      <c r="D1818">
        <v>4</v>
      </c>
      <c r="E1818">
        <v>189.9</v>
      </c>
      <c r="F1818">
        <v>189.9</v>
      </c>
      <c r="G1818" t="s">
        <v>3922</v>
      </c>
      <c r="H1818" t="s">
        <v>4483</v>
      </c>
      <c r="I1818" t="s">
        <v>4084</v>
      </c>
      <c r="J1818" t="s">
        <v>4484</v>
      </c>
      <c r="L1818" t="s">
        <v>3923</v>
      </c>
    </row>
    <row r="1819" spans="1:12" x14ac:dyDescent="0.2">
      <c r="A1819" t="s">
        <v>1767</v>
      </c>
      <c r="B1819" t="s">
        <v>1769</v>
      </c>
      <c r="C1819" t="s">
        <v>2792</v>
      </c>
      <c r="D1819">
        <v>4</v>
      </c>
      <c r="E1819">
        <v>1250</v>
      </c>
      <c r="F1819">
        <v>1250</v>
      </c>
      <c r="G1819" t="s">
        <v>3922</v>
      </c>
      <c r="H1819" t="s">
        <v>4485</v>
      </c>
      <c r="I1819" t="s">
        <v>4084</v>
      </c>
      <c r="J1819" t="s">
        <v>4486</v>
      </c>
      <c r="L1819" t="s">
        <v>3923</v>
      </c>
    </row>
    <row r="1820" spans="1:12" x14ac:dyDescent="0.2">
      <c r="A1820" t="s">
        <v>1767</v>
      </c>
      <c r="B1820" t="s">
        <v>1769</v>
      </c>
      <c r="C1820" t="s">
        <v>2792</v>
      </c>
      <c r="D1820">
        <v>4</v>
      </c>
      <c r="E1820">
        <v>0.9</v>
      </c>
      <c r="F1820">
        <v>0.9</v>
      </c>
      <c r="G1820" t="s">
        <v>3922</v>
      </c>
      <c r="H1820" t="s">
        <v>4487</v>
      </c>
      <c r="I1820" t="s">
        <v>4084</v>
      </c>
      <c r="J1820" t="s">
        <v>4488</v>
      </c>
      <c r="L1820" t="s">
        <v>3923</v>
      </c>
    </row>
    <row r="1821" spans="1:12" x14ac:dyDescent="0.2">
      <c r="A1821" t="s">
        <v>1767</v>
      </c>
      <c r="B1821" t="s">
        <v>1769</v>
      </c>
      <c r="C1821" t="s">
        <v>2792</v>
      </c>
      <c r="D1821">
        <v>4</v>
      </c>
      <c r="E1821">
        <v>54.9</v>
      </c>
      <c r="F1821">
        <v>54.9</v>
      </c>
      <c r="G1821" t="s">
        <v>3922</v>
      </c>
      <c r="H1821" t="s">
        <v>4489</v>
      </c>
      <c r="I1821" t="s">
        <v>4084</v>
      </c>
      <c r="J1821" t="s">
        <v>4490</v>
      </c>
      <c r="L1821" t="s">
        <v>3923</v>
      </c>
    </row>
    <row r="1822" spans="1:12" x14ac:dyDescent="0.2">
      <c r="A1822" t="s">
        <v>1767</v>
      </c>
      <c r="B1822" t="s">
        <v>1769</v>
      </c>
      <c r="C1822" t="s">
        <v>2792</v>
      </c>
      <c r="D1822">
        <v>4</v>
      </c>
      <c r="E1822">
        <v>74.25</v>
      </c>
      <c r="F1822">
        <v>74.25</v>
      </c>
      <c r="G1822" t="s">
        <v>3922</v>
      </c>
      <c r="H1822" t="s">
        <v>4491</v>
      </c>
      <c r="I1822" t="s">
        <v>4084</v>
      </c>
      <c r="J1822" t="s">
        <v>4492</v>
      </c>
      <c r="L1822" t="s">
        <v>3923</v>
      </c>
    </row>
    <row r="1823" spans="1:12" x14ac:dyDescent="0.2">
      <c r="A1823" t="s">
        <v>1767</v>
      </c>
      <c r="B1823" t="s">
        <v>1769</v>
      </c>
      <c r="C1823" t="s">
        <v>2792</v>
      </c>
      <c r="D1823">
        <v>4</v>
      </c>
      <c r="E1823">
        <v>191.9</v>
      </c>
      <c r="F1823">
        <v>191.9</v>
      </c>
      <c r="G1823" t="s">
        <v>3922</v>
      </c>
      <c r="H1823" t="s">
        <v>4493</v>
      </c>
      <c r="I1823" t="s">
        <v>4084</v>
      </c>
      <c r="J1823" t="s">
        <v>4494</v>
      </c>
      <c r="L1823" t="s">
        <v>3923</v>
      </c>
    </row>
    <row r="1824" spans="1:12" x14ac:dyDescent="0.2">
      <c r="A1824" t="s">
        <v>1767</v>
      </c>
      <c r="B1824" t="s">
        <v>1769</v>
      </c>
      <c r="C1824" t="s">
        <v>2792</v>
      </c>
      <c r="D1824">
        <v>4</v>
      </c>
      <c r="E1824">
        <v>75.33</v>
      </c>
      <c r="F1824">
        <v>75.33</v>
      </c>
      <c r="G1824" t="s">
        <v>3922</v>
      </c>
      <c r="H1824" t="s">
        <v>4495</v>
      </c>
      <c r="I1824" t="s">
        <v>4084</v>
      </c>
      <c r="J1824" t="s">
        <v>4496</v>
      </c>
      <c r="L1824" t="s">
        <v>3923</v>
      </c>
    </row>
    <row r="1825" spans="1:12" x14ac:dyDescent="0.2">
      <c r="A1825" t="s">
        <v>1767</v>
      </c>
      <c r="B1825" t="s">
        <v>1769</v>
      </c>
      <c r="C1825" t="s">
        <v>2792</v>
      </c>
      <c r="D1825">
        <v>4</v>
      </c>
      <c r="E1825">
        <v>234.75</v>
      </c>
      <c r="F1825">
        <v>234.75</v>
      </c>
      <c r="G1825" t="s">
        <v>3922</v>
      </c>
      <c r="H1825" t="s">
        <v>4497</v>
      </c>
      <c r="I1825" t="s">
        <v>4084</v>
      </c>
      <c r="J1825" t="s">
        <v>4498</v>
      </c>
      <c r="L1825" t="s">
        <v>3923</v>
      </c>
    </row>
    <row r="1826" spans="1:12" x14ac:dyDescent="0.2">
      <c r="A1826" t="s">
        <v>1767</v>
      </c>
      <c r="B1826" t="s">
        <v>1769</v>
      </c>
      <c r="C1826" t="s">
        <v>2792</v>
      </c>
      <c r="D1826">
        <v>4</v>
      </c>
      <c r="E1826">
        <v>115.56</v>
      </c>
      <c r="F1826">
        <v>115.56</v>
      </c>
      <c r="G1826" t="s">
        <v>3922</v>
      </c>
      <c r="H1826" t="s">
        <v>4499</v>
      </c>
      <c r="I1826" t="s">
        <v>4084</v>
      </c>
      <c r="J1826" t="s">
        <v>4500</v>
      </c>
      <c r="L1826" t="s">
        <v>3923</v>
      </c>
    </row>
    <row r="1827" spans="1:12" x14ac:dyDescent="0.2">
      <c r="A1827" t="s">
        <v>1767</v>
      </c>
      <c r="B1827" t="s">
        <v>1769</v>
      </c>
      <c r="C1827" t="s">
        <v>2792</v>
      </c>
      <c r="D1827">
        <v>4</v>
      </c>
      <c r="E1827">
        <v>244.95</v>
      </c>
      <c r="F1827">
        <v>244.95</v>
      </c>
      <c r="G1827" t="s">
        <v>3922</v>
      </c>
      <c r="H1827" t="s">
        <v>4501</v>
      </c>
      <c r="I1827" t="s">
        <v>4084</v>
      </c>
      <c r="J1827" t="s">
        <v>4502</v>
      </c>
      <c r="L1827" t="s">
        <v>3923</v>
      </c>
    </row>
    <row r="1828" spans="1:12" x14ac:dyDescent="0.2">
      <c r="A1828" t="s">
        <v>1767</v>
      </c>
      <c r="B1828" t="s">
        <v>1769</v>
      </c>
      <c r="C1828" t="s">
        <v>2792</v>
      </c>
      <c r="D1828">
        <v>4</v>
      </c>
      <c r="E1828">
        <v>118.62</v>
      </c>
      <c r="F1828">
        <v>118.62</v>
      </c>
      <c r="G1828" t="s">
        <v>3922</v>
      </c>
      <c r="H1828" t="s">
        <v>4503</v>
      </c>
      <c r="I1828" t="s">
        <v>4084</v>
      </c>
      <c r="J1828" t="s">
        <v>4504</v>
      </c>
      <c r="L1828" t="s">
        <v>3923</v>
      </c>
    </row>
    <row r="1829" spans="1:12" x14ac:dyDescent="0.2">
      <c r="A1829" t="s">
        <v>1767</v>
      </c>
      <c r="B1829" t="s">
        <v>1769</v>
      </c>
      <c r="C1829" t="s">
        <v>2792</v>
      </c>
      <c r="D1829">
        <v>4</v>
      </c>
      <c r="E1829">
        <v>253.5</v>
      </c>
      <c r="F1829">
        <v>253.5</v>
      </c>
      <c r="G1829" t="s">
        <v>3922</v>
      </c>
      <c r="H1829" t="s">
        <v>4505</v>
      </c>
      <c r="I1829" t="s">
        <v>4084</v>
      </c>
      <c r="J1829" t="s">
        <v>4506</v>
      </c>
      <c r="L1829" t="s">
        <v>3923</v>
      </c>
    </row>
    <row r="1830" spans="1:12" x14ac:dyDescent="0.2">
      <c r="A1830" t="s">
        <v>1767</v>
      </c>
      <c r="B1830" t="s">
        <v>1769</v>
      </c>
      <c r="C1830" t="s">
        <v>2792</v>
      </c>
      <c r="D1830">
        <v>4</v>
      </c>
      <c r="E1830">
        <v>45</v>
      </c>
      <c r="F1830">
        <v>45</v>
      </c>
      <c r="G1830" t="s">
        <v>3922</v>
      </c>
      <c r="H1830" t="s">
        <v>4472</v>
      </c>
      <c r="I1830" t="s">
        <v>4084</v>
      </c>
      <c r="J1830" t="s">
        <v>4473</v>
      </c>
      <c r="L1830" t="s">
        <v>3923</v>
      </c>
    </row>
    <row r="1831" spans="1:12" x14ac:dyDescent="0.2">
      <c r="A1831" t="s">
        <v>1767</v>
      </c>
      <c r="B1831" t="s">
        <v>1769</v>
      </c>
      <c r="C1831" t="s">
        <v>2792</v>
      </c>
      <c r="D1831">
        <v>4</v>
      </c>
      <c r="E1831">
        <v>15.6</v>
      </c>
      <c r="F1831">
        <v>15.6</v>
      </c>
      <c r="G1831" t="s">
        <v>3922</v>
      </c>
      <c r="H1831" t="s">
        <v>4507</v>
      </c>
      <c r="I1831" t="s">
        <v>4084</v>
      </c>
      <c r="J1831" t="s">
        <v>4508</v>
      </c>
      <c r="L1831" t="s">
        <v>3923</v>
      </c>
    </row>
    <row r="1832" spans="1:12" x14ac:dyDescent="0.2">
      <c r="A1832" t="s">
        <v>1767</v>
      </c>
      <c r="B1832" t="s">
        <v>1769</v>
      </c>
      <c r="C1832" t="s">
        <v>2792</v>
      </c>
      <c r="D1832">
        <v>4</v>
      </c>
      <c r="E1832">
        <v>9</v>
      </c>
      <c r="F1832">
        <v>9</v>
      </c>
      <c r="G1832" t="s">
        <v>3922</v>
      </c>
      <c r="H1832" t="s">
        <v>4430</v>
      </c>
      <c r="I1832" t="s">
        <v>4084</v>
      </c>
      <c r="J1832" t="s">
        <v>4509</v>
      </c>
      <c r="L1832" t="s">
        <v>3923</v>
      </c>
    </row>
    <row r="1833" spans="1:12" x14ac:dyDescent="0.2">
      <c r="A1833" t="s">
        <v>1767</v>
      </c>
      <c r="B1833" t="s">
        <v>1769</v>
      </c>
      <c r="C1833" t="s">
        <v>2792</v>
      </c>
      <c r="D1833">
        <v>4</v>
      </c>
      <c r="E1833">
        <v>125.31</v>
      </c>
      <c r="F1833">
        <v>125.31</v>
      </c>
      <c r="G1833" t="s">
        <v>3922</v>
      </c>
      <c r="H1833" t="s">
        <v>4510</v>
      </c>
      <c r="I1833" t="s">
        <v>4084</v>
      </c>
      <c r="J1833" t="s">
        <v>4511</v>
      </c>
      <c r="L1833" t="s">
        <v>3923</v>
      </c>
    </row>
    <row r="1834" spans="1:12" x14ac:dyDescent="0.2">
      <c r="A1834" t="s">
        <v>1767</v>
      </c>
      <c r="B1834" t="s">
        <v>1769</v>
      </c>
      <c r="C1834" t="s">
        <v>2792</v>
      </c>
      <c r="D1834">
        <v>4</v>
      </c>
      <c r="E1834">
        <v>62.97</v>
      </c>
      <c r="F1834">
        <v>62.97</v>
      </c>
      <c r="G1834" t="s">
        <v>3922</v>
      </c>
      <c r="H1834" t="s">
        <v>4512</v>
      </c>
      <c r="I1834" t="s">
        <v>4084</v>
      </c>
      <c r="J1834" t="s">
        <v>4513</v>
      </c>
      <c r="L1834" t="s">
        <v>3923</v>
      </c>
    </row>
    <row r="1835" spans="1:12" x14ac:dyDescent="0.2">
      <c r="A1835" t="s">
        <v>1767</v>
      </c>
      <c r="B1835" t="s">
        <v>1769</v>
      </c>
      <c r="C1835" t="s">
        <v>2792</v>
      </c>
      <c r="D1835">
        <v>4</v>
      </c>
      <c r="E1835">
        <v>198.62</v>
      </c>
      <c r="F1835">
        <v>198.62</v>
      </c>
      <c r="G1835" t="s">
        <v>3922</v>
      </c>
      <c r="H1835" t="s">
        <v>4340</v>
      </c>
      <c r="I1835" t="s">
        <v>4084</v>
      </c>
      <c r="J1835" t="s">
        <v>4388</v>
      </c>
      <c r="L1835" t="s">
        <v>3923</v>
      </c>
    </row>
    <row r="1836" spans="1:12" x14ac:dyDescent="0.2">
      <c r="A1836" t="s">
        <v>1767</v>
      </c>
      <c r="B1836" t="s">
        <v>1769</v>
      </c>
      <c r="C1836" t="s">
        <v>2792</v>
      </c>
      <c r="D1836">
        <v>4</v>
      </c>
      <c r="E1836">
        <v>530</v>
      </c>
      <c r="F1836">
        <v>530</v>
      </c>
      <c r="G1836" t="s">
        <v>3922</v>
      </c>
      <c r="H1836" t="s">
        <v>4514</v>
      </c>
      <c r="I1836" t="s">
        <v>4084</v>
      </c>
      <c r="J1836" t="s">
        <v>4515</v>
      </c>
      <c r="L1836" t="s">
        <v>3923</v>
      </c>
    </row>
    <row r="1837" spans="1:12" x14ac:dyDescent="0.2">
      <c r="A1837" t="s">
        <v>1767</v>
      </c>
      <c r="B1837" t="s">
        <v>1769</v>
      </c>
      <c r="C1837" t="s">
        <v>2792</v>
      </c>
      <c r="D1837">
        <v>4</v>
      </c>
      <c r="E1837">
        <v>225</v>
      </c>
      <c r="F1837">
        <v>225</v>
      </c>
      <c r="G1837" t="s">
        <v>3922</v>
      </c>
      <c r="H1837" t="s">
        <v>4516</v>
      </c>
      <c r="I1837" t="s">
        <v>4084</v>
      </c>
      <c r="J1837" t="s">
        <v>4517</v>
      </c>
      <c r="L1837" t="s">
        <v>3923</v>
      </c>
    </row>
    <row r="1838" spans="1:12" x14ac:dyDescent="0.2">
      <c r="A1838" t="s">
        <v>1767</v>
      </c>
      <c r="B1838" t="s">
        <v>1769</v>
      </c>
      <c r="C1838" t="s">
        <v>2792</v>
      </c>
      <c r="D1838">
        <v>4</v>
      </c>
      <c r="E1838">
        <v>530</v>
      </c>
      <c r="F1838">
        <v>530</v>
      </c>
      <c r="G1838" t="s">
        <v>3922</v>
      </c>
      <c r="H1838" t="s">
        <v>4514</v>
      </c>
      <c r="I1838" t="s">
        <v>4084</v>
      </c>
      <c r="J1838" t="s">
        <v>4518</v>
      </c>
      <c r="L1838" t="s">
        <v>3923</v>
      </c>
    </row>
    <row r="1839" spans="1:12" x14ac:dyDescent="0.2">
      <c r="A1839" t="s">
        <v>1767</v>
      </c>
      <c r="B1839" t="s">
        <v>1769</v>
      </c>
      <c r="C1839" t="s">
        <v>2792</v>
      </c>
      <c r="D1839">
        <v>4</v>
      </c>
      <c r="E1839">
        <v>169.51</v>
      </c>
      <c r="F1839">
        <v>169.51</v>
      </c>
      <c r="G1839" t="s">
        <v>3922</v>
      </c>
      <c r="H1839" t="s">
        <v>4519</v>
      </c>
      <c r="I1839" t="s">
        <v>4084</v>
      </c>
      <c r="J1839" t="s">
        <v>4520</v>
      </c>
      <c r="L1839" t="s">
        <v>3923</v>
      </c>
    </row>
    <row r="1840" spans="1:12" x14ac:dyDescent="0.2">
      <c r="A1840" t="s">
        <v>1767</v>
      </c>
      <c r="B1840" t="s">
        <v>1769</v>
      </c>
      <c r="C1840" t="s">
        <v>2792</v>
      </c>
      <c r="D1840">
        <v>4</v>
      </c>
      <c r="E1840">
        <v>0</v>
      </c>
      <c r="F1840">
        <v>0</v>
      </c>
      <c r="G1840" t="s">
        <v>3922</v>
      </c>
      <c r="H1840" t="s">
        <v>3926</v>
      </c>
      <c r="I1840" t="s">
        <v>4084</v>
      </c>
      <c r="J1840" t="s">
        <v>4521</v>
      </c>
      <c r="L1840" t="s">
        <v>3923</v>
      </c>
    </row>
    <row r="1841" spans="1:12" x14ac:dyDescent="0.2">
      <c r="A1841" t="s">
        <v>1767</v>
      </c>
      <c r="B1841" t="s">
        <v>1769</v>
      </c>
      <c r="C1841" t="s">
        <v>2792</v>
      </c>
      <c r="D1841">
        <v>4</v>
      </c>
      <c r="E1841">
        <v>118.24</v>
      </c>
      <c r="F1841">
        <v>118.24</v>
      </c>
      <c r="G1841" t="s">
        <v>3922</v>
      </c>
      <c r="H1841" t="s">
        <v>4522</v>
      </c>
      <c r="I1841" t="s">
        <v>4084</v>
      </c>
      <c r="J1841" t="s">
        <v>4523</v>
      </c>
      <c r="L1841" t="s">
        <v>3923</v>
      </c>
    </row>
    <row r="1842" spans="1:12" x14ac:dyDescent="0.2">
      <c r="A1842" t="s">
        <v>1767</v>
      </c>
      <c r="B1842" t="s">
        <v>1769</v>
      </c>
      <c r="C1842" t="s">
        <v>2792</v>
      </c>
      <c r="D1842">
        <v>4</v>
      </c>
      <c r="E1842">
        <v>-118.24</v>
      </c>
      <c r="F1842">
        <v>-118.24</v>
      </c>
      <c r="G1842" t="s">
        <v>3922</v>
      </c>
      <c r="H1842" t="s">
        <v>4524</v>
      </c>
      <c r="I1842" t="s">
        <v>4084</v>
      </c>
      <c r="J1842" t="s">
        <v>4525</v>
      </c>
      <c r="L1842" t="s">
        <v>3923</v>
      </c>
    </row>
    <row r="1843" spans="1:12" x14ac:dyDescent="0.2">
      <c r="A1843" t="s">
        <v>1767</v>
      </c>
      <c r="B1843" t="s">
        <v>1769</v>
      </c>
      <c r="C1843" t="s">
        <v>2792</v>
      </c>
      <c r="D1843">
        <v>4</v>
      </c>
      <c r="E1843">
        <v>118.24</v>
      </c>
      <c r="F1843">
        <v>118.24</v>
      </c>
      <c r="G1843" t="s">
        <v>3922</v>
      </c>
      <c r="H1843" t="s">
        <v>4522</v>
      </c>
      <c r="I1843" t="s">
        <v>4084</v>
      </c>
      <c r="J1843" t="s">
        <v>4523</v>
      </c>
      <c r="L1843" t="s">
        <v>3923</v>
      </c>
    </row>
    <row r="1844" spans="1:12" x14ac:dyDescent="0.2">
      <c r="A1844" t="s">
        <v>1767</v>
      </c>
      <c r="B1844" t="s">
        <v>1769</v>
      </c>
      <c r="C1844" t="s">
        <v>2792</v>
      </c>
      <c r="D1844">
        <v>4</v>
      </c>
      <c r="E1844">
        <v>31.14</v>
      </c>
      <c r="F1844">
        <v>31.14</v>
      </c>
      <c r="G1844" t="s">
        <v>3922</v>
      </c>
      <c r="H1844" t="s">
        <v>4526</v>
      </c>
      <c r="I1844" t="s">
        <v>4084</v>
      </c>
      <c r="J1844" t="s">
        <v>4527</v>
      </c>
      <c r="L1844" t="s">
        <v>3923</v>
      </c>
    </row>
    <row r="1845" spans="1:12" x14ac:dyDescent="0.2">
      <c r="A1845" t="s">
        <v>1767</v>
      </c>
      <c r="B1845" t="s">
        <v>1769</v>
      </c>
      <c r="C1845" t="s">
        <v>2792</v>
      </c>
      <c r="D1845">
        <v>4</v>
      </c>
      <c r="E1845">
        <v>8.16</v>
      </c>
      <c r="F1845">
        <v>8.16</v>
      </c>
      <c r="G1845" t="s">
        <v>3922</v>
      </c>
      <c r="H1845" t="s">
        <v>4438</v>
      </c>
      <c r="I1845" t="s">
        <v>4084</v>
      </c>
      <c r="J1845" t="s">
        <v>4528</v>
      </c>
      <c r="L1845" t="s">
        <v>3923</v>
      </c>
    </row>
    <row r="1846" spans="1:12" x14ac:dyDescent="0.2">
      <c r="A1846" t="s">
        <v>1767</v>
      </c>
      <c r="B1846" t="s">
        <v>1769</v>
      </c>
      <c r="C1846" t="s">
        <v>2792</v>
      </c>
      <c r="D1846">
        <v>4</v>
      </c>
      <c r="E1846">
        <v>156.57</v>
      </c>
      <c r="F1846">
        <v>156.57</v>
      </c>
      <c r="G1846" t="s">
        <v>3922</v>
      </c>
      <c r="H1846" t="s">
        <v>4529</v>
      </c>
      <c r="I1846" t="s">
        <v>4084</v>
      </c>
      <c r="J1846" t="s">
        <v>3713</v>
      </c>
      <c r="L1846" t="s">
        <v>3923</v>
      </c>
    </row>
    <row r="1847" spans="1:12" x14ac:dyDescent="0.2">
      <c r="A1847" t="s">
        <v>1767</v>
      </c>
      <c r="B1847" t="s">
        <v>1769</v>
      </c>
      <c r="C1847" t="s">
        <v>2792</v>
      </c>
      <c r="D1847">
        <v>4</v>
      </c>
      <c r="E1847">
        <v>62</v>
      </c>
      <c r="F1847">
        <v>62</v>
      </c>
      <c r="G1847" t="s">
        <v>3922</v>
      </c>
      <c r="H1847" t="s">
        <v>4530</v>
      </c>
      <c r="I1847" t="s">
        <v>4084</v>
      </c>
      <c r="J1847" t="s">
        <v>4531</v>
      </c>
      <c r="L1847" t="s">
        <v>3923</v>
      </c>
    </row>
    <row r="1848" spans="1:12" x14ac:dyDescent="0.2">
      <c r="A1848" t="s">
        <v>1767</v>
      </c>
      <c r="B1848" t="s">
        <v>1769</v>
      </c>
      <c r="C1848" t="s">
        <v>2792</v>
      </c>
      <c r="D1848">
        <v>4</v>
      </c>
      <c r="E1848">
        <v>336</v>
      </c>
      <c r="F1848">
        <v>336</v>
      </c>
      <c r="G1848" t="s">
        <v>3922</v>
      </c>
      <c r="H1848" t="s">
        <v>4532</v>
      </c>
      <c r="I1848" t="s">
        <v>4084</v>
      </c>
      <c r="J1848" t="s">
        <v>4533</v>
      </c>
      <c r="L1848" t="s">
        <v>3923</v>
      </c>
    </row>
    <row r="1849" spans="1:12" x14ac:dyDescent="0.2">
      <c r="A1849" t="s">
        <v>1767</v>
      </c>
      <c r="B1849" t="s">
        <v>1769</v>
      </c>
      <c r="C1849" t="s">
        <v>2792</v>
      </c>
      <c r="D1849">
        <v>4</v>
      </c>
      <c r="E1849">
        <v>104</v>
      </c>
      <c r="F1849">
        <v>104</v>
      </c>
      <c r="G1849" t="s">
        <v>3922</v>
      </c>
      <c r="H1849" t="s">
        <v>4534</v>
      </c>
      <c r="I1849" t="s">
        <v>4084</v>
      </c>
      <c r="J1849" t="s">
        <v>4535</v>
      </c>
      <c r="L1849" t="s">
        <v>3923</v>
      </c>
    </row>
    <row r="1850" spans="1:12" x14ac:dyDescent="0.2">
      <c r="A1850" t="s">
        <v>1767</v>
      </c>
      <c r="B1850" t="s">
        <v>1769</v>
      </c>
      <c r="C1850" t="s">
        <v>2792</v>
      </c>
      <c r="D1850">
        <v>4</v>
      </c>
      <c r="E1850">
        <v>11880</v>
      </c>
      <c r="F1850">
        <v>11880</v>
      </c>
      <c r="G1850" t="s">
        <v>3922</v>
      </c>
      <c r="H1850" t="s">
        <v>4536</v>
      </c>
      <c r="I1850" t="s">
        <v>4084</v>
      </c>
      <c r="J1850" t="s">
        <v>4537</v>
      </c>
      <c r="L1850" t="s">
        <v>3923</v>
      </c>
    </row>
    <row r="1851" spans="1:12" x14ac:dyDescent="0.2">
      <c r="A1851" t="s">
        <v>1767</v>
      </c>
      <c r="B1851" t="s">
        <v>1769</v>
      </c>
      <c r="C1851" t="s">
        <v>2792</v>
      </c>
      <c r="D1851">
        <v>4</v>
      </c>
      <c r="E1851">
        <v>400</v>
      </c>
      <c r="F1851">
        <v>400</v>
      </c>
      <c r="G1851" t="s">
        <v>3922</v>
      </c>
      <c r="H1851" t="s">
        <v>4538</v>
      </c>
      <c r="I1851" t="s">
        <v>4084</v>
      </c>
      <c r="J1851" t="s">
        <v>4539</v>
      </c>
      <c r="L1851" t="s">
        <v>3923</v>
      </c>
    </row>
    <row r="1852" spans="1:12" x14ac:dyDescent="0.2">
      <c r="A1852" t="s">
        <v>1767</v>
      </c>
      <c r="B1852" t="s">
        <v>1769</v>
      </c>
      <c r="C1852" t="s">
        <v>2792</v>
      </c>
      <c r="D1852">
        <v>4</v>
      </c>
      <c r="E1852">
        <v>74.28</v>
      </c>
      <c r="F1852">
        <v>74.28</v>
      </c>
      <c r="G1852" t="s">
        <v>3922</v>
      </c>
      <c r="H1852" t="s">
        <v>4540</v>
      </c>
      <c r="I1852" t="s">
        <v>4084</v>
      </c>
      <c r="J1852" t="s">
        <v>4541</v>
      </c>
      <c r="L1852" t="s">
        <v>3923</v>
      </c>
    </row>
    <row r="1853" spans="1:12" x14ac:dyDescent="0.2">
      <c r="A1853" t="s">
        <v>1767</v>
      </c>
      <c r="B1853" t="s">
        <v>1769</v>
      </c>
      <c r="C1853" t="s">
        <v>2792</v>
      </c>
      <c r="D1853">
        <v>4</v>
      </c>
      <c r="E1853">
        <v>64.5</v>
      </c>
      <c r="F1853">
        <v>64.5</v>
      </c>
      <c r="G1853" t="s">
        <v>3922</v>
      </c>
      <c r="H1853" t="s">
        <v>4542</v>
      </c>
      <c r="I1853" t="s">
        <v>4084</v>
      </c>
      <c r="J1853" t="s">
        <v>4543</v>
      </c>
      <c r="L1853" t="s">
        <v>3923</v>
      </c>
    </row>
    <row r="1854" spans="1:12" x14ac:dyDescent="0.2">
      <c r="A1854" t="s">
        <v>1767</v>
      </c>
      <c r="B1854" t="s">
        <v>1769</v>
      </c>
      <c r="C1854" t="s">
        <v>2792</v>
      </c>
      <c r="D1854">
        <v>4</v>
      </c>
      <c r="E1854">
        <v>37.200000000000003</v>
      </c>
      <c r="F1854">
        <v>37.200000000000003</v>
      </c>
      <c r="G1854" t="s">
        <v>3922</v>
      </c>
      <c r="H1854" t="s">
        <v>4454</v>
      </c>
      <c r="I1854" t="s">
        <v>4084</v>
      </c>
      <c r="J1854" t="s">
        <v>4455</v>
      </c>
      <c r="L1854" t="s">
        <v>3923</v>
      </c>
    </row>
    <row r="1855" spans="1:12" x14ac:dyDescent="0.2">
      <c r="A1855" t="s">
        <v>1767</v>
      </c>
      <c r="B1855" t="s">
        <v>1769</v>
      </c>
      <c r="C1855" t="s">
        <v>2792</v>
      </c>
      <c r="D1855">
        <v>4</v>
      </c>
      <c r="E1855">
        <v>148.80000000000001</v>
      </c>
      <c r="F1855">
        <v>148.80000000000001</v>
      </c>
      <c r="G1855" t="s">
        <v>3922</v>
      </c>
      <c r="H1855" t="s">
        <v>4544</v>
      </c>
      <c r="I1855" t="s">
        <v>4084</v>
      </c>
      <c r="J1855" t="s">
        <v>4545</v>
      </c>
      <c r="L1855" t="s">
        <v>3923</v>
      </c>
    </row>
    <row r="1856" spans="1:12" x14ac:dyDescent="0.2">
      <c r="A1856" t="s">
        <v>1767</v>
      </c>
      <c r="B1856" t="s">
        <v>1769</v>
      </c>
      <c r="C1856" t="s">
        <v>2792</v>
      </c>
      <c r="D1856">
        <v>4</v>
      </c>
      <c r="E1856">
        <v>43.2</v>
      </c>
      <c r="F1856">
        <v>43.2</v>
      </c>
      <c r="G1856" t="s">
        <v>3922</v>
      </c>
      <c r="H1856" t="s">
        <v>4546</v>
      </c>
      <c r="I1856" t="s">
        <v>4084</v>
      </c>
      <c r="J1856" t="s">
        <v>4547</v>
      </c>
      <c r="L1856" t="s">
        <v>3923</v>
      </c>
    </row>
    <row r="1857" spans="1:12" x14ac:dyDescent="0.2">
      <c r="A1857" t="s">
        <v>1767</v>
      </c>
      <c r="B1857" t="s">
        <v>1769</v>
      </c>
      <c r="C1857" t="s">
        <v>2792</v>
      </c>
      <c r="D1857">
        <v>4</v>
      </c>
      <c r="E1857">
        <v>3.6</v>
      </c>
      <c r="F1857">
        <v>3.6</v>
      </c>
      <c r="G1857" t="s">
        <v>3922</v>
      </c>
      <c r="H1857" t="s">
        <v>4548</v>
      </c>
      <c r="I1857" t="s">
        <v>4084</v>
      </c>
      <c r="J1857" t="s">
        <v>4549</v>
      </c>
      <c r="L1857" t="s">
        <v>3923</v>
      </c>
    </row>
    <row r="1858" spans="1:12" x14ac:dyDescent="0.2">
      <c r="A1858" t="s">
        <v>1767</v>
      </c>
      <c r="B1858" t="s">
        <v>1769</v>
      </c>
      <c r="C1858" t="s">
        <v>2792</v>
      </c>
      <c r="D1858">
        <v>4</v>
      </c>
      <c r="E1858">
        <v>-20.47</v>
      </c>
      <c r="F1858">
        <v>-20.47</v>
      </c>
      <c r="G1858" t="s">
        <v>3922</v>
      </c>
      <c r="H1858" t="s">
        <v>4550</v>
      </c>
      <c r="I1858" t="s">
        <v>4084</v>
      </c>
      <c r="J1858" t="s">
        <v>4551</v>
      </c>
      <c r="L1858" t="s">
        <v>3923</v>
      </c>
    </row>
    <row r="1859" spans="1:12" x14ac:dyDescent="0.2">
      <c r="A1859" t="s">
        <v>1767</v>
      </c>
      <c r="B1859" t="s">
        <v>1769</v>
      </c>
      <c r="C1859" t="s">
        <v>2792</v>
      </c>
      <c r="D1859">
        <v>4</v>
      </c>
      <c r="E1859">
        <v>0.26</v>
      </c>
      <c r="F1859">
        <v>0.26</v>
      </c>
      <c r="G1859" t="s">
        <v>3922</v>
      </c>
      <c r="H1859" t="s">
        <v>4552</v>
      </c>
      <c r="I1859" t="s">
        <v>4084</v>
      </c>
      <c r="J1859" t="s">
        <v>4553</v>
      </c>
      <c r="L1859" t="s">
        <v>3923</v>
      </c>
    </row>
    <row r="1860" spans="1:12" x14ac:dyDescent="0.2">
      <c r="A1860" t="s">
        <v>1767</v>
      </c>
      <c r="B1860" t="s">
        <v>1769</v>
      </c>
      <c r="C1860" t="s">
        <v>2792</v>
      </c>
      <c r="D1860">
        <v>4</v>
      </c>
      <c r="E1860">
        <v>0.13</v>
      </c>
      <c r="F1860">
        <v>0.13</v>
      </c>
      <c r="G1860" t="s">
        <v>3922</v>
      </c>
      <c r="H1860" t="s">
        <v>4554</v>
      </c>
      <c r="I1860" t="s">
        <v>4084</v>
      </c>
      <c r="J1860" t="s">
        <v>4555</v>
      </c>
      <c r="L1860" t="s">
        <v>3923</v>
      </c>
    </row>
    <row r="1861" spans="1:12" x14ac:dyDescent="0.2">
      <c r="A1861" t="s">
        <v>1767</v>
      </c>
      <c r="B1861" t="s">
        <v>1769</v>
      </c>
      <c r="C1861" t="s">
        <v>2792</v>
      </c>
      <c r="D1861">
        <v>4</v>
      </c>
      <c r="E1861">
        <v>4.9000000000000004</v>
      </c>
      <c r="F1861">
        <v>4.9000000000000004</v>
      </c>
      <c r="G1861" t="s">
        <v>3922</v>
      </c>
      <c r="H1861" t="s">
        <v>4556</v>
      </c>
      <c r="I1861" t="s">
        <v>4084</v>
      </c>
      <c r="J1861" t="s">
        <v>2510</v>
      </c>
      <c r="L1861" t="s">
        <v>3923</v>
      </c>
    </row>
    <row r="1862" spans="1:12" x14ac:dyDescent="0.2">
      <c r="A1862" t="s">
        <v>1767</v>
      </c>
      <c r="B1862" t="s">
        <v>1769</v>
      </c>
      <c r="C1862" t="s">
        <v>2792</v>
      </c>
      <c r="D1862">
        <v>4</v>
      </c>
      <c r="E1862">
        <v>2873.7</v>
      </c>
      <c r="F1862">
        <v>2873.7</v>
      </c>
      <c r="G1862" t="s">
        <v>3922</v>
      </c>
      <c r="H1862" t="s">
        <v>4557</v>
      </c>
      <c r="I1862" t="s">
        <v>4084</v>
      </c>
      <c r="J1862" t="s">
        <v>4558</v>
      </c>
      <c r="L1862" t="s">
        <v>3923</v>
      </c>
    </row>
    <row r="1863" spans="1:12" x14ac:dyDescent="0.2">
      <c r="A1863" t="s">
        <v>1767</v>
      </c>
      <c r="B1863" t="s">
        <v>1769</v>
      </c>
      <c r="C1863" t="s">
        <v>2792</v>
      </c>
      <c r="D1863">
        <v>4</v>
      </c>
      <c r="E1863">
        <v>2385</v>
      </c>
      <c r="F1863">
        <v>2385</v>
      </c>
      <c r="G1863" t="s">
        <v>3922</v>
      </c>
      <c r="H1863" t="s">
        <v>4559</v>
      </c>
      <c r="I1863" t="s">
        <v>4084</v>
      </c>
      <c r="J1863" t="s">
        <v>4560</v>
      </c>
      <c r="L1863" t="s">
        <v>3923</v>
      </c>
    </row>
    <row r="1864" spans="1:12" x14ac:dyDescent="0.2">
      <c r="A1864" t="s">
        <v>1767</v>
      </c>
      <c r="B1864" t="s">
        <v>1769</v>
      </c>
      <c r="C1864" t="s">
        <v>2792</v>
      </c>
      <c r="D1864">
        <v>4</v>
      </c>
      <c r="E1864">
        <v>90</v>
      </c>
      <c r="F1864">
        <v>90</v>
      </c>
      <c r="G1864" t="s">
        <v>3922</v>
      </c>
      <c r="H1864" t="s">
        <v>4561</v>
      </c>
      <c r="I1864" t="s">
        <v>4084</v>
      </c>
      <c r="J1864" t="s">
        <v>4562</v>
      </c>
      <c r="L1864" t="s">
        <v>3923</v>
      </c>
    </row>
    <row r="1865" spans="1:12" x14ac:dyDescent="0.2">
      <c r="A1865" t="s">
        <v>1767</v>
      </c>
      <c r="B1865" t="s">
        <v>1769</v>
      </c>
      <c r="C1865" t="s">
        <v>2792</v>
      </c>
      <c r="D1865">
        <v>4</v>
      </c>
      <c r="E1865">
        <v>1290</v>
      </c>
      <c r="F1865">
        <v>1290</v>
      </c>
      <c r="G1865" t="s">
        <v>3922</v>
      </c>
      <c r="H1865" t="s">
        <v>4563</v>
      </c>
      <c r="I1865" t="s">
        <v>4084</v>
      </c>
      <c r="J1865" t="s">
        <v>4564</v>
      </c>
      <c r="L1865" t="s">
        <v>3923</v>
      </c>
    </row>
    <row r="1866" spans="1:12" x14ac:dyDescent="0.2">
      <c r="A1866" t="s">
        <v>1767</v>
      </c>
      <c r="B1866" t="s">
        <v>1769</v>
      </c>
      <c r="C1866" t="s">
        <v>2792</v>
      </c>
      <c r="D1866">
        <v>4</v>
      </c>
      <c r="E1866">
        <v>1861.62</v>
      </c>
      <c r="F1866">
        <v>1861.62</v>
      </c>
      <c r="G1866" t="s">
        <v>3922</v>
      </c>
      <c r="H1866" t="s">
        <v>4565</v>
      </c>
      <c r="I1866" t="s">
        <v>4084</v>
      </c>
      <c r="J1866" t="s">
        <v>4566</v>
      </c>
      <c r="L1866" t="s">
        <v>3923</v>
      </c>
    </row>
    <row r="1867" spans="1:12" x14ac:dyDescent="0.2">
      <c r="A1867" t="s">
        <v>1767</v>
      </c>
      <c r="B1867" t="s">
        <v>1769</v>
      </c>
      <c r="C1867" t="s">
        <v>2792</v>
      </c>
      <c r="D1867">
        <v>4</v>
      </c>
      <c r="E1867">
        <v>2010.84</v>
      </c>
      <c r="F1867">
        <v>2010.84</v>
      </c>
      <c r="G1867" t="s">
        <v>3922</v>
      </c>
      <c r="H1867" t="s">
        <v>4567</v>
      </c>
      <c r="I1867" t="s">
        <v>4084</v>
      </c>
      <c r="J1867" t="s">
        <v>4568</v>
      </c>
      <c r="L1867" t="s">
        <v>3923</v>
      </c>
    </row>
    <row r="1868" spans="1:12" x14ac:dyDescent="0.2">
      <c r="A1868" t="s">
        <v>1767</v>
      </c>
      <c r="B1868" t="s">
        <v>1769</v>
      </c>
      <c r="C1868" t="s">
        <v>2792</v>
      </c>
      <c r="D1868">
        <v>4</v>
      </c>
      <c r="E1868">
        <v>303.89999999999998</v>
      </c>
      <c r="F1868">
        <v>303.89999999999998</v>
      </c>
      <c r="G1868" t="s">
        <v>3922</v>
      </c>
      <c r="H1868" t="s">
        <v>4569</v>
      </c>
      <c r="I1868" t="s">
        <v>4084</v>
      </c>
      <c r="J1868" t="s">
        <v>4570</v>
      </c>
      <c r="L1868" t="s">
        <v>3923</v>
      </c>
    </row>
    <row r="1869" spans="1:12" x14ac:dyDescent="0.2">
      <c r="A1869" t="s">
        <v>1767</v>
      </c>
      <c r="B1869" t="s">
        <v>1769</v>
      </c>
      <c r="C1869" t="s">
        <v>2792</v>
      </c>
      <c r="D1869">
        <v>4</v>
      </c>
      <c r="E1869">
        <v>225.8</v>
      </c>
      <c r="F1869">
        <v>225.8</v>
      </c>
      <c r="G1869" t="s">
        <v>3922</v>
      </c>
      <c r="H1869" t="s">
        <v>4571</v>
      </c>
      <c r="I1869" t="s">
        <v>4084</v>
      </c>
      <c r="J1869" t="s">
        <v>4572</v>
      </c>
      <c r="L1869" t="s">
        <v>3923</v>
      </c>
    </row>
    <row r="1870" spans="1:12" x14ac:dyDescent="0.2">
      <c r="A1870" t="s">
        <v>1767</v>
      </c>
      <c r="B1870" t="s">
        <v>1769</v>
      </c>
      <c r="C1870" t="s">
        <v>2792</v>
      </c>
      <c r="D1870">
        <v>4</v>
      </c>
      <c r="E1870">
        <v>3084.12</v>
      </c>
      <c r="F1870">
        <v>3084.12</v>
      </c>
      <c r="G1870" t="s">
        <v>3922</v>
      </c>
      <c r="H1870" t="s">
        <v>4573</v>
      </c>
      <c r="I1870" t="s">
        <v>4084</v>
      </c>
      <c r="J1870" t="s">
        <v>4574</v>
      </c>
      <c r="L1870" t="s">
        <v>3923</v>
      </c>
    </row>
    <row r="1871" spans="1:12" x14ac:dyDescent="0.2">
      <c r="A1871" t="s">
        <v>1767</v>
      </c>
      <c r="B1871" t="s">
        <v>1769</v>
      </c>
      <c r="C1871" t="s">
        <v>2792</v>
      </c>
      <c r="D1871">
        <v>4</v>
      </c>
      <c r="E1871">
        <v>63.6</v>
      </c>
      <c r="F1871">
        <v>63.6</v>
      </c>
      <c r="G1871" t="s">
        <v>3922</v>
      </c>
      <c r="H1871" t="s">
        <v>4575</v>
      </c>
      <c r="I1871" t="s">
        <v>4084</v>
      </c>
      <c r="J1871" t="s">
        <v>4576</v>
      </c>
      <c r="L1871" t="s">
        <v>3923</v>
      </c>
    </row>
    <row r="1872" spans="1:12" x14ac:dyDescent="0.2">
      <c r="A1872" t="s">
        <v>1767</v>
      </c>
      <c r="B1872" t="s">
        <v>1769</v>
      </c>
      <c r="C1872" t="s">
        <v>2792</v>
      </c>
      <c r="D1872">
        <v>4</v>
      </c>
      <c r="E1872">
        <v>110.4</v>
      </c>
      <c r="F1872">
        <v>110.4</v>
      </c>
      <c r="G1872" t="s">
        <v>3922</v>
      </c>
      <c r="H1872" t="s">
        <v>4577</v>
      </c>
      <c r="I1872" t="s">
        <v>4084</v>
      </c>
      <c r="J1872" t="s">
        <v>4578</v>
      </c>
      <c r="L1872" t="s">
        <v>3923</v>
      </c>
    </row>
    <row r="1873" spans="1:12" x14ac:dyDescent="0.2">
      <c r="A1873" t="s">
        <v>1767</v>
      </c>
      <c r="B1873" t="s">
        <v>1769</v>
      </c>
      <c r="C1873" t="s">
        <v>2792</v>
      </c>
      <c r="D1873">
        <v>4</v>
      </c>
      <c r="E1873">
        <v>45.34</v>
      </c>
      <c r="F1873">
        <v>45.34</v>
      </c>
      <c r="G1873" t="s">
        <v>3922</v>
      </c>
      <c r="H1873" t="s">
        <v>4579</v>
      </c>
      <c r="I1873" t="s">
        <v>4084</v>
      </c>
      <c r="J1873" t="s">
        <v>4580</v>
      </c>
      <c r="L1873" t="s">
        <v>3923</v>
      </c>
    </row>
    <row r="1874" spans="1:12" x14ac:dyDescent="0.2">
      <c r="A1874" t="s">
        <v>1767</v>
      </c>
      <c r="B1874" t="s">
        <v>1769</v>
      </c>
      <c r="C1874" t="s">
        <v>2792</v>
      </c>
      <c r="D1874">
        <v>4</v>
      </c>
      <c r="E1874">
        <v>740</v>
      </c>
      <c r="F1874">
        <v>740</v>
      </c>
      <c r="G1874" t="s">
        <v>3922</v>
      </c>
      <c r="H1874" t="s">
        <v>4581</v>
      </c>
      <c r="I1874" t="s">
        <v>4084</v>
      </c>
      <c r="J1874" t="s">
        <v>4582</v>
      </c>
      <c r="L1874" t="s">
        <v>3923</v>
      </c>
    </row>
    <row r="1875" spans="1:12" x14ac:dyDescent="0.2">
      <c r="A1875" t="s">
        <v>1767</v>
      </c>
      <c r="B1875" t="s">
        <v>1769</v>
      </c>
      <c r="C1875" t="s">
        <v>2792</v>
      </c>
      <c r="D1875">
        <v>4</v>
      </c>
      <c r="E1875">
        <v>0.31</v>
      </c>
      <c r="F1875">
        <v>0.31</v>
      </c>
      <c r="G1875" t="s">
        <v>3922</v>
      </c>
      <c r="H1875" t="s">
        <v>4583</v>
      </c>
      <c r="I1875" t="s">
        <v>4084</v>
      </c>
      <c r="J1875" t="s">
        <v>4584</v>
      </c>
      <c r="L1875" t="s">
        <v>3923</v>
      </c>
    </row>
    <row r="1876" spans="1:12" x14ac:dyDescent="0.2">
      <c r="A1876" t="s">
        <v>1767</v>
      </c>
      <c r="B1876" t="s">
        <v>1769</v>
      </c>
      <c r="C1876" t="s">
        <v>2792</v>
      </c>
      <c r="D1876">
        <v>4</v>
      </c>
      <c r="E1876">
        <v>124</v>
      </c>
      <c r="F1876">
        <v>124</v>
      </c>
      <c r="G1876" t="s">
        <v>3922</v>
      </c>
      <c r="H1876" t="s">
        <v>4585</v>
      </c>
      <c r="I1876" t="s">
        <v>4084</v>
      </c>
      <c r="J1876" t="s">
        <v>4586</v>
      </c>
      <c r="L1876" t="s">
        <v>3923</v>
      </c>
    </row>
    <row r="1877" spans="1:12" x14ac:dyDescent="0.2">
      <c r="A1877" t="s">
        <v>1767</v>
      </c>
      <c r="B1877" t="s">
        <v>1769</v>
      </c>
      <c r="C1877" t="s">
        <v>2792</v>
      </c>
      <c r="D1877">
        <v>4</v>
      </c>
      <c r="E1877">
        <v>663</v>
      </c>
      <c r="F1877">
        <v>663</v>
      </c>
      <c r="G1877" t="s">
        <v>3922</v>
      </c>
      <c r="H1877" t="s">
        <v>4587</v>
      </c>
      <c r="I1877" t="s">
        <v>4084</v>
      </c>
      <c r="J1877" t="s">
        <v>4588</v>
      </c>
      <c r="L1877" t="s">
        <v>3923</v>
      </c>
    </row>
    <row r="1878" spans="1:12" x14ac:dyDescent="0.2">
      <c r="A1878" t="s">
        <v>1767</v>
      </c>
      <c r="B1878" t="s">
        <v>1769</v>
      </c>
      <c r="C1878" t="s">
        <v>2792</v>
      </c>
      <c r="D1878">
        <v>4</v>
      </c>
      <c r="E1878">
        <v>71.86</v>
      </c>
      <c r="F1878">
        <v>71.86</v>
      </c>
      <c r="G1878" t="s">
        <v>3922</v>
      </c>
      <c r="H1878" t="s">
        <v>4589</v>
      </c>
      <c r="I1878" t="s">
        <v>4084</v>
      </c>
      <c r="J1878" t="s">
        <v>4590</v>
      </c>
      <c r="L1878" t="s">
        <v>3923</v>
      </c>
    </row>
    <row r="1879" spans="1:12" x14ac:dyDescent="0.2">
      <c r="A1879" t="s">
        <v>1767</v>
      </c>
      <c r="B1879" t="s">
        <v>1769</v>
      </c>
      <c r="C1879" t="s">
        <v>2792</v>
      </c>
      <c r="D1879">
        <v>4</v>
      </c>
      <c r="E1879">
        <v>496.52</v>
      </c>
      <c r="F1879">
        <v>496.52</v>
      </c>
      <c r="G1879" t="s">
        <v>3922</v>
      </c>
      <c r="H1879" t="s">
        <v>4591</v>
      </c>
      <c r="I1879" t="s">
        <v>4084</v>
      </c>
      <c r="J1879" t="s">
        <v>4592</v>
      </c>
      <c r="L1879" t="s">
        <v>3923</v>
      </c>
    </row>
    <row r="1880" spans="1:12" x14ac:dyDescent="0.2">
      <c r="A1880" t="s">
        <v>1767</v>
      </c>
      <c r="B1880" t="s">
        <v>1769</v>
      </c>
      <c r="C1880" t="s">
        <v>2792</v>
      </c>
      <c r="D1880">
        <v>4</v>
      </c>
      <c r="E1880">
        <v>190.35</v>
      </c>
      <c r="F1880">
        <v>190.35</v>
      </c>
      <c r="G1880" t="s">
        <v>3922</v>
      </c>
      <c r="H1880" t="s">
        <v>4593</v>
      </c>
      <c r="I1880" t="s">
        <v>4084</v>
      </c>
      <c r="J1880" t="s">
        <v>4594</v>
      </c>
      <c r="L1880" t="s">
        <v>3923</v>
      </c>
    </row>
    <row r="1881" spans="1:12" x14ac:dyDescent="0.2">
      <c r="A1881" t="s">
        <v>1767</v>
      </c>
      <c r="B1881" t="s">
        <v>1769</v>
      </c>
      <c r="C1881" t="s">
        <v>2792</v>
      </c>
      <c r="D1881">
        <v>4</v>
      </c>
      <c r="E1881">
        <v>82.09</v>
      </c>
      <c r="F1881">
        <v>82.09</v>
      </c>
      <c r="G1881" t="s">
        <v>3922</v>
      </c>
      <c r="H1881" t="s">
        <v>4595</v>
      </c>
      <c r="I1881" t="s">
        <v>4084</v>
      </c>
      <c r="J1881" t="s">
        <v>4596</v>
      </c>
      <c r="L1881" t="s">
        <v>3923</v>
      </c>
    </row>
    <row r="1882" spans="1:12" x14ac:dyDescent="0.2">
      <c r="A1882" t="s">
        <v>1767</v>
      </c>
      <c r="B1882" t="s">
        <v>1769</v>
      </c>
      <c r="C1882" t="s">
        <v>2792</v>
      </c>
      <c r="D1882">
        <v>4</v>
      </c>
      <c r="E1882">
        <v>57.4</v>
      </c>
      <c r="F1882">
        <v>57.4</v>
      </c>
      <c r="G1882" t="s">
        <v>3922</v>
      </c>
      <c r="H1882" t="s">
        <v>4597</v>
      </c>
      <c r="I1882" t="s">
        <v>4084</v>
      </c>
      <c r="J1882" t="s">
        <v>4598</v>
      </c>
      <c r="L1882" t="s">
        <v>3923</v>
      </c>
    </row>
    <row r="1883" spans="1:12" x14ac:dyDescent="0.2">
      <c r="A1883" t="s">
        <v>1767</v>
      </c>
      <c r="B1883" t="s">
        <v>1769</v>
      </c>
      <c r="C1883" t="s">
        <v>2792</v>
      </c>
      <c r="D1883">
        <v>4</v>
      </c>
      <c r="E1883">
        <v>343.44</v>
      </c>
      <c r="F1883">
        <v>343.44</v>
      </c>
      <c r="G1883" t="s">
        <v>3922</v>
      </c>
      <c r="H1883" t="s">
        <v>4599</v>
      </c>
      <c r="I1883" t="s">
        <v>4084</v>
      </c>
      <c r="J1883" t="s">
        <v>4600</v>
      </c>
      <c r="L1883" t="s">
        <v>3923</v>
      </c>
    </row>
    <row r="1884" spans="1:12" x14ac:dyDescent="0.2">
      <c r="A1884" t="s">
        <v>1767</v>
      </c>
      <c r="B1884" t="s">
        <v>1769</v>
      </c>
      <c r="C1884" t="s">
        <v>2792</v>
      </c>
      <c r="D1884">
        <v>4</v>
      </c>
      <c r="E1884">
        <v>57.75</v>
      </c>
      <c r="F1884">
        <v>57.75</v>
      </c>
      <c r="G1884" t="s">
        <v>3922</v>
      </c>
      <c r="H1884" t="s">
        <v>4601</v>
      </c>
      <c r="I1884" t="s">
        <v>4084</v>
      </c>
      <c r="J1884" t="s">
        <v>4602</v>
      </c>
      <c r="L1884" t="s">
        <v>3923</v>
      </c>
    </row>
    <row r="1885" spans="1:12" x14ac:dyDescent="0.2">
      <c r="A1885" t="s">
        <v>1767</v>
      </c>
      <c r="B1885" t="s">
        <v>1769</v>
      </c>
      <c r="C1885" t="s">
        <v>2792</v>
      </c>
      <c r="D1885">
        <v>4</v>
      </c>
      <c r="E1885">
        <v>67.8</v>
      </c>
      <c r="F1885">
        <v>67.8</v>
      </c>
      <c r="G1885" t="s">
        <v>3922</v>
      </c>
      <c r="H1885" t="s">
        <v>4603</v>
      </c>
      <c r="I1885" t="s">
        <v>4084</v>
      </c>
      <c r="J1885" t="s">
        <v>4604</v>
      </c>
      <c r="L1885" t="s">
        <v>3923</v>
      </c>
    </row>
    <row r="1886" spans="1:12" x14ac:dyDescent="0.2">
      <c r="A1886" t="s">
        <v>1767</v>
      </c>
      <c r="B1886" t="s">
        <v>1769</v>
      </c>
      <c r="C1886" t="s">
        <v>2792</v>
      </c>
      <c r="D1886">
        <v>4</v>
      </c>
      <c r="E1886">
        <v>3004.56</v>
      </c>
      <c r="F1886">
        <v>3004.56</v>
      </c>
      <c r="G1886" t="s">
        <v>3922</v>
      </c>
      <c r="H1886" t="s">
        <v>4605</v>
      </c>
      <c r="I1886" t="s">
        <v>4084</v>
      </c>
      <c r="J1886" t="s">
        <v>4606</v>
      </c>
      <c r="L1886" t="s">
        <v>3923</v>
      </c>
    </row>
    <row r="1887" spans="1:12" x14ac:dyDescent="0.2">
      <c r="A1887" t="s">
        <v>1767</v>
      </c>
      <c r="B1887" t="s">
        <v>1769</v>
      </c>
      <c r="C1887" t="s">
        <v>2792</v>
      </c>
      <c r="D1887">
        <v>4</v>
      </c>
      <c r="E1887">
        <v>78</v>
      </c>
      <c r="F1887">
        <v>78</v>
      </c>
      <c r="G1887" t="s">
        <v>3922</v>
      </c>
      <c r="H1887" t="s">
        <v>4607</v>
      </c>
      <c r="I1887" t="s">
        <v>4084</v>
      </c>
      <c r="J1887" t="s">
        <v>4608</v>
      </c>
      <c r="L1887" t="s">
        <v>3923</v>
      </c>
    </row>
    <row r="1888" spans="1:12" x14ac:dyDescent="0.2">
      <c r="A1888" t="s">
        <v>1767</v>
      </c>
      <c r="B1888" t="s">
        <v>1769</v>
      </c>
      <c r="C1888" t="s">
        <v>2792</v>
      </c>
      <c r="D1888">
        <v>4</v>
      </c>
      <c r="E1888">
        <v>8910</v>
      </c>
      <c r="F1888">
        <v>8910</v>
      </c>
      <c r="G1888" t="s">
        <v>3922</v>
      </c>
      <c r="H1888" t="s">
        <v>4235</v>
      </c>
      <c r="I1888" t="s">
        <v>4084</v>
      </c>
      <c r="J1888" t="s">
        <v>4609</v>
      </c>
      <c r="L1888" t="s">
        <v>3923</v>
      </c>
    </row>
    <row r="1889" spans="1:12" x14ac:dyDescent="0.2">
      <c r="A1889" t="s">
        <v>1767</v>
      </c>
      <c r="B1889" t="s">
        <v>1769</v>
      </c>
      <c r="C1889" t="s">
        <v>2792</v>
      </c>
      <c r="D1889">
        <v>4</v>
      </c>
      <c r="E1889">
        <v>165.41</v>
      </c>
      <c r="F1889">
        <v>165.41</v>
      </c>
      <c r="G1889" t="s">
        <v>3922</v>
      </c>
      <c r="H1889" t="s">
        <v>4610</v>
      </c>
      <c r="I1889" t="s">
        <v>4084</v>
      </c>
      <c r="J1889" t="s">
        <v>4611</v>
      </c>
      <c r="L1889" t="s">
        <v>3923</v>
      </c>
    </row>
    <row r="1890" spans="1:12" x14ac:dyDescent="0.2">
      <c r="A1890" t="s">
        <v>1767</v>
      </c>
      <c r="B1890" t="s">
        <v>1769</v>
      </c>
      <c r="C1890" t="s">
        <v>2792</v>
      </c>
      <c r="D1890">
        <v>4</v>
      </c>
      <c r="E1890">
        <v>1212.3</v>
      </c>
      <c r="F1890">
        <v>1212.3</v>
      </c>
      <c r="G1890" t="s">
        <v>3922</v>
      </c>
      <c r="H1890" t="s">
        <v>4612</v>
      </c>
      <c r="I1890" t="s">
        <v>4084</v>
      </c>
      <c r="J1890" t="s">
        <v>4613</v>
      </c>
      <c r="L1890" t="s">
        <v>3923</v>
      </c>
    </row>
    <row r="1891" spans="1:12" x14ac:dyDescent="0.2">
      <c r="A1891" t="s">
        <v>1767</v>
      </c>
      <c r="B1891" t="s">
        <v>1769</v>
      </c>
      <c r="C1891" t="s">
        <v>2792</v>
      </c>
      <c r="D1891">
        <v>4</v>
      </c>
      <c r="E1891">
        <v>1500</v>
      </c>
      <c r="F1891">
        <v>1500</v>
      </c>
      <c r="G1891" t="s">
        <v>3922</v>
      </c>
      <c r="H1891" t="s">
        <v>4614</v>
      </c>
      <c r="I1891" t="s">
        <v>4084</v>
      </c>
      <c r="J1891" t="s">
        <v>4615</v>
      </c>
      <c r="L1891" t="s">
        <v>3923</v>
      </c>
    </row>
    <row r="1892" spans="1:12" x14ac:dyDescent="0.2">
      <c r="A1892" t="s">
        <v>1767</v>
      </c>
      <c r="B1892" t="s">
        <v>1769</v>
      </c>
      <c r="C1892" t="s">
        <v>2792</v>
      </c>
      <c r="D1892">
        <v>4</v>
      </c>
      <c r="E1892">
        <v>4.4000000000000004</v>
      </c>
      <c r="F1892">
        <v>4.4000000000000004</v>
      </c>
      <c r="G1892" t="s">
        <v>3922</v>
      </c>
      <c r="H1892" t="s">
        <v>4616</v>
      </c>
      <c r="I1892" t="s">
        <v>4084</v>
      </c>
      <c r="J1892" t="s">
        <v>4617</v>
      </c>
      <c r="L1892" t="s">
        <v>3923</v>
      </c>
    </row>
    <row r="1893" spans="1:12" x14ac:dyDescent="0.2">
      <c r="A1893" t="s">
        <v>1767</v>
      </c>
      <c r="B1893" t="s">
        <v>1769</v>
      </c>
      <c r="C1893" t="s">
        <v>2792</v>
      </c>
      <c r="D1893">
        <v>4</v>
      </c>
      <c r="E1893">
        <v>1076</v>
      </c>
      <c r="F1893">
        <v>1076</v>
      </c>
      <c r="G1893" t="s">
        <v>3922</v>
      </c>
      <c r="H1893" t="s">
        <v>4618</v>
      </c>
      <c r="I1893" t="s">
        <v>4084</v>
      </c>
      <c r="J1893" t="s">
        <v>4619</v>
      </c>
      <c r="L1893" t="s">
        <v>3923</v>
      </c>
    </row>
    <row r="1894" spans="1:12" x14ac:dyDescent="0.2">
      <c r="A1894" t="s">
        <v>1767</v>
      </c>
      <c r="B1894" t="s">
        <v>1769</v>
      </c>
      <c r="C1894" t="s">
        <v>2792</v>
      </c>
      <c r="D1894">
        <v>4</v>
      </c>
      <c r="E1894">
        <v>64.040000000000006</v>
      </c>
      <c r="F1894">
        <v>64.040000000000006</v>
      </c>
      <c r="G1894" t="s">
        <v>3922</v>
      </c>
      <c r="H1894" t="s">
        <v>4620</v>
      </c>
      <c r="I1894" t="s">
        <v>4084</v>
      </c>
      <c r="J1894" t="s">
        <v>4621</v>
      </c>
      <c r="L1894" t="s">
        <v>3923</v>
      </c>
    </row>
    <row r="1895" spans="1:12" x14ac:dyDescent="0.2">
      <c r="A1895" t="s">
        <v>1767</v>
      </c>
      <c r="B1895" t="s">
        <v>1769</v>
      </c>
      <c r="C1895" t="s">
        <v>2792</v>
      </c>
      <c r="D1895">
        <v>4</v>
      </c>
      <c r="E1895">
        <v>52</v>
      </c>
      <c r="F1895">
        <v>52</v>
      </c>
      <c r="G1895" t="s">
        <v>3922</v>
      </c>
      <c r="H1895" t="s">
        <v>4395</v>
      </c>
      <c r="I1895" t="s">
        <v>4084</v>
      </c>
      <c r="J1895" t="s">
        <v>4396</v>
      </c>
      <c r="L1895" t="s">
        <v>3923</v>
      </c>
    </row>
    <row r="1896" spans="1:12" x14ac:dyDescent="0.2">
      <c r="A1896" t="s">
        <v>1767</v>
      </c>
      <c r="B1896" t="s">
        <v>1769</v>
      </c>
      <c r="C1896" t="s">
        <v>2792</v>
      </c>
      <c r="D1896">
        <v>4</v>
      </c>
      <c r="E1896">
        <v>69.42</v>
      </c>
      <c r="F1896">
        <v>69.42</v>
      </c>
      <c r="G1896" t="s">
        <v>3922</v>
      </c>
      <c r="H1896" t="s">
        <v>4622</v>
      </c>
      <c r="I1896" t="s">
        <v>4084</v>
      </c>
      <c r="J1896" t="s">
        <v>4623</v>
      </c>
      <c r="L1896" t="s">
        <v>3923</v>
      </c>
    </row>
    <row r="1897" spans="1:12" x14ac:dyDescent="0.2">
      <c r="A1897" t="s">
        <v>1767</v>
      </c>
      <c r="B1897" t="s">
        <v>1769</v>
      </c>
      <c r="C1897" t="s">
        <v>2792</v>
      </c>
      <c r="D1897">
        <v>4</v>
      </c>
      <c r="E1897">
        <v>190.44</v>
      </c>
      <c r="F1897">
        <v>190.44</v>
      </c>
      <c r="G1897" t="s">
        <v>3922</v>
      </c>
      <c r="H1897" t="s">
        <v>4624</v>
      </c>
      <c r="I1897" t="s">
        <v>4084</v>
      </c>
      <c r="J1897" t="s">
        <v>4625</v>
      </c>
      <c r="L1897" t="s">
        <v>3923</v>
      </c>
    </row>
    <row r="1898" spans="1:12" x14ac:dyDescent="0.2">
      <c r="A1898" t="s">
        <v>1767</v>
      </c>
      <c r="B1898" t="s">
        <v>1769</v>
      </c>
      <c r="C1898" t="s">
        <v>2792</v>
      </c>
      <c r="D1898">
        <v>4</v>
      </c>
      <c r="E1898">
        <v>346.14</v>
      </c>
      <c r="F1898">
        <v>346.14</v>
      </c>
      <c r="G1898" t="s">
        <v>3922</v>
      </c>
      <c r="H1898" t="s">
        <v>4626</v>
      </c>
      <c r="I1898" t="s">
        <v>4084</v>
      </c>
      <c r="J1898" t="s">
        <v>4627</v>
      </c>
      <c r="L1898" t="s">
        <v>3923</v>
      </c>
    </row>
    <row r="1899" spans="1:12" x14ac:dyDescent="0.2">
      <c r="A1899" t="s">
        <v>1767</v>
      </c>
      <c r="B1899" t="s">
        <v>1769</v>
      </c>
      <c r="C1899" t="s">
        <v>2792</v>
      </c>
      <c r="D1899">
        <v>4</v>
      </c>
      <c r="E1899">
        <v>173.07</v>
      </c>
      <c r="F1899">
        <v>173.07</v>
      </c>
      <c r="G1899" t="s">
        <v>3922</v>
      </c>
      <c r="H1899" t="s">
        <v>4628</v>
      </c>
      <c r="I1899" t="s">
        <v>4084</v>
      </c>
      <c r="J1899" t="s">
        <v>4629</v>
      </c>
      <c r="L1899" t="s">
        <v>3923</v>
      </c>
    </row>
    <row r="1900" spans="1:12" x14ac:dyDescent="0.2">
      <c r="A1900" t="s">
        <v>1767</v>
      </c>
      <c r="B1900" t="s">
        <v>1769</v>
      </c>
      <c r="C1900" t="s">
        <v>2792</v>
      </c>
      <c r="D1900">
        <v>4</v>
      </c>
      <c r="E1900">
        <v>168.11</v>
      </c>
      <c r="F1900">
        <v>168.11</v>
      </c>
      <c r="G1900" t="s">
        <v>3922</v>
      </c>
      <c r="H1900" t="s">
        <v>4630</v>
      </c>
      <c r="I1900" t="s">
        <v>4084</v>
      </c>
      <c r="J1900" t="s">
        <v>4631</v>
      </c>
      <c r="L1900" t="s">
        <v>3923</v>
      </c>
    </row>
    <row r="1901" spans="1:12" x14ac:dyDescent="0.2">
      <c r="A1901" t="s">
        <v>1767</v>
      </c>
      <c r="B1901" t="s">
        <v>1769</v>
      </c>
      <c r="C1901" t="s">
        <v>2792</v>
      </c>
      <c r="D1901">
        <v>4</v>
      </c>
      <c r="E1901">
        <v>1889.57</v>
      </c>
      <c r="F1901">
        <v>1889.57</v>
      </c>
      <c r="G1901" t="s">
        <v>3922</v>
      </c>
      <c r="H1901" t="s">
        <v>4632</v>
      </c>
      <c r="I1901" t="s">
        <v>4084</v>
      </c>
      <c r="J1901" t="s">
        <v>4633</v>
      </c>
      <c r="L1901" t="s">
        <v>3923</v>
      </c>
    </row>
    <row r="1902" spans="1:12" x14ac:dyDescent="0.2">
      <c r="A1902" t="s">
        <v>1767</v>
      </c>
      <c r="B1902" t="s">
        <v>1769</v>
      </c>
      <c r="C1902" t="s">
        <v>2792</v>
      </c>
      <c r="D1902">
        <v>4</v>
      </c>
      <c r="E1902">
        <v>669.6</v>
      </c>
      <c r="F1902">
        <v>669.6</v>
      </c>
      <c r="G1902" t="s">
        <v>3922</v>
      </c>
      <c r="H1902" t="s">
        <v>4634</v>
      </c>
      <c r="I1902" t="s">
        <v>4084</v>
      </c>
      <c r="J1902" t="s">
        <v>4635</v>
      </c>
      <c r="L1902" t="s">
        <v>3923</v>
      </c>
    </row>
    <row r="1903" spans="1:12" x14ac:dyDescent="0.2">
      <c r="A1903" t="s">
        <v>1767</v>
      </c>
      <c r="B1903" t="s">
        <v>1769</v>
      </c>
      <c r="C1903" t="s">
        <v>2792</v>
      </c>
      <c r="D1903">
        <v>4</v>
      </c>
      <c r="E1903">
        <v>388.8</v>
      </c>
      <c r="F1903">
        <v>388.8</v>
      </c>
      <c r="G1903" t="s">
        <v>3922</v>
      </c>
      <c r="H1903" t="s">
        <v>4636</v>
      </c>
      <c r="I1903" t="s">
        <v>4084</v>
      </c>
      <c r="J1903" t="s">
        <v>4637</v>
      </c>
      <c r="L1903" t="s">
        <v>3923</v>
      </c>
    </row>
    <row r="1904" spans="1:12" x14ac:dyDescent="0.2">
      <c r="A1904" t="s">
        <v>1767</v>
      </c>
      <c r="B1904" t="s">
        <v>1769</v>
      </c>
      <c r="C1904" t="s">
        <v>2792</v>
      </c>
      <c r="D1904">
        <v>4</v>
      </c>
      <c r="E1904">
        <v>111.6</v>
      </c>
      <c r="F1904">
        <v>111.6</v>
      </c>
      <c r="G1904" t="s">
        <v>3922</v>
      </c>
      <c r="H1904" t="s">
        <v>4638</v>
      </c>
      <c r="I1904" t="s">
        <v>4084</v>
      </c>
      <c r="J1904" t="s">
        <v>4639</v>
      </c>
      <c r="L1904" t="s">
        <v>3923</v>
      </c>
    </row>
    <row r="1905" spans="1:12" x14ac:dyDescent="0.2">
      <c r="A1905" t="s">
        <v>1767</v>
      </c>
      <c r="B1905" t="s">
        <v>1769</v>
      </c>
      <c r="C1905" t="s">
        <v>2792</v>
      </c>
      <c r="D1905">
        <v>4</v>
      </c>
      <c r="E1905">
        <v>50.7</v>
      </c>
      <c r="F1905">
        <v>50.7</v>
      </c>
      <c r="G1905" t="s">
        <v>3922</v>
      </c>
      <c r="H1905" t="s">
        <v>4640</v>
      </c>
      <c r="I1905" t="s">
        <v>4084</v>
      </c>
      <c r="J1905" t="s">
        <v>4641</v>
      </c>
      <c r="L1905" t="s">
        <v>3923</v>
      </c>
    </row>
    <row r="1906" spans="1:12" x14ac:dyDescent="0.2">
      <c r="A1906" t="s">
        <v>1767</v>
      </c>
      <c r="B1906" t="s">
        <v>1769</v>
      </c>
      <c r="C1906" t="s">
        <v>2792</v>
      </c>
      <c r="D1906">
        <v>4</v>
      </c>
      <c r="E1906">
        <v>1485.6</v>
      </c>
      <c r="F1906">
        <v>1485.6</v>
      </c>
      <c r="G1906" t="s">
        <v>3922</v>
      </c>
      <c r="H1906" t="s">
        <v>4642</v>
      </c>
      <c r="I1906" t="s">
        <v>4084</v>
      </c>
      <c r="J1906" t="s">
        <v>4643</v>
      </c>
      <c r="L1906" t="s">
        <v>3923</v>
      </c>
    </row>
    <row r="1907" spans="1:12" x14ac:dyDescent="0.2">
      <c r="A1907" t="s">
        <v>1767</v>
      </c>
      <c r="B1907" t="s">
        <v>1769</v>
      </c>
      <c r="C1907" t="s">
        <v>2792</v>
      </c>
      <c r="D1907">
        <v>4</v>
      </c>
      <c r="E1907">
        <v>1784.1</v>
      </c>
      <c r="F1907">
        <v>1784.1</v>
      </c>
      <c r="G1907" t="s">
        <v>3922</v>
      </c>
      <c r="H1907" t="s">
        <v>4644</v>
      </c>
      <c r="I1907" t="s">
        <v>4084</v>
      </c>
      <c r="J1907" t="s">
        <v>4645</v>
      </c>
      <c r="L1907" t="s">
        <v>3923</v>
      </c>
    </row>
    <row r="1908" spans="1:12" x14ac:dyDescent="0.2">
      <c r="A1908" t="s">
        <v>1767</v>
      </c>
      <c r="B1908" t="s">
        <v>1769</v>
      </c>
      <c r="C1908" t="s">
        <v>2792</v>
      </c>
      <c r="D1908">
        <v>4</v>
      </c>
      <c r="E1908">
        <v>2094.36</v>
      </c>
      <c r="F1908">
        <v>2094.36</v>
      </c>
      <c r="G1908" t="s">
        <v>3922</v>
      </c>
      <c r="H1908" t="s">
        <v>4646</v>
      </c>
      <c r="I1908" t="s">
        <v>4084</v>
      </c>
      <c r="J1908" t="s">
        <v>4647</v>
      </c>
      <c r="L1908" t="s">
        <v>3923</v>
      </c>
    </row>
    <row r="1909" spans="1:12" x14ac:dyDescent="0.2">
      <c r="A1909" t="s">
        <v>1767</v>
      </c>
      <c r="B1909" t="s">
        <v>1769</v>
      </c>
      <c r="C1909" t="s">
        <v>2792</v>
      </c>
      <c r="D1909">
        <v>4</v>
      </c>
      <c r="E1909">
        <v>-57.75</v>
      </c>
      <c r="F1909">
        <v>-57.75</v>
      </c>
      <c r="G1909" t="s">
        <v>3922</v>
      </c>
      <c r="H1909" t="s">
        <v>4648</v>
      </c>
      <c r="I1909" t="s">
        <v>4084</v>
      </c>
      <c r="J1909" t="s">
        <v>4649</v>
      </c>
      <c r="L1909" t="s">
        <v>3923</v>
      </c>
    </row>
    <row r="1910" spans="1:12" x14ac:dyDescent="0.2">
      <c r="A1910" t="s">
        <v>1767</v>
      </c>
      <c r="B1910" t="s">
        <v>1769</v>
      </c>
      <c r="C1910" t="s">
        <v>2792</v>
      </c>
      <c r="D1910">
        <v>4</v>
      </c>
      <c r="E1910">
        <v>620</v>
      </c>
      <c r="F1910">
        <v>620</v>
      </c>
      <c r="G1910" t="s">
        <v>3922</v>
      </c>
      <c r="H1910" t="s">
        <v>4650</v>
      </c>
      <c r="I1910" t="s">
        <v>4084</v>
      </c>
      <c r="J1910" t="s">
        <v>4651</v>
      </c>
      <c r="L1910" t="s">
        <v>3923</v>
      </c>
    </row>
    <row r="1911" spans="1:12" x14ac:dyDescent="0.2">
      <c r="A1911" t="s">
        <v>1767</v>
      </c>
      <c r="B1911" t="s">
        <v>1769</v>
      </c>
      <c r="C1911" t="s">
        <v>2792</v>
      </c>
      <c r="D1911">
        <v>4</v>
      </c>
      <c r="E1911">
        <v>202.13</v>
      </c>
      <c r="F1911">
        <v>202.13</v>
      </c>
      <c r="G1911" t="s">
        <v>3922</v>
      </c>
      <c r="H1911" t="s">
        <v>4652</v>
      </c>
      <c r="I1911" t="s">
        <v>4084</v>
      </c>
      <c r="J1911" t="s">
        <v>4653</v>
      </c>
      <c r="L1911" t="s">
        <v>3923</v>
      </c>
    </row>
    <row r="1912" spans="1:12" x14ac:dyDescent="0.2">
      <c r="A1912" t="s">
        <v>1767</v>
      </c>
      <c r="B1912" t="s">
        <v>1769</v>
      </c>
      <c r="C1912" t="s">
        <v>2792</v>
      </c>
      <c r="D1912">
        <v>4</v>
      </c>
      <c r="E1912">
        <v>2.5499999999999998</v>
      </c>
      <c r="F1912">
        <v>2.5499999999999998</v>
      </c>
      <c r="G1912" t="s">
        <v>3922</v>
      </c>
      <c r="H1912" t="s">
        <v>4654</v>
      </c>
      <c r="I1912" t="s">
        <v>4084</v>
      </c>
      <c r="J1912" t="s">
        <v>4655</v>
      </c>
      <c r="L1912" t="s">
        <v>3923</v>
      </c>
    </row>
    <row r="1913" spans="1:12" x14ac:dyDescent="0.2">
      <c r="A1913" t="s">
        <v>1767</v>
      </c>
      <c r="B1913" t="s">
        <v>1769</v>
      </c>
      <c r="C1913" t="s">
        <v>2792</v>
      </c>
      <c r="D1913">
        <v>4</v>
      </c>
      <c r="E1913">
        <v>2.2000000000000002</v>
      </c>
      <c r="F1913">
        <v>2.2000000000000002</v>
      </c>
      <c r="G1913" t="s">
        <v>3922</v>
      </c>
      <c r="H1913" t="s">
        <v>4656</v>
      </c>
      <c r="I1913" t="s">
        <v>4084</v>
      </c>
      <c r="J1913" t="s">
        <v>4657</v>
      </c>
      <c r="L1913" t="s">
        <v>3923</v>
      </c>
    </row>
    <row r="1914" spans="1:12" x14ac:dyDescent="0.2">
      <c r="A1914" t="s">
        <v>1767</v>
      </c>
      <c r="B1914" t="s">
        <v>1769</v>
      </c>
      <c r="C1914" t="s">
        <v>2792</v>
      </c>
      <c r="D1914">
        <v>4</v>
      </c>
      <c r="E1914">
        <v>1.5</v>
      </c>
      <c r="F1914">
        <v>1.5</v>
      </c>
      <c r="G1914" t="s">
        <v>3922</v>
      </c>
      <c r="H1914" t="s">
        <v>4090</v>
      </c>
      <c r="I1914" t="s">
        <v>4084</v>
      </c>
      <c r="J1914" t="s">
        <v>4658</v>
      </c>
      <c r="L1914" t="s">
        <v>3923</v>
      </c>
    </row>
    <row r="1915" spans="1:12" x14ac:dyDescent="0.2">
      <c r="A1915" t="s">
        <v>1767</v>
      </c>
      <c r="B1915" t="s">
        <v>1769</v>
      </c>
      <c r="C1915" t="s">
        <v>2792</v>
      </c>
      <c r="D1915">
        <v>4</v>
      </c>
      <c r="E1915">
        <v>18.87</v>
      </c>
      <c r="F1915">
        <v>18.87</v>
      </c>
      <c r="G1915" t="s">
        <v>3922</v>
      </c>
      <c r="H1915" t="s">
        <v>4659</v>
      </c>
      <c r="I1915" t="s">
        <v>4084</v>
      </c>
      <c r="J1915" t="s">
        <v>4660</v>
      </c>
      <c r="L1915" t="s">
        <v>3923</v>
      </c>
    </row>
    <row r="1916" spans="1:12" x14ac:dyDescent="0.2">
      <c r="A1916" t="s">
        <v>1767</v>
      </c>
      <c r="B1916" t="s">
        <v>1769</v>
      </c>
      <c r="C1916" t="s">
        <v>2792</v>
      </c>
      <c r="D1916">
        <v>4</v>
      </c>
      <c r="E1916">
        <v>3</v>
      </c>
      <c r="F1916">
        <v>3</v>
      </c>
      <c r="G1916" t="s">
        <v>3922</v>
      </c>
      <c r="H1916" t="s">
        <v>4661</v>
      </c>
      <c r="I1916" t="s">
        <v>4084</v>
      </c>
      <c r="J1916" t="s">
        <v>2512</v>
      </c>
      <c r="L1916" t="s">
        <v>3923</v>
      </c>
    </row>
    <row r="1917" spans="1:12" x14ac:dyDescent="0.2">
      <c r="A1917" t="s">
        <v>1767</v>
      </c>
      <c r="B1917" t="s">
        <v>1769</v>
      </c>
      <c r="C1917" t="s">
        <v>2792</v>
      </c>
      <c r="D1917">
        <v>4</v>
      </c>
      <c r="E1917">
        <v>4.4000000000000004</v>
      </c>
      <c r="F1917">
        <v>4.4000000000000004</v>
      </c>
      <c r="G1917" t="s">
        <v>3922</v>
      </c>
      <c r="H1917" t="s">
        <v>4616</v>
      </c>
      <c r="I1917" t="s">
        <v>4084</v>
      </c>
      <c r="J1917" t="s">
        <v>4617</v>
      </c>
      <c r="L1917" t="s">
        <v>3923</v>
      </c>
    </row>
    <row r="1918" spans="1:12" x14ac:dyDescent="0.2">
      <c r="A1918" t="s">
        <v>1767</v>
      </c>
      <c r="B1918" t="s">
        <v>1769</v>
      </c>
      <c r="C1918" t="s">
        <v>2792</v>
      </c>
      <c r="D1918">
        <v>4</v>
      </c>
      <c r="E1918">
        <v>57.75</v>
      </c>
      <c r="F1918">
        <v>57.75</v>
      </c>
      <c r="G1918" t="s">
        <v>3922</v>
      </c>
      <c r="H1918" t="s">
        <v>4601</v>
      </c>
      <c r="I1918" t="s">
        <v>4084</v>
      </c>
      <c r="J1918" t="s">
        <v>4602</v>
      </c>
      <c r="L1918" t="s">
        <v>3923</v>
      </c>
    </row>
    <row r="1919" spans="1:12" x14ac:dyDescent="0.2">
      <c r="A1919" t="s">
        <v>1767</v>
      </c>
      <c r="B1919" t="s">
        <v>1769</v>
      </c>
      <c r="C1919" t="s">
        <v>2792</v>
      </c>
      <c r="D1919">
        <v>4</v>
      </c>
      <c r="E1919">
        <v>0</v>
      </c>
      <c r="F1919">
        <v>0</v>
      </c>
      <c r="G1919" t="s">
        <v>3922</v>
      </c>
      <c r="H1919" t="s">
        <v>3926</v>
      </c>
      <c r="I1919" t="s">
        <v>4084</v>
      </c>
      <c r="J1919" t="s">
        <v>4662</v>
      </c>
      <c r="L1919" t="s">
        <v>3923</v>
      </c>
    </row>
    <row r="1920" spans="1:12" x14ac:dyDescent="0.2">
      <c r="A1920" t="s">
        <v>1767</v>
      </c>
      <c r="B1920" t="s">
        <v>1769</v>
      </c>
      <c r="C1920" t="s">
        <v>2792</v>
      </c>
      <c r="D1920">
        <v>4</v>
      </c>
      <c r="E1920">
        <v>0</v>
      </c>
      <c r="F1920">
        <v>0</v>
      </c>
      <c r="G1920" t="s">
        <v>3922</v>
      </c>
      <c r="H1920" t="s">
        <v>3926</v>
      </c>
      <c r="I1920" t="s">
        <v>4084</v>
      </c>
      <c r="J1920" t="s">
        <v>4663</v>
      </c>
      <c r="L1920" t="s">
        <v>3923</v>
      </c>
    </row>
    <row r="1921" spans="1:12" x14ac:dyDescent="0.2">
      <c r="A1921" t="s">
        <v>1767</v>
      </c>
      <c r="B1921" t="s">
        <v>1769</v>
      </c>
      <c r="C1921" t="s">
        <v>2792</v>
      </c>
      <c r="D1921">
        <v>4</v>
      </c>
      <c r="E1921">
        <v>75.459999999999994</v>
      </c>
      <c r="F1921">
        <v>75.459999999999994</v>
      </c>
      <c r="G1921" t="s">
        <v>3922</v>
      </c>
      <c r="H1921" t="s">
        <v>4664</v>
      </c>
      <c r="I1921" t="s">
        <v>4084</v>
      </c>
      <c r="J1921" t="s">
        <v>4665</v>
      </c>
      <c r="L1921" t="s">
        <v>3923</v>
      </c>
    </row>
    <row r="1922" spans="1:12" x14ac:dyDescent="0.2">
      <c r="A1922" t="s">
        <v>1767</v>
      </c>
      <c r="B1922" t="s">
        <v>1769</v>
      </c>
      <c r="C1922" t="s">
        <v>2792</v>
      </c>
      <c r="D1922">
        <v>4</v>
      </c>
      <c r="E1922">
        <v>0.6</v>
      </c>
      <c r="F1922">
        <v>0.6</v>
      </c>
      <c r="G1922" t="s">
        <v>3922</v>
      </c>
      <c r="H1922" t="s">
        <v>4197</v>
      </c>
      <c r="I1922" t="s">
        <v>4084</v>
      </c>
      <c r="J1922" t="s">
        <v>4666</v>
      </c>
      <c r="L1922" t="s">
        <v>3923</v>
      </c>
    </row>
    <row r="1923" spans="1:12" x14ac:dyDescent="0.2">
      <c r="A1923" t="s">
        <v>1767</v>
      </c>
      <c r="B1923" t="s">
        <v>1769</v>
      </c>
      <c r="C1923" t="s">
        <v>2792</v>
      </c>
      <c r="D1923">
        <v>4</v>
      </c>
      <c r="E1923">
        <v>3.3</v>
      </c>
      <c r="F1923">
        <v>3.3</v>
      </c>
      <c r="G1923" t="s">
        <v>3922</v>
      </c>
      <c r="H1923" t="s">
        <v>4667</v>
      </c>
      <c r="I1923" t="s">
        <v>4084</v>
      </c>
      <c r="J1923" t="s">
        <v>4668</v>
      </c>
      <c r="L1923" t="s">
        <v>3923</v>
      </c>
    </row>
    <row r="1924" spans="1:12" x14ac:dyDescent="0.2">
      <c r="A1924" t="s">
        <v>1767</v>
      </c>
      <c r="B1924" t="s">
        <v>1769</v>
      </c>
      <c r="C1924" t="s">
        <v>2792</v>
      </c>
      <c r="D1924">
        <v>4</v>
      </c>
      <c r="E1924">
        <v>1.67</v>
      </c>
      <c r="F1924">
        <v>1.67</v>
      </c>
      <c r="G1924" t="s">
        <v>3922</v>
      </c>
      <c r="H1924" t="s">
        <v>4669</v>
      </c>
      <c r="I1924" t="s">
        <v>4084</v>
      </c>
      <c r="J1924" t="s">
        <v>4670</v>
      </c>
      <c r="L1924" t="s">
        <v>3923</v>
      </c>
    </row>
    <row r="1925" spans="1:12" x14ac:dyDescent="0.2">
      <c r="A1925" t="s">
        <v>1767</v>
      </c>
      <c r="B1925" t="s">
        <v>1769</v>
      </c>
      <c r="C1925" t="s">
        <v>2792</v>
      </c>
      <c r="D1925">
        <v>4</v>
      </c>
      <c r="E1925">
        <v>38.64</v>
      </c>
      <c r="F1925">
        <v>38.64</v>
      </c>
      <c r="G1925" t="s">
        <v>3922</v>
      </c>
      <c r="H1925" t="s">
        <v>4671</v>
      </c>
      <c r="I1925" t="s">
        <v>4084</v>
      </c>
      <c r="J1925" t="s">
        <v>4672</v>
      </c>
      <c r="L1925" t="s">
        <v>3923</v>
      </c>
    </row>
    <row r="1926" spans="1:12" x14ac:dyDescent="0.2">
      <c r="A1926" t="s">
        <v>1767</v>
      </c>
      <c r="B1926" t="s">
        <v>1769</v>
      </c>
      <c r="C1926" t="s">
        <v>2792</v>
      </c>
      <c r="D1926">
        <v>4</v>
      </c>
      <c r="E1926">
        <v>2.25</v>
      </c>
      <c r="F1926">
        <v>2.25</v>
      </c>
      <c r="G1926" t="s">
        <v>3922</v>
      </c>
      <c r="H1926" t="s">
        <v>4673</v>
      </c>
      <c r="I1926" t="s">
        <v>4084</v>
      </c>
      <c r="J1926" t="s">
        <v>4674</v>
      </c>
      <c r="L1926" t="s">
        <v>3923</v>
      </c>
    </row>
    <row r="1927" spans="1:12" x14ac:dyDescent="0.2">
      <c r="A1927" t="s">
        <v>1767</v>
      </c>
      <c r="B1927" t="s">
        <v>1769</v>
      </c>
      <c r="C1927" t="s">
        <v>2792</v>
      </c>
      <c r="D1927">
        <v>4</v>
      </c>
      <c r="E1927">
        <v>35.58</v>
      </c>
      <c r="F1927">
        <v>35.58</v>
      </c>
      <c r="G1927" t="s">
        <v>3922</v>
      </c>
      <c r="H1927" t="s">
        <v>4675</v>
      </c>
      <c r="I1927" t="s">
        <v>4084</v>
      </c>
      <c r="J1927" t="s">
        <v>4676</v>
      </c>
      <c r="L1927" t="s">
        <v>3923</v>
      </c>
    </row>
    <row r="1928" spans="1:12" x14ac:dyDescent="0.2">
      <c r="A1928" t="s">
        <v>1767</v>
      </c>
      <c r="B1928" t="s">
        <v>1769</v>
      </c>
      <c r="C1928" t="s">
        <v>2792</v>
      </c>
      <c r="D1928">
        <v>4</v>
      </c>
      <c r="E1928">
        <v>3.2</v>
      </c>
      <c r="F1928">
        <v>3.2</v>
      </c>
      <c r="G1928" t="s">
        <v>3922</v>
      </c>
      <c r="H1928" t="s">
        <v>4428</v>
      </c>
      <c r="I1928" t="s">
        <v>4084</v>
      </c>
      <c r="J1928" t="s">
        <v>4429</v>
      </c>
      <c r="L1928" t="s">
        <v>3923</v>
      </c>
    </row>
    <row r="1929" spans="1:12" x14ac:dyDescent="0.2">
      <c r="A1929" t="s">
        <v>1767</v>
      </c>
      <c r="B1929" t="s">
        <v>1769</v>
      </c>
      <c r="C1929" t="s">
        <v>2792</v>
      </c>
      <c r="D1929">
        <v>4</v>
      </c>
      <c r="E1929">
        <v>2.48</v>
      </c>
      <c r="F1929">
        <v>2.48</v>
      </c>
      <c r="G1929" t="s">
        <v>3922</v>
      </c>
      <c r="H1929" t="s">
        <v>4677</v>
      </c>
      <c r="I1929" t="s">
        <v>4084</v>
      </c>
      <c r="J1929" t="s">
        <v>4678</v>
      </c>
      <c r="L1929" t="s">
        <v>3923</v>
      </c>
    </row>
    <row r="1930" spans="1:12" x14ac:dyDescent="0.2">
      <c r="A1930" t="s">
        <v>1767</v>
      </c>
      <c r="B1930" t="s">
        <v>1769</v>
      </c>
      <c r="C1930" t="s">
        <v>2792</v>
      </c>
      <c r="D1930">
        <v>4</v>
      </c>
      <c r="E1930">
        <v>32.200000000000003</v>
      </c>
      <c r="F1930">
        <v>32.200000000000003</v>
      </c>
      <c r="G1930" t="s">
        <v>3922</v>
      </c>
      <c r="H1930" t="s">
        <v>4679</v>
      </c>
      <c r="I1930" t="s">
        <v>4084</v>
      </c>
      <c r="J1930" t="s">
        <v>4680</v>
      </c>
      <c r="L1930" t="s">
        <v>3923</v>
      </c>
    </row>
    <row r="1931" spans="1:12" x14ac:dyDescent="0.2">
      <c r="A1931" t="s">
        <v>1767</v>
      </c>
      <c r="B1931" t="s">
        <v>1769</v>
      </c>
      <c r="C1931" t="s">
        <v>2792</v>
      </c>
      <c r="D1931">
        <v>4</v>
      </c>
      <c r="E1931">
        <v>4.2699999999999996</v>
      </c>
      <c r="F1931">
        <v>4.2699999999999996</v>
      </c>
      <c r="G1931" t="s">
        <v>3922</v>
      </c>
      <c r="H1931" t="s">
        <v>4681</v>
      </c>
      <c r="I1931" t="s">
        <v>4084</v>
      </c>
      <c r="J1931" t="s">
        <v>4682</v>
      </c>
      <c r="L1931" t="s">
        <v>3923</v>
      </c>
    </row>
    <row r="1932" spans="1:12" x14ac:dyDescent="0.2">
      <c r="A1932" t="s">
        <v>1767</v>
      </c>
      <c r="B1932" t="s">
        <v>1769</v>
      </c>
      <c r="C1932" t="s">
        <v>2792</v>
      </c>
      <c r="D1932">
        <v>4</v>
      </c>
      <c r="E1932">
        <v>3.08</v>
      </c>
      <c r="F1932">
        <v>3.08</v>
      </c>
      <c r="G1932" t="s">
        <v>3922</v>
      </c>
      <c r="H1932" t="s">
        <v>4683</v>
      </c>
      <c r="I1932" t="s">
        <v>4084</v>
      </c>
      <c r="J1932" t="s">
        <v>2532</v>
      </c>
      <c r="L1932" t="s">
        <v>3923</v>
      </c>
    </row>
    <row r="1933" spans="1:12" x14ac:dyDescent="0.2">
      <c r="A1933" t="s">
        <v>1767</v>
      </c>
      <c r="B1933" t="s">
        <v>1769</v>
      </c>
      <c r="C1933" t="s">
        <v>2792</v>
      </c>
      <c r="D1933">
        <v>4</v>
      </c>
      <c r="E1933">
        <v>1.5</v>
      </c>
      <c r="F1933">
        <v>1.5</v>
      </c>
      <c r="G1933" t="s">
        <v>3922</v>
      </c>
      <c r="H1933" t="s">
        <v>4090</v>
      </c>
      <c r="I1933" t="s">
        <v>4084</v>
      </c>
      <c r="J1933" t="s">
        <v>4658</v>
      </c>
      <c r="L1933" t="s">
        <v>3923</v>
      </c>
    </row>
    <row r="1934" spans="1:12" x14ac:dyDescent="0.2">
      <c r="A1934" t="s">
        <v>1767</v>
      </c>
      <c r="B1934" t="s">
        <v>1769</v>
      </c>
      <c r="C1934" t="s">
        <v>2792</v>
      </c>
      <c r="D1934">
        <v>4</v>
      </c>
      <c r="E1934">
        <v>3.3</v>
      </c>
      <c r="F1934">
        <v>3.3</v>
      </c>
      <c r="G1934" t="s">
        <v>3922</v>
      </c>
      <c r="H1934" t="s">
        <v>4667</v>
      </c>
      <c r="I1934" t="s">
        <v>4084</v>
      </c>
      <c r="J1934" t="s">
        <v>4668</v>
      </c>
      <c r="L1934" t="s">
        <v>3923</v>
      </c>
    </row>
    <row r="1935" spans="1:12" x14ac:dyDescent="0.2">
      <c r="A1935" t="s">
        <v>1767</v>
      </c>
      <c r="B1935" t="s">
        <v>1769</v>
      </c>
      <c r="C1935" t="s">
        <v>2792</v>
      </c>
      <c r="D1935">
        <v>4</v>
      </c>
      <c r="E1935">
        <v>1.5</v>
      </c>
      <c r="F1935">
        <v>1.5</v>
      </c>
      <c r="G1935" t="s">
        <v>3922</v>
      </c>
      <c r="H1935" t="s">
        <v>4090</v>
      </c>
      <c r="I1935" t="s">
        <v>4084</v>
      </c>
      <c r="J1935" t="s">
        <v>4658</v>
      </c>
      <c r="L1935" t="s">
        <v>3923</v>
      </c>
    </row>
    <row r="1936" spans="1:12" x14ac:dyDescent="0.2">
      <c r="A1936" t="s">
        <v>1767</v>
      </c>
      <c r="B1936" t="s">
        <v>1769</v>
      </c>
      <c r="C1936" t="s">
        <v>2792</v>
      </c>
      <c r="D1936">
        <v>4</v>
      </c>
      <c r="E1936">
        <v>39.58</v>
      </c>
      <c r="F1936">
        <v>39.58</v>
      </c>
      <c r="G1936" t="s">
        <v>3922</v>
      </c>
      <c r="H1936" t="s">
        <v>4684</v>
      </c>
      <c r="I1936" t="s">
        <v>4084</v>
      </c>
      <c r="J1936" t="s">
        <v>4685</v>
      </c>
      <c r="L1936" t="s">
        <v>3923</v>
      </c>
    </row>
    <row r="1937" spans="1:12" x14ac:dyDescent="0.2">
      <c r="A1937" t="s">
        <v>1767</v>
      </c>
      <c r="B1937" t="s">
        <v>1769</v>
      </c>
      <c r="C1937" t="s">
        <v>2792</v>
      </c>
      <c r="D1937">
        <v>4</v>
      </c>
      <c r="E1937">
        <v>54.13</v>
      </c>
      <c r="F1937">
        <v>54.13</v>
      </c>
      <c r="G1937" t="s">
        <v>3922</v>
      </c>
      <c r="H1937" t="s">
        <v>4686</v>
      </c>
      <c r="I1937" t="s">
        <v>4084</v>
      </c>
      <c r="J1937" t="s">
        <v>4687</v>
      </c>
      <c r="L1937" t="s">
        <v>3923</v>
      </c>
    </row>
    <row r="1938" spans="1:12" x14ac:dyDescent="0.2">
      <c r="A1938" t="s">
        <v>1767</v>
      </c>
      <c r="B1938" t="s">
        <v>1769</v>
      </c>
      <c r="C1938" t="s">
        <v>2792</v>
      </c>
      <c r="D1938">
        <v>4</v>
      </c>
      <c r="E1938">
        <v>161.19999999999999</v>
      </c>
      <c r="F1938">
        <v>161.19999999999999</v>
      </c>
      <c r="G1938" t="s">
        <v>3922</v>
      </c>
      <c r="H1938" t="s">
        <v>4688</v>
      </c>
      <c r="I1938" t="s">
        <v>4084</v>
      </c>
      <c r="J1938" t="s">
        <v>4689</v>
      </c>
      <c r="L1938" t="s">
        <v>3923</v>
      </c>
    </row>
    <row r="1939" spans="1:12" x14ac:dyDescent="0.2">
      <c r="A1939" t="s">
        <v>1767</v>
      </c>
      <c r="B1939" t="s">
        <v>1769</v>
      </c>
      <c r="C1939" t="s">
        <v>2792</v>
      </c>
      <c r="D1939">
        <v>4</v>
      </c>
      <c r="E1939">
        <v>12.42</v>
      </c>
      <c r="F1939">
        <v>12.42</v>
      </c>
      <c r="G1939" t="s">
        <v>3922</v>
      </c>
      <c r="H1939" t="s">
        <v>4690</v>
      </c>
      <c r="I1939" t="s">
        <v>4084</v>
      </c>
      <c r="J1939" t="s">
        <v>4691</v>
      </c>
      <c r="L1939" t="s">
        <v>3923</v>
      </c>
    </row>
    <row r="1940" spans="1:12" x14ac:dyDescent="0.2">
      <c r="A1940" t="s">
        <v>1767</v>
      </c>
      <c r="B1940" t="s">
        <v>1769</v>
      </c>
      <c r="C1940" t="s">
        <v>2792</v>
      </c>
      <c r="D1940">
        <v>4</v>
      </c>
      <c r="E1940">
        <v>67.650000000000006</v>
      </c>
      <c r="F1940">
        <v>67.650000000000006</v>
      </c>
      <c r="G1940" t="s">
        <v>3922</v>
      </c>
      <c r="H1940" t="s">
        <v>4692</v>
      </c>
      <c r="I1940" t="s">
        <v>4084</v>
      </c>
      <c r="J1940" t="s">
        <v>4693</v>
      </c>
      <c r="L1940" t="s">
        <v>3923</v>
      </c>
    </row>
    <row r="1941" spans="1:12" x14ac:dyDescent="0.2">
      <c r="A1941" t="s">
        <v>1767</v>
      </c>
      <c r="B1941" t="s">
        <v>1769</v>
      </c>
      <c r="C1941" t="s">
        <v>2792</v>
      </c>
      <c r="D1941">
        <v>4</v>
      </c>
      <c r="E1941">
        <v>55.13</v>
      </c>
      <c r="F1941">
        <v>55.13</v>
      </c>
      <c r="G1941" t="s">
        <v>3922</v>
      </c>
      <c r="H1941" t="s">
        <v>4694</v>
      </c>
      <c r="I1941" t="s">
        <v>4084</v>
      </c>
      <c r="J1941" t="s">
        <v>4695</v>
      </c>
      <c r="L1941" t="s">
        <v>3923</v>
      </c>
    </row>
    <row r="1942" spans="1:12" x14ac:dyDescent="0.2">
      <c r="A1942" t="s">
        <v>1767</v>
      </c>
      <c r="B1942" t="s">
        <v>1769</v>
      </c>
      <c r="C1942" t="s">
        <v>2792</v>
      </c>
      <c r="D1942">
        <v>4</v>
      </c>
      <c r="E1942">
        <v>-55.13</v>
      </c>
      <c r="F1942">
        <v>-55.13</v>
      </c>
      <c r="G1942" t="s">
        <v>3922</v>
      </c>
      <c r="H1942" t="s">
        <v>4696</v>
      </c>
      <c r="I1942" t="s">
        <v>4084</v>
      </c>
      <c r="J1942" t="s">
        <v>4697</v>
      </c>
      <c r="L1942" t="s">
        <v>3923</v>
      </c>
    </row>
    <row r="1943" spans="1:12" x14ac:dyDescent="0.2">
      <c r="A1943" t="s">
        <v>1767</v>
      </c>
      <c r="B1943" t="s">
        <v>1769</v>
      </c>
      <c r="C1943" t="s">
        <v>2792</v>
      </c>
      <c r="D1943">
        <v>4</v>
      </c>
      <c r="E1943">
        <v>55.13</v>
      </c>
      <c r="F1943">
        <v>55.13</v>
      </c>
      <c r="G1943" t="s">
        <v>3922</v>
      </c>
      <c r="H1943" t="s">
        <v>4694</v>
      </c>
      <c r="I1943" t="s">
        <v>4084</v>
      </c>
      <c r="J1943" t="s">
        <v>4695</v>
      </c>
      <c r="L1943" t="s">
        <v>3923</v>
      </c>
    </row>
    <row r="1944" spans="1:12" x14ac:dyDescent="0.2">
      <c r="A1944" t="s">
        <v>1767</v>
      </c>
      <c r="B1944" t="s">
        <v>1769</v>
      </c>
      <c r="C1944" t="s">
        <v>2792</v>
      </c>
      <c r="D1944">
        <v>4</v>
      </c>
      <c r="E1944">
        <v>192.95</v>
      </c>
      <c r="F1944">
        <v>192.95</v>
      </c>
      <c r="G1944" t="s">
        <v>3922</v>
      </c>
      <c r="H1944" t="s">
        <v>4698</v>
      </c>
      <c r="I1944" t="s">
        <v>4084</v>
      </c>
      <c r="J1944" t="s">
        <v>4699</v>
      </c>
      <c r="L1944" t="s">
        <v>3923</v>
      </c>
    </row>
    <row r="1945" spans="1:12" x14ac:dyDescent="0.2">
      <c r="A1945" t="s">
        <v>1767</v>
      </c>
      <c r="B1945" t="s">
        <v>1769</v>
      </c>
      <c r="C1945" t="s">
        <v>2792</v>
      </c>
      <c r="D1945">
        <v>4</v>
      </c>
      <c r="E1945">
        <v>101.9</v>
      </c>
      <c r="F1945">
        <v>101.9</v>
      </c>
      <c r="G1945" t="s">
        <v>3922</v>
      </c>
      <c r="H1945" t="s">
        <v>4700</v>
      </c>
      <c r="I1945" t="s">
        <v>4084</v>
      </c>
      <c r="J1945" t="s">
        <v>4701</v>
      </c>
      <c r="L1945" t="s">
        <v>3923</v>
      </c>
    </row>
    <row r="1946" spans="1:12" x14ac:dyDescent="0.2">
      <c r="A1946" t="s">
        <v>1767</v>
      </c>
      <c r="B1946" t="s">
        <v>1769</v>
      </c>
      <c r="C1946" t="s">
        <v>2792</v>
      </c>
      <c r="D1946">
        <v>4</v>
      </c>
      <c r="E1946">
        <v>67.599999999999994</v>
      </c>
      <c r="F1946">
        <v>67.599999999999994</v>
      </c>
      <c r="G1946" t="s">
        <v>3922</v>
      </c>
      <c r="H1946" t="s">
        <v>4702</v>
      </c>
      <c r="I1946" t="s">
        <v>4084</v>
      </c>
      <c r="J1946" t="s">
        <v>4703</v>
      </c>
      <c r="L1946" t="s">
        <v>3923</v>
      </c>
    </row>
    <row r="1947" spans="1:12" x14ac:dyDescent="0.2">
      <c r="A1947" t="s">
        <v>1767</v>
      </c>
      <c r="B1947" t="s">
        <v>1769</v>
      </c>
      <c r="C1947" t="s">
        <v>2792</v>
      </c>
      <c r="D1947">
        <v>4</v>
      </c>
      <c r="E1947">
        <v>97.6</v>
      </c>
      <c r="F1947">
        <v>97.6</v>
      </c>
      <c r="G1947" t="s">
        <v>3922</v>
      </c>
      <c r="H1947" t="s">
        <v>4704</v>
      </c>
      <c r="I1947" t="s">
        <v>4084</v>
      </c>
      <c r="J1947" t="s">
        <v>4705</v>
      </c>
      <c r="L1947" t="s">
        <v>3923</v>
      </c>
    </row>
    <row r="1948" spans="1:12" x14ac:dyDescent="0.2">
      <c r="A1948" t="s">
        <v>1767</v>
      </c>
      <c r="B1948" t="s">
        <v>1769</v>
      </c>
      <c r="C1948" t="s">
        <v>2792</v>
      </c>
      <c r="D1948">
        <v>4</v>
      </c>
      <c r="E1948">
        <v>155.93</v>
      </c>
      <c r="F1948">
        <v>155.93</v>
      </c>
      <c r="G1948" t="s">
        <v>3922</v>
      </c>
      <c r="H1948" t="s">
        <v>4706</v>
      </c>
      <c r="I1948" t="s">
        <v>4084</v>
      </c>
      <c r="J1948" t="s">
        <v>4707</v>
      </c>
      <c r="L1948" t="s">
        <v>3923</v>
      </c>
    </row>
    <row r="1949" spans="1:12" x14ac:dyDescent="0.2">
      <c r="A1949" t="s">
        <v>1767</v>
      </c>
      <c r="B1949" t="s">
        <v>1769</v>
      </c>
      <c r="C1949" t="s">
        <v>2792</v>
      </c>
      <c r="D1949">
        <v>4</v>
      </c>
      <c r="E1949">
        <v>115.19</v>
      </c>
      <c r="F1949">
        <v>115.19</v>
      </c>
      <c r="G1949" t="s">
        <v>3922</v>
      </c>
      <c r="H1949" t="s">
        <v>4708</v>
      </c>
      <c r="I1949" t="s">
        <v>4084</v>
      </c>
      <c r="J1949" t="s">
        <v>4709</v>
      </c>
      <c r="L1949" t="s">
        <v>3923</v>
      </c>
    </row>
    <row r="1950" spans="1:12" x14ac:dyDescent="0.2">
      <c r="A1950" t="s">
        <v>1767</v>
      </c>
      <c r="B1950" t="s">
        <v>1769</v>
      </c>
      <c r="C1950" t="s">
        <v>2792</v>
      </c>
      <c r="D1950">
        <v>4</v>
      </c>
      <c r="E1950">
        <v>1.1000000000000001</v>
      </c>
      <c r="F1950">
        <v>1.1000000000000001</v>
      </c>
      <c r="G1950" t="s">
        <v>3922</v>
      </c>
      <c r="H1950" t="s">
        <v>4159</v>
      </c>
      <c r="I1950" t="s">
        <v>4084</v>
      </c>
      <c r="J1950" t="s">
        <v>4710</v>
      </c>
      <c r="L1950" t="s">
        <v>3923</v>
      </c>
    </row>
    <row r="1951" spans="1:12" x14ac:dyDescent="0.2">
      <c r="A1951" t="s">
        <v>1767</v>
      </c>
      <c r="B1951" t="s">
        <v>1769</v>
      </c>
      <c r="C1951" t="s">
        <v>2792</v>
      </c>
      <c r="D1951">
        <v>4</v>
      </c>
      <c r="E1951">
        <v>9.4</v>
      </c>
      <c r="F1951">
        <v>9.4</v>
      </c>
      <c r="G1951" t="s">
        <v>3922</v>
      </c>
      <c r="H1951" t="s">
        <v>4711</v>
      </c>
      <c r="I1951" t="s">
        <v>4084</v>
      </c>
      <c r="J1951" t="s">
        <v>4712</v>
      </c>
      <c r="L1951" t="s">
        <v>3923</v>
      </c>
    </row>
    <row r="1952" spans="1:12" x14ac:dyDescent="0.2">
      <c r="A1952" t="s">
        <v>1767</v>
      </c>
      <c r="B1952" t="s">
        <v>1769</v>
      </c>
      <c r="C1952" t="s">
        <v>2792</v>
      </c>
      <c r="D1952">
        <v>4</v>
      </c>
      <c r="E1952">
        <v>4.6399999999999997</v>
      </c>
      <c r="F1952">
        <v>4.6399999999999997</v>
      </c>
      <c r="G1952" t="s">
        <v>3922</v>
      </c>
      <c r="H1952" t="s">
        <v>4713</v>
      </c>
      <c r="I1952" t="s">
        <v>4084</v>
      </c>
      <c r="J1952" t="s">
        <v>4714</v>
      </c>
      <c r="L1952" t="s">
        <v>3923</v>
      </c>
    </row>
    <row r="1953" spans="1:12" x14ac:dyDescent="0.2">
      <c r="A1953" t="s">
        <v>1767</v>
      </c>
      <c r="B1953" t="s">
        <v>1769</v>
      </c>
      <c r="C1953" t="s">
        <v>2792</v>
      </c>
      <c r="D1953">
        <v>4</v>
      </c>
      <c r="E1953">
        <v>17.46</v>
      </c>
      <c r="F1953">
        <v>17.46</v>
      </c>
      <c r="G1953" t="s">
        <v>3922</v>
      </c>
      <c r="H1953" t="s">
        <v>4715</v>
      </c>
      <c r="I1953" t="s">
        <v>4084</v>
      </c>
      <c r="J1953" t="s">
        <v>4716</v>
      </c>
      <c r="L1953" t="s">
        <v>3923</v>
      </c>
    </row>
    <row r="1954" spans="1:12" x14ac:dyDescent="0.2">
      <c r="A1954" t="s">
        <v>1767</v>
      </c>
      <c r="B1954" t="s">
        <v>1769</v>
      </c>
      <c r="C1954" t="s">
        <v>2792</v>
      </c>
      <c r="D1954">
        <v>4</v>
      </c>
      <c r="E1954">
        <v>165.6</v>
      </c>
      <c r="F1954">
        <v>165.6</v>
      </c>
      <c r="G1954" t="s">
        <v>3922</v>
      </c>
      <c r="H1954" t="s">
        <v>4450</v>
      </c>
      <c r="I1954" t="s">
        <v>4084</v>
      </c>
      <c r="J1954" t="s">
        <v>4451</v>
      </c>
      <c r="L1954" t="s">
        <v>3923</v>
      </c>
    </row>
    <row r="1955" spans="1:12" x14ac:dyDescent="0.2">
      <c r="A1955" t="s">
        <v>1767</v>
      </c>
      <c r="B1955" t="s">
        <v>1769</v>
      </c>
      <c r="C1955" t="s">
        <v>2792</v>
      </c>
      <c r="D1955">
        <v>4</v>
      </c>
      <c r="E1955">
        <v>208.33</v>
      </c>
      <c r="F1955">
        <v>208.33</v>
      </c>
      <c r="G1955" t="s">
        <v>3922</v>
      </c>
      <c r="H1955" t="s">
        <v>4717</v>
      </c>
      <c r="I1955" t="s">
        <v>4084</v>
      </c>
      <c r="J1955" t="s">
        <v>4718</v>
      </c>
      <c r="L1955" t="s">
        <v>3923</v>
      </c>
    </row>
    <row r="1956" spans="1:12" x14ac:dyDescent="0.2">
      <c r="A1956" t="s">
        <v>1767</v>
      </c>
      <c r="B1956" t="s">
        <v>1769</v>
      </c>
      <c r="C1956" t="s">
        <v>2792</v>
      </c>
      <c r="D1956">
        <v>4</v>
      </c>
      <c r="E1956">
        <v>223.8</v>
      </c>
      <c r="F1956">
        <v>223.8</v>
      </c>
      <c r="G1956" t="s">
        <v>3922</v>
      </c>
      <c r="H1956" t="s">
        <v>4719</v>
      </c>
      <c r="I1956" t="s">
        <v>4084</v>
      </c>
      <c r="J1956" t="s">
        <v>4720</v>
      </c>
      <c r="L1956" t="s">
        <v>3923</v>
      </c>
    </row>
    <row r="1957" spans="1:12" x14ac:dyDescent="0.2">
      <c r="A1957" t="s">
        <v>1767</v>
      </c>
      <c r="B1957" t="s">
        <v>1769</v>
      </c>
      <c r="C1957" t="s">
        <v>2792</v>
      </c>
      <c r="D1957">
        <v>4</v>
      </c>
      <c r="E1957">
        <v>313.45</v>
      </c>
      <c r="F1957">
        <v>313.45</v>
      </c>
      <c r="G1957" t="s">
        <v>3922</v>
      </c>
      <c r="H1957" t="s">
        <v>4721</v>
      </c>
      <c r="I1957" t="s">
        <v>4084</v>
      </c>
      <c r="J1957" t="s">
        <v>4722</v>
      </c>
      <c r="L1957" t="s">
        <v>3923</v>
      </c>
    </row>
    <row r="1958" spans="1:12" x14ac:dyDescent="0.2">
      <c r="A1958" t="s">
        <v>1767</v>
      </c>
      <c r="B1958" t="s">
        <v>1769</v>
      </c>
      <c r="C1958" t="s">
        <v>2792</v>
      </c>
      <c r="D1958">
        <v>4</v>
      </c>
      <c r="E1958">
        <v>374.37</v>
      </c>
      <c r="F1958">
        <v>374.37</v>
      </c>
      <c r="G1958" t="s">
        <v>3922</v>
      </c>
      <c r="H1958" t="s">
        <v>4723</v>
      </c>
      <c r="I1958" t="s">
        <v>4084</v>
      </c>
      <c r="J1958" t="s">
        <v>4724</v>
      </c>
      <c r="L1958" t="s">
        <v>3923</v>
      </c>
    </row>
    <row r="1959" spans="1:12" x14ac:dyDescent="0.2">
      <c r="A1959" t="s">
        <v>1767</v>
      </c>
      <c r="B1959" t="s">
        <v>1769</v>
      </c>
      <c r="C1959" t="s">
        <v>2792</v>
      </c>
      <c r="D1959">
        <v>4</v>
      </c>
      <c r="E1959">
        <v>5.13</v>
      </c>
      <c r="F1959">
        <v>5.13</v>
      </c>
      <c r="G1959" t="s">
        <v>3922</v>
      </c>
      <c r="H1959" t="s">
        <v>4434</v>
      </c>
      <c r="I1959" t="s">
        <v>4084</v>
      </c>
      <c r="J1959" t="s">
        <v>4725</v>
      </c>
      <c r="L1959" t="s">
        <v>3923</v>
      </c>
    </row>
    <row r="1960" spans="1:12" x14ac:dyDescent="0.2">
      <c r="A1960" t="s">
        <v>1767</v>
      </c>
      <c r="B1960" t="s">
        <v>1769</v>
      </c>
      <c r="C1960" t="s">
        <v>4726</v>
      </c>
      <c r="D1960">
        <v>1</v>
      </c>
      <c r="E1960">
        <v>0</v>
      </c>
      <c r="F1960">
        <v>0</v>
      </c>
      <c r="G1960" t="s">
        <v>4727</v>
      </c>
      <c r="L1960" t="s">
        <v>4728</v>
      </c>
    </row>
    <row r="1961" spans="1:12" x14ac:dyDescent="0.2">
      <c r="A1961" t="s">
        <v>1767</v>
      </c>
      <c r="B1961" t="s">
        <v>1769</v>
      </c>
      <c r="C1961" t="s">
        <v>4726</v>
      </c>
      <c r="D1961">
        <v>3</v>
      </c>
      <c r="E1961">
        <v>1191</v>
      </c>
      <c r="F1961">
        <v>1191</v>
      </c>
      <c r="G1961" t="s">
        <v>4727</v>
      </c>
      <c r="H1961" t="s">
        <v>4729</v>
      </c>
      <c r="I1961" t="s">
        <v>4730</v>
      </c>
      <c r="L1961" t="s">
        <v>4728</v>
      </c>
    </row>
    <row r="1962" spans="1:12" x14ac:dyDescent="0.2">
      <c r="A1962" t="s">
        <v>1767</v>
      </c>
      <c r="B1962" t="s">
        <v>1769</v>
      </c>
      <c r="C1962" t="s">
        <v>4726</v>
      </c>
      <c r="D1962">
        <v>3</v>
      </c>
      <c r="E1962">
        <v>1191</v>
      </c>
      <c r="F1962">
        <v>1191</v>
      </c>
      <c r="G1962" t="s">
        <v>4727</v>
      </c>
      <c r="H1962" t="s">
        <v>4729</v>
      </c>
      <c r="I1962" t="s">
        <v>4731</v>
      </c>
      <c r="L1962" t="s">
        <v>4728</v>
      </c>
    </row>
    <row r="1963" spans="1:12" x14ac:dyDescent="0.2">
      <c r="A1963" t="s">
        <v>1767</v>
      </c>
      <c r="B1963" t="s">
        <v>1769</v>
      </c>
      <c r="C1963" t="s">
        <v>4726</v>
      </c>
      <c r="D1963">
        <v>3</v>
      </c>
      <c r="E1963">
        <v>548</v>
      </c>
      <c r="F1963">
        <v>548</v>
      </c>
      <c r="G1963" t="s">
        <v>4727</v>
      </c>
      <c r="H1963" t="s">
        <v>4732</v>
      </c>
      <c r="I1963" t="s">
        <v>4733</v>
      </c>
      <c r="L1963" t="s">
        <v>4728</v>
      </c>
    </row>
    <row r="1964" spans="1:12" x14ac:dyDescent="0.2">
      <c r="A1964" t="s">
        <v>1767</v>
      </c>
      <c r="B1964" t="s">
        <v>1769</v>
      </c>
      <c r="C1964" t="s">
        <v>4726</v>
      </c>
      <c r="D1964">
        <v>3</v>
      </c>
      <c r="E1964">
        <v>942</v>
      </c>
      <c r="F1964">
        <v>942</v>
      </c>
      <c r="G1964" t="s">
        <v>4727</v>
      </c>
      <c r="H1964" t="s">
        <v>4734</v>
      </c>
      <c r="I1964" t="s">
        <v>4735</v>
      </c>
      <c r="L1964" t="s">
        <v>4728</v>
      </c>
    </row>
    <row r="1965" spans="1:12" x14ac:dyDescent="0.2">
      <c r="A1965" t="s">
        <v>1767</v>
      </c>
      <c r="B1965" t="s">
        <v>1769</v>
      </c>
      <c r="C1965" t="s">
        <v>4726</v>
      </c>
      <c r="D1965">
        <v>3</v>
      </c>
      <c r="E1965">
        <v>69.099999999999994</v>
      </c>
      <c r="F1965">
        <v>69.099999999999994</v>
      </c>
      <c r="G1965" t="s">
        <v>4727</v>
      </c>
      <c r="H1965" t="s">
        <v>4736</v>
      </c>
      <c r="I1965" t="s">
        <v>4737</v>
      </c>
      <c r="L1965" t="s">
        <v>4728</v>
      </c>
    </row>
    <row r="1966" spans="1:12" x14ac:dyDescent="0.2">
      <c r="A1966" t="s">
        <v>1767</v>
      </c>
      <c r="B1966" t="s">
        <v>1769</v>
      </c>
      <c r="C1966" t="s">
        <v>4726</v>
      </c>
      <c r="D1966">
        <v>3</v>
      </c>
      <c r="E1966">
        <v>1895.08</v>
      </c>
      <c r="F1966">
        <v>1895.08</v>
      </c>
      <c r="G1966" t="s">
        <v>4727</v>
      </c>
      <c r="H1966" t="s">
        <v>4738</v>
      </c>
      <c r="I1966" t="s">
        <v>4739</v>
      </c>
      <c r="L1966" t="s">
        <v>4728</v>
      </c>
    </row>
    <row r="1967" spans="1:12" x14ac:dyDescent="0.2">
      <c r="A1967" t="s">
        <v>1767</v>
      </c>
      <c r="B1967" t="s">
        <v>1769</v>
      </c>
      <c r="C1967" t="s">
        <v>4726</v>
      </c>
      <c r="D1967">
        <v>3</v>
      </c>
      <c r="E1967">
        <v>400</v>
      </c>
      <c r="F1967">
        <v>400</v>
      </c>
      <c r="G1967" t="s">
        <v>4727</v>
      </c>
      <c r="H1967" t="s">
        <v>4740</v>
      </c>
      <c r="I1967" t="s">
        <v>4741</v>
      </c>
      <c r="L1967" t="s">
        <v>4728</v>
      </c>
    </row>
    <row r="1968" spans="1:12" x14ac:dyDescent="0.2">
      <c r="A1968" t="s">
        <v>1767</v>
      </c>
      <c r="B1968" t="s">
        <v>1769</v>
      </c>
      <c r="C1968" t="s">
        <v>4726</v>
      </c>
      <c r="D1968">
        <v>3</v>
      </c>
      <c r="E1968">
        <v>204</v>
      </c>
      <c r="F1968">
        <v>204</v>
      </c>
      <c r="G1968" t="s">
        <v>4727</v>
      </c>
      <c r="H1968" t="s">
        <v>4742</v>
      </c>
      <c r="I1968" t="s">
        <v>4743</v>
      </c>
      <c r="L1968" t="s">
        <v>4728</v>
      </c>
    </row>
    <row r="1969" spans="1:12" x14ac:dyDescent="0.2">
      <c r="A1969" t="s">
        <v>1767</v>
      </c>
      <c r="B1969" t="s">
        <v>1769</v>
      </c>
      <c r="C1969" t="s">
        <v>4726</v>
      </c>
      <c r="D1969">
        <v>3</v>
      </c>
      <c r="E1969">
        <v>80</v>
      </c>
      <c r="F1969">
        <v>80</v>
      </c>
      <c r="G1969" t="s">
        <v>4727</v>
      </c>
      <c r="H1969" t="s">
        <v>4744</v>
      </c>
      <c r="I1969" t="s">
        <v>4745</v>
      </c>
      <c r="L1969" t="s">
        <v>4728</v>
      </c>
    </row>
    <row r="1970" spans="1:12" x14ac:dyDescent="0.2">
      <c r="A1970" t="s">
        <v>1767</v>
      </c>
      <c r="B1970" t="s">
        <v>1769</v>
      </c>
      <c r="C1970" t="s">
        <v>4726</v>
      </c>
      <c r="D1970">
        <v>3</v>
      </c>
      <c r="E1970">
        <v>90</v>
      </c>
      <c r="F1970">
        <v>90</v>
      </c>
      <c r="G1970" t="s">
        <v>4727</v>
      </c>
      <c r="H1970" t="s">
        <v>4746</v>
      </c>
      <c r="I1970" t="s">
        <v>4747</v>
      </c>
      <c r="L1970" t="s">
        <v>4728</v>
      </c>
    </row>
    <row r="1971" spans="1:12" x14ac:dyDescent="0.2">
      <c r="A1971" t="s">
        <v>1767</v>
      </c>
      <c r="B1971" t="s">
        <v>1769</v>
      </c>
      <c r="C1971" t="s">
        <v>4726</v>
      </c>
      <c r="D1971">
        <v>3</v>
      </c>
      <c r="E1971">
        <v>2222.23</v>
      </c>
      <c r="F1971">
        <v>2222.23</v>
      </c>
      <c r="G1971" t="s">
        <v>4727</v>
      </c>
      <c r="H1971" t="s">
        <v>4748</v>
      </c>
      <c r="I1971" t="s">
        <v>4749</v>
      </c>
      <c r="L1971" t="s">
        <v>4728</v>
      </c>
    </row>
    <row r="1972" spans="1:12" x14ac:dyDescent="0.2">
      <c r="A1972" t="s">
        <v>1767</v>
      </c>
      <c r="B1972" t="s">
        <v>1769</v>
      </c>
      <c r="C1972" t="s">
        <v>4726</v>
      </c>
      <c r="D1972">
        <v>3</v>
      </c>
      <c r="E1972">
        <v>157.80000000000001</v>
      </c>
      <c r="F1972">
        <v>157.80000000000001</v>
      </c>
      <c r="G1972" t="s">
        <v>4727</v>
      </c>
      <c r="H1972" t="s">
        <v>4750</v>
      </c>
      <c r="I1972" t="s">
        <v>4751</v>
      </c>
      <c r="L1972" t="s">
        <v>4728</v>
      </c>
    </row>
    <row r="1973" spans="1:12" x14ac:dyDescent="0.2">
      <c r="A1973" t="s">
        <v>1767</v>
      </c>
      <c r="B1973" t="s">
        <v>1769</v>
      </c>
      <c r="C1973" t="s">
        <v>4752</v>
      </c>
      <c r="D1973">
        <v>1</v>
      </c>
      <c r="E1973">
        <v>0</v>
      </c>
      <c r="F1973">
        <v>0</v>
      </c>
      <c r="G1973" t="s">
        <v>4753</v>
      </c>
      <c r="L1973" t="s">
        <v>4754</v>
      </c>
    </row>
    <row r="1974" spans="1:12" x14ac:dyDescent="0.2">
      <c r="A1974" t="s">
        <v>1767</v>
      </c>
      <c r="B1974" t="s">
        <v>1769</v>
      </c>
      <c r="C1974" t="s">
        <v>4752</v>
      </c>
      <c r="D1974">
        <v>3</v>
      </c>
      <c r="E1974">
        <v>30</v>
      </c>
      <c r="F1974">
        <v>30</v>
      </c>
      <c r="G1974" t="s">
        <v>4753</v>
      </c>
      <c r="H1974" t="s">
        <v>4755</v>
      </c>
      <c r="I1974" t="s">
        <v>4756</v>
      </c>
      <c r="L1974" t="s">
        <v>4754</v>
      </c>
    </row>
    <row r="1975" spans="1:12" x14ac:dyDescent="0.2">
      <c r="A1975" t="s">
        <v>1767</v>
      </c>
      <c r="B1975" t="s">
        <v>1769</v>
      </c>
      <c r="C1975" t="s">
        <v>4752</v>
      </c>
      <c r="D1975">
        <v>3</v>
      </c>
      <c r="E1975">
        <v>550</v>
      </c>
      <c r="F1975">
        <v>550</v>
      </c>
      <c r="G1975" t="s">
        <v>4753</v>
      </c>
      <c r="H1975" t="s">
        <v>4757</v>
      </c>
      <c r="I1975" t="s">
        <v>4758</v>
      </c>
      <c r="L1975" t="s">
        <v>4754</v>
      </c>
    </row>
    <row r="1976" spans="1:12" x14ac:dyDescent="0.2">
      <c r="A1976" t="s">
        <v>1767</v>
      </c>
      <c r="B1976" t="s">
        <v>1769</v>
      </c>
      <c r="C1976" t="s">
        <v>4752</v>
      </c>
      <c r="D1976">
        <v>3</v>
      </c>
      <c r="E1976">
        <v>98.49</v>
      </c>
      <c r="F1976">
        <v>98.49</v>
      </c>
      <c r="G1976" t="s">
        <v>4753</v>
      </c>
      <c r="H1976" t="s">
        <v>4759</v>
      </c>
      <c r="I1976" t="s">
        <v>4760</v>
      </c>
      <c r="L1976" t="s">
        <v>4754</v>
      </c>
    </row>
    <row r="1977" spans="1:12" x14ac:dyDescent="0.2">
      <c r="A1977" t="s">
        <v>1767</v>
      </c>
      <c r="B1977" t="s">
        <v>1769</v>
      </c>
      <c r="C1977" t="s">
        <v>4752</v>
      </c>
      <c r="D1977">
        <v>3</v>
      </c>
      <c r="E1977">
        <v>1781.95</v>
      </c>
      <c r="F1977">
        <v>1781.95</v>
      </c>
      <c r="G1977" t="s">
        <v>4753</v>
      </c>
      <c r="H1977" t="s">
        <v>4761</v>
      </c>
      <c r="I1977" t="s">
        <v>4762</v>
      </c>
      <c r="L1977" t="s">
        <v>4754</v>
      </c>
    </row>
    <row r="1978" spans="1:12" x14ac:dyDescent="0.2">
      <c r="A1978" t="s">
        <v>1767</v>
      </c>
      <c r="B1978" t="s">
        <v>1769</v>
      </c>
      <c r="C1978" t="s">
        <v>4752</v>
      </c>
      <c r="D1978">
        <v>3</v>
      </c>
      <c r="E1978">
        <v>78.55</v>
      </c>
      <c r="F1978">
        <v>78.55</v>
      </c>
      <c r="G1978" t="s">
        <v>4753</v>
      </c>
      <c r="H1978" t="s">
        <v>4763</v>
      </c>
      <c r="I1978" t="s">
        <v>4764</v>
      </c>
      <c r="L1978" t="s">
        <v>4754</v>
      </c>
    </row>
    <row r="1979" spans="1:12" x14ac:dyDescent="0.2">
      <c r="A1979" t="s">
        <v>1767</v>
      </c>
      <c r="B1979" t="s">
        <v>1769</v>
      </c>
      <c r="C1979" t="s">
        <v>4752</v>
      </c>
      <c r="D1979">
        <v>3</v>
      </c>
      <c r="E1979">
        <v>1020.04</v>
      </c>
      <c r="F1979">
        <v>1020.04</v>
      </c>
      <c r="G1979" t="s">
        <v>4753</v>
      </c>
      <c r="H1979" t="s">
        <v>4765</v>
      </c>
      <c r="I1979" t="s">
        <v>4766</v>
      </c>
      <c r="L1979" t="s">
        <v>4754</v>
      </c>
    </row>
    <row r="1980" spans="1:12" x14ac:dyDescent="0.2">
      <c r="A1980" t="s">
        <v>1767</v>
      </c>
      <c r="B1980" t="s">
        <v>1769</v>
      </c>
      <c r="C1980" t="s">
        <v>4767</v>
      </c>
      <c r="D1980">
        <v>1</v>
      </c>
      <c r="E1980">
        <v>0</v>
      </c>
      <c r="F1980">
        <v>0</v>
      </c>
      <c r="G1980" t="s">
        <v>4768</v>
      </c>
      <c r="L1980" t="s">
        <v>4769</v>
      </c>
    </row>
    <row r="1981" spans="1:12" x14ac:dyDescent="0.2">
      <c r="A1981" t="s">
        <v>1767</v>
      </c>
      <c r="B1981" t="s">
        <v>1769</v>
      </c>
      <c r="C1981" t="s">
        <v>4767</v>
      </c>
      <c r="D1981">
        <v>3</v>
      </c>
      <c r="E1981">
        <v>464</v>
      </c>
      <c r="F1981">
        <v>464</v>
      </c>
      <c r="G1981" t="s">
        <v>4768</v>
      </c>
      <c r="H1981" t="s">
        <v>4770</v>
      </c>
      <c r="I1981" t="s">
        <v>4771</v>
      </c>
      <c r="L1981" t="s">
        <v>4769</v>
      </c>
    </row>
    <row r="1982" spans="1:12" x14ac:dyDescent="0.2">
      <c r="A1982" t="s">
        <v>1767</v>
      </c>
      <c r="B1982" t="s">
        <v>1769</v>
      </c>
      <c r="C1982" t="s">
        <v>4767</v>
      </c>
      <c r="D1982">
        <v>3</v>
      </c>
      <c r="E1982">
        <v>112.5</v>
      </c>
      <c r="F1982">
        <v>112.5</v>
      </c>
      <c r="G1982" t="s">
        <v>4768</v>
      </c>
      <c r="H1982" t="s">
        <v>4772</v>
      </c>
      <c r="I1982" t="s">
        <v>4773</v>
      </c>
      <c r="L1982" t="s">
        <v>4769</v>
      </c>
    </row>
    <row r="1983" spans="1:12" x14ac:dyDescent="0.2">
      <c r="A1983" t="s">
        <v>1767</v>
      </c>
      <c r="B1983" t="s">
        <v>1769</v>
      </c>
      <c r="C1983" t="s">
        <v>4767</v>
      </c>
      <c r="D1983">
        <v>3</v>
      </c>
      <c r="E1983">
        <v>0</v>
      </c>
      <c r="F1983">
        <v>0</v>
      </c>
      <c r="G1983" t="s">
        <v>4768</v>
      </c>
      <c r="H1983" t="s">
        <v>4774</v>
      </c>
      <c r="I1983" t="s">
        <v>4775</v>
      </c>
      <c r="L1983" t="s">
        <v>4769</v>
      </c>
    </row>
    <row r="1984" spans="1:12" x14ac:dyDescent="0.2">
      <c r="A1984" t="s">
        <v>1767</v>
      </c>
      <c r="B1984" t="s">
        <v>1769</v>
      </c>
      <c r="C1984" t="s">
        <v>4767</v>
      </c>
      <c r="D1984">
        <v>3</v>
      </c>
      <c r="E1984">
        <v>150</v>
      </c>
      <c r="F1984">
        <v>150</v>
      </c>
      <c r="G1984" t="s">
        <v>4768</v>
      </c>
      <c r="H1984" t="s">
        <v>4776</v>
      </c>
      <c r="I1984" t="s">
        <v>4777</v>
      </c>
      <c r="L1984" t="s">
        <v>4769</v>
      </c>
    </row>
    <row r="1985" spans="1:12" x14ac:dyDescent="0.2">
      <c r="A1985" t="s">
        <v>1767</v>
      </c>
      <c r="B1985" t="s">
        <v>1769</v>
      </c>
      <c r="C1985" t="s">
        <v>4767</v>
      </c>
      <c r="D1985">
        <v>3</v>
      </c>
      <c r="E1985">
        <v>280</v>
      </c>
      <c r="F1985">
        <v>280</v>
      </c>
      <c r="G1985" t="s">
        <v>4768</v>
      </c>
      <c r="H1985" t="s">
        <v>4778</v>
      </c>
      <c r="I1985" t="s">
        <v>4779</v>
      </c>
      <c r="L1985" t="s">
        <v>4769</v>
      </c>
    </row>
    <row r="1986" spans="1:12" x14ac:dyDescent="0.2">
      <c r="A1986" t="s">
        <v>1767</v>
      </c>
      <c r="B1986" t="s">
        <v>1769</v>
      </c>
      <c r="C1986" t="s">
        <v>4767</v>
      </c>
      <c r="D1986">
        <v>3</v>
      </c>
      <c r="E1986">
        <v>0</v>
      </c>
      <c r="F1986">
        <v>0</v>
      </c>
      <c r="G1986" t="s">
        <v>4768</v>
      </c>
      <c r="H1986" t="s">
        <v>4774</v>
      </c>
      <c r="I1986" t="s">
        <v>4780</v>
      </c>
      <c r="L1986" t="s">
        <v>4769</v>
      </c>
    </row>
    <row r="1987" spans="1:12" x14ac:dyDescent="0.2">
      <c r="A1987" t="s">
        <v>1767</v>
      </c>
      <c r="B1987" t="s">
        <v>1769</v>
      </c>
      <c r="C1987" t="s">
        <v>4767</v>
      </c>
      <c r="D1987">
        <v>3</v>
      </c>
      <c r="E1987">
        <v>1250</v>
      </c>
      <c r="F1987">
        <v>1250</v>
      </c>
      <c r="G1987" t="s">
        <v>4768</v>
      </c>
      <c r="H1987" t="s">
        <v>4781</v>
      </c>
      <c r="I1987" t="s">
        <v>4782</v>
      </c>
      <c r="L1987" t="s">
        <v>4769</v>
      </c>
    </row>
    <row r="1988" spans="1:12" x14ac:dyDescent="0.2">
      <c r="A1988" t="s">
        <v>1767</v>
      </c>
      <c r="B1988" t="s">
        <v>1769</v>
      </c>
      <c r="C1988" t="s">
        <v>4767</v>
      </c>
      <c r="D1988">
        <v>3</v>
      </c>
      <c r="E1988">
        <v>0</v>
      </c>
      <c r="F1988">
        <v>0</v>
      </c>
      <c r="G1988" t="s">
        <v>4768</v>
      </c>
      <c r="H1988" t="s">
        <v>4774</v>
      </c>
      <c r="I1988" t="s">
        <v>4783</v>
      </c>
      <c r="L1988" t="s">
        <v>4769</v>
      </c>
    </row>
    <row r="1989" spans="1:12" x14ac:dyDescent="0.2">
      <c r="A1989" t="s">
        <v>1767</v>
      </c>
      <c r="B1989" t="s">
        <v>1769</v>
      </c>
      <c r="C1989" t="s">
        <v>4767</v>
      </c>
      <c r="D1989">
        <v>3</v>
      </c>
      <c r="E1989">
        <v>387</v>
      </c>
      <c r="F1989">
        <v>387</v>
      </c>
      <c r="G1989" t="s">
        <v>4768</v>
      </c>
      <c r="H1989" t="s">
        <v>4784</v>
      </c>
      <c r="I1989" t="s">
        <v>4785</v>
      </c>
      <c r="L1989" t="s">
        <v>4769</v>
      </c>
    </row>
    <row r="1990" spans="1:12" x14ac:dyDescent="0.2">
      <c r="A1990" t="s">
        <v>1767</v>
      </c>
      <c r="B1990" t="s">
        <v>1769</v>
      </c>
      <c r="C1990" t="s">
        <v>4767</v>
      </c>
      <c r="D1990">
        <v>3</v>
      </c>
      <c r="E1990">
        <v>150</v>
      </c>
      <c r="F1990">
        <v>150</v>
      </c>
      <c r="G1990" t="s">
        <v>4768</v>
      </c>
      <c r="H1990" t="s">
        <v>4776</v>
      </c>
      <c r="I1990" t="s">
        <v>4786</v>
      </c>
      <c r="L1990" t="s">
        <v>4769</v>
      </c>
    </row>
    <row r="1991" spans="1:12" x14ac:dyDescent="0.2">
      <c r="A1991" t="s">
        <v>1767</v>
      </c>
      <c r="B1991" t="s">
        <v>1769</v>
      </c>
      <c r="C1991" t="s">
        <v>4767</v>
      </c>
      <c r="D1991">
        <v>3</v>
      </c>
      <c r="E1991">
        <v>10815</v>
      </c>
      <c r="F1991">
        <v>10815</v>
      </c>
      <c r="G1991" t="s">
        <v>4768</v>
      </c>
      <c r="H1991" t="s">
        <v>4787</v>
      </c>
      <c r="I1991" t="s">
        <v>4788</v>
      </c>
      <c r="L1991" t="s">
        <v>4769</v>
      </c>
    </row>
    <row r="1992" spans="1:12" x14ac:dyDescent="0.2">
      <c r="A1992" t="s">
        <v>1767</v>
      </c>
      <c r="B1992" t="s">
        <v>1769</v>
      </c>
      <c r="C1992" t="s">
        <v>4767</v>
      </c>
      <c r="D1992">
        <v>3</v>
      </c>
      <c r="E1992">
        <v>3330</v>
      </c>
      <c r="F1992">
        <v>3330</v>
      </c>
      <c r="G1992" t="s">
        <v>4768</v>
      </c>
      <c r="H1992" t="s">
        <v>4789</v>
      </c>
      <c r="I1992" t="s">
        <v>4790</v>
      </c>
      <c r="L1992" t="s">
        <v>4769</v>
      </c>
    </row>
    <row r="1993" spans="1:12" x14ac:dyDescent="0.2">
      <c r="A1993" t="s">
        <v>1767</v>
      </c>
      <c r="B1993" t="s">
        <v>1769</v>
      </c>
      <c r="C1993" t="s">
        <v>4767</v>
      </c>
      <c r="D1993">
        <v>3</v>
      </c>
      <c r="E1993">
        <v>6203.75</v>
      </c>
      <c r="F1993">
        <v>6203.75</v>
      </c>
      <c r="G1993" t="s">
        <v>4768</v>
      </c>
      <c r="H1993" t="s">
        <v>4791</v>
      </c>
      <c r="I1993" t="s">
        <v>4792</v>
      </c>
      <c r="L1993" t="s">
        <v>4769</v>
      </c>
    </row>
    <row r="1994" spans="1:12" x14ac:dyDescent="0.2">
      <c r="A1994" t="s">
        <v>1767</v>
      </c>
      <c r="B1994" t="s">
        <v>1769</v>
      </c>
      <c r="C1994" t="s">
        <v>4767</v>
      </c>
      <c r="D1994">
        <v>3</v>
      </c>
      <c r="E1994">
        <v>370</v>
      </c>
      <c r="F1994">
        <v>370</v>
      </c>
      <c r="G1994" t="s">
        <v>4768</v>
      </c>
      <c r="H1994" t="s">
        <v>4793</v>
      </c>
      <c r="I1994" t="s">
        <v>4794</v>
      </c>
      <c r="L1994" t="s">
        <v>4769</v>
      </c>
    </row>
    <row r="1995" spans="1:12" x14ac:dyDescent="0.2">
      <c r="A1995" t="s">
        <v>1767</v>
      </c>
      <c r="B1995" t="s">
        <v>1769</v>
      </c>
      <c r="C1995" t="s">
        <v>4767</v>
      </c>
      <c r="D1995">
        <v>3</v>
      </c>
      <c r="E1995">
        <v>476</v>
      </c>
      <c r="F1995">
        <v>476</v>
      </c>
      <c r="G1995" t="s">
        <v>4768</v>
      </c>
      <c r="H1995" t="s">
        <v>4795</v>
      </c>
      <c r="I1995" t="s">
        <v>4796</v>
      </c>
      <c r="L1995" t="s">
        <v>4769</v>
      </c>
    </row>
    <row r="1996" spans="1:12" x14ac:dyDescent="0.2">
      <c r="A1996" t="s">
        <v>1767</v>
      </c>
      <c r="B1996" t="s">
        <v>1769</v>
      </c>
      <c r="C1996" t="s">
        <v>4767</v>
      </c>
      <c r="D1996">
        <v>3</v>
      </c>
      <c r="E1996">
        <v>156</v>
      </c>
      <c r="F1996">
        <v>156</v>
      </c>
      <c r="G1996" t="s">
        <v>4768</v>
      </c>
      <c r="H1996" t="s">
        <v>4797</v>
      </c>
      <c r="I1996" t="s">
        <v>4798</v>
      </c>
      <c r="L1996" t="s">
        <v>4769</v>
      </c>
    </row>
    <row r="1997" spans="1:12" x14ac:dyDescent="0.2">
      <c r="A1997" t="s">
        <v>1767</v>
      </c>
      <c r="B1997" t="s">
        <v>1769</v>
      </c>
      <c r="C1997" t="s">
        <v>4767</v>
      </c>
      <c r="D1997">
        <v>3</v>
      </c>
      <c r="E1997">
        <v>605</v>
      </c>
      <c r="F1997">
        <v>605</v>
      </c>
      <c r="G1997" t="s">
        <v>4768</v>
      </c>
      <c r="H1997" t="s">
        <v>4799</v>
      </c>
      <c r="I1997" t="s">
        <v>4800</v>
      </c>
      <c r="L1997" t="s">
        <v>4769</v>
      </c>
    </row>
    <row r="1998" spans="1:12" x14ac:dyDescent="0.2">
      <c r="A1998" t="s">
        <v>1767</v>
      </c>
      <c r="B1998" t="s">
        <v>1769</v>
      </c>
      <c r="C1998" t="s">
        <v>4767</v>
      </c>
      <c r="D1998">
        <v>3</v>
      </c>
      <c r="E1998">
        <v>0</v>
      </c>
      <c r="F1998">
        <v>0</v>
      </c>
      <c r="G1998" t="s">
        <v>4768</v>
      </c>
      <c r="H1998" t="s">
        <v>4774</v>
      </c>
      <c r="I1998" t="s">
        <v>1963</v>
      </c>
      <c r="L1998" t="s">
        <v>4769</v>
      </c>
    </row>
    <row r="1999" spans="1:12" x14ac:dyDescent="0.2">
      <c r="A1999" t="s">
        <v>1767</v>
      </c>
      <c r="B1999" t="s">
        <v>1769</v>
      </c>
      <c r="C1999" t="s">
        <v>4767</v>
      </c>
      <c r="D1999">
        <v>3</v>
      </c>
      <c r="E1999">
        <v>462</v>
      </c>
      <c r="F1999">
        <v>462</v>
      </c>
      <c r="G1999" t="s">
        <v>4768</v>
      </c>
      <c r="H1999" t="s">
        <v>4801</v>
      </c>
      <c r="I1999" t="s">
        <v>4802</v>
      </c>
      <c r="L1999" t="s">
        <v>4769</v>
      </c>
    </row>
    <row r="2000" spans="1:12" x14ac:dyDescent="0.2">
      <c r="A2000" t="s">
        <v>1767</v>
      </c>
      <c r="B2000" t="s">
        <v>1769</v>
      </c>
      <c r="C2000" t="s">
        <v>4767</v>
      </c>
      <c r="D2000">
        <v>3</v>
      </c>
      <c r="E2000">
        <v>220</v>
      </c>
      <c r="F2000">
        <v>220</v>
      </c>
      <c r="G2000" t="s">
        <v>4768</v>
      </c>
      <c r="H2000" t="s">
        <v>4803</v>
      </c>
      <c r="I2000" t="s">
        <v>4804</v>
      </c>
      <c r="L2000" t="s">
        <v>4769</v>
      </c>
    </row>
    <row r="2001" spans="1:12" x14ac:dyDescent="0.2">
      <c r="A2001" t="s">
        <v>1767</v>
      </c>
      <c r="B2001" t="s">
        <v>1769</v>
      </c>
      <c r="C2001" t="s">
        <v>4767</v>
      </c>
      <c r="D2001">
        <v>3</v>
      </c>
      <c r="E2001">
        <v>244</v>
      </c>
      <c r="F2001">
        <v>244</v>
      </c>
      <c r="G2001" t="s">
        <v>4768</v>
      </c>
      <c r="H2001" t="s">
        <v>4805</v>
      </c>
      <c r="I2001" t="s">
        <v>4806</v>
      </c>
      <c r="L2001" t="s">
        <v>4769</v>
      </c>
    </row>
    <row r="2002" spans="1:12" x14ac:dyDescent="0.2">
      <c r="A2002" t="s">
        <v>1767</v>
      </c>
      <c r="B2002" t="s">
        <v>1769</v>
      </c>
      <c r="C2002" t="s">
        <v>4767</v>
      </c>
      <c r="D2002">
        <v>3</v>
      </c>
      <c r="E2002">
        <v>373</v>
      </c>
      <c r="F2002">
        <v>373</v>
      </c>
      <c r="G2002" t="s">
        <v>4768</v>
      </c>
      <c r="H2002" t="s">
        <v>4807</v>
      </c>
      <c r="I2002" t="s">
        <v>4808</v>
      </c>
      <c r="L2002" t="s">
        <v>4769</v>
      </c>
    </row>
    <row r="2003" spans="1:12" x14ac:dyDescent="0.2">
      <c r="A2003" t="s">
        <v>1767</v>
      </c>
      <c r="B2003" t="s">
        <v>1769</v>
      </c>
      <c r="C2003" t="s">
        <v>4767</v>
      </c>
      <c r="D2003">
        <v>3</v>
      </c>
      <c r="E2003">
        <v>100.2</v>
      </c>
      <c r="F2003">
        <v>100.2</v>
      </c>
      <c r="G2003" t="s">
        <v>4768</v>
      </c>
      <c r="H2003" t="s">
        <v>4809</v>
      </c>
      <c r="I2003" t="s">
        <v>4810</v>
      </c>
      <c r="L2003" t="s">
        <v>4769</v>
      </c>
    </row>
    <row r="2004" spans="1:12" x14ac:dyDescent="0.2">
      <c r="A2004" t="s">
        <v>1767</v>
      </c>
      <c r="B2004" t="s">
        <v>1769</v>
      </c>
      <c r="C2004" t="s">
        <v>4767</v>
      </c>
      <c r="D2004">
        <v>3</v>
      </c>
      <c r="E2004">
        <v>6921.42</v>
      </c>
      <c r="F2004">
        <v>6921.42</v>
      </c>
      <c r="G2004" t="s">
        <v>4768</v>
      </c>
      <c r="H2004" t="s">
        <v>4811</v>
      </c>
      <c r="I2004" t="s">
        <v>4812</v>
      </c>
      <c r="L2004" t="s">
        <v>4769</v>
      </c>
    </row>
    <row r="2005" spans="1:12" x14ac:dyDescent="0.2">
      <c r="A2005" t="s">
        <v>1767</v>
      </c>
      <c r="B2005" t="s">
        <v>1769</v>
      </c>
      <c r="C2005" t="s">
        <v>4767</v>
      </c>
      <c r="D2005">
        <v>3</v>
      </c>
      <c r="E2005">
        <v>15383.88</v>
      </c>
      <c r="F2005">
        <v>15383.88</v>
      </c>
      <c r="G2005" t="s">
        <v>4768</v>
      </c>
      <c r="H2005" t="s">
        <v>4813</v>
      </c>
      <c r="I2005" t="s">
        <v>4814</v>
      </c>
      <c r="L2005" t="s">
        <v>4769</v>
      </c>
    </row>
    <row r="2006" spans="1:12" x14ac:dyDescent="0.2">
      <c r="A2006" t="s">
        <v>1767</v>
      </c>
      <c r="B2006" t="s">
        <v>1769</v>
      </c>
      <c r="C2006" t="s">
        <v>4767</v>
      </c>
      <c r="D2006">
        <v>3</v>
      </c>
      <c r="E2006">
        <v>0</v>
      </c>
      <c r="F2006">
        <v>0</v>
      </c>
      <c r="G2006" t="s">
        <v>4768</v>
      </c>
      <c r="H2006" t="s">
        <v>4774</v>
      </c>
      <c r="I2006" t="s">
        <v>1934</v>
      </c>
      <c r="L2006" t="s">
        <v>4769</v>
      </c>
    </row>
    <row r="2007" spans="1:12" x14ac:dyDescent="0.2">
      <c r="A2007" t="s">
        <v>1767</v>
      </c>
      <c r="B2007" t="s">
        <v>1769</v>
      </c>
      <c r="C2007" t="s">
        <v>4767</v>
      </c>
      <c r="D2007">
        <v>3</v>
      </c>
      <c r="E2007">
        <v>3670.8</v>
      </c>
      <c r="F2007">
        <v>3670.8</v>
      </c>
      <c r="G2007" t="s">
        <v>4768</v>
      </c>
      <c r="H2007" t="s">
        <v>4815</v>
      </c>
      <c r="I2007" t="s">
        <v>4816</v>
      </c>
      <c r="L2007" t="s">
        <v>4769</v>
      </c>
    </row>
    <row r="2008" spans="1:12" x14ac:dyDescent="0.2">
      <c r="A2008" t="s">
        <v>1767</v>
      </c>
      <c r="B2008" t="s">
        <v>1769</v>
      </c>
      <c r="C2008" t="s">
        <v>4767</v>
      </c>
      <c r="D2008">
        <v>3</v>
      </c>
      <c r="E2008">
        <v>0</v>
      </c>
      <c r="F2008">
        <v>0</v>
      </c>
      <c r="G2008" t="s">
        <v>4768</v>
      </c>
      <c r="H2008" t="s">
        <v>4774</v>
      </c>
      <c r="I2008" t="s">
        <v>1964</v>
      </c>
      <c r="L2008" t="s">
        <v>4769</v>
      </c>
    </row>
    <row r="2009" spans="1:12" x14ac:dyDescent="0.2">
      <c r="A2009" t="s">
        <v>1767</v>
      </c>
      <c r="B2009" t="s">
        <v>1769</v>
      </c>
      <c r="C2009" t="s">
        <v>4767</v>
      </c>
      <c r="D2009">
        <v>3</v>
      </c>
      <c r="E2009">
        <v>0</v>
      </c>
      <c r="F2009">
        <v>0</v>
      </c>
      <c r="G2009" t="s">
        <v>4768</v>
      </c>
      <c r="H2009" t="s">
        <v>4774</v>
      </c>
      <c r="I2009" t="s">
        <v>4817</v>
      </c>
      <c r="L2009" t="s">
        <v>4769</v>
      </c>
    </row>
    <row r="2010" spans="1:12" x14ac:dyDescent="0.2">
      <c r="A2010" t="s">
        <v>1767</v>
      </c>
      <c r="B2010" t="s">
        <v>1769</v>
      </c>
      <c r="C2010" t="s">
        <v>4767</v>
      </c>
      <c r="D2010">
        <v>3</v>
      </c>
      <c r="E2010">
        <v>0</v>
      </c>
      <c r="F2010">
        <v>0</v>
      </c>
      <c r="G2010" t="s">
        <v>4768</v>
      </c>
      <c r="H2010" t="s">
        <v>4774</v>
      </c>
      <c r="I2010" t="s">
        <v>1939</v>
      </c>
      <c r="L2010" t="s">
        <v>4769</v>
      </c>
    </row>
    <row r="2011" spans="1:12" x14ac:dyDescent="0.2">
      <c r="A2011" t="s">
        <v>1767</v>
      </c>
      <c r="B2011" t="s">
        <v>1769</v>
      </c>
      <c r="C2011" t="s">
        <v>4767</v>
      </c>
      <c r="D2011">
        <v>3</v>
      </c>
      <c r="E2011">
        <v>0</v>
      </c>
      <c r="F2011">
        <v>0</v>
      </c>
      <c r="G2011" t="s">
        <v>4768</v>
      </c>
      <c r="H2011" t="s">
        <v>4774</v>
      </c>
      <c r="I2011" t="s">
        <v>1936</v>
      </c>
      <c r="L2011" t="s">
        <v>4769</v>
      </c>
    </row>
    <row r="2012" spans="1:12" x14ac:dyDescent="0.2">
      <c r="A2012" t="s">
        <v>1767</v>
      </c>
      <c r="B2012" t="s">
        <v>1769</v>
      </c>
      <c r="C2012" t="s">
        <v>4767</v>
      </c>
      <c r="D2012">
        <v>3</v>
      </c>
      <c r="E2012">
        <v>140</v>
      </c>
      <c r="F2012">
        <v>140</v>
      </c>
      <c r="G2012" t="s">
        <v>4768</v>
      </c>
      <c r="H2012" t="s">
        <v>4818</v>
      </c>
      <c r="I2012" t="s">
        <v>4819</v>
      </c>
      <c r="L2012" t="s">
        <v>4769</v>
      </c>
    </row>
    <row r="2013" spans="1:12" x14ac:dyDescent="0.2">
      <c r="A2013" t="s">
        <v>1767</v>
      </c>
      <c r="B2013" t="s">
        <v>1769</v>
      </c>
      <c r="C2013" t="s">
        <v>4767</v>
      </c>
      <c r="D2013">
        <v>3</v>
      </c>
      <c r="E2013">
        <v>1100</v>
      </c>
      <c r="F2013">
        <v>1100</v>
      </c>
      <c r="G2013" t="s">
        <v>4768</v>
      </c>
      <c r="H2013" t="s">
        <v>4820</v>
      </c>
      <c r="I2013" t="s">
        <v>4821</v>
      </c>
      <c r="L2013" t="s">
        <v>4769</v>
      </c>
    </row>
    <row r="2014" spans="1:12" x14ac:dyDescent="0.2">
      <c r="A2014" t="s">
        <v>1767</v>
      </c>
      <c r="B2014" t="s">
        <v>1769</v>
      </c>
      <c r="C2014" t="s">
        <v>4767</v>
      </c>
      <c r="D2014">
        <v>3</v>
      </c>
      <c r="E2014">
        <v>378</v>
      </c>
      <c r="F2014">
        <v>378</v>
      </c>
      <c r="G2014" t="s">
        <v>4768</v>
      </c>
      <c r="H2014" t="s">
        <v>4822</v>
      </c>
      <c r="I2014" t="s">
        <v>4823</v>
      </c>
      <c r="L2014" t="s">
        <v>4769</v>
      </c>
    </row>
    <row r="2015" spans="1:12" x14ac:dyDescent="0.2">
      <c r="A2015" t="s">
        <v>1767</v>
      </c>
      <c r="B2015" t="s">
        <v>1769</v>
      </c>
      <c r="C2015" t="s">
        <v>4767</v>
      </c>
      <c r="D2015">
        <v>3</v>
      </c>
      <c r="E2015">
        <v>0</v>
      </c>
      <c r="F2015">
        <v>0</v>
      </c>
      <c r="G2015" t="s">
        <v>4768</v>
      </c>
      <c r="H2015" t="s">
        <v>4774</v>
      </c>
      <c r="I2015" t="s">
        <v>4824</v>
      </c>
      <c r="L2015" t="s">
        <v>4769</v>
      </c>
    </row>
    <row r="2016" spans="1:12" x14ac:dyDescent="0.2">
      <c r="A2016" t="s">
        <v>1767</v>
      </c>
      <c r="B2016" t="s">
        <v>1769</v>
      </c>
      <c r="C2016" t="s">
        <v>4767</v>
      </c>
      <c r="D2016">
        <v>3</v>
      </c>
      <c r="E2016">
        <v>0.6</v>
      </c>
      <c r="F2016">
        <v>0.6</v>
      </c>
      <c r="G2016" t="s">
        <v>4768</v>
      </c>
      <c r="H2016" t="s">
        <v>4825</v>
      </c>
      <c r="I2016" t="s">
        <v>4826</v>
      </c>
      <c r="L2016" t="s">
        <v>4769</v>
      </c>
    </row>
    <row r="2017" spans="1:12" x14ac:dyDescent="0.2">
      <c r="A2017" t="s">
        <v>1767</v>
      </c>
      <c r="B2017" t="s">
        <v>1769</v>
      </c>
      <c r="C2017" t="s">
        <v>4767</v>
      </c>
      <c r="D2017">
        <v>3</v>
      </c>
      <c r="E2017">
        <v>0.02</v>
      </c>
      <c r="F2017">
        <v>0.02</v>
      </c>
      <c r="G2017" t="s">
        <v>4768</v>
      </c>
      <c r="H2017" t="s">
        <v>4827</v>
      </c>
      <c r="I2017" t="s">
        <v>4828</v>
      </c>
      <c r="L2017" t="s">
        <v>4769</v>
      </c>
    </row>
    <row r="2018" spans="1:12" x14ac:dyDescent="0.2">
      <c r="A2018" t="s">
        <v>1767</v>
      </c>
      <c r="B2018" t="s">
        <v>1769</v>
      </c>
      <c r="C2018" t="s">
        <v>4767</v>
      </c>
      <c r="D2018">
        <v>3</v>
      </c>
      <c r="E2018">
        <v>3.41</v>
      </c>
      <c r="F2018">
        <v>3.41</v>
      </c>
      <c r="G2018" t="s">
        <v>4768</v>
      </c>
      <c r="H2018" t="s">
        <v>4829</v>
      </c>
      <c r="I2018" t="s">
        <v>4830</v>
      </c>
      <c r="L2018" t="s">
        <v>4769</v>
      </c>
    </row>
    <row r="2019" spans="1:12" x14ac:dyDescent="0.2">
      <c r="A2019" t="s">
        <v>1767</v>
      </c>
      <c r="B2019" t="s">
        <v>1769</v>
      </c>
      <c r="C2019" t="s">
        <v>4767</v>
      </c>
      <c r="D2019">
        <v>3</v>
      </c>
      <c r="E2019">
        <v>0</v>
      </c>
      <c r="F2019">
        <v>0</v>
      </c>
      <c r="G2019" t="s">
        <v>4768</v>
      </c>
      <c r="H2019" t="s">
        <v>4774</v>
      </c>
      <c r="I2019" t="s">
        <v>4831</v>
      </c>
      <c r="L2019" t="s">
        <v>4769</v>
      </c>
    </row>
    <row r="2020" spans="1:12" x14ac:dyDescent="0.2">
      <c r="A2020" t="s">
        <v>1767</v>
      </c>
      <c r="B2020" t="s">
        <v>1769</v>
      </c>
      <c r="C2020" t="s">
        <v>4767</v>
      </c>
      <c r="D2020">
        <v>3</v>
      </c>
      <c r="E2020">
        <v>0</v>
      </c>
      <c r="F2020">
        <v>0</v>
      </c>
      <c r="G2020" t="s">
        <v>4768</v>
      </c>
      <c r="H2020" t="s">
        <v>4774</v>
      </c>
      <c r="I2020" t="s">
        <v>4832</v>
      </c>
      <c r="L2020" t="s">
        <v>4769</v>
      </c>
    </row>
    <row r="2021" spans="1:12" x14ac:dyDescent="0.2">
      <c r="A2021" t="s">
        <v>1767</v>
      </c>
      <c r="B2021" t="s">
        <v>1769</v>
      </c>
      <c r="C2021" t="s">
        <v>4767</v>
      </c>
      <c r="D2021">
        <v>3</v>
      </c>
      <c r="E2021">
        <v>1.0900000000000001</v>
      </c>
      <c r="F2021">
        <v>1.0900000000000001</v>
      </c>
      <c r="G2021" t="s">
        <v>4768</v>
      </c>
      <c r="H2021" t="s">
        <v>4833</v>
      </c>
      <c r="I2021" t="s">
        <v>4834</v>
      </c>
      <c r="L2021" t="s">
        <v>4769</v>
      </c>
    </row>
    <row r="2022" spans="1:12" x14ac:dyDescent="0.2">
      <c r="A2022" t="s">
        <v>1767</v>
      </c>
      <c r="B2022" t="s">
        <v>1769</v>
      </c>
      <c r="C2022" t="s">
        <v>4767</v>
      </c>
      <c r="D2022">
        <v>3</v>
      </c>
      <c r="E2022">
        <v>0.63</v>
      </c>
      <c r="F2022">
        <v>0.63</v>
      </c>
      <c r="G2022" t="s">
        <v>4768</v>
      </c>
      <c r="H2022" t="s">
        <v>4835</v>
      </c>
      <c r="I2022" t="s">
        <v>4836</v>
      </c>
      <c r="L2022" t="s">
        <v>4769</v>
      </c>
    </row>
    <row r="2023" spans="1:12" x14ac:dyDescent="0.2">
      <c r="A2023" t="s">
        <v>1767</v>
      </c>
      <c r="B2023" t="s">
        <v>1769</v>
      </c>
      <c r="C2023" t="s">
        <v>4767</v>
      </c>
      <c r="D2023">
        <v>3</v>
      </c>
      <c r="E2023">
        <v>1.54</v>
      </c>
      <c r="F2023">
        <v>1.54</v>
      </c>
      <c r="G2023" t="s">
        <v>4768</v>
      </c>
      <c r="H2023" t="s">
        <v>4837</v>
      </c>
      <c r="I2023" t="s">
        <v>4838</v>
      </c>
      <c r="L2023" t="s">
        <v>4769</v>
      </c>
    </row>
    <row r="2024" spans="1:12" x14ac:dyDescent="0.2">
      <c r="A2024" t="s">
        <v>1767</v>
      </c>
      <c r="B2024" t="s">
        <v>1769</v>
      </c>
      <c r="C2024" t="s">
        <v>4767</v>
      </c>
      <c r="D2024">
        <v>3</v>
      </c>
      <c r="E2024">
        <v>412.5</v>
      </c>
      <c r="F2024">
        <v>412.5</v>
      </c>
      <c r="G2024" t="s">
        <v>4768</v>
      </c>
      <c r="H2024" t="s">
        <v>4839</v>
      </c>
      <c r="I2024" t="s">
        <v>4840</v>
      </c>
      <c r="L2024" t="s">
        <v>4769</v>
      </c>
    </row>
    <row r="2025" spans="1:12" x14ac:dyDescent="0.2">
      <c r="A2025" t="s">
        <v>1767</v>
      </c>
      <c r="B2025" t="s">
        <v>1769</v>
      </c>
      <c r="C2025" t="s">
        <v>4767</v>
      </c>
      <c r="D2025">
        <v>3</v>
      </c>
      <c r="E2025">
        <v>0</v>
      </c>
      <c r="F2025">
        <v>0</v>
      </c>
      <c r="G2025" t="s">
        <v>4768</v>
      </c>
      <c r="H2025" t="s">
        <v>4774</v>
      </c>
      <c r="I2025" t="s">
        <v>1935</v>
      </c>
      <c r="L2025" t="s">
        <v>4769</v>
      </c>
    </row>
    <row r="2026" spans="1:12" x14ac:dyDescent="0.2">
      <c r="A2026" t="s">
        <v>1767</v>
      </c>
      <c r="B2026" t="s">
        <v>1769</v>
      </c>
      <c r="C2026" t="s">
        <v>4767</v>
      </c>
      <c r="D2026">
        <v>3</v>
      </c>
      <c r="E2026">
        <v>0</v>
      </c>
      <c r="F2026">
        <v>0</v>
      </c>
      <c r="G2026" t="s">
        <v>4768</v>
      </c>
      <c r="H2026" t="s">
        <v>4774</v>
      </c>
      <c r="I2026" t="s">
        <v>1967</v>
      </c>
      <c r="L2026" t="s">
        <v>4769</v>
      </c>
    </row>
    <row r="2027" spans="1:12" x14ac:dyDescent="0.2">
      <c r="A2027" t="s">
        <v>1767</v>
      </c>
      <c r="B2027" t="s">
        <v>1769</v>
      </c>
      <c r="C2027" t="s">
        <v>4767</v>
      </c>
      <c r="D2027">
        <v>3</v>
      </c>
      <c r="E2027">
        <v>0</v>
      </c>
      <c r="F2027">
        <v>0</v>
      </c>
      <c r="G2027" t="s">
        <v>4768</v>
      </c>
      <c r="H2027" t="s">
        <v>4774</v>
      </c>
      <c r="I2027" t="s">
        <v>4841</v>
      </c>
      <c r="L2027" t="s">
        <v>4769</v>
      </c>
    </row>
    <row r="2028" spans="1:12" x14ac:dyDescent="0.2">
      <c r="A2028" t="s">
        <v>1767</v>
      </c>
      <c r="B2028" t="s">
        <v>1769</v>
      </c>
      <c r="C2028" t="s">
        <v>4767</v>
      </c>
      <c r="D2028">
        <v>3</v>
      </c>
      <c r="E2028">
        <v>0</v>
      </c>
      <c r="F2028">
        <v>0</v>
      </c>
      <c r="G2028" t="s">
        <v>4768</v>
      </c>
      <c r="H2028" t="s">
        <v>4774</v>
      </c>
      <c r="I2028" t="s">
        <v>4842</v>
      </c>
      <c r="L2028" t="s">
        <v>4769</v>
      </c>
    </row>
    <row r="2029" spans="1:12" x14ac:dyDescent="0.2">
      <c r="A2029" t="s">
        <v>1767</v>
      </c>
      <c r="B2029" t="s">
        <v>1769</v>
      </c>
      <c r="C2029" t="s">
        <v>4767</v>
      </c>
      <c r="D2029">
        <v>3</v>
      </c>
      <c r="E2029">
        <v>0</v>
      </c>
      <c r="F2029">
        <v>0</v>
      </c>
      <c r="G2029" t="s">
        <v>4768</v>
      </c>
      <c r="H2029" t="s">
        <v>4774</v>
      </c>
      <c r="I2029" t="s">
        <v>4843</v>
      </c>
      <c r="L2029" t="s">
        <v>4769</v>
      </c>
    </row>
    <row r="2030" spans="1:12" x14ac:dyDescent="0.2">
      <c r="A2030" t="s">
        <v>1767</v>
      </c>
      <c r="B2030" t="s">
        <v>1769</v>
      </c>
      <c r="C2030" t="s">
        <v>4767</v>
      </c>
      <c r="D2030">
        <v>3</v>
      </c>
      <c r="E2030">
        <v>0</v>
      </c>
      <c r="F2030">
        <v>0</v>
      </c>
      <c r="G2030" t="s">
        <v>4768</v>
      </c>
      <c r="H2030" t="s">
        <v>4774</v>
      </c>
      <c r="I2030" t="s">
        <v>4844</v>
      </c>
      <c r="L2030" t="s">
        <v>4769</v>
      </c>
    </row>
    <row r="2031" spans="1:12" x14ac:dyDescent="0.2">
      <c r="A2031" t="s">
        <v>1767</v>
      </c>
      <c r="B2031" t="s">
        <v>1769</v>
      </c>
      <c r="C2031" t="s">
        <v>4767</v>
      </c>
      <c r="D2031">
        <v>3</v>
      </c>
      <c r="E2031">
        <v>4</v>
      </c>
      <c r="F2031">
        <v>4</v>
      </c>
      <c r="G2031" t="s">
        <v>4768</v>
      </c>
      <c r="H2031" t="s">
        <v>4845</v>
      </c>
      <c r="I2031" t="s">
        <v>4846</v>
      </c>
      <c r="L2031" t="s">
        <v>4769</v>
      </c>
    </row>
    <row r="2032" spans="1:12" x14ac:dyDescent="0.2">
      <c r="A2032" t="s">
        <v>1767</v>
      </c>
      <c r="B2032" t="s">
        <v>1769</v>
      </c>
      <c r="C2032" t="s">
        <v>4767</v>
      </c>
      <c r="D2032">
        <v>3</v>
      </c>
      <c r="E2032">
        <v>0</v>
      </c>
      <c r="F2032">
        <v>0</v>
      </c>
      <c r="G2032" t="s">
        <v>4768</v>
      </c>
      <c r="H2032" t="s">
        <v>4774</v>
      </c>
      <c r="I2032" t="s">
        <v>1941</v>
      </c>
      <c r="L2032" t="s">
        <v>4769</v>
      </c>
    </row>
    <row r="2033" spans="1:12" x14ac:dyDescent="0.2">
      <c r="A2033" t="s">
        <v>1767</v>
      </c>
      <c r="B2033" t="s">
        <v>1769</v>
      </c>
      <c r="C2033" t="s">
        <v>4767</v>
      </c>
      <c r="D2033">
        <v>3</v>
      </c>
      <c r="E2033">
        <v>1.96</v>
      </c>
      <c r="F2033">
        <v>1.96</v>
      </c>
      <c r="G2033" t="s">
        <v>4768</v>
      </c>
      <c r="H2033" t="s">
        <v>4847</v>
      </c>
      <c r="I2033" t="s">
        <v>4848</v>
      </c>
      <c r="L2033" t="s">
        <v>4769</v>
      </c>
    </row>
    <row r="2034" spans="1:12" x14ac:dyDescent="0.2">
      <c r="A2034" t="s">
        <v>1767</v>
      </c>
      <c r="B2034" t="s">
        <v>1769</v>
      </c>
      <c r="C2034" t="s">
        <v>4767</v>
      </c>
      <c r="D2034">
        <v>3</v>
      </c>
      <c r="E2034">
        <v>247</v>
      </c>
      <c r="F2034">
        <v>247</v>
      </c>
      <c r="G2034" t="s">
        <v>4768</v>
      </c>
      <c r="H2034" t="s">
        <v>4849</v>
      </c>
      <c r="I2034" t="s">
        <v>4850</v>
      </c>
      <c r="L2034" t="s">
        <v>4769</v>
      </c>
    </row>
    <row r="2035" spans="1:12" x14ac:dyDescent="0.2">
      <c r="A2035" t="s">
        <v>1767</v>
      </c>
      <c r="B2035" t="s">
        <v>1769</v>
      </c>
      <c r="C2035" t="s">
        <v>4767</v>
      </c>
      <c r="D2035">
        <v>3</v>
      </c>
      <c r="E2035">
        <v>2.4</v>
      </c>
      <c r="F2035">
        <v>2.4</v>
      </c>
      <c r="G2035" t="s">
        <v>4768</v>
      </c>
      <c r="H2035" t="s">
        <v>4851</v>
      </c>
      <c r="I2035" t="s">
        <v>4852</v>
      </c>
      <c r="L2035" t="s">
        <v>4769</v>
      </c>
    </row>
    <row r="2036" spans="1:12" x14ac:dyDescent="0.2">
      <c r="A2036" t="s">
        <v>1767</v>
      </c>
      <c r="B2036" t="s">
        <v>1769</v>
      </c>
      <c r="C2036" t="s">
        <v>4767</v>
      </c>
      <c r="D2036">
        <v>3</v>
      </c>
      <c r="E2036">
        <v>9709</v>
      </c>
      <c r="F2036">
        <v>9709</v>
      </c>
      <c r="G2036" t="s">
        <v>4768</v>
      </c>
      <c r="H2036" t="s">
        <v>4853</v>
      </c>
      <c r="I2036" t="s">
        <v>4854</v>
      </c>
      <c r="L2036" t="s">
        <v>4769</v>
      </c>
    </row>
    <row r="2037" spans="1:12" x14ac:dyDescent="0.2">
      <c r="A2037" t="s">
        <v>1767</v>
      </c>
      <c r="B2037" t="s">
        <v>1769</v>
      </c>
      <c r="C2037" t="s">
        <v>4767</v>
      </c>
      <c r="D2037">
        <v>3</v>
      </c>
      <c r="E2037">
        <v>2561</v>
      </c>
      <c r="F2037">
        <v>2561</v>
      </c>
      <c r="G2037" t="s">
        <v>4768</v>
      </c>
      <c r="H2037" t="s">
        <v>4855</v>
      </c>
      <c r="I2037" t="s">
        <v>4856</v>
      </c>
      <c r="L2037" t="s">
        <v>4769</v>
      </c>
    </row>
    <row r="2038" spans="1:12" x14ac:dyDescent="0.2">
      <c r="A2038" t="s">
        <v>1767</v>
      </c>
      <c r="B2038" t="s">
        <v>1769</v>
      </c>
      <c r="C2038" t="s">
        <v>4767</v>
      </c>
      <c r="D2038">
        <v>3</v>
      </c>
      <c r="E2038">
        <v>0</v>
      </c>
      <c r="F2038">
        <v>0</v>
      </c>
      <c r="G2038" t="s">
        <v>4768</v>
      </c>
      <c r="H2038" t="s">
        <v>4774</v>
      </c>
      <c r="I2038" t="s">
        <v>4857</v>
      </c>
      <c r="L2038" t="s">
        <v>4769</v>
      </c>
    </row>
    <row r="2039" spans="1:12" x14ac:dyDescent="0.2">
      <c r="A2039" t="s">
        <v>1767</v>
      </c>
      <c r="B2039" t="s">
        <v>1769</v>
      </c>
      <c r="C2039" t="s">
        <v>4767</v>
      </c>
      <c r="D2039">
        <v>3</v>
      </c>
      <c r="E2039">
        <v>0</v>
      </c>
      <c r="F2039">
        <v>0</v>
      </c>
      <c r="G2039" t="s">
        <v>4768</v>
      </c>
      <c r="H2039" t="s">
        <v>4774</v>
      </c>
      <c r="I2039" t="s">
        <v>4858</v>
      </c>
      <c r="L2039" t="s">
        <v>4769</v>
      </c>
    </row>
    <row r="2040" spans="1:12" x14ac:dyDescent="0.2">
      <c r="A2040" t="s">
        <v>1767</v>
      </c>
      <c r="B2040" t="s">
        <v>1769</v>
      </c>
      <c r="C2040" t="s">
        <v>4767</v>
      </c>
      <c r="D2040">
        <v>3</v>
      </c>
      <c r="E2040">
        <v>30.75</v>
      </c>
      <c r="F2040">
        <v>30.75</v>
      </c>
      <c r="G2040" t="s">
        <v>4768</v>
      </c>
      <c r="H2040" t="s">
        <v>4859</v>
      </c>
      <c r="I2040" t="s">
        <v>4860</v>
      </c>
      <c r="L2040" t="s">
        <v>4769</v>
      </c>
    </row>
    <row r="2041" spans="1:12" x14ac:dyDescent="0.2">
      <c r="A2041" t="s">
        <v>1767</v>
      </c>
      <c r="B2041" t="s">
        <v>1769</v>
      </c>
      <c r="C2041" t="s">
        <v>4767</v>
      </c>
      <c r="D2041">
        <v>3</v>
      </c>
      <c r="E2041">
        <v>1.23</v>
      </c>
      <c r="F2041">
        <v>1.23</v>
      </c>
      <c r="G2041" t="s">
        <v>4768</v>
      </c>
      <c r="H2041" t="s">
        <v>4861</v>
      </c>
      <c r="I2041" t="s">
        <v>4862</v>
      </c>
      <c r="L2041" t="s">
        <v>4769</v>
      </c>
    </row>
    <row r="2042" spans="1:12" x14ac:dyDescent="0.2">
      <c r="A2042" t="s">
        <v>1767</v>
      </c>
      <c r="B2042" t="s">
        <v>1769</v>
      </c>
      <c r="C2042" t="s">
        <v>4767</v>
      </c>
      <c r="D2042">
        <v>3</v>
      </c>
      <c r="E2042">
        <v>6.38</v>
      </c>
      <c r="F2042">
        <v>6.38</v>
      </c>
      <c r="G2042" t="s">
        <v>4768</v>
      </c>
      <c r="H2042" t="s">
        <v>4863</v>
      </c>
      <c r="I2042" t="s">
        <v>4864</v>
      </c>
      <c r="L2042" t="s">
        <v>4769</v>
      </c>
    </row>
    <row r="2043" spans="1:12" x14ac:dyDescent="0.2">
      <c r="A2043" t="s">
        <v>1767</v>
      </c>
      <c r="B2043" t="s">
        <v>1769</v>
      </c>
      <c r="C2043" t="s">
        <v>4767</v>
      </c>
      <c r="D2043">
        <v>3</v>
      </c>
      <c r="E2043">
        <v>0</v>
      </c>
      <c r="F2043">
        <v>0</v>
      </c>
      <c r="G2043" t="s">
        <v>4768</v>
      </c>
      <c r="H2043" t="s">
        <v>4774</v>
      </c>
      <c r="I2043" t="s">
        <v>4865</v>
      </c>
      <c r="L2043" t="s">
        <v>4769</v>
      </c>
    </row>
    <row r="2044" spans="1:12" x14ac:dyDescent="0.2">
      <c r="A2044" t="s">
        <v>1767</v>
      </c>
      <c r="B2044" t="s">
        <v>1769</v>
      </c>
      <c r="C2044" t="s">
        <v>4767</v>
      </c>
      <c r="D2044">
        <v>3</v>
      </c>
      <c r="E2044">
        <v>0</v>
      </c>
      <c r="F2044">
        <v>0</v>
      </c>
      <c r="G2044" t="s">
        <v>4768</v>
      </c>
      <c r="H2044" t="s">
        <v>4774</v>
      </c>
      <c r="I2044" t="s">
        <v>4866</v>
      </c>
      <c r="L2044" t="s">
        <v>4769</v>
      </c>
    </row>
    <row r="2045" spans="1:12" x14ac:dyDescent="0.2">
      <c r="A2045" t="s">
        <v>1767</v>
      </c>
      <c r="B2045" t="s">
        <v>1769</v>
      </c>
      <c r="C2045" t="s">
        <v>4767</v>
      </c>
      <c r="D2045">
        <v>3</v>
      </c>
      <c r="E2045">
        <v>54.25</v>
      </c>
      <c r="F2045">
        <v>54.25</v>
      </c>
      <c r="G2045" t="s">
        <v>4768</v>
      </c>
      <c r="H2045" t="s">
        <v>4867</v>
      </c>
      <c r="I2045" t="s">
        <v>4868</v>
      </c>
      <c r="L2045" t="s">
        <v>4769</v>
      </c>
    </row>
    <row r="2046" spans="1:12" x14ac:dyDescent="0.2">
      <c r="A2046" t="s">
        <v>1767</v>
      </c>
      <c r="B2046" t="s">
        <v>1769</v>
      </c>
      <c r="C2046" t="s">
        <v>4767</v>
      </c>
      <c r="D2046">
        <v>3</v>
      </c>
      <c r="E2046">
        <v>138.96</v>
      </c>
      <c r="F2046">
        <v>138.96</v>
      </c>
      <c r="G2046" t="s">
        <v>4768</v>
      </c>
      <c r="H2046" t="s">
        <v>4869</v>
      </c>
      <c r="I2046" t="s">
        <v>4870</v>
      </c>
      <c r="L2046" t="s">
        <v>4769</v>
      </c>
    </row>
    <row r="2047" spans="1:12" x14ac:dyDescent="0.2">
      <c r="A2047" t="s">
        <v>1767</v>
      </c>
      <c r="B2047" t="s">
        <v>1769</v>
      </c>
      <c r="C2047" t="s">
        <v>4767</v>
      </c>
      <c r="D2047">
        <v>3</v>
      </c>
      <c r="E2047">
        <v>2.13</v>
      </c>
      <c r="F2047">
        <v>2.13</v>
      </c>
      <c r="G2047" t="s">
        <v>4768</v>
      </c>
      <c r="H2047" t="s">
        <v>4871</v>
      </c>
      <c r="I2047" t="s">
        <v>4872</v>
      </c>
      <c r="L2047" t="s">
        <v>4769</v>
      </c>
    </row>
    <row r="2048" spans="1:12" x14ac:dyDescent="0.2">
      <c r="A2048" t="s">
        <v>1767</v>
      </c>
      <c r="B2048" t="s">
        <v>1769</v>
      </c>
      <c r="C2048" t="s">
        <v>4767</v>
      </c>
      <c r="D2048">
        <v>3</v>
      </c>
      <c r="E2048">
        <v>9.3000000000000007</v>
      </c>
      <c r="F2048">
        <v>9.3000000000000007</v>
      </c>
      <c r="G2048" t="s">
        <v>4768</v>
      </c>
      <c r="H2048" t="s">
        <v>4873</v>
      </c>
      <c r="I2048" t="s">
        <v>4874</v>
      </c>
      <c r="L2048" t="s">
        <v>4769</v>
      </c>
    </row>
    <row r="2049" spans="1:12" x14ac:dyDescent="0.2">
      <c r="A2049" t="s">
        <v>1767</v>
      </c>
      <c r="B2049" t="s">
        <v>1769</v>
      </c>
      <c r="C2049" t="s">
        <v>4767</v>
      </c>
      <c r="D2049">
        <v>4</v>
      </c>
      <c r="E2049">
        <v>478.29</v>
      </c>
      <c r="F2049">
        <v>478.29</v>
      </c>
      <c r="G2049" t="s">
        <v>4768</v>
      </c>
      <c r="H2049" t="s">
        <v>4875</v>
      </c>
      <c r="I2049" t="s">
        <v>4814</v>
      </c>
      <c r="J2049" t="s">
        <v>4876</v>
      </c>
      <c r="L2049" t="s">
        <v>4769</v>
      </c>
    </row>
    <row r="2050" spans="1:12" x14ac:dyDescent="0.2">
      <c r="A2050" t="s">
        <v>1767</v>
      </c>
      <c r="B2050" t="s">
        <v>1769</v>
      </c>
      <c r="C2050" t="s">
        <v>4767</v>
      </c>
      <c r="D2050">
        <v>4</v>
      </c>
      <c r="E2050">
        <v>29.75</v>
      </c>
      <c r="F2050">
        <v>29.75</v>
      </c>
      <c r="G2050" t="s">
        <v>4768</v>
      </c>
      <c r="H2050" t="s">
        <v>4877</v>
      </c>
      <c r="I2050" t="s">
        <v>4814</v>
      </c>
      <c r="J2050" t="s">
        <v>4878</v>
      </c>
      <c r="L2050" t="s">
        <v>4769</v>
      </c>
    </row>
    <row r="2051" spans="1:12" x14ac:dyDescent="0.2">
      <c r="A2051" t="s">
        <v>1767</v>
      </c>
      <c r="B2051" t="s">
        <v>1769</v>
      </c>
      <c r="C2051" t="s">
        <v>4767</v>
      </c>
      <c r="D2051">
        <v>4</v>
      </c>
      <c r="E2051">
        <v>26.75</v>
      </c>
      <c r="F2051">
        <v>26.75</v>
      </c>
      <c r="G2051" t="s">
        <v>4768</v>
      </c>
      <c r="H2051" t="s">
        <v>4879</v>
      </c>
      <c r="I2051" t="s">
        <v>4814</v>
      </c>
      <c r="J2051" t="s">
        <v>4880</v>
      </c>
      <c r="L2051" t="s">
        <v>4769</v>
      </c>
    </row>
    <row r="2052" spans="1:12" x14ac:dyDescent="0.2">
      <c r="A2052" t="s">
        <v>1767</v>
      </c>
      <c r="B2052" t="s">
        <v>1769</v>
      </c>
      <c r="C2052" t="s">
        <v>4767</v>
      </c>
      <c r="D2052">
        <v>4</v>
      </c>
      <c r="E2052">
        <v>37.950000000000003</v>
      </c>
      <c r="F2052">
        <v>37.950000000000003</v>
      </c>
      <c r="G2052" t="s">
        <v>4768</v>
      </c>
      <c r="H2052" t="s">
        <v>4881</v>
      </c>
      <c r="I2052" t="s">
        <v>4814</v>
      </c>
      <c r="J2052" t="s">
        <v>4882</v>
      </c>
      <c r="L2052" t="s">
        <v>4769</v>
      </c>
    </row>
    <row r="2053" spans="1:12" x14ac:dyDescent="0.2">
      <c r="A2053" t="s">
        <v>1767</v>
      </c>
      <c r="B2053" t="s">
        <v>1769</v>
      </c>
      <c r="C2053" t="s">
        <v>4767</v>
      </c>
      <c r="D2053">
        <v>4</v>
      </c>
      <c r="E2053">
        <v>113.85</v>
      </c>
      <c r="F2053">
        <v>113.85</v>
      </c>
      <c r="G2053" t="s">
        <v>4768</v>
      </c>
      <c r="H2053" t="s">
        <v>4883</v>
      </c>
      <c r="I2053" t="s">
        <v>4814</v>
      </c>
      <c r="J2053" t="s">
        <v>4884</v>
      </c>
      <c r="L2053" t="s">
        <v>4769</v>
      </c>
    </row>
    <row r="2054" spans="1:12" x14ac:dyDescent="0.2">
      <c r="A2054" t="s">
        <v>1767</v>
      </c>
      <c r="B2054" t="s">
        <v>1769</v>
      </c>
      <c r="C2054" t="s">
        <v>4767</v>
      </c>
      <c r="D2054">
        <v>4</v>
      </c>
      <c r="E2054">
        <v>181.9</v>
      </c>
      <c r="F2054">
        <v>181.9</v>
      </c>
      <c r="G2054" t="s">
        <v>4768</v>
      </c>
      <c r="H2054" t="s">
        <v>4885</v>
      </c>
      <c r="I2054" t="s">
        <v>4814</v>
      </c>
      <c r="J2054" t="s">
        <v>4886</v>
      </c>
      <c r="L2054" t="s">
        <v>4769</v>
      </c>
    </row>
    <row r="2055" spans="1:12" x14ac:dyDescent="0.2">
      <c r="A2055" t="s">
        <v>1767</v>
      </c>
      <c r="B2055" t="s">
        <v>1769</v>
      </c>
      <c r="C2055" t="s">
        <v>4767</v>
      </c>
      <c r="D2055">
        <v>4</v>
      </c>
      <c r="E2055">
        <v>9.08</v>
      </c>
      <c r="F2055">
        <v>9.08</v>
      </c>
      <c r="G2055" t="s">
        <v>4768</v>
      </c>
      <c r="H2055" t="s">
        <v>4887</v>
      </c>
      <c r="I2055" t="s">
        <v>4814</v>
      </c>
      <c r="J2055" t="s">
        <v>4888</v>
      </c>
      <c r="L2055" t="s">
        <v>4769</v>
      </c>
    </row>
    <row r="2056" spans="1:12" x14ac:dyDescent="0.2">
      <c r="A2056" t="s">
        <v>1767</v>
      </c>
      <c r="B2056" t="s">
        <v>1769</v>
      </c>
      <c r="C2056" t="s">
        <v>4767</v>
      </c>
      <c r="D2056">
        <v>4</v>
      </c>
      <c r="E2056">
        <v>27339</v>
      </c>
      <c r="F2056">
        <v>27339</v>
      </c>
      <c r="G2056" t="s">
        <v>4768</v>
      </c>
      <c r="H2056" t="s">
        <v>4889</v>
      </c>
      <c r="I2056" t="s">
        <v>4814</v>
      </c>
      <c r="J2056" t="s">
        <v>4890</v>
      </c>
      <c r="L2056" t="s">
        <v>4769</v>
      </c>
    </row>
    <row r="2057" spans="1:12" x14ac:dyDescent="0.2">
      <c r="A2057" t="s">
        <v>1767</v>
      </c>
      <c r="B2057" t="s">
        <v>1769</v>
      </c>
      <c r="C2057" t="s">
        <v>4767</v>
      </c>
      <c r="D2057">
        <v>4</v>
      </c>
      <c r="E2057">
        <v>252.6</v>
      </c>
      <c r="F2057">
        <v>252.6</v>
      </c>
      <c r="G2057" t="s">
        <v>4768</v>
      </c>
      <c r="H2057" t="s">
        <v>4891</v>
      </c>
      <c r="I2057" t="s">
        <v>4814</v>
      </c>
      <c r="J2057" t="s">
        <v>4892</v>
      </c>
      <c r="L2057" t="s">
        <v>4769</v>
      </c>
    </row>
    <row r="2058" spans="1:12" x14ac:dyDescent="0.2">
      <c r="A2058" t="s">
        <v>1767</v>
      </c>
      <c r="B2058" t="s">
        <v>1769</v>
      </c>
      <c r="C2058" t="s">
        <v>4767</v>
      </c>
      <c r="D2058">
        <v>4</v>
      </c>
      <c r="E2058">
        <v>402.58</v>
      </c>
      <c r="F2058">
        <v>402.58</v>
      </c>
      <c r="G2058" t="s">
        <v>4768</v>
      </c>
      <c r="H2058" t="s">
        <v>4893</v>
      </c>
      <c r="I2058" t="s">
        <v>4814</v>
      </c>
      <c r="J2058" t="s">
        <v>4894</v>
      </c>
      <c r="L2058" t="s">
        <v>4769</v>
      </c>
    </row>
    <row r="2059" spans="1:12" x14ac:dyDescent="0.2">
      <c r="A2059" t="s">
        <v>1767</v>
      </c>
      <c r="B2059" t="s">
        <v>1769</v>
      </c>
      <c r="C2059" t="s">
        <v>4767</v>
      </c>
      <c r="D2059">
        <v>4</v>
      </c>
      <c r="E2059">
        <v>285.60000000000002</v>
      </c>
      <c r="F2059">
        <v>285.60000000000002</v>
      </c>
      <c r="G2059" t="s">
        <v>4768</v>
      </c>
      <c r="H2059" t="s">
        <v>4895</v>
      </c>
      <c r="I2059" t="s">
        <v>4814</v>
      </c>
      <c r="J2059" t="s">
        <v>4896</v>
      </c>
      <c r="L2059" t="s">
        <v>4769</v>
      </c>
    </row>
    <row r="2060" spans="1:12" x14ac:dyDescent="0.2">
      <c r="A2060" t="s">
        <v>1767</v>
      </c>
      <c r="B2060" t="s">
        <v>1769</v>
      </c>
      <c r="C2060" t="s">
        <v>4767</v>
      </c>
      <c r="D2060">
        <v>4</v>
      </c>
      <c r="E2060">
        <v>0.96</v>
      </c>
      <c r="F2060">
        <v>0.96</v>
      </c>
      <c r="G2060" t="s">
        <v>4768</v>
      </c>
      <c r="H2060" t="s">
        <v>4897</v>
      </c>
      <c r="I2060" t="s">
        <v>4814</v>
      </c>
      <c r="J2060" t="s">
        <v>4898</v>
      </c>
      <c r="L2060" t="s">
        <v>4769</v>
      </c>
    </row>
    <row r="2061" spans="1:12" x14ac:dyDescent="0.2">
      <c r="A2061" t="s">
        <v>1767</v>
      </c>
      <c r="B2061" t="s">
        <v>1769</v>
      </c>
      <c r="C2061" t="s">
        <v>4767</v>
      </c>
      <c r="D2061">
        <v>4</v>
      </c>
      <c r="E2061">
        <v>448</v>
      </c>
      <c r="F2061">
        <v>448</v>
      </c>
      <c r="G2061" t="s">
        <v>4768</v>
      </c>
      <c r="H2061" t="s">
        <v>4899</v>
      </c>
      <c r="I2061" t="s">
        <v>4814</v>
      </c>
      <c r="J2061" t="s">
        <v>4900</v>
      </c>
      <c r="L2061" t="s">
        <v>4769</v>
      </c>
    </row>
    <row r="2062" spans="1:12" x14ac:dyDescent="0.2">
      <c r="A2062" t="s">
        <v>1767</v>
      </c>
      <c r="B2062" t="s">
        <v>1769</v>
      </c>
      <c r="C2062" t="s">
        <v>4767</v>
      </c>
      <c r="D2062">
        <v>4</v>
      </c>
      <c r="E2062">
        <v>117.04</v>
      </c>
      <c r="F2062">
        <v>117.04</v>
      </c>
      <c r="G2062" t="s">
        <v>4768</v>
      </c>
      <c r="H2062" t="s">
        <v>4901</v>
      </c>
      <c r="I2062" t="s">
        <v>4814</v>
      </c>
      <c r="J2062" t="s">
        <v>4902</v>
      </c>
      <c r="L2062" t="s">
        <v>4769</v>
      </c>
    </row>
    <row r="2063" spans="1:12" x14ac:dyDescent="0.2">
      <c r="A2063" t="s">
        <v>1767</v>
      </c>
      <c r="B2063" t="s">
        <v>1769</v>
      </c>
      <c r="C2063" t="s">
        <v>4767</v>
      </c>
      <c r="D2063">
        <v>4</v>
      </c>
      <c r="E2063">
        <v>55.78</v>
      </c>
      <c r="F2063">
        <v>55.78</v>
      </c>
      <c r="G2063" t="s">
        <v>4768</v>
      </c>
      <c r="H2063" t="s">
        <v>4903</v>
      </c>
      <c r="I2063" t="s">
        <v>4814</v>
      </c>
      <c r="J2063" t="s">
        <v>4904</v>
      </c>
      <c r="L2063" t="s">
        <v>4769</v>
      </c>
    </row>
    <row r="2064" spans="1:12" x14ac:dyDescent="0.2">
      <c r="A2064" t="s">
        <v>1767</v>
      </c>
      <c r="B2064" t="s">
        <v>1769</v>
      </c>
      <c r="C2064" t="s">
        <v>4767</v>
      </c>
      <c r="D2064">
        <v>4</v>
      </c>
      <c r="E2064">
        <v>159.80000000000001</v>
      </c>
      <c r="F2064">
        <v>159.80000000000001</v>
      </c>
      <c r="G2064" t="s">
        <v>4768</v>
      </c>
      <c r="H2064" t="s">
        <v>4905</v>
      </c>
      <c r="I2064" t="s">
        <v>4814</v>
      </c>
      <c r="J2064" t="s">
        <v>4906</v>
      </c>
      <c r="L2064" t="s">
        <v>4769</v>
      </c>
    </row>
    <row r="2065" spans="1:12" x14ac:dyDescent="0.2">
      <c r="A2065" t="s">
        <v>1767</v>
      </c>
      <c r="B2065" t="s">
        <v>1769</v>
      </c>
      <c r="C2065" t="s">
        <v>4767</v>
      </c>
      <c r="D2065">
        <v>4</v>
      </c>
      <c r="E2065">
        <v>138.5</v>
      </c>
      <c r="F2065">
        <v>138.5</v>
      </c>
      <c r="G2065" t="s">
        <v>4768</v>
      </c>
      <c r="H2065" t="s">
        <v>4907</v>
      </c>
      <c r="I2065" t="s">
        <v>4814</v>
      </c>
      <c r="J2065" t="s">
        <v>4908</v>
      </c>
      <c r="L2065" t="s">
        <v>4769</v>
      </c>
    </row>
    <row r="2066" spans="1:12" x14ac:dyDescent="0.2">
      <c r="A2066" t="s">
        <v>1767</v>
      </c>
      <c r="B2066" t="s">
        <v>1769</v>
      </c>
      <c r="C2066" t="s">
        <v>4767</v>
      </c>
      <c r="D2066">
        <v>4</v>
      </c>
      <c r="E2066">
        <v>53.5</v>
      </c>
      <c r="F2066">
        <v>53.5</v>
      </c>
      <c r="G2066" t="s">
        <v>4768</v>
      </c>
      <c r="H2066" t="s">
        <v>4909</v>
      </c>
      <c r="I2066" t="s">
        <v>4814</v>
      </c>
      <c r="J2066" t="s">
        <v>3748</v>
      </c>
      <c r="L2066" t="s">
        <v>4769</v>
      </c>
    </row>
    <row r="2067" spans="1:12" x14ac:dyDescent="0.2">
      <c r="A2067" t="s">
        <v>1767</v>
      </c>
      <c r="B2067" t="s">
        <v>1769</v>
      </c>
      <c r="C2067" t="s">
        <v>4767</v>
      </c>
      <c r="D2067">
        <v>4</v>
      </c>
      <c r="E2067">
        <v>53.5</v>
      </c>
      <c r="F2067">
        <v>53.5</v>
      </c>
      <c r="G2067" t="s">
        <v>4768</v>
      </c>
      <c r="H2067" t="s">
        <v>4909</v>
      </c>
      <c r="I2067" t="s">
        <v>4814</v>
      </c>
      <c r="J2067" t="s">
        <v>3727</v>
      </c>
      <c r="L2067" t="s">
        <v>4769</v>
      </c>
    </row>
    <row r="2068" spans="1:12" x14ac:dyDescent="0.2">
      <c r="A2068" t="s">
        <v>1767</v>
      </c>
      <c r="B2068" t="s">
        <v>1769</v>
      </c>
      <c r="C2068" t="s">
        <v>4767</v>
      </c>
      <c r="D2068">
        <v>4</v>
      </c>
      <c r="E2068">
        <v>29.11</v>
      </c>
      <c r="F2068">
        <v>29.11</v>
      </c>
      <c r="G2068" t="s">
        <v>4768</v>
      </c>
      <c r="H2068" t="s">
        <v>4910</v>
      </c>
      <c r="I2068" t="s">
        <v>4814</v>
      </c>
      <c r="J2068" t="s">
        <v>4911</v>
      </c>
      <c r="L2068" t="s">
        <v>4769</v>
      </c>
    </row>
    <row r="2069" spans="1:12" x14ac:dyDescent="0.2">
      <c r="A2069" t="s">
        <v>1767</v>
      </c>
      <c r="B2069" t="s">
        <v>1769</v>
      </c>
      <c r="C2069" t="s">
        <v>4767</v>
      </c>
      <c r="D2069">
        <v>4</v>
      </c>
      <c r="E2069">
        <v>53.5</v>
      </c>
      <c r="F2069">
        <v>53.5</v>
      </c>
      <c r="G2069" t="s">
        <v>4768</v>
      </c>
      <c r="H2069" t="s">
        <v>4909</v>
      </c>
      <c r="I2069" t="s">
        <v>4814</v>
      </c>
      <c r="J2069" t="s">
        <v>4912</v>
      </c>
      <c r="L2069" t="s">
        <v>4769</v>
      </c>
    </row>
    <row r="2070" spans="1:12" x14ac:dyDescent="0.2">
      <c r="A2070" t="s">
        <v>1767</v>
      </c>
      <c r="B2070" t="s">
        <v>1769</v>
      </c>
      <c r="C2070" t="s">
        <v>4767</v>
      </c>
      <c r="D2070">
        <v>4</v>
      </c>
      <c r="E2070">
        <v>212.12</v>
      </c>
      <c r="F2070">
        <v>212.12</v>
      </c>
      <c r="G2070" t="s">
        <v>4768</v>
      </c>
      <c r="H2070" t="s">
        <v>4913</v>
      </c>
      <c r="I2070" t="s">
        <v>4814</v>
      </c>
      <c r="J2070" t="s">
        <v>4914</v>
      </c>
      <c r="L2070" t="s">
        <v>4769</v>
      </c>
    </row>
    <row r="2071" spans="1:12" x14ac:dyDescent="0.2">
      <c r="A2071" t="s">
        <v>1767</v>
      </c>
      <c r="B2071" t="s">
        <v>1769</v>
      </c>
      <c r="C2071" t="s">
        <v>4767</v>
      </c>
      <c r="D2071">
        <v>4</v>
      </c>
      <c r="E2071">
        <v>6421</v>
      </c>
      <c r="F2071">
        <v>6421</v>
      </c>
      <c r="G2071" t="s">
        <v>4768</v>
      </c>
      <c r="H2071" t="s">
        <v>4915</v>
      </c>
      <c r="I2071" t="s">
        <v>4814</v>
      </c>
      <c r="J2071" t="s">
        <v>4916</v>
      </c>
      <c r="L2071" t="s">
        <v>4769</v>
      </c>
    </row>
    <row r="2072" spans="1:12" x14ac:dyDescent="0.2">
      <c r="A2072" t="s">
        <v>1767</v>
      </c>
      <c r="B2072" t="s">
        <v>1769</v>
      </c>
      <c r="C2072" t="s">
        <v>4767</v>
      </c>
      <c r="D2072">
        <v>4</v>
      </c>
      <c r="E2072">
        <v>11170</v>
      </c>
      <c r="F2072">
        <v>11170</v>
      </c>
      <c r="G2072" t="s">
        <v>4768</v>
      </c>
      <c r="H2072" t="s">
        <v>4917</v>
      </c>
      <c r="I2072" t="s">
        <v>4814</v>
      </c>
      <c r="J2072" t="s">
        <v>4918</v>
      </c>
      <c r="L2072" t="s">
        <v>4769</v>
      </c>
    </row>
    <row r="2073" spans="1:12" x14ac:dyDescent="0.2">
      <c r="A2073" t="s">
        <v>1767</v>
      </c>
      <c r="B2073" t="s">
        <v>1769</v>
      </c>
      <c r="C2073" t="s">
        <v>4767</v>
      </c>
      <c r="D2073">
        <v>4</v>
      </c>
      <c r="E2073">
        <v>318.86</v>
      </c>
      <c r="F2073">
        <v>318.86</v>
      </c>
      <c r="G2073" t="s">
        <v>4768</v>
      </c>
      <c r="H2073" t="s">
        <v>4919</v>
      </c>
      <c r="I2073" t="s">
        <v>4814</v>
      </c>
      <c r="J2073" t="s">
        <v>2011</v>
      </c>
      <c r="L2073" t="s">
        <v>4769</v>
      </c>
    </row>
    <row r="2074" spans="1:12" x14ac:dyDescent="0.2">
      <c r="A2074" t="s">
        <v>1767</v>
      </c>
      <c r="B2074" t="s">
        <v>1769</v>
      </c>
      <c r="C2074" t="s">
        <v>4767</v>
      </c>
      <c r="D2074">
        <v>4</v>
      </c>
      <c r="E2074">
        <v>133.75</v>
      </c>
      <c r="F2074">
        <v>133.75</v>
      </c>
      <c r="G2074" t="s">
        <v>4768</v>
      </c>
      <c r="H2074" t="s">
        <v>4920</v>
      </c>
      <c r="I2074" t="s">
        <v>4814</v>
      </c>
      <c r="J2074" t="s">
        <v>4921</v>
      </c>
      <c r="L2074" t="s">
        <v>4769</v>
      </c>
    </row>
    <row r="2075" spans="1:12" x14ac:dyDescent="0.2">
      <c r="A2075" t="s">
        <v>1767</v>
      </c>
      <c r="B2075" t="s">
        <v>1769</v>
      </c>
      <c r="C2075" t="s">
        <v>4767</v>
      </c>
      <c r="D2075">
        <v>4</v>
      </c>
      <c r="E2075">
        <v>252.48</v>
      </c>
      <c r="F2075">
        <v>252.48</v>
      </c>
      <c r="G2075" t="s">
        <v>4768</v>
      </c>
      <c r="H2075" t="s">
        <v>4922</v>
      </c>
      <c r="I2075" t="s">
        <v>4814</v>
      </c>
      <c r="J2075" t="s">
        <v>4923</v>
      </c>
      <c r="L2075" t="s">
        <v>4769</v>
      </c>
    </row>
    <row r="2076" spans="1:12" x14ac:dyDescent="0.2">
      <c r="A2076" t="s">
        <v>1767</v>
      </c>
      <c r="B2076" t="s">
        <v>1769</v>
      </c>
      <c r="C2076" t="s">
        <v>4767</v>
      </c>
      <c r="D2076">
        <v>4</v>
      </c>
      <c r="E2076">
        <v>0</v>
      </c>
      <c r="F2076">
        <v>0</v>
      </c>
      <c r="G2076" t="s">
        <v>4768</v>
      </c>
      <c r="H2076" t="s">
        <v>4774</v>
      </c>
      <c r="I2076" t="s">
        <v>4814</v>
      </c>
      <c r="J2076" t="s">
        <v>4924</v>
      </c>
      <c r="L2076" t="s">
        <v>4769</v>
      </c>
    </row>
    <row r="2077" spans="1:12" x14ac:dyDescent="0.2">
      <c r="A2077" t="s">
        <v>1767</v>
      </c>
      <c r="B2077" t="s">
        <v>1769</v>
      </c>
      <c r="C2077" t="s">
        <v>4767</v>
      </c>
      <c r="D2077">
        <v>4</v>
      </c>
      <c r="E2077">
        <v>460.1</v>
      </c>
      <c r="F2077">
        <v>460.1</v>
      </c>
      <c r="G2077" t="s">
        <v>4768</v>
      </c>
      <c r="H2077" t="s">
        <v>4925</v>
      </c>
      <c r="I2077" t="s">
        <v>4814</v>
      </c>
      <c r="J2077" t="s">
        <v>4926</v>
      </c>
      <c r="L2077" t="s">
        <v>4769</v>
      </c>
    </row>
    <row r="2078" spans="1:12" x14ac:dyDescent="0.2">
      <c r="A2078" t="s">
        <v>1767</v>
      </c>
      <c r="B2078" t="s">
        <v>1769</v>
      </c>
      <c r="C2078" t="s">
        <v>4767</v>
      </c>
      <c r="D2078">
        <v>4</v>
      </c>
      <c r="E2078">
        <v>5.28</v>
      </c>
      <c r="F2078">
        <v>5.28</v>
      </c>
      <c r="G2078" t="s">
        <v>4768</v>
      </c>
      <c r="H2078" t="s">
        <v>4927</v>
      </c>
      <c r="I2078" t="s">
        <v>4814</v>
      </c>
      <c r="J2078" t="s">
        <v>2091</v>
      </c>
      <c r="L2078" t="s">
        <v>4769</v>
      </c>
    </row>
    <row r="2079" spans="1:12" x14ac:dyDescent="0.2">
      <c r="A2079" t="s">
        <v>1767</v>
      </c>
      <c r="B2079" t="s">
        <v>1769</v>
      </c>
      <c r="C2079" t="s">
        <v>4767</v>
      </c>
      <c r="D2079">
        <v>4</v>
      </c>
      <c r="E2079">
        <v>145.55000000000001</v>
      </c>
      <c r="F2079">
        <v>145.55000000000001</v>
      </c>
      <c r="G2079" t="s">
        <v>4768</v>
      </c>
      <c r="H2079" t="s">
        <v>4928</v>
      </c>
      <c r="I2079" t="s">
        <v>4814</v>
      </c>
      <c r="J2079" t="s">
        <v>4929</v>
      </c>
      <c r="L2079" t="s">
        <v>4769</v>
      </c>
    </row>
    <row r="2080" spans="1:12" x14ac:dyDescent="0.2">
      <c r="A2080" t="s">
        <v>1767</v>
      </c>
      <c r="B2080" t="s">
        <v>1769</v>
      </c>
      <c r="C2080" t="s">
        <v>4767</v>
      </c>
      <c r="D2080">
        <v>4</v>
      </c>
      <c r="E2080">
        <v>52.82</v>
      </c>
      <c r="F2080">
        <v>52.82</v>
      </c>
      <c r="G2080" t="s">
        <v>4768</v>
      </c>
      <c r="H2080" t="s">
        <v>4930</v>
      </c>
      <c r="I2080" t="s">
        <v>4814</v>
      </c>
      <c r="J2080" t="s">
        <v>4931</v>
      </c>
      <c r="L2080" t="s">
        <v>4769</v>
      </c>
    </row>
    <row r="2081" spans="1:12" x14ac:dyDescent="0.2">
      <c r="A2081" t="s">
        <v>1767</v>
      </c>
      <c r="B2081" t="s">
        <v>1769</v>
      </c>
      <c r="C2081" t="s">
        <v>4767</v>
      </c>
      <c r="D2081">
        <v>4</v>
      </c>
      <c r="E2081">
        <v>23.16</v>
      </c>
      <c r="F2081">
        <v>23.16</v>
      </c>
      <c r="G2081" t="s">
        <v>4768</v>
      </c>
      <c r="H2081" t="s">
        <v>4932</v>
      </c>
      <c r="I2081" t="s">
        <v>4814</v>
      </c>
      <c r="J2081" t="s">
        <v>4933</v>
      </c>
      <c r="L2081" t="s">
        <v>4769</v>
      </c>
    </row>
    <row r="2082" spans="1:12" x14ac:dyDescent="0.2">
      <c r="A2082" t="s">
        <v>1767</v>
      </c>
      <c r="B2082" t="s">
        <v>1769</v>
      </c>
      <c r="C2082" t="s">
        <v>4767</v>
      </c>
      <c r="D2082">
        <v>4</v>
      </c>
      <c r="E2082">
        <v>5.4</v>
      </c>
      <c r="F2082">
        <v>5.4</v>
      </c>
      <c r="G2082" t="s">
        <v>4768</v>
      </c>
      <c r="H2082" t="s">
        <v>4934</v>
      </c>
      <c r="I2082" t="s">
        <v>4814</v>
      </c>
      <c r="J2082" t="s">
        <v>4935</v>
      </c>
      <c r="L2082" t="s">
        <v>4769</v>
      </c>
    </row>
    <row r="2083" spans="1:12" x14ac:dyDescent="0.2">
      <c r="A2083" t="s">
        <v>1767</v>
      </c>
      <c r="B2083" t="s">
        <v>1769</v>
      </c>
      <c r="C2083" t="s">
        <v>4767</v>
      </c>
      <c r="D2083">
        <v>4</v>
      </c>
      <c r="E2083">
        <v>1.35</v>
      </c>
      <c r="F2083">
        <v>1.35</v>
      </c>
      <c r="G2083" t="s">
        <v>4768</v>
      </c>
      <c r="H2083" t="s">
        <v>4936</v>
      </c>
      <c r="I2083" t="s">
        <v>4814</v>
      </c>
      <c r="J2083" t="s">
        <v>4937</v>
      </c>
      <c r="L2083" t="s">
        <v>4769</v>
      </c>
    </row>
    <row r="2084" spans="1:12" x14ac:dyDescent="0.2">
      <c r="A2084" t="s">
        <v>1767</v>
      </c>
      <c r="B2084" t="s">
        <v>1769</v>
      </c>
      <c r="C2084" t="s">
        <v>4767</v>
      </c>
      <c r="D2084">
        <v>4</v>
      </c>
      <c r="E2084">
        <v>997</v>
      </c>
      <c r="F2084">
        <v>997</v>
      </c>
      <c r="G2084" t="s">
        <v>4768</v>
      </c>
      <c r="H2084" t="s">
        <v>4938</v>
      </c>
      <c r="I2084" t="s">
        <v>4814</v>
      </c>
      <c r="J2084" t="s">
        <v>4939</v>
      </c>
      <c r="L2084" t="s">
        <v>4769</v>
      </c>
    </row>
    <row r="2085" spans="1:12" x14ac:dyDescent="0.2">
      <c r="A2085" t="s">
        <v>1767</v>
      </c>
      <c r="B2085" t="s">
        <v>1769</v>
      </c>
      <c r="C2085" t="s">
        <v>4767</v>
      </c>
      <c r="D2085">
        <v>4</v>
      </c>
      <c r="E2085">
        <v>997</v>
      </c>
      <c r="F2085">
        <v>997</v>
      </c>
      <c r="G2085" t="s">
        <v>4768</v>
      </c>
      <c r="H2085" t="s">
        <v>4938</v>
      </c>
      <c r="I2085" t="s">
        <v>4814</v>
      </c>
      <c r="J2085" t="s">
        <v>4940</v>
      </c>
      <c r="L2085" t="s">
        <v>4769</v>
      </c>
    </row>
    <row r="2086" spans="1:12" x14ac:dyDescent="0.2">
      <c r="A2086" t="s">
        <v>1767</v>
      </c>
      <c r="B2086" t="s">
        <v>1769</v>
      </c>
      <c r="C2086" t="s">
        <v>4767</v>
      </c>
      <c r="D2086">
        <v>4</v>
      </c>
      <c r="E2086">
        <v>133.75</v>
      </c>
      <c r="F2086">
        <v>133.75</v>
      </c>
      <c r="G2086" t="s">
        <v>4768</v>
      </c>
      <c r="H2086" t="s">
        <v>4920</v>
      </c>
      <c r="I2086" t="s">
        <v>4814</v>
      </c>
      <c r="J2086" t="s">
        <v>4921</v>
      </c>
      <c r="L2086" t="s">
        <v>4769</v>
      </c>
    </row>
    <row r="2087" spans="1:12" x14ac:dyDescent="0.2">
      <c r="A2087" t="s">
        <v>1767</v>
      </c>
      <c r="B2087" t="s">
        <v>1769</v>
      </c>
      <c r="C2087" t="s">
        <v>4767</v>
      </c>
      <c r="D2087">
        <v>4</v>
      </c>
      <c r="E2087">
        <v>203.3</v>
      </c>
      <c r="F2087">
        <v>203.3</v>
      </c>
      <c r="G2087" t="s">
        <v>4768</v>
      </c>
      <c r="H2087" t="s">
        <v>4941</v>
      </c>
      <c r="I2087" t="s">
        <v>4814</v>
      </c>
      <c r="J2087" t="s">
        <v>4942</v>
      </c>
      <c r="L2087" t="s">
        <v>4769</v>
      </c>
    </row>
    <row r="2088" spans="1:12" x14ac:dyDescent="0.2">
      <c r="A2088" t="s">
        <v>1767</v>
      </c>
      <c r="B2088" t="s">
        <v>1769</v>
      </c>
      <c r="C2088" t="s">
        <v>4767</v>
      </c>
      <c r="D2088">
        <v>4</v>
      </c>
      <c r="E2088">
        <v>637.72</v>
      </c>
      <c r="F2088">
        <v>637.72</v>
      </c>
      <c r="G2088" t="s">
        <v>4768</v>
      </c>
      <c r="H2088" t="s">
        <v>4943</v>
      </c>
      <c r="I2088" t="s">
        <v>4814</v>
      </c>
      <c r="J2088" t="s">
        <v>2230</v>
      </c>
      <c r="L2088" t="s">
        <v>4769</v>
      </c>
    </row>
    <row r="2089" spans="1:12" x14ac:dyDescent="0.2">
      <c r="A2089" t="s">
        <v>1767</v>
      </c>
      <c r="B2089" t="s">
        <v>1769</v>
      </c>
      <c r="C2089" t="s">
        <v>4767</v>
      </c>
      <c r="D2089">
        <v>4</v>
      </c>
      <c r="E2089">
        <v>87.33</v>
      </c>
      <c r="F2089">
        <v>87.33</v>
      </c>
      <c r="G2089" t="s">
        <v>4768</v>
      </c>
      <c r="H2089" t="s">
        <v>4944</v>
      </c>
      <c r="I2089" t="s">
        <v>4814</v>
      </c>
      <c r="J2089" t="s">
        <v>4945</v>
      </c>
      <c r="L2089" t="s">
        <v>4769</v>
      </c>
    </row>
    <row r="2090" spans="1:12" x14ac:dyDescent="0.2">
      <c r="A2090" t="s">
        <v>1767</v>
      </c>
      <c r="B2090" t="s">
        <v>1769</v>
      </c>
      <c r="C2090" t="s">
        <v>4767</v>
      </c>
      <c r="D2090">
        <v>4</v>
      </c>
      <c r="E2090">
        <v>34.96</v>
      </c>
      <c r="F2090">
        <v>34.96</v>
      </c>
      <c r="G2090" t="s">
        <v>4768</v>
      </c>
      <c r="H2090" t="s">
        <v>4946</v>
      </c>
      <c r="I2090" t="s">
        <v>4814</v>
      </c>
      <c r="J2090" t="s">
        <v>4947</v>
      </c>
      <c r="L2090" t="s">
        <v>4769</v>
      </c>
    </row>
    <row r="2091" spans="1:12" x14ac:dyDescent="0.2">
      <c r="A2091" t="s">
        <v>1767</v>
      </c>
      <c r="B2091" t="s">
        <v>1769</v>
      </c>
      <c r="C2091" t="s">
        <v>4767</v>
      </c>
      <c r="D2091">
        <v>4</v>
      </c>
      <c r="E2091">
        <v>5.88</v>
      </c>
      <c r="F2091">
        <v>5.88</v>
      </c>
      <c r="G2091" t="s">
        <v>4768</v>
      </c>
      <c r="H2091" t="s">
        <v>4948</v>
      </c>
      <c r="I2091" t="s">
        <v>4814</v>
      </c>
      <c r="J2091" t="s">
        <v>4949</v>
      </c>
      <c r="L2091" t="s">
        <v>4769</v>
      </c>
    </row>
    <row r="2092" spans="1:12" x14ac:dyDescent="0.2">
      <c r="A2092" t="s">
        <v>1767</v>
      </c>
      <c r="B2092" t="s">
        <v>1769</v>
      </c>
      <c r="C2092" t="s">
        <v>4767</v>
      </c>
      <c r="D2092">
        <v>4</v>
      </c>
      <c r="E2092">
        <v>174</v>
      </c>
      <c r="F2092">
        <v>174</v>
      </c>
      <c r="G2092" t="s">
        <v>4768</v>
      </c>
      <c r="H2092" t="s">
        <v>4950</v>
      </c>
      <c r="I2092" t="s">
        <v>4814</v>
      </c>
      <c r="J2092" t="s">
        <v>4951</v>
      </c>
      <c r="L2092" t="s">
        <v>4769</v>
      </c>
    </row>
    <row r="2093" spans="1:12" x14ac:dyDescent="0.2">
      <c r="A2093" t="s">
        <v>1767</v>
      </c>
      <c r="B2093" t="s">
        <v>1769</v>
      </c>
      <c r="C2093" t="s">
        <v>4767</v>
      </c>
      <c r="D2093">
        <v>4</v>
      </c>
      <c r="E2093">
        <v>53.5</v>
      </c>
      <c r="F2093">
        <v>53.5</v>
      </c>
      <c r="G2093" t="s">
        <v>4768</v>
      </c>
      <c r="H2093" t="s">
        <v>4909</v>
      </c>
      <c r="I2093" t="s">
        <v>4814</v>
      </c>
      <c r="J2093" t="s">
        <v>4912</v>
      </c>
      <c r="L2093" t="s">
        <v>4769</v>
      </c>
    </row>
    <row r="2094" spans="1:12" x14ac:dyDescent="0.2">
      <c r="A2094" t="s">
        <v>1767</v>
      </c>
      <c r="B2094" t="s">
        <v>1769</v>
      </c>
      <c r="C2094" t="s">
        <v>4767</v>
      </c>
      <c r="D2094">
        <v>4</v>
      </c>
      <c r="E2094">
        <v>0.96</v>
      </c>
      <c r="F2094">
        <v>0.96</v>
      </c>
      <c r="G2094" t="s">
        <v>4768</v>
      </c>
      <c r="H2094" t="s">
        <v>4897</v>
      </c>
      <c r="I2094" t="s">
        <v>4814</v>
      </c>
      <c r="J2094" t="s">
        <v>4898</v>
      </c>
      <c r="L2094" t="s">
        <v>4769</v>
      </c>
    </row>
    <row r="2095" spans="1:12" x14ac:dyDescent="0.2">
      <c r="A2095" t="s">
        <v>1767</v>
      </c>
      <c r="B2095" t="s">
        <v>1769</v>
      </c>
      <c r="C2095" t="s">
        <v>4767</v>
      </c>
      <c r="D2095">
        <v>4</v>
      </c>
      <c r="E2095">
        <v>52.82</v>
      </c>
      <c r="F2095">
        <v>52.82</v>
      </c>
      <c r="G2095" t="s">
        <v>4768</v>
      </c>
      <c r="H2095" t="s">
        <v>4930</v>
      </c>
      <c r="I2095" t="s">
        <v>4814</v>
      </c>
      <c r="J2095" t="s">
        <v>4931</v>
      </c>
      <c r="L2095" t="s">
        <v>4769</v>
      </c>
    </row>
    <row r="2096" spans="1:12" x14ac:dyDescent="0.2">
      <c r="A2096" t="s">
        <v>1767</v>
      </c>
      <c r="B2096" t="s">
        <v>1769</v>
      </c>
      <c r="C2096" t="s">
        <v>4767</v>
      </c>
      <c r="D2096">
        <v>4</v>
      </c>
      <c r="E2096">
        <v>174</v>
      </c>
      <c r="F2096">
        <v>174</v>
      </c>
      <c r="G2096" t="s">
        <v>4768</v>
      </c>
      <c r="H2096" t="s">
        <v>4950</v>
      </c>
      <c r="I2096" t="s">
        <v>4814</v>
      </c>
      <c r="J2096" t="s">
        <v>4951</v>
      </c>
      <c r="L2096" t="s">
        <v>4769</v>
      </c>
    </row>
    <row r="2097" spans="1:12" x14ac:dyDescent="0.2">
      <c r="A2097" t="s">
        <v>1767</v>
      </c>
      <c r="B2097" t="s">
        <v>1769</v>
      </c>
      <c r="C2097" t="s">
        <v>4767</v>
      </c>
      <c r="D2097">
        <v>4</v>
      </c>
      <c r="E2097">
        <v>53.5</v>
      </c>
      <c r="F2097">
        <v>53.5</v>
      </c>
      <c r="G2097" t="s">
        <v>4768</v>
      </c>
      <c r="H2097" t="s">
        <v>4909</v>
      </c>
      <c r="I2097" t="s">
        <v>4814</v>
      </c>
      <c r="J2097" t="s">
        <v>3775</v>
      </c>
      <c r="L2097" t="s">
        <v>4769</v>
      </c>
    </row>
    <row r="2098" spans="1:12" x14ac:dyDescent="0.2">
      <c r="A2098" t="s">
        <v>1767</v>
      </c>
      <c r="B2098" t="s">
        <v>1769</v>
      </c>
      <c r="C2098" t="s">
        <v>4767</v>
      </c>
      <c r="D2098">
        <v>4</v>
      </c>
      <c r="E2098">
        <v>348</v>
      </c>
      <c r="F2098">
        <v>348</v>
      </c>
      <c r="G2098" t="s">
        <v>4768</v>
      </c>
      <c r="H2098" t="s">
        <v>4952</v>
      </c>
      <c r="I2098" t="s">
        <v>4814</v>
      </c>
      <c r="J2098" t="s">
        <v>4953</v>
      </c>
      <c r="L2098" t="s">
        <v>4769</v>
      </c>
    </row>
    <row r="2099" spans="1:12" x14ac:dyDescent="0.2">
      <c r="A2099" t="s">
        <v>1767</v>
      </c>
      <c r="B2099" t="s">
        <v>1769</v>
      </c>
      <c r="C2099" t="s">
        <v>4767</v>
      </c>
      <c r="D2099">
        <v>4</v>
      </c>
      <c r="E2099">
        <v>9.64</v>
      </c>
      <c r="F2099">
        <v>9.64</v>
      </c>
      <c r="G2099" t="s">
        <v>4768</v>
      </c>
      <c r="H2099" t="s">
        <v>4954</v>
      </c>
      <c r="I2099" t="s">
        <v>4814</v>
      </c>
      <c r="J2099" t="s">
        <v>4955</v>
      </c>
      <c r="L2099" t="s">
        <v>4769</v>
      </c>
    </row>
    <row r="2100" spans="1:12" x14ac:dyDescent="0.2">
      <c r="A2100" t="s">
        <v>1767</v>
      </c>
      <c r="B2100" t="s">
        <v>1769</v>
      </c>
      <c r="C2100" t="s">
        <v>4767</v>
      </c>
      <c r="D2100">
        <v>4</v>
      </c>
      <c r="E2100">
        <v>145.52000000000001</v>
      </c>
      <c r="F2100">
        <v>145.52000000000001</v>
      </c>
      <c r="G2100" t="s">
        <v>4768</v>
      </c>
      <c r="H2100" t="s">
        <v>4956</v>
      </c>
      <c r="I2100" t="s">
        <v>4814</v>
      </c>
      <c r="J2100" t="s">
        <v>4957</v>
      </c>
      <c r="L2100" t="s">
        <v>4769</v>
      </c>
    </row>
    <row r="2101" spans="1:12" x14ac:dyDescent="0.2">
      <c r="A2101" t="s">
        <v>1767</v>
      </c>
      <c r="B2101" t="s">
        <v>1769</v>
      </c>
      <c r="C2101" t="s">
        <v>4767</v>
      </c>
      <c r="D2101">
        <v>4</v>
      </c>
      <c r="E2101">
        <v>0</v>
      </c>
      <c r="F2101">
        <v>0</v>
      </c>
      <c r="G2101" t="s">
        <v>4768</v>
      </c>
      <c r="H2101" t="s">
        <v>4774</v>
      </c>
      <c r="I2101" t="s">
        <v>4814</v>
      </c>
      <c r="J2101" t="s">
        <v>4958</v>
      </c>
      <c r="L2101" t="s">
        <v>4769</v>
      </c>
    </row>
    <row r="2102" spans="1:12" x14ac:dyDescent="0.2">
      <c r="A2102" t="s">
        <v>1767</v>
      </c>
      <c r="B2102" t="s">
        <v>1769</v>
      </c>
      <c r="C2102" t="s">
        <v>4767</v>
      </c>
      <c r="D2102">
        <v>4</v>
      </c>
      <c r="E2102">
        <v>53.5</v>
      </c>
      <c r="F2102">
        <v>53.5</v>
      </c>
      <c r="G2102" t="s">
        <v>4768</v>
      </c>
      <c r="H2102" t="s">
        <v>4909</v>
      </c>
      <c r="I2102" t="s">
        <v>4814</v>
      </c>
      <c r="J2102" t="s">
        <v>4959</v>
      </c>
      <c r="L2102" t="s">
        <v>4769</v>
      </c>
    </row>
    <row r="2103" spans="1:12" x14ac:dyDescent="0.2">
      <c r="A2103" t="s">
        <v>1767</v>
      </c>
      <c r="B2103" t="s">
        <v>1769</v>
      </c>
      <c r="C2103" t="s">
        <v>4767</v>
      </c>
      <c r="D2103">
        <v>4</v>
      </c>
      <c r="E2103">
        <v>53.5</v>
      </c>
      <c r="F2103">
        <v>53.5</v>
      </c>
      <c r="G2103" t="s">
        <v>4768</v>
      </c>
      <c r="H2103" t="s">
        <v>4909</v>
      </c>
      <c r="I2103" t="s">
        <v>4814</v>
      </c>
      <c r="J2103" t="s">
        <v>4960</v>
      </c>
      <c r="L2103" t="s">
        <v>4769</v>
      </c>
    </row>
    <row r="2104" spans="1:12" x14ac:dyDescent="0.2">
      <c r="A2104" t="s">
        <v>1767</v>
      </c>
      <c r="B2104" t="s">
        <v>1769</v>
      </c>
      <c r="C2104" t="s">
        <v>4767</v>
      </c>
      <c r="D2104">
        <v>4</v>
      </c>
      <c r="E2104">
        <v>53.5</v>
      </c>
      <c r="F2104">
        <v>53.5</v>
      </c>
      <c r="G2104" t="s">
        <v>4768</v>
      </c>
      <c r="H2104" t="s">
        <v>4909</v>
      </c>
      <c r="I2104" t="s">
        <v>4814</v>
      </c>
      <c r="J2104" t="s">
        <v>4912</v>
      </c>
      <c r="L2104" t="s">
        <v>4769</v>
      </c>
    </row>
    <row r="2105" spans="1:12" x14ac:dyDescent="0.2">
      <c r="A2105" t="s">
        <v>1767</v>
      </c>
      <c r="B2105" t="s">
        <v>1769</v>
      </c>
      <c r="C2105" t="s">
        <v>4767</v>
      </c>
      <c r="D2105">
        <v>4</v>
      </c>
      <c r="E2105">
        <v>138.5</v>
      </c>
      <c r="F2105">
        <v>138.5</v>
      </c>
      <c r="G2105" t="s">
        <v>4768</v>
      </c>
      <c r="H2105" t="s">
        <v>4907</v>
      </c>
      <c r="I2105" t="s">
        <v>4814</v>
      </c>
      <c r="J2105" t="s">
        <v>4908</v>
      </c>
      <c r="L2105" t="s">
        <v>4769</v>
      </c>
    </row>
    <row r="2106" spans="1:12" x14ac:dyDescent="0.2">
      <c r="A2106" t="s">
        <v>1767</v>
      </c>
      <c r="B2106" t="s">
        <v>1769</v>
      </c>
      <c r="C2106" t="s">
        <v>4767</v>
      </c>
      <c r="D2106">
        <v>4</v>
      </c>
      <c r="E2106">
        <v>892.38</v>
      </c>
      <c r="F2106">
        <v>892.38</v>
      </c>
      <c r="G2106" t="s">
        <v>4768</v>
      </c>
      <c r="H2106" t="s">
        <v>4961</v>
      </c>
      <c r="I2106" t="s">
        <v>4814</v>
      </c>
      <c r="J2106" t="s">
        <v>1996</v>
      </c>
      <c r="L2106" t="s">
        <v>4769</v>
      </c>
    </row>
    <row r="2107" spans="1:12" x14ac:dyDescent="0.2">
      <c r="A2107" t="s">
        <v>1767</v>
      </c>
      <c r="B2107" t="s">
        <v>1769</v>
      </c>
      <c r="C2107" t="s">
        <v>4767</v>
      </c>
      <c r="D2107">
        <v>4</v>
      </c>
      <c r="E2107">
        <v>116.44</v>
      </c>
      <c r="F2107">
        <v>116.44</v>
      </c>
      <c r="G2107" t="s">
        <v>4768</v>
      </c>
      <c r="H2107" t="s">
        <v>4962</v>
      </c>
      <c r="I2107" t="s">
        <v>4814</v>
      </c>
      <c r="J2107" t="s">
        <v>3722</v>
      </c>
      <c r="L2107" t="s">
        <v>4769</v>
      </c>
    </row>
    <row r="2108" spans="1:12" x14ac:dyDescent="0.2">
      <c r="A2108" t="s">
        <v>1767</v>
      </c>
      <c r="B2108" t="s">
        <v>1769</v>
      </c>
      <c r="C2108" t="s">
        <v>4767</v>
      </c>
      <c r="D2108">
        <v>4</v>
      </c>
      <c r="E2108">
        <v>63.36</v>
      </c>
      <c r="F2108">
        <v>63.36</v>
      </c>
      <c r="G2108" t="s">
        <v>4768</v>
      </c>
      <c r="H2108" t="s">
        <v>4963</v>
      </c>
      <c r="I2108" t="s">
        <v>4814</v>
      </c>
      <c r="J2108" t="s">
        <v>4964</v>
      </c>
      <c r="L2108" t="s">
        <v>4769</v>
      </c>
    </row>
    <row r="2109" spans="1:12" x14ac:dyDescent="0.2">
      <c r="A2109" t="s">
        <v>1767</v>
      </c>
      <c r="B2109" t="s">
        <v>1769</v>
      </c>
      <c r="C2109" t="s">
        <v>4767</v>
      </c>
      <c r="D2109">
        <v>4</v>
      </c>
      <c r="E2109">
        <v>378.72</v>
      </c>
      <c r="F2109">
        <v>378.72</v>
      </c>
      <c r="G2109" t="s">
        <v>4768</v>
      </c>
      <c r="H2109" t="s">
        <v>4965</v>
      </c>
      <c r="I2109" t="s">
        <v>4814</v>
      </c>
      <c r="J2109" t="s">
        <v>4966</v>
      </c>
      <c r="L2109" t="s">
        <v>4769</v>
      </c>
    </row>
    <row r="2110" spans="1:12" x14ac:dyDescent="0.2">
      <c r="A2110" t="s">
        <v>1767</v>
      </c>
      <c r="B2110" t="s">
        <v>1769</v>
      </c>
      <c r="C2110" t="s">
        <v>4767</v>
      </c>
      <c r="D2110">
        <v>4</v>
      </c>
      <c r="E2110">
        <v>497.16</v>
      </c>
      <c r="F2110">
        <v>497.16</v>
      </c>
      <c r="G2110" t="s">
        <v>4768</v>
      </c>
      <c r="H2110" t="s">
        <v>4967</v>
      </c>
      <c r="I2110" t="s">
        <v>4814</v>
      </c>
      <c r="J2110" t="s">
        <v>4968</v>
      </c>
      <c r="L2110" t="s">
        <v>4769</v>
      </c>
    </row>
    <row r="2111" spans="1:12" x14ac:dyDescent="0.2">
      <c r="A2111" t="s">
        <v>1767</v>
      </c>
      <c r="B2111" t="s">
        <v>1769</v>
      </c>
      <c r="C2111" t="s">
        <v>4767</v>
      </c>
      <c r="D2111">
        <v>4</v>
      </c>
      <c r="E2111">
        <v>4395</v>
      </c>
      <c r="F2111">
        <v>4395</v>
      </c>
      <c r="G2111" t="s">
        <v>4768</v>
      </c>
      <c r="H2111" t="s">
        <v>4969</v>
      </c>
      <c r="I2111" t="s">
        <v>4814</v>
      </c>
      <c r="J2111" t="s">
        <v>4970</v>
      </c>
      <c r="L2111" t="s">
        <v>4769</v>
      </c>
    </row>
    <row r="2112" spans="1:12" x14ac:dyDescent="0.2">
      <c r="A2112" t="s">
        <v>1767</v>
      </c>
      <c r="B2112" t="s">
        <v>1769</v>
      </c>
      <c r="C2112" t="s">
        <v>4767</v>
      </c>
      <c r="D2112">
        <v>4</v>
      </c>
      <c r="E2112">
        <v>6251</v>
      </c>
      <c r="F2112">
        <v>6251</v>
      </c>
      <c r="G2112" t="s">
        <v>4768</v>
      </c>
      <c r="H2112" t="s">
        <v>4971</v>
      </c>
      <c r="I2112" t="s">
        <v>4814</v>
      </c>
      <c r="J2112" t="s">
        <v>4972</v>
      </c>
      <c r="L2112" t="s">
        <v>4769</v>
      </c>
    </row>
    <row r="2113" spans="1:12" x14ac:dyDescent="0.2">
      <c r="A2113" t="s">
        <v>1767</v>
      </c>
      <c r="B2113" t="s">
        <v>1769</v>
      </c>
      <c r="C2113" t="s">
        <v>4767</v>
      </c>
      <c r="D2113">
        <v>4</v>
      </c>
      <c r="E2113">
        <v>0</v>
      </c>
      <c r="F2113">
        <v>0</v>
      </c>
      <c r="G2113" t="s">
        <v>4768</v>
      </c>
      <c r="H2113" t="s">
        <v>4774</v>
      </c>
      <c r="I2113" t="s">
        <v>4814</v>
      </c>
      <c r="J2113" t="s">
        <v>4958</v>
      </c>
      <c r="L2113" t="s">
        <v>4769</v>
      </c>
    </row>
    <row r="2114" spans="1:12" x14ac:dyDescent="0.2">
      <c r="A2114" t="s">
        <v>1767</v>
      </c>
      <c r="B2114" t="s">
        <v>1769</v>
      </c>
      <c r="C2114" t="s">
        <v>4767</v>
      </c>
      <c r="D2114">
        <v>4</v>
      </c>
      <c r="E2114">
        <v>374.5</v>
      </c>
      <c r="F2114">
        <v>374.5</v>
      </c>
      <c r="G2114" t="s">
        <v>4768</v>
      </c>
      <c r="H2114" t="s">
        <v>4973</v>
      </c>
      <c r="I2114" t="s">
        <v>4814</v>
      </c>
      <c r="J2114" t="s">
        <v>4974</v>
      </c>
      <c r="L2114" t="s">
        <v>4769</v>
      </c>
    </row>
    <row r="2115" spans="1:12" x14ac:dyDescent="0.2">
      <c r="A2115" t="s">
        <v>1767</v>
      </c>
      <c r="B2115" t="s">
        <v>1769</v>
      </c>
      <c r="C2115" t="s">
        <v>4767</v>
      </c>
      <c r="D2115">
        <v>4</v>
      </c>
      <c r="E2115">
        <v>107</v>
      </c>
      <c r="F2115">
        <v>107</v>
      </c>
      <c r="G2115" t="s">
        <v>4768</v>
      </c>
      <c r="H2115" t="s">
        <v>4975</v>
      </c>
      <c r="I2115" t="s">
        <v>4814</v>
      </c>
      <c r="J2115" t="s">
        <v>4976</v>
      </c>
      <c r="L2115" t="s">
        <v>4769</v>
      </c>
    </row>
    <row r="2116" spans="1:12" x14ac:dyDescent="0.2">
      <c r="A2116" t="s">
        <v>1767</v>
      </c>
      <c r="B2116" t="s">
        <v>1769</v>
      </c>
      <c r="C2116" t="s">
        <v>4767</v>
      </c>
      <c r="D2116">
        <v>4</v>
      </c>
      <c r="E2116">
        <v>28.92</v>
      </c>
      <c r="F2116">
        <v>28.92</v>
      </c>
      <c r="G2116" t="s">
        <v>4768</v>
      </c>
      <c r="H2116" t="s">
        <v>4977</v>
      </c>
      <c r="I2116" t="s">
        <v>4814</v>
      </c>
      <c r="J2116" t="s">
        <v>4978</v>
      </c>
      <c r="L2116" t="s">
        <v>4769</v>
      </c>
    </row>
    <row r="2117" spans="1:12" x14ac:dyDescent="0.2">
      <c r="A2117" t="s">
        <v>1767</v>
      </c>
      <c r="B2117" t="s">
        <v>1769</v>
      </c>
      <c r="C2117" t="s">
        <v>4767</v>
      </c>
      <c r="D2117">
        <v>4</v>
      </c>
      <c r="E2117">
        <v>2677.14</v>
      </c>
      <c r="F2117">
        <v>2677.14</v>
      </c>
      <c r="G2117" t="s">
        <v>4768</v>
      </c>
      <c r="H2117" t="s">
        <v>4979</v>
      </c>
      <c r="I2117" t="s">
        <v>4814</v>
      </c>
      <c r="J2117" t="s">
        <v>4980</v>
      </c>
      <c r="L2117" t="s">
        <v>4769</v>
      </c>
    </row>
    <row r="2118" spans="1:12" x14ac:dyDescent="0.2">
      <c r="A2118" t="s">
        <v>1767</v>
      </c>
      <c r="B2118" t="s">
        <v>1769</v>
      </c>
      <c r="C2118" t="s">
        <v>4767</v>
      </c>
      <c r="D2118">
        <v>4</v>
      </c>
      <c r="E2118">
        <v>349.32</v>
      </c>
      <c r="F2118">
        <v>349.32</v>
      </c>
      <c r="G2118" t="s">
        <v>4768</v>
      </c>
      <c r="H2118" t="s">
        <v>4981</v>
      </c>
      <c r="I2118" t="s">
        <v>4814</v>
      </c>
      <c r="J2118" t="s">
        <v>4982</v>
      </c>
      <c r="L2118" t="s">
        <v>4769</v>
      </c>
    </row>
    <row r="2119" spans="1:12" x14ac:dyDescent="0.2">
      <c r="A2119" t="s">
        <v>1767</v>
      </c>
      <c r="B2119" t="s">
        <v>1769</v>
      </c>
      <c r="C2119" t="s">
        <v>4767</v>
      </c>
      <c r="D2119">
        <v>4</v>
      </c>
      <c r="E2119">
        <v>190.08</v>
      </c>
      <c r="F2119">
        <v>190.08</v>
      </c>
      <c r="G2119" t="s">
        <v>4768</v>
      </c>
      <c r="H2119" t="s">
        <v>4983</v>
      </c>
      <c r="I2119" t="s">
        <v>4814</v>
      </c>
      <c r="J2119" t="s">
        <v>4984</v>
      </c>
      <c r="L2119" t="s">
        <v>4769</v>
      </c>
    </row>
    <row r="2120" spans="1:12" x14ac:dyDescent="0.2">
      <c r="A2120" t="s">
        <v>1767</v>
      </c>
      <c r="B2120" t="s">
        <v>1769</v>
      </c>
      <c r="C2120" t="s">
        <v>4767</v>
      </c>
      <c r="D2120">
        <v>4</v>
      </c>
      <c r="E2120">
        <v>63.12</v>
      </c>
      <c r="F2120">
        <v>63.12</v>
      </c>
      <c r="G2120" t="s">
        <v>4768</v>
      </c>
      <c r="H2120" t="s">
        <v>4985</v>
      </c>
      <c r="I2120" t="s">
        <v>4814</v>
      </c>
      <c r="J2120" t="s">
        <v>3750</v>
      </c>
      <c r="L2120" t="s">
        <v>4769</v>
      </c>
    </row>
    <row r="2121" spans="1:12" x14ac:dyDescent="0.2">
      <c r="A2121" t="s">
        <v>1767</v>
      </c>
      <c r="B2121" t="s">
        <v>1769</v>
      </c>
      <c r="C2121" t="s">
        <v>4767</v>
      </c>
      <c r="D2121">
        <v>4</v>
      </c>
      <c r="E2121">
        <v>108.24</v>
      </c>
      <c r="F2121">
        <v>108.24</v>
      </c>
      <c r="G2121" t="s">
        <v>4768</v>
      </c>
      <c r="H2121" t="s">
        <v>4986</v>
      </c>
      <c r="I2121" t="s">
        <v>4814</v>
      </c>
      <c r="J2121" t="s">
        <v>4987</v>
      </c>
      <c r="L2121" t="s">
        <v>4769</v>
      </c>
    </row>
    <row r="2122" spans="1:12" x14ac:dyDescent="0.2">
      <c r="A2122" t="s">
        <v>1767</v>
      </c>
      <c r="B2122" t="s">
        <v>1769</v>
      </c>
      <c r="C2122" t="s">
        <v>4767</v>
      </c>
      <c r="D2122">
        <v>4</v>
      </c>
      <c r="E2122">
        <v>10486</v>
      </c>
      <c r="F2122">
        <v>10486</v>
      </c>
      <c r="G2122" t="s">
        <v>4768</v>
      </c>
      <c r="H2122" t="s">
        <v>4988</v>
      </c>
      <c r="I2122" t="s">
        <v>4814</v>
      </c>
      <c r="J2122" t="s">
        <v>4989</v>
      </c>
      <c r="L2122" t="s">
        <v>4769</v>
      </c>
    </row>
    <row r="2123" spans="1:12" x14ac:dyDescent="0.2">
      <c r="A2123" t="s">
        <v>1767</v>
      </c>
      <c r="B2123" t="s">
        <v>1769</v>
      </c>
      <c r="C2123" t="s">
        <v>4767</v>
      </c>
      <c r="D2123">
        <v>4</v>
      </c>
      <c r="E2123">
        <v>12502</v>
      </c>
      <c r="F2123">
        <v>12502</v>
      </c>
      <c r="G2123" t="s">
        <v>4768</v>
      </c>
      <c r="H2123" t="s">
        <v>4990</v>
      </c>
      <c r="I2123" t="s">
        <v>4814</v>
      </c>
      <c r="J2123" t="s">
        <v>4991</v>
      </c>
      <c r="L2123" t="s">
        <v>4769</v>
      </c>
    </row>
    <row r="2124" spans="1:12" x14ac:dyDescent="0.2">
      <c r="A2124" t="s">
        <v>1767</v>
      </c>
      <c r="B2124" t="s">
        <v>1769</v>
      </c>
      <c r="C2124" t="s">
        <v>4767</v>
      </c>
      <c r="D2124">
        <v>4</v>
      </c>
      <c r="E2124">
        <v>165.72</v>
      </c>
      <c r="F2124">
        <v>165.72</v>
      </c>
      <c r="G2124" t="s">
        <v>4768</v>
      </c>
      <c r="H2124" t="s">
        <v>4992</v>
      </c>
      <c r="I2124" t="s">
        <v>4814</v>
      </c>
      <c r="J2124" t="s">
        <v>4993</v>
      </c>
      <c r="L2124" t="s">
        <v>4769</v>
      </c>
    </row>
    <row r="2125" spans="1:12" x14ac:dyDescent="0.2">
      <c r="A2125" t="s">
        <v>1767</v>
      </c>
      <c r="B2125" t="s">
        <v>1769</v>
      </c>
      <c r="C2125" t="s">
        <v>4767</v>
      </c>
      <c r="D2125">
        <v>4</v>
      </c>
      <c r="E2125">
        <v>126.24</v>
      </c>
      <c r="F2125">
        <v>126.24</v>
      </c>
      <c r="G2125" t="s">
        <v>4768</v>
      </c>
      <c r="H2125" t="s">
        <v>4994</v>
      </c>
      <c r="I2125" t="s">
        <v>4814</v>
      </c>
      <c r="J2125" t="s">
        <v>4995</v>
      </c>
      <c r="L2125" t="s">
        <v>4769</v>
      </c>
    </row>
    <row r="2126" spans="1:12" x14ac:dyDescent="0.2">
      <c r="A2126" t="s">
        <v>1767</v>
      </c>
      <c r="B2126" t="s">
        <v>1769</v>
      </c>
      <c r="C2126" t="s">
        <v>4767</v>
      </c>
      <c r="D2126">
        <v>4</v>
      </c>
      <c r="E2126">
        <v>58.22</v>
      </c>
      <c r="F2126">
        <v>58.22</v>
      </c>
      <c r="G2126" t="s">
        <v>4768</v>
      </c>
      <c r="H2126" t="s">
        <v>4996</v>
      </c>
      <c r="I2126" t="s">
        <v>4814</v>
      </c>
      <c r="J2126" t="s">
        <v>3745</v>
      </c>
      <c r="L2126" t="s">
        <v>4769</v>
      </c>
    </row>
    <row r="2127" spans="1:12" x14ac:dyDescent="0.2">
      <c r="A2127" t="s">
        <v>1767</v>
      </c>
      <c r="B2127" t="s">
        <v>1769</v>
      </c>
      <c r="C2127" t="s">
        <v>4767</v>
      </c>
      <c r="D2127">
        <v>4</v>
      </c>
      <c r="E2127">
        <v>616.32000000000005</v>
      </c>
      <c r="F2127">
        <v>616.32000000000005</v>
      </c>
      <c r="G2127" t="s">
        <v>4768</v>
      </c>
      <c r="H2127" t="s">
        <v>4997</v>
      </c>
      <c r="I2127" t="s">
        <v>4814</v>
      </c>
      <c r="J2127" t="s">
        <v>3747</v>
      </c>
      <c r="L2127" t="s">
        <v>4769</v>
      </c>
    </row>
    <row r="2128" spans="1:12" x14ac:dyDescent="0.2">
      <c r="A2128" t="s">
        <v>1767</v>
      </c>
      <c r="B2128" t="s">
        <v>1769</v>
      </c>
      <c r="C2128" t="s">
        <v>4767</v>
      </c>
      <c r="D2128">
        <v>4</v>
      </c>
      <c r="E2128">
        <v>12.4</v>
      </c>
      <c r="F2128">
        <v>12.4</v>
      </c>
      <c r="G2128" t="s">
        <v>4768</v>
      </c>
      <c r="H2128" t="s">
        <v>4998</v>
      </c>
      <c r="I2128" t="s">
        <v>4814</v>
      </c>
      <c r="J2128" t="s">
        <v>4999</v>
      </c>
      <c r="L2128" t="s">
        <v>4769</v>
      </c>
    </row>
    <row r="2129" spans="1:12" x14ac:dyDescent="0.2">
      <c r="A2129" t="s">
        <v>1767</v>
      </c>
      <c r="B2129" t="s">
        <v>1769</v>
      </c>
      <c r="C2129" t="s">
        <v>4767</v>
      </c>
      <c r="D2129">
        <v>4</v>
      </c>
      <c r="E2129">
        <v>12.4</v>
      </c>
      <c r="F2129">
        <v>12.4</v>
      </c>
      <c r="G2129" t="s">
        <v>4768</v>
      </c>
      <c r="H2129" t="s">
        <v>4998</v>
      </c>
      <c r="I2129" t="s">
        <v>4814</v>
      </c>
      <c r="J2129" t="s">
        <v>4999</v>
      </c>
      <c r="L2129" t="s">
        <v>4769</v>
      </c>
    </row>
    <row r="2130" spans="1:12" x14ac:dyDescent="0.2">
      <c r="A2130" t="s">
        <v>1767</v>
      </c>
      <c r="B2130" t="s">
        <v>1769</v>
      </c>
      <c r="C2130" t="s">
        <v>4767</v>
      </c>
      <c r="D2130">
        <v>4</v>
      </c>
      <c r="E2130">
        <v>10.56</v>
      </c>
      <c r="F2130">
        <v>10.56</v>
      </c>
      <c r="G2130" t="s">
        <v>4768</v>
      </c>
      <c r="H2130" t="s">
        <v>5000</v>
      </c>
      <c r="I2130" t="s">
        <v>4814</v>
      </c>
      <c r="J2130" t="s">
        <v>5001</v>
      </c>
      <c r="L2130" t="s">
        <v>4769</v>
      </c>
    </row>
    <row r="2131" spans="1:12" x14ac:dyDescent="0.2">
      <c r="A2131" t="s">
        <v>1767</v>
      </c>
      <c r="B2131" t="s">
        <v>1769</v>
      </c>
      <c r="C2131" t="s">
        <v>4767</v>
      </c>
      <c r="D2131">
        <v>4</v>
      </c>
      <c r="E2131">
        <v>58.22</v>
      </c>
      <c r="F2131">
        <v>58.22</v>
      </c>
      <c r="G2131" t="s">
        <v>4768</v>
      </c>
      <c r="H2131" t="s">
        <v>4996</v>
      </c>
      <c r="I2131" t="s">
        <v>4814</v>
      </c>
      <c r="J2131" t="s">
        <v>3745</v>
      </c>
      <c r="L2131" t="s">
        <v>4769</v>
      </c>
    </row>
    <row r="2132" spans="1:12" x14ac:dyDescent="0.2">
      <c r="A2132" t="s">
        <v>1767</v>
      </c>
      <c r="B2132" t="s">
        <v>1769</v>
      </c>
      <c r="C2132" t="s">
        <v>4767</v>
      </c>
      <c r="D2132">
        <v>4</v>
      </c>
      <c r="E2132">
        <v>105.64</v>
      </c>
      <c r="F2132">
        <v>105.64</v>
      </c>
      <c r="G2132" t="s">
        <v>4768</v>
      </c>
      <c r="H2132" t="s">
        <v>5002</v>
      </c>
      <c r="I2132" t="s">
        <v>4814</v>
      </c>
      <c r="J2132" t="s">
        <v>3701</v>
      </c>
      <c r="L2132" t="s">
        <v>4769</v>
      </c>
    </row>
    <row r="2133" spans="1:12" x14ac:dyDescent="0.2">
      <c r="A2133" t="s">
        <v>1767</v>
      </c>
      <c r="B2133" t="s">
        <v>1769</v>
      </c>
      <c r="C2133" t="s">
        <v>4767</v>
      </c>
      <c r="D2133">
        <v>4</v>
      </c>
      <c r="E2133">
        <v>15.04</v>
      </c>
      <c r="F2133">
        <v>15.04</v>
      </c>
      <c r="G2133" t="s">
        <v>4768</v>
      </c>
      <c r="H2133" t="s">
        <v>5003</v>
      </c>
      <c r="I2133" t="s">
        <v>4814</v>
      </c>
      <c r="J2133" t="s">
        <v>5004</v>
      </c>
      <c r="L2133" t="s">
        <v>4769</v>
      </c>
    </row>
    <row r="2134" spans="1:12" x14ac:dyDescent="0.2">
      <c r="A2134" t="s">
        <v>1767</v>
      </c>
      <c r="B2134" t="s">
        <v>1769</v>
      </c>
      <c r="C2134" t="s">
        <v>4767</v>
      </c>
      <c r="D2134">
        <v>4</v>
      </c>
      <c r="E2134">
        <v>30.36</v>
      </c>
      <c r="F2134">
        <v>30.36</v>
      </c>
      <c r="G2134" t="s">
        <v>4768</v>
      </c>
      <c r="H2134" t="s">
        <v>5005</v>
      </c>
      <c r="I2134" t="s">
        <v>4814</v>
      </c>
      <c r="J2134" t="s">
        <v>5006</v>
      </c>
      <c r="L2134" t="s">
        <v>4769</v>
      </c>
    </row>
    <row r="2135" spans="1:12" x14ac:dyDescent="0.2">
      <c r="A2135" t="s">
        <v>1767</v>
      </c>
      <c r="B2135" t="s">
        <v>1769</v>
      </c>
      <c r="C2135" t="s">
        <v>4767</v>
      </c>
      <c r="D2135">
        <v>4</v>
      </c>
      <c r="E2135">
        <v>5.88</v>
      </c>
      <c r="F2135">
        <v>5.88</v>
      </c>
      <c r="G2135" t="s">
        <v>4768</v>
      </c>
      <c r="H2135" t="s">
        <v>4948</v>
      </c>
      <c r="I2135" t="s">
        <v>4814</v>
      </c>
      <c r="J2135" t="s">
        <v>4949</v>
      </c>
      <c r="L2135" t="s">
        <v>4769</v>
      </c>
    </row>
    <row r="2136" spans="1:12" x14ac:dyDescent="0.2">
      <c r="A2136" t="s">
        <v>1767</v>
      </c>
      <c r="B2136" t="s">
        <v>1769</v>
      </c>
      <c r="C2136" t="s">
        <v>4767</v>
      </c>
      <c r="D2136">
        <v>4</v>
      </c>
      <c r="E2136">
        <v>8966</v>
      </c>
      <c r="F2136">
        <v>8966</v>
      </c>
      <c r="G2136" t="s">
        <v>4768</v>
      </c>
      <c r="H2136" t="s">
        <v>5007</v>
      </c>
      <c r="I2136" t="s">
        <v>4814</v>
      </c>
      <c r="J2136" t="s">
        <v>5008</v>
      </c>
      <c r="L2136" t="s">
        <v>4769</v>
      </c>
    </row>
    <row r="2137" spans="1:12" x14ac:dyDescent="0.2">
      <c r="A2137" t="s">
        <v>1767</v>
      </c>
      <c r="B2137" t="s">
        <v>1769</v>
      </c>
      <c r="C2137" t="s">
        <v>4767</v>
      </c>
      <c r="D2137">
        <v>4</v>
      </c>
      <c r="E2137">
        <v>247.8</v>
      </c>
      <c r="F2137">
        <v>247.8</v>
      </c>
      <c r="G2137" t="s">
        <v>4768</v>
      </c>
      <c r="H2137" t="s">
        <v>5009</v>
      </c>
      <c r="I2137" t="s">
        <v>4814</v>
      </c>
      <c r="J2137" t="s">
        <v>5010</v>
      </c>
      <c r="L2137" t="s">
        <v>4769</v>
      </c>
    </row>
    <row r="2138" spans="1:12" x14ac:dyDescent="0.2">
      <c r="A2138" t="s">
        <v>1767</v>
      </c>
      <c r="B2138" t="s">
        <v>1769</v>
      </c>
      <c r="C2138" t="s">
        <v>4767</v>
      </c>
      <c r="D2138">
        <v>4</v>
      </c>
      <c r="E2138">
        <v>126.24</v>
      </c>
      <c r="F2138">
        <v>126.24</v>
      </c>
      <c r="G2138" t="s">
        <v>4768</v>
      </c>
      <c r="H2138" t="s">
        <v>4994</v>
      </c>
      <c r="I2138" t="s">
        <v>4814</v>
      </c>
      <c r="J2138" t="s">
        <v>4995</v>
      </c>
      <c r="L2138" t="s">
        <v>4769</v>
      </c>
    </row>
    <row r="2139" spans="1:12" x14ac:dyDescent="0.2">
      <c r="A2139" t="s">
        <v>1767</v>
      </c>
      <c r="B2139" t="s">
        <v>1769</v>
      </c>
      <c r="C2139" t="s">
        <v>4767</v>
      </c>
      <c r="D2139">
        <v>4</v>
      </c>
      <c r="E2139">
        <v>107</v>
      </c>
      <c r="F2139">
        <v>107</v>
      </c>
      <c r="G2139" t="s">
        <v>4768</v>
      </c>
      <c r="H2139" t="s">
        <v>4975</v>
      </c>
      <c r="I2139" t="s">
        <v>4814</v>
      </c>
      <c r="J2139" t="s">
        <v>4976</v>
      </c>
      <c r="L2139" t="s">
        <v>4769</v>
      </c>
    </row>
    <row r="2140" spans="1:12" x14ac:dyDescent="0.2">
      <c r="A2140" t="s">
        <v>1767</v>
      </c>
      <c r="B2140" t="s">
        <v>1769</v>
      </c>
      <c r="C2140" t="s">
        <v>4767</v>
      </c>
      <c r="D2140">
        <v>4</v>
      </c>
      <c r="E2140">
        <v>594.91999999999996</v>
      </c>
      <c r="F2140">
        <v>594.91999999999996</v>
      </c>
      <c r="G2140" t="s">
        <v>4768</v>
      </c>
      <c r="H2140" t="s">
        <v>5011</v>
      </c>
      <c r="I2140" t="s">
        <v>4814</v>
      </c>
      <c r="J2140" t="s">
        <v>2154</v>
      </c>
      <c r="L2140" t="s">
        <v>4769</v>
      </c>
    </row>
    <row r="2141" spans="1:12" x14ac:dyDescent="0.2">
      <c r="A2141" t="s">
        <v>1767</v>
      </c>
      <c r="B2141" t="s">
        <v>1769</v>
      </c>
      <c r="C2141" t="s">
        <v>4767</v>
      </c>
      <c r="D2141">
        <v>4</v>
      </c>
      <c r="E2141">
        <v>10.56</v>
      </c>
      <c r="F2141">
        <v>10.56</v>
      </c>
      <c r="G2141" t="s">
        <v>4768</v>
      </c>
      <c r="H2141" t="s">
        <v>5000</v>
      </c>
      <c r="I2141" t="s">
        <v>4814</v>
      </c>
      <c r="J2141" t="s">
        <v>5001</v>
      </c>
      <c r="L2141" t="s">
        <v>4769</v>
      </c>
    </row>
    <row r="2142" spans="1:12" x14ac:dyDescent="0.2">
      <c r="A2142" t="s">
        <v>1767</v>
      </c>
      <c r="B2142" t="s">
        <v>1769</v>
      </c>
      <c r="C2142" t="s">
        <v>4767</v>
      </c>
      <c r="D2142">
        <v>4</v>
      </c>
      <c r="E2142">
        <v>116.44</v>
      </c>
      <c r="F2142">
        <v>116.44</v>
      </c>
      <c r="G2142" t="s">
        <v>4768</v>
      </c>
      <c r="H2142" t="s">
        <v>4962</v>
      </c>
      <c r="I2142" t="s">
        <v>4814</v>
      </c>
      <c r="J2142" t="s">
        <v>3722</v>
      </c>
      <c r="L2142" t="s">
        <v>4769</v>
      </c>
    </row>
    <row r="2143" spans="1:12" x14ac:dyDescent="0.2">
      <c r="A2143" t="s">
        <v>1767</v>
      </c>
      <c r="B2143" t="s">
        <v>1769</v>
      </c>
      <c r="C2143" t="s">
        <v>4767</v>
      </c>
      <c r="D2143">
        <v>4</v>
      </c>
      <c r="E2143">
        <v>46.32</v>
      </c>
      <c r="F2143">
        <v>46.32</v>
      </c>
      <c r="G2143" t="s">
        <v>4768</v>
      </c>
      <c r="H2143" t="s">
        <v>5012</v>
      </c>
      <c r="I2143" t="s">
        <v>4814</v>
      </c>
      <c r="J2143" t="s">
        <v>2093</v>
      </c>
      <c r="L2143" t="s">
        <v>4769</v>
      </c>
    </row>
    <row r="2144" spans="1:12" x14ac:dyDescent="0.2">
      <c r="A2144" t="s">
        <v>1767</v>
      </c>
      <c r="B2144" t="s">
        <v>1769</v>
      </c>
      <c r="C2144" t="s">
        <v>4767</v>
      </c>
      <c r="D2144">
        <v>4</v>
      </c>
      <c r="E2144">
        <v>1750</v>
      </c>
      <c r="F2144">
        <v>1750</v>
      </c>
      <c r="G2144" t="s">
        <v>4768</v>
      </c>
      <c r="H2144" t="s">
        <v>5013</v>
      </c>
      <c r="I2144" t="s">
        <v>4814</v>
      </c>
      <c r="J2144" t="s">
        <v>5014</v>
      </c>
      <c r="L2144" t="s">
        <v>4769</v>
      </c>
    </row>
    <row r="2145" spans="1:12" x14ac:dyDescent="0.2">
      <c r="A2145" t="s">
        <v>1767</v>
      </c>
      <c r="B2145" t="s">
        <v>1769</v>
      </c>
      <c r="C2145" t="s">
        <v>4767</v>
      </c>
      <c r="D2145">
        <v>4</v>
      </c>
      <c r="E2145">
        <v>7222</v>
      </c>
      <c r="F2145">
        <v>7222</v>
      </c>
      <c r="G2145" t="s">
        <v>4768</v>
      </c>
      <c r="H2145" t="s">
        <v>5015</v>
      </c>
      <c r="I2145" t="s">
        <v>4814</v>
      </c>
      <c r="J2145" t="s">
        <v>5016</v>
      </c>
      <c r="L2145" t="s">
        <v>4769</v>
      </c>
    </row>
    <row r="2146" spans="1:12" x14ac:dyDescent="0.2">
      <c r="A2146" t="s">
        <v>1767</v>
      </c>
      <c r="B2146" t="s">
        <v>1769</v>
      </c>
      <c r="C2146" t="s">
        <v>4767</v>
      </c>
      <c r="D2146">
        <v>4</v>
      </c>
      <c r="E2146">
        <v>160.5</v>
      </c>
      <c r="F2146">
        <v>160.5</v>
      </c>
      <c r="G2146" t="s">
        <v>4768</v>
      </c>
      <c r="H2146" t="s">
        <v>5017</v>
      </c>
      <c r="I2146" t="s">
        <v>4814</v>
      </c>
      <c r="J2146" t="s">
        <v>5018</v>
      </c>
      <c r="L2146" t="s">
        <v>4769</v>
      </c>
    </row>
    <row r="2147" spans="1:12" x14ac:dyDescent="0.2">
      <c r="A2147" t="s">
        <v>1767</v>
      </c>
      <c r="B2147" t="s">
        <v>1769</v>
      </c>
      <c r="C2147" t="s">
        <v>4767</v>
      </c>
      <c r="D2147">
        <v>4</v>
      </c>
      <c r="E2147">
        <v>214</v>
      </c>
      <c r="F2147">
        <v>214</v>
      </c>
      <c r="G2147" t="s">
        <v>4768</v>
      </c>
      <c r="H2147" t="s">
        <v>5019</v>
      </c>
      <c r="I2147" t="s">
        <v>4814</v>
      </c>
      <c r="J2147" t="s">
        <v>5020</v>
      </c>
      <c r="L2147" t="s">
        <v>4769</v>
      </c>
    </row>
    <row r="2148" spans="1:12" x14ac:dyDescent="0.2">
      <c r="A2148" t="s">
        <v>1767</v>
      </c>
      <c r="B2148" t="s">
        <v>1769</v>
      </c>
      <c r="C2148" t="s">
        <v>4767</v>
      </c>
      <c r="D2148">
        <v>4</v>
      </c>
      <c r="E2148">
        <v>1275.44</v>
      </c>
      <c r="F2148">
        <v>1275.44</v>
      </c>
      <c r="G2148" t="s">
        <v>4768</v>
      </c>
      <c r="H2148" t="s">
        <v>5021</v>
      </c>
      <c r="I2148" t="s">
        <v>4814</v>
      </c>
      <c r="J2148" t="s">
        <v>2024</v>
      </c>
      <c r="L2148" t="s">
        <v>4769</v>
      </c>
    </row>
    <row r="2149" spans="1:12" x14ac:dyDescent="0.2">
      <c r="A2149" t="s">
        <v>1767</v>
      </c>
      <c r="B2149" t="s">
        <v>1769</v>
      </c>
      <c r="C2149" t="s">
        <v>4767</v>
      </c>
      <c r="D2149">
        <v>4</v>
      </c>
      <c r="E2149">
        <v>924.48</v>
      </c>
      <c r="F2149">
        <v>924.48</v>
      </c>
      <c r="G2149" t="s">
        <v>4768</v>
      </c>
      <c r="H2149" t="s">
        <v>5022</v>
      </c>
      <c r="I2149" t="s">
        <v>4814</v>
      </c>
      <c r="J2149" t="s">
        <v>5023</v>
      </c>
      <c r="L2149" t="s">
        <v>4769</v>
      </c>
    </row>
    <row r="2150" spans="1:12" x14ac:dyDescent="0.2">
      <c r="A2150" t="s">
        <v>1767</v>
      </c>
      <c r="B2150" t="s">
        <v>1769</v>
      </c>
      <c r="C2150" t="s">
        <v>4767</v>
      </c>
      <c r="D2150">
        <v>4</v>
      </c>
      <c r="E2150">
        <v>395.9</v>
      </c>
      <c r="F2150">
        <v>395.9</v>
      </c>
      <c r="G2150" t="s">
        <v>4768</v>
      </c>
      <c r="H2150" t="s">
        <v>5024</v>
      </c>
      <c r="I2150" t="s">
        <v>4814</v>
      </c>
      <c r="J2150" t="s">
        <v>2311</v>
      </c>
      <c r="L2150" t="s">
        <v>4769</v>
      </c>
    </row>
    <row r="2151" spans="1:12" x14ac:dyDescent="0.2">
      <c r="A2151" t="s">
        <v>1767</v>
      </c>
      <c r="B2151" t="s">
        <v>1769</v>
      </c>
      <c r="C2151" t="s">
        <v>4767</v>
      </c>
      <c r="D2151">
        <v>4</v>
      </c>
      <c r="E2151">
        <v>123.9</v>
      </c>
      <c r="F2151">
        <v>123.9</v>
      </c>
      <c r="G2151" t="s">
        <v>4768</v>
      </c>
      <c r="H2151" t="s">
        <v>5025</v>
      </c>
      <c r="I2151" t="s">
        <v>4814</v>
      </c>
      <c r="J2151" t="s">
        <v>5026</v>
      </c>
      <c r="L2151" t="s">
        <v>4769</v>
      </c>
    </row>
    <row r="2152" spans="1:12" x14ac:dyDescent="0.2">
      <c r="A2152" t="s">
        <v>1767</v>
      </c>
      <c r="B2152" t="s">
        <v>1769</v>
      </c>
      <c r="C2152" t="s">
        <v>4767</v>
      </c>
      <c r="D2152">
        <v>4</v>
      </c>
      <c r="E2152">
        <v>18.16</v>
      </c>
      <c r="F2152">
        <v>18.16</v>
      </c>
      <c r="G2152" t="s">
        <v>4768</v>
      </c>
      <c r="H2152" t="s">
        <v>5027</v>
      </c>
      <c r="I2152" t="s">
        <v>4814</v>
      </c>
      <c r="J2152" t="s">
        <v>5028</v>
      </c>
      <c r="L2152" t="s">
        <v>4769</v>
      </c>
    </row>
    <row r="2153" spans="1:12" x14ac:dyDescent="0.2">
      <c r="A2153" t="s">
        <v>1767</v>
      </c>
      <c r="B2153" t="s">
        <v>1769</v>
      </c>
      <c r="C2153" t="s">
        <v>4767</v>
      </c>
      <c r="D2153">
        <v>4</v>
      </c>
      <c r="E2153">
        <v>18299</v>
      </c>
      <c r="F2153">
        <v>18299</v>
      </c>
      <c r="G2153" t="s">
        <v>4768</v>
      </c>
      <c r="H2153" t="s">
        <v>5029</v>
      </c>
      <c r="I2153" t="s">
        <v>4814</v>
      </c>
      <c r="J2153" t="s">
        <v>5030</v>
      </c>
      <c r="L2153" t="s">
        <v>4769</v>
      </c>
    </row>
    <row r="2154" spans="1:12" x14ac:dyDescent="0.2">
      <c r="A2154" t="s">
        <v>1767</v>
      </c>
      <c r="B2154" t="s">
        <v>1769</v>
      </c>
      <c r="C2154" t="s">
        <v>4767</v>
      </c>
      <c r="D2154">
        <v>4</v>
      </c>
      <c r="E2154">
        <v>242.56</v>
      </c>
      <c r="F2154">
        <v>242.56</v>
      </c>
      <c r="G2154" t="s">
        <v>4768</v>
      </c>
      <c r="H2154" t="s">
        <v>5031</v>
      </c>
      <c r="I2154" t="s">
        <v>4814</v>
      </c>
      <c r="J2154" t="s">
        <v>5032</v>
      </c>
      <c r="L2154" t="s">
        <v>4769</v>
      </c>
    </row>
    <row r="2155" spans="1:12" x14ac:dyDescent="0.2">
      <c r="A2155" t="s">
        <v>1767</v>
      </c>
      <c r="B2155" t="s">
        <v>1769</v>
      </c>
      <c r="C2155" t="s">
        <v>4767</v>
      </c>
      <c r="D2155">
        <v>4</v>
      </c>
      <c r="E2155">
        <v>318</v>
      </c>
      <c r="F2155">
        <v>318</v>
      </c>
      <c r="G2155" t="s">
        <v>4768</v>
      </c>
      <c r="H2155" t="s">
        <v>5033</v>
      </c>
      <c r="I2155" t="s">
        <v>4814</v>
      </c>
      <c r="J2155" t="s">
        <v>5034</v>
      </c>
      <c r="L2155" t="s">
        <v>4769</v>
      </c>
    </row>
    <row r="2156" spans="1:12" x14ac:dyDescent="0.2">
      <c r="A2156" t="s">
        <v>1767</v>
      </c>
      <c r="B2156" t="s">
        <v>1769</v>
      </c>
      <c r="C2156" t="s">
        <v>4767</v>
      </c>
      <c r="D2156">
        <v>4</v>
      </c>
      <c r="E2156">
        <v>337.2</v>
      </c>
      <c r="F2156">
        <v>337.2</v>
      </c>
      <c r="G2156" t="s">
        <v>4768</v>
      </c>
      <c r="H2156" t="s">
        <v>5035</v>
      </c>
      <c r="I2156" t="s">
        <v>4814</v>
      </c>
      <c r="J2156" t="s">
        <v>5036</v>
      </c>
      <c r="L2156" t="s">
        <v>4769</v>
      </c>
    </row>
    <row r="2157" spans="1:12" x14ac:dyDescent="0.2">
      <c r="A2157" t="s">
        <v>1767</v>
      </c>
      <c r="B2157" t="s">
        <v>1769</v>
      </c>
      <c r="C2157" t="s">
        <v>4767</v>
      </c>
      <c r="D2157">
        <v>4</v>
      </c>
      <c r="E2157">
        <v>82</v>
      </c>
      <c r="F2157">
        <v>82</v>
      </c>
      <c r="G2157" t="s">
        <v>4768</v>
      </c>
      <c r="H2157" t="s">
        <v>5037</v>
      </c>
      <c r="I2157" t="s">
        <v>4814</v>
      </c>
      <c r="J2157" t="s">
        <v>5038</v>
      </c>
      <c r="L2157" t="s">
        <v>4769</v>
      </c>
    </row>
    <row r="2158" spans="1:12" x14ac:dyDescent="0.2">
      <c r="A2158" t="s">
        <v>1767</v>
      </c>
      <c r="B2158" t="s">
        <v>1769</v>
      </c>
      <c r="C2158" t="s">
        <v>4767</v>
      </c>
      <c r="D2158">
        <v>4</v>
      </c>
      <c r="E2158">
        <v>92.8</v>
      </c>
      <c r="F2158">
        <v>92.8</v>
      </c>
      <c r="G2158" t="s">
        <v>4768</v>
      </c>
      <c r="H2158" t="s">
        <v>5039</v>
      </c>
      <c r="I2158" t="s">
        <v>4814</v>
      </c>
      <c r="J2158" t="s">
        <v>5040</v>
      </c>
      <c r="L2158" t="s">
        <v>4769</v>
      </c>
    </row>
    <row r="2159" spans="1:12" x14ac:dyDescent="0.2">
      <c r="A2159" t="s">
        <v>1767</v>
      </c>
      <c r="B2159" t="s">
        <v>1769</v>
      </c>
      <c r="C2159" t="s">
        <v>4767</v>
      </c>
      <c r="D2159">
        <v>4</v>
      </c>
      <c r="E2159">
        <v>358.16</v>
      </c>
      <c r="F2159">
        <v>358.16</v>
      </c>
      <c r="G2159" t="s">
        <v>4768</v>
      </c>
      <c r="H2159" t="s">
        <v>5041</v>
      </c>
      <c r="I2159" t="s">
        <v>4814</v>
      </c>
      <c r="J2159" t="s">
        <v>5042</v>
      </c>
      <c r="L2159" t="s">
        <v>4769</v>
      </c>
    </row>
    <row r="2160" spans="1:12" x14ac:dyDescent="0.2">
      <c r="A2160" t="s">
        <v>1767</v>
      </c>
      <c r="B2160" t="s">
        <v>1769</v>
      </c>
      <c r="C2160" t="s">
        <v>4767</v>
      </c>
      <c r="D2160">
        <v>4</v>
      </c>
      <c r="E2160">
        <v>269.76</v>
      </c>
      <c r="F2160">
        <v>269.76</v>
      </c>
      <c r="G2160" t="s">
        <v>4768</v>
      </c>
      <c r="H2160" t="s">
        <v>5043</v>
      </c>
      <c r="I2160" t="s">
        <v>4814</v>
      </c>
      <c r="J2160" t="s">
        <v>5044</v>
      </c>
      <c r="L2160" t="s">
        <v>4769</v>
      </c>
    </row>
    <row r="2161" spans="1:12" x14ac:dyDescent="0.2">
      <c r="A2161" t="s">
        <v>1767</v>
      </c>
      <c r="B2161" t="s">
        <v>1769</v>
      </c>
      <c r="C2161" t="s">
        <v>4767</v>
      </c>
      <c r="D2161">
        <v>4</v>
      </c>
      <c r="E2161">
        <v>216.48</v>
      </c>
      <c r="F2161">
        <v>216.48</v>
      </c>
      <c r="G2161" t="s">
        <v>4768</v>
      </c>
      <c r="H2161" t="s">
        <v>5045</v>
      </c>
      <c r="I2161" t="s">
        <v>4814</v>
      </c>
      <c r="J2161" t="s">
        <v>5046</v>
      </c>
      <c r="L2161" t="s">
        <v>4769</v>
      </c>
    </row>
    <row r="2162" spans="1:12" x14ac:dyDescent="0.2">
      <c r="A2162" t="s">
        <v>1767</v>
      </c>
      <c r="B2162" t="s">
        <v>1769</v>
      </c>
      <c r="C2162" t="s">
        <v>4767</v>
      </c>
      <c r="D2162">
        <v>4</v>
      </c>
      <c r="E2162">
        <v>216.48</v>
      </c>
      <c r="F2162">
        <v>216.48</v>
      </c>
      <c r="G2162" t="s">
        <v>4768</v>
      </c>
      <c r="H2162" t="s">
        <v>5045</v>
      </c>
      <c r="I2162" t="s">
        <v>4814</v>
      </c>
      <c r="J2162" t="s">
        <v>5046</v>
      </c>
      <c r="L2162" t="s">
        <v>4769</v>
      </c>
    </row>
    <row r="2163" spans="1:12" x14ac:dyDescent="0.2">
      <c r="A2163" t="s">
        <v>1767</v>
      </c>
      <c r="B2163" t="s">
        <v>1769</v>
      </c>
      <c r="C2163" t="s">
        <v>4767</v>
      </c>
      <c r="D2163">
        <v>4</v>
      </c>
      <c r="E2163">
        <v>42.84</v>
      </c>
      <c r="F2163">
        <v>42.84</v>
      </c>
      <c r="G2163" t="s">
        <v>4768</v>
      </c>
      <c r="H2163" t="s">
        <v>5047</v>
      </c>
      <c r="I2163" t="s">
        <v>4814</v>
      </c>
      <c r="J2163" t="s">
        <v>5048</v>
      </c>
      <c r="L2163" t="s">
        <v>4769</v>
      </c>
    </row>
    <row r="2164" spans="1:12" x14ac:dyDescent="0.2">
      <c r="A2164" t="s">
        <v>1767</v>
      </c>
      <c r="B2164" t="s">
        <v>1769</v>
      </c>
      <c r="C2164" t="s">
        <v>4767</v>
      </c>
      <c r="D2164">
        <v>4</v>
      </c>
      <c r="E2164">
        <v>281</v>
      </c>
      <c r="F2164">
        <v>281</v>
      </c>
      <c r="G2164" t="s">
        <v>4768</v>
      </c>
      <c r="H2164" t="s">
        <v>5049</v>
      </c>
      <c r="I2164" t="s">
        <v>4814</v>
      </c>
      <c r="J2164" t="s">
        <v>5050</v>
      </c>
      <c r="L2164" t="s">
        <v>4769</v>
      </c>
    </row>
    <row r="2165" spans="1:12" x14ac:dyDescent="0.2">
      <c r="A2165" t="s">
        <v>1767</v>
      </c>
      <c r="B2165" t="s">
        <v>1769</v>
      </c>
      <c r="C2165" t="s">
        <v>4767</v>
      </c>
      <c r="D2165">
        <v>4</v>
      </c>
      <c r="E2165">
        <v>880.92</v>
      </c>
      <c r="F2165">
        <v>880.92</v>
      </c>
      <c r="G2165" t="s">
        <v>4768</v>
      </c>
      <c r="H2165" t="s">
        <v>5051</v>
      </c>
      <c r="I2165" t="s">
        <v>4814</v>
      </c>
      <c r="J2165" t="s">
        <v>5052</v>
      </c>
      <c r="L2165" t="s">
        <v>4769</v>
      </c>
    </row>
    <row r="2166" spans="1:12" x14ac:dyDescent="0.2">
      <c r="A2166" t="s">
        <v>1767</v>
      </c>
      <c r="B2166" t="s">
        <v>1769</v>
      </c>
      <c r="C2166" t="s">
        <v>4767</v>
      </c>
      <c r="D2166">
        <v>4</v>
      </c>
      <c r="E2166">
        <v>1344</v>
      </c>
      <c r="F2166">
        <v>1344</v>
      </c>
      <c r="G2166" t="s">
        <v>4768</v>
      </c>
      <c r="H2166" t="s">
        <v>5053</v>
      </c>
      <c r="I2166" t="s">
        <v>4814</v>
      </c>
      <c r="J2166" t="s">
        <v>5054</v>
      </c>
      <c r="L2166" t="s">
        <v>4769</v>
      </c>
    </row>
    <row r="2167" spans="1:12" x14ac:dyDescent="0.2">
      <c r="A2167" t="s">
        <v>1767</v>
      </c>
      <c r="B2167" t="s">
        <v>1769</v>
      </c>
      <c r="C2167" t="s">
        <v>4767</v>
      </c>
      <c r="D2167">
        <v>4</v>
      </c>
      <c r="E2167">
        <v>446.24</v>
      </c>
      <c r="F2167">
        <v>446.24</v>
      </c>
      <c r="G2167" t="s">
        <v>4768</v>
      </c>
      <c r="H2167" t="s">
        <v>5055</v>
      </c>
      <c r="I2167" t="s">
        <v>4814</v>
      </c>
      <c r="J2167" t="s">
        <v>5056</v>
      </c>
      <c r="L2167" t="s">
        <v>4769</v>
      </c>
    </row>
    <row r="2168" spans="1:12" x14ac:dyDescent="0.2">
      <c r="A2168" t="s">
        <v>1767</v>
      </c>
      <c r="B2168" t="s">
        <v>1769</v>
      </c>
      <c r="C2168" t="s">
        <v>4767</v>
      </c>
      <c r="D2168">
        <v>4</v>
      </c>
      <c r="E2168">
        <v>21.4</v>
      </c>
      <c r="F2168">
        <v>21.4</v>
      </c>
      <c r="G2168" t="s">
        <v>4768</v>
      </c>
      <c r="H2168" t="s">
        <v>5057</v>
      </c>
      <c r="I2168" t="s">
        <v>4814</v>
      </c>
      <c r="J2168" t="s">
        <v>5058</v>
      </c>
      <c r="L2168" t="s">
        <v>4769</v>
      </c>
    </row>
    <row r="2169" spans="1:12" x14ac:dyDescent="0.2">
      <c r="A2169" t="s">
        <v>1767</v>
      </c>
      <c r="B2169" t="s">
        <v>1769</v>
      </c>
      <c r="C2169" t="s">
        <v>4767</v>
      </c>
      <c r="D2169">
        <v>4</v>
      </c>
      <c r="E2169">
        <v>128.4</v>
      </c>
      <c r="F2169">
        <v>128.4</v>
      </c>
      <c r="G2169" t="s">
        <v>4768</v>
      </c>
      <c r="H2169" t="s">
        <v>5059</v>
      </c>
      <c r="I2169" t="s">
        <v>4814</v>
      </c>
      <c r="J2169" t="s">
        <v>5060</v>
      </c>
      <c r="L2169" t="s">
        <v>4769</v>
      </c>
    </row>
    <row r="2170" spans="1:12" x14ac:dyDescent="0.2">
      <c r="A2170" t="s">
        <v>1767</v>
      </c>
      <c r="B2170" t="s">
        <v>1769</v>
      </c>
      <c r="C2170" t="s">
        <v>4767</v>
      </c>
      <c r="D2170">
        <v>4</v>
      </c>
      <c r="E2170">
        <v>21.4</v>
      </c>
      <c r="F2170">
        <v>21.4</v>
      </c>
      <c r="G2170" t="s">
        <v>4768</v>
      </c>
      <c r="H2170" t="s">
        <v>5057</v>
      </c>
      <c r="I2170" t="s">
        <v>4814</v>
      </c>
      <c r="J2170" t="s">
        <v>5058</v>
      </c>
      <c r="L2170" t="s">
        <v>4769</v>
      </c>
    </row>
    <row r="2171" spans="1:12" x14ac:dyDescent="0.2">
      <c r="A2171" t="s">
        <v>1767</v>
      </c>
      <c r="B2171" t="s">
        <v>1769</v>
      </c>
      <c r="C2171" t="s">
        <v>4767</v>
      </c>
      <c r="D2171">
        <v>4</v>
      </c>
      <c r="E2171">
        <v>53.5</v>
      </c>
      <c r="F2171">
        <v>53.5</v>
      </c>
      <c r="G2171" t="s">
        <v>4768</v>
      </c>
      <c r="H2171" t="s">
        <v>4909</v>
      </c>
      <c r="I2171" t="s">
        <v>4814</v>
      </c>
      <c r="J2171" t="s">
        <v>5061</v>
      </c>
      <c r="L2171" t="s">
        <v>4769</v>
      </c>
    </row>
    <row r="2172" spans="1:12" x14ac:dyDescent="0.2">
      <c r="A2172" t="s">
        <v>1767</v>
      </c>
      <c r="B2172" t="s">
        <v>1769</v>
      </c>
      <c r="C2172" t="s">
        <v>4767</v>
      </c>
      <c r="D2172">
        <v>4</v>
      </c>
      <c r="E2172">
        <v>53.5</v>
      </c>
      <c r="F2172">
        <v>53.5</v>
      </c>
      <c r="G2172" t="s">
        <v>4768</v>
      </c>
      <c r="H2172" t="s">
        <v>4909</v>
      </c>
      <c r="I2172" t="s">
        <v>4814</v>
      </c>
      <c r="J2172" t="s">
        <v>5062</v>
      </c>
      <c r="L2172" t="s">
        <v>4769</v>
      </c>
    </row>
    <row r="2173" spans="1:12" x14ac:dyDescent="0.2">
      <c r="A2173" t="s">
        <v>1767</v>
      </c>
      <c r="B2173" t="s">
        <v>1769</v>
      </c>
      <c r="C2173" t="s">
        <v>4767</v>
      </c>
      <c r="D2173">
        <v>4</v>
      </c>
      <c r="E2173">
        <v>720.2</v>
      </c>
      <c r="F2173">
        <v>720.2</v>
      </c>
      <c r="G2173" t="s">
        <v>4768</v>
      </c>
      <c r="H2173" t="s">
        <v>5063</v>
      </c>
      <c r="I2173" t="s">
        <v>4814</v>
      </c>
      <c r="J2173" t="s">
        <v>5064</v>
      </c>
      <c r="L2173" t="s">
        <v>4769</v>
      </c>
    </row>
    <row r="2174" spans="1:12" x14ac:dyDescent="0.2">
      <c r="A2174" t="s">
        <v>1767</v>
      </c>
      <c r="B2174" t="s">
        <v>1769</v>
      </c>
      <c r="C2174" t="s">
        <v>4767</v>
      </c>
      <c r="D2174">
        <v>4</v>
      </c>
      <c r="E2174">
        <v>166.2</v>
      </c>
      <c r="F2174">
        <v>166.2</v>
      </c>
      <c r="G2174" t="s">
        <v>4768</v>
      </c>
      <c r="H2174" t="s">
        <v>5065</v>
      </c>
      <c r="I2174" t="s">
        <v>4814</v>
      </c>
      <c r="J2174" t="s">
        <v>5066</v>
      </c>
      <c r="L2174" t="s">
        <v>4769</v>
      </c>
    </row>
    <row r="2175" spans="1:12" x14ac:dyDescent="0.2">
      <c r="A2175" t="s">
        <v>1767</v>
      </c>
      <c r="B2175" t="s">
        <v>1769</v>
      </c>
      <c r="C2175" t="s">
        <v>4767</v>
      </c>
      <c r="D2175">
        <v>4</v>
      </c>
      <c r="E2175">
        <v>166.2</v>
      </c>
      <c r="F2175">
        <v>166.2</v>
      </c>
      <c r="G2175" t="s">
        <v>4768</v>
      </c>
      <c r="H2175" t="s">
        <v>5065</v>
      </c>
      <c r="I2175" t="s">
        <v>4814</v>
      </c>
      <c r="J2175" t="s">
        <v>5066</v>
      </c>
      <c r="L2175" t="s">
        <v>4769</v>
      </c>
    </row>
    <row r="2176" spans="1:12" x14ac:dyDescent="0.2">
      <c r="A2176" t="s">
        <v>1767</v>
      </c>
      <c r="B2176" t="s">
        <v>1769</v>
      </c>
      <c r="C2176" t="s">
        <v>4767</v>
      </c>
      <c r="D2176">
        <v>4</v>
      </c>
      <c r="E2176">
        <v>219.16</v>
      </c>
      <c r="F2176">
        <v>219.16</v>
      </c>
      <c r="G2176" t="s">
        <v>4768</v>
      </c>
      <c r="H2176" t="s">
        <v>5067</v>
      </c>
      <c r="I2176" t="s">
        <v>4814</v>
      </c>
      <c r="J2176" t="s">
        <v>5068</v>
      </c>
      <c r="L2176" t="s">
        <v>4769</v>
      </c>
    </row>
    <row r="2177" spans="1:12" x14ac:dyDescent="0.2">
      <c r="A2177" t="s">
        <v>1767</v>
      </c>
      <c r="B2177" t="s">
        <v>1769</v>
      </c>
      <c r="C2177" t="s">
        <v>4767</v>
      </c>
      <c r="D2177">
        <v>4</v>
      </c>
      <c r="E2177">
        <v>-166.2</v>
      </c>
      <c r="F2177">
        <v>-166.2</v>
      </c>
      <c r="G2177" t="s">
        <v>4768</v>
      </c>
      <c r="H2177" t="s">
        <v>5069</v>
      </c>
      <c r="I2177" t="s">
        <v>4814</v>
      </c>
      <c r="J2177" t="s">
        <v>5070</v>
      </c>
      <c r="L2177" t="s">
        <v>4769</v>
      </c>
    </row>
    <row r="2178" spans="1:12" x14ac:dyDescent="0.2">
      <c r="A2178" t="s">
        <v>1767</v>
      </c>
      <c r="B2178" t="s">
        <v>1769</v>
      </c>
      <c r="C2178" t="s">
        <v>4767</v>
      </c>
      <c r="D2178">
        <v>4</v>
      </c>
      <c r="E2178">
        <v>73580</v>
      </c>
      <c r="F2178">
        <v>73580</v>
      </c>
      <c r="G2178" t="s">
        <v>4768</v>
      </c>
      <c r="H2178" t="s">
        <v>5071</v>
      </c>
      <c r="I2178" t="s">
        <v>4814</v>
      </c>
      <c r="J2178" t="s">
        <v>5072</v>
      </c>
      <c r="L2178" t="s">
        <v>4769</v>
      </c>
    </row>
    <row r="2179" spans="1:12" x14ac:dyDescent="0.2">
      <c r="A2179" t="s">
        <v>1767</v>
      </c>
      <c r="B2179" t="s">
        <v>1769</v>
      </c>
      <c r="C2179" t="s">
        <v>4767</v>
      </c>
      <c r="D2179">
        <v>4</v>
      </c>
      <c r="E2179">
        <v>448</v>
      </c>
      <c r="F2179">
        <v>448</v>
      </c>
      <c r="G2179" t="s">
        <v>4768</v>
      </c>
      <c r="H2179" t="s">
        <v>4899</v>
      </c>
      <c r="I2179" t="s">
        <v>4814</v>
      </c>
      <c r="J2179" t="s">
        <v>4900</v>
      </c>
      <c r="L2179" t="s">
        <v>4769</v>
      </c>
    </row>
    <row r="2180" spans="1:12" x14ac:dyDescent="0.2">
      <c r="A2180" t="s">
        <v>1767</v>
      </c>
      <c r="B2180" t="s">
        <v>1769</v>
      </c>
      <c r="C2180" t="s">
        <v>4767</v>
      </c>
      <c r="D2180">
        <v>4</v>
      </c>
      <c r="E2180">
        <v>3450</v>
      </c>
      <c r="F2180">
        <v>3450</v>
      </c>
      <c r="G2180" t="s">
        <v>4768</v>
      </c>
      <c r="H2180" t="s">
        <v>5073</v>
      </c>
      <c r="I2180" t="s">
        <v>4814</v>
      </c>
      <c r="J2180" t="s">
        <v>5074</v>
      </c>
      <c r="L2180" t="s">
        <v>4769</v>
      </c>
    </row>
    <row r="2181" spans="1:12" x14ac:dyDescent="0.2">
      <c r="A2181" t="s">
        <v>1767</v>
      </c>
      <c r="B2181" t="s">
        <v>1769</v>
      </c>
      <c r="C2181" t="s">
        <v>4767</v>
      </c>
      <c r="D2181">
        <v>4</v>
      </c>
      <c r="E2181">
        <v>53.5</v>
      </c>
      <c r="F2181">
        <v>53.5</v>
      </c>
      <c r="G2181" t="s">
        <v>4768</v>
      </c>
      <c r="H2181" t="s">
        <v>4909</v>
      </c>
      <c r="I2181" t="s">
        <v>4814</v>
      </c>
      <c r="J2181" t="s">
        <v>4959</v>
      </c>
      <c r="L2181" t="s">
        <v>4769</v>
      </c>
    </row>
    <row r="2182" spans="1:12" x14ac:dyDescent="0.2">
      <c r="A2182" t="s">
        <v>1767</v>
      </c>
      <c r="B2182" t="s">
        <v>1769</v>
      </c>
      <c r="C2182" t="s">
        <v>4767</v>
      </c>
      <c r="D2182">
        <v>4</v>
      </c>
      <c r="E2182">
        <v>53.5</v>
      </c>
      <c r="F2182">
        <v>53.5</v>
      </c>
      <c r="G2182" t="s">
        <v>4768</v>
      </c>
      <c r="H2182" t="s">
        <v>4909</v>
      </c>
      <c r="I2182" t="s">
        <v>4814</v>
      </c>
      <c r="J2182" t="s">
        <v>4960</v>
      </c>
      <c r="L2182" t="s">
        <v>4769</v>
      </c>
    </row>
    <row r="2183" spans="1:12" x14ac:dyDescent="0.2">
      <c r="A2183" t="s">
        <v>1767</v>
      </c>
      <c r="B2183" t="s">
        <v>1769</v>
      </c>
      <c r="C2183" t="s">
        <v>4767</v>
      </c>
      <c r="D2183">
        <v>4</v>
      </c>
      <c r="E2183">
        <v>4263</v>
      </c>
      <c r="F2183">
        <v>4263</v>
      </c>
      <c r="G2183" t="s">
        <v>4768</v>
      </c>
      <c r="H2183" t="s">
        <v>5075</v>
      </c>
      <c r="I2183" t="s">
        <v>4814</v>
      </c>
      <c r="J2183" t="s">
        <v>5076</v>
      </c>
      <c r="L2183" t="s">
        <v>4769</v>
      </c>
    </row>
    <row r="2184" spans="1:12" x14ac:dyDescent="0.2">
      <c r="A2184" t="s">
        <v>1767</v>
      </c>
      <c r="B2184" t="s">
        <v>1769</v>
      </c>
      <c r="C2184" t="s">
        <v>4767</v>
      </c>
      <c r="D2184">
        <v>4</v>
      </c>
      <c r="E2184">
        <v>63.12</v>
      </c>
      <c r="F2184">
        <v>63.12</v>
      </c>
      <c r="G2184" t="s">
        <v>4768</v>
      </c>
      <c r="H2184" t="s">
        <v>4985</v>
      </c>
      <c r="I2184" t="s">
        <v>4814</v>
      </c>
      <c r="J2184" t="s">
        <v>3795</v>
      </c>
      <c r="L2184" t="s">
        <v>4769</v>
      </c>
    </row>
    <row r="2185" spans="1:12" x14ac:dyDescent="0.2">
      <c r="A2185" t="s">
        <v>1767</v>
      </c>
      <c r="B2185" t="s">
        <v>1769</v>
      </c>
      <c r="C2185" t="s">
        <v>4767</v>
      </c>
      <c r="D2185">
        <v>4</v>
      </c>
      <c r="E2185">
        <v>82.86</v>
      </c>
      <c r="F2185">
        <v>82.86</v>
      </c>
      <c r="G2185" t="s">
        <v>4768</v>
      </c>
      <c r="H2185" t="s">
        <v>5077</v>
      </c>
      <c r="I2185" t="s">
        <v>4814</v>
      </c>
      <c r="J2185" t="s">
        <v>5078</v>
      </c>
      <c r="L2185" t="s">
        <v>4769</v>
      </c>
    </row>
    <row r="2186" spans="1:12" x14ac:dyDescent="0.2">
      <c r="A2186" t="s">
        <v>1767</v>
      </c>
      <c r="B2186" t="s">
        <v>1769</v>
      </c>
      <c r="C2186" t="s">
        <v>4767</v>
      </c>
      <c r="D2186">
        <v>4</v>
      </c>
      <c r="E2186">
        <v>80.25</v>
      </c>
      <c r="F2186">
        <v>80.25</v>
      </c>
      <c r="G2186" t="s">
        <v>4768</v>
      </c>
      <c r="H2186" t="s">
        <v>5079</v>
      </c>
      <c r="I2186" t="s">
        <v>4814</v>
      </c>
      <c r="J2186" t="s">
        <v>5080</v>
      </c>
      <c r="L2186" t="s">
        <v>4769</v>
      </c>
    </row>
    <row r="2187" spans="1:12" x14ac:dyDescent="0.2">
      <c r="A2187" t="s">
        <v>1767</v>
      </c>
      <c r="B2187" t="s">
        <v>1769</v>
      </c>
      <c r="C2187" t="s">
        <v>4767</v>
      </c>
      <c r="D2187">
        <v>4</v>
      </c>
      <c r="E2187">
        <v>4.82</v>
      </c>
      <c r="F2187">
        <v>4.82</v>
      </c>
      <c r="G2187" t="s">
        <v>4768</v>
      </c>
      <c r="H2187" t="s">
        <v>5081</v>
      </c>
      <c r="I2187" t="s">
        <v>4814</v>
      </c>
      <c r="J2187" t="s">
        <v>5082</v>
      </c>
      <c r="L2187" t="s">
        <v>4769</v>
      </c>
    </row>
    <row r="2188" spans="1:12" x14ac:dyDescent="0.2">
      <c r="A2188" t="s">
        <v>1767</v>
      </c>
      <c r="B2188" t="s">
        <v>1769</v>
      </c>
      <c r="C2188" t="s">
        <v>4767</v>
      </c>
      <c r="D2188">
        <v>4</v>
      </c>
      <c r="E2188">
        <v>446.19</v>
      </c>
      <c r="F2188">
        <v>446.19</v>
      </c>
      <c r="G2188" t="s">
        <v>4768</v>
      </c>
      <c r="H2188" t="s">
        <v>5083</v>
      </c>
      <c r="I2188" t="s">
        <v>4814</v>
      </c>
      <c r="J2188" t="s">
        <v>5084</v>
      </c>
      <c r="L2188" t="s">
        <v>4769</v>
      </c>
    </row>
    <row r="2189" spans="1:12" x14ac:dyDescent="0.2">
      <c r="A2189" t="s">
        <v>1767</v>
      </c>
      <c r="B2189" t="s">
        <v>1769</v>
      </c>
      <c r="C2189" t="s">
        <v>4767</v>
      </c>
      <c r="D2189">
        <v>4</v>
      </c>
      <c r="E2189">
        <v>58.22</v>
      </c>
      <c r="F2189">
        <v>58.22</v>
      </c>
      <c r="G2189" t="s">
        <v>4768</v>
      </c>
      <c r="H2189" t="s">
        <v>4996</v>
      </c>
      <c r="I2189" t="s">
        <v>4814</v>
      </c>
      <c r="J2189" t="s">
        <v>3745</v>
      </c>
      <c r="L2189" t="s">
        <v>4769</v>
      </c>
    </row>
    <row r="2190" spans="1:12" x14ac:dyDescent="0.2">
      <c r="A2190" t="s">
        <v>1767</v>
      </c>
      <c r="B2190" t="s">
        <v>1769</v>
      </c>
      <c r="C2190" t="s">
        <v>4767</v>
      </c>
      <c r="D2190">
        <v>4</v>
      </c>
      <c r="E2190">
        <v>116.44</v>
      </c>
      <c r="F2190">
        <v>116.44</v>
      </c>
      <c r="G2190" t="s">
        <v>4768</v>
      </c>
      <c r="H2190" t="s">
        <v>4962</v>
      </c>
      <c r="I2190" t="s">
        <v>4814</v>
      </c>
      <c r="J2190" t="s">
        <v>3722</v>
      </c>
      <c r="L2190" t="s">
        <v>4769</v>
      </c>
    </row>
    <row r="2191" spans="1:12" x14ac:dyDescent="0.2">
      <c r="A2191" t="s">
        <v>1767</v>
      </c>
      <c r="B2191" t="s">
        <v>1769</v>
      </c>
      <c r="C2191" t="s">
        <v>4767</v>
      </c>
      <c r="D2191">
        <v>4</v>
      </c>
      <c r="E2191">
        <v>31.68</v>
      </c>
      <c r="F2191">
        <v>31.68</v>
      </c>
      <c r="G2191" t="s">
        <v>4768</v>
      </c>
      <c r="H2191" t="s">
        <v>5085</v>
      </c>
      <c r="I2191" t="s">
        <v>4814</v>
      </c>
      <c r="J2191" t="s">
        <v>5086</v>
      </c>
      <c r="L2191" t="s">
        <v>4769</v>
      </c>
    </row>
    <row r="2192" spans="1:12" x14ac:dyDescent="0.2">
      <c r="A2192" t="s">
        <v>1767</v>
      </c>
      <c r="B2192" t="s">
        <v>1769</v>
      </c>
      <c r="C2192" t="s">
        <v>4767</v>
      </c>
      <c r="D2192">
        <v>4</v>
      </c>
      <c r="E2192">
        <v>42</v>
      </c>
      <c r="F2192">
        <v>42</v>
      </c>
      <c r="G2192" t="s">
        <v>4768</v>
      </c>
      <c r="H2192" t="s">
        <v>5087</v>
      </c>
      <c r="I2192" t="s">
        <v>4814</v>
      </c>
      <c r="J2192" t="s">
        <v>5088</v>
      </c>
      <c r="L2192" t="s">
        <v>4769</v>
      </c>
    </row>
    <row r="2193" spans="1:12" x14ac:dyDescent="0.2">
      <c r="A2193" t="s">
        <v>1767</v>
      </c>
      <c r="B2193" t="s">
        <v>1769</v>
      </c>
      <c r="C2193" t="s">
        <v>4767</v>
      </c>
      <c r="D2193">
        <v>4</v>
      </c>
      <c r="E2193">
        <v>42</v>
      </c>
      <c r="F2193">
        <v>42</v>
      </c>
      <c r="G2193" t="s">
        <v>4768</v>
      </c>
      <c r="H2193" t="s">
        <v>5087</v>
      </c>
      <c r="I2193" t="s">
        <v>4814</v>
      </c>
      <c r="J2193" t="s">
        <v>5088</v>
      </c>
      <c r="L2193" t="s">
        <v>4769</v>
      </c>
    </row>
    <row r="2194" spans="1:12" x14ac:dyDescent="0.2">
      <c r="A2194" t="s">
        <v>1767</v>
      </c>
      <c r="B2194" t="s">
        <v>1769</v>
      </c>
      <c r="C2194" t="s">
        <v>4767</v>
      </c>
      <c r="D2194">
        <v>4</v>
      </c>
      <c r="E2194">
        <v>53.5</v>
      </c>
      <c r="F2194">
        <v>53.5</v>
      </c>
      <c r="G2194" t="s">
        <v>4768</v>
      </c>
      <c r="H2194" t="s">
        <v>4909</v>
      </c>
      <c r="I2194" t="s">
        <v>4814</v>
      </c>
      <c r="J2194" t="s">
        <v>3748</v>
      </c>
      <c r="L2194" t="s">
        <v>4769</v>
      </c>
    </row>
    <row r="2195" spans="1:12" x14ac:dyDescent="0.2">
      <c r="A2195" t="s">
        <v>1767</v>
      </c>
      <c r="B2195" t="s">
        <v>1769</v>
      </c>
      <c r="C2195" t="s">
        <v>4767</v>
      </c>
      <c r="D2195">
        <v>4</v>
      </c>
      <c r="E2195">
        <v>53.5</v>
      </c>
      <c r="F2195">
        <v>53.5</v>
      </c>
      <c r="G2195" t="s">
        <v>4768</v>
      </c>
      <c r="H2195" t="s">
        <v>4909</v>
      </c>
      <c r="I2195" t="s">
        <v>4814</v>
      </c>
      <c r="J2195" t="s">
        <v>3727</v>
      </c>
      <c r="L2195" t="s">
        <v>4769</v>
      </c>
    </row>
    <row r="2196" spans="1:12" x14ac:dyDescent="0.2">
      <c r="A2196" t="s">
        <v>1767</v>
      </c>
      <c r="B2196" t="s">
        <v>1769</v>
      </c>
      <c r="C2196" t="s">
        <v>4767</v>
      </c>
      <c r="D2196">
        <v>4</v>
      </c>
      <c r="E2196">
        <v>1232.6400000000001</v>
      </c>
      <c r="F2196">
        <v>1232.6400000000001</v>
      </c>
      <c r="G2196" t="s">
        <v>4768</v>
      </c>
      <c r="H2196" t="s">
        <v>5089</v>
      </c>
      <c r="I2196" t="s">
        <v>4814</v>
      </c>
      <c r="J2196" t="s">
        <v>5090</v>
      </c>
      <c r="L2196" t="s">
        <v>4769</v>
      </c>
    </row>
    <row r="2197" spans="1:12" x14ac:dyDescent="0.2">
      <c r="A2197" t="s">
        <v>1767</v>
      </c>
      <c r="B2197" t="s">
        <v>1769</v>
      </c>
      <c r="C2197" t="s">
        <v>4767</v>
      </c>
      <c r="D2197">
        <v>4</v>
      </c>
      <c r="E2197">
        <v>116.44</v>
      </c>
      <c r="F2197">
        <v>116.44</v>
      </c>
      <c r="G2197" t="s">
        <v>4768</v>
      </c>
      <c r="H2197" t="s">
        <v>4962</v>
      </c>
      <c r="I2197" t="s">
        <v>4814</v>
      </c>
      <c r="J2197" t="s">
        <v>3722</v>
      </c>
      <c r="L2197" t="s">
        <v>4769</v>
      </c>
    </row>
    <row r="2198" spans="1:12" x14ac:dyDescent="0.2">
      <c r="A2198" t="s">
        <v>1767</v>
      </c>
      <c r="B2198" t="s">
        <v>1769</v>
      </c>
      <c r="C2198" t="s">
        <v>4767</v>
      </c>
      <c r="D2198">
        <v>4</v>
      </c>
      <c r="E2198">
        <v>10.81</v>
      </c>
      <c r="F2198">
        <v>10.81</v>
      </c>
      <c r="G2198" t="s">
        <v>4768</v>
      </c>
      <c r="H2198" t="s">
        <v>5091</v>
      </c>
      <c r="I2198" t="s">
        <v>4814</v>
      </c>
      <c r="J2198" t="s">
        <v>5092</v>
      </c>
      <c r="L2198" t="s">
        <v>4769</v>
      </c>
    </row>
    <row r="2199" spans="1:12" x14ac:dyDescent="0.2">
      <c r="A2199" t="s">
        <v>1767</v>
      </c>
      <c r="B2199" t="s">
        <v>1769</v>
      </c>
      <c r="C2199" t="s">
        <v>4767</v>
      </c>
      <c r="D2199">
        <v>4</v>
      </c>
      <c r="E2199">
        <v>268.72000000000003</v>
      </c>
      <c r="F2199">
        <v>268.72000000000003</v>
      </c>
      <c r="G2199" t="s">
        <v>4768</v>
      </c>
      <c r="H2199" t="s">
        <v>5093</v>
      </c>
      <c r="I2199" t="s">
        <v>4814</v>
      </c>
      <c r="J2199" t="s">
        <v>5094</v>
      </c>
      <c r="L2199" t="s">
        <v>4769</v>
      </c>
    </row>
    <row r="2200" spans="1:12" x14ac:dyDescent="0.2">
      <c r="A2200" t="s">
        <v>1767</v>
      </c>
      <c r="B2200" t="s">
        <v>1769</v>
      </c>
      <c r="C2200" t="s">
        <v>4767</v>
      </c>
      <c r="D2200">
        <v>4</v>
      </c>
      <c r="E2200">
        <v>448</v>
      </c>
      <c r="F2200">
        <v>448</v>
      </c>
      <c r="G2200" t="s">
        <v>4768</v>
      </c>
      <c r="H2200" t="s">
        <v>4899</v>
      </c>
      <c r="I2200" t="s">
        <v>4814</v>
      </c>
      <c r="J2200" t="s">
        <v>4900</v>
      </c>
      <c r="L2200" t="s">
        <v>4769</v>
      </c>
    </row>
    <row r="2201" spans="1:12" x14ac:dyDescent="0.2">
      <c r="A2201" t="s">
        <v>1767</v>
      </c>
      <c r="B2201" t="s">
        <v>1769</v>
      </c>
      <c r="C2201" t="s">
        <v>4767</v>
      </c>
      <c r="D2201">
        <v>4</v>
      </c>
      <c r="E2201">
        <v>268.72000000000003</v>
      </c>
      <c r="F2201">
        <v>268.72000000000003</v>
      </c>
      <c r="G2201" t="s">
        <v>4768</v>
      </c>
      <c r="H2201" t="s">
        <v>5093</v>
      </c>
      <c r="I2201" t="s">
        <v>4814</v>
      </c>
      <c r="J2201" t="s">
        <v>5094</v>
      </c>
      <c r="L2201" t="s">
        <v>4769</v>
      </c>
    </row>
    <row r="2202" spans="1:12" x14ac:dyDescent="0.2">
      <c r="A2202" t="s">
        <v>1767</v>
      </c>
      <c r="B2202" t="s">
        <v>1769</v>
      </c>
      <c r="C2202" t="s">
        <v>4767</v>
      </c>
      <c r="D2202">
        <v>4</v>
      </c>
      <c r="E2202">
        <v>8528</v>
      </c>
      <c r="F2202">
        <v>8528</v>
      </c>
      <c r="G2202" t="s">
        <v>4768</v>
      </c>
      <c r="H2202" t="s">
        <v>5095</v>
      </c>
      <c r="I2202" t="s">
        <v>4814</v>
      </c>
      <c r="J2202" t="s">
        <v>5096</v>
      </c>
      <c r="L2202" t="s">
        <v>4769</v>
      </c>
    </row>
    <row r="2203" spans="1:12" x14ac:dyDescent="0.2">
      <c r="A2203" t="s">
        <v>1767</v>
      </c>
      <c r="B2203" t="s">
        <v>1769</v>
      </c>
      <c r="C2203" t="s">
        <v>4767</v>
      </c>
      <c r="D2203">
        <v>4</v>
      </c>
      <c r="E2203">
        <v>166.2</v>
      </c>
      <c r="F2203">
        <v>166.2</v>
      </c>
      <c r="G2203" t="s">
        <v>4768</v>
      </c>
      <c r="H2203" t="s">
        <v>5065</v>
      </c>
      <c r="I2203" t="s">
        <v>4814</v>
      </c>
      <c r="J2203" t="s">
        <v>5066</v>
      </c>
      <c r="L2203" t="s">
        <v>4769</v>
      </c>
    </row>
    <row r="2204" spans="1:12" x14ac:dyDescent="0.2">
      <c r="A2204" t="s">
        <v>1767</v>
      </c>
      <c r="B2204" t="s">
        <v>1769</v>
      </c>
      <c r="C2204" t="s">
        <v>4767</v>
      </c>
      <c r="D2204">
        <v>4</v>
      </c>
      <c r="E2204">
        <v>568.08000000000004</v>
      </c>
      <c r="F2204">
        <v>568.08000000000004</v>
      </c>
      <c r="G2204" t="s">
        <v>4768</v>
      </c>
      <c r="H2204" t="s">
        <v>5097</v>
      </c>
      <c r="I2204" t="s">
        <v>4814</v>
      </c>
      <c r="J2204" t="s">
        <v>5098</v>
      </c>
      <c r="L2204" t="s">
        <v>4769</v>
      </c>
    </row>
    <row r="2205" spans="1:12" x14ac:dyDescent="0.2">
      <c r="A2205" t="s">
        <v>1767</v>
      </c>
      <c r="B2205" t="s">
        <v>1769</v>
      </c>
      <c r="C2205" t="s">
        <v>4767</v>
      </c>
      <c r="D2205">
        <v>4</v>
      </c>
      <c r="E2205">
        <v>214</v>
      </c>
      <c r="F2205">
        <v>214</v>
      </c>
      <c r="G2205" t="s">
        <v>4768</v>
      </c>
      <c r="H2205" t="s">
        <v>5019</v>
      </c>
      <c r="I2205" t="s">
        <v>4814</v>
      </c>
      <c r="J2205" t="s">
        <v>5099</v>
      </c>
      <c r="L2205" t="s">
        <v>4769</v>
      </c>
    </row>
    <row r="2206" spans="1:12" x14ac:dyDescent="0.2">
      <c r="A2206" t="s">
        <v>1767</v>
      </c>
      <c r="B2206" t="s">
        <v>1769</v>
      </c>
      <c r="C2206" t="s">
        <v>4767</v>
      </c>
      <c r="D2206">
        <v>4</v>
      </c>
      <c r="E2206">
        <v>21.4</v>
      </c>
      <c r="F2206">
        <v>21.4</v>
      </c>
      <c r="G2206" t="s">
        <v>4768</v>
      </c>
      <c r="H2206" t="s">
        <v>5057</v>
      </c>
      <c r="I2206" t="s">
        <v>4814</v>
      </c>
      <c r="J2206" t="s">
        <v>5058</v>
      </c>
      <c r="L2206" t="s">
        <v>4769</v>
      </c>
    </row>
    <row r="2207" spans="1:12" x14ac:dyDescent="0.2">
      <c r="A2207" t="s">
        <v>1767</v>
      </c>
      <c r="B2207" t="s">
        <v>1769</v>
      </c>
      <c r="C2207" t="s">
        <v>4767</v>
      </c>
      <c r="D2207">
        <v>4</v>
      </c>
      <c r="E2207">
        <v>21.4</v>
      </c>
      <c r="F2207">
        <v>21.4</v>
      </c>
      <c r="G2207" t="s">
        <v>4768</v>
      </c>
      <c r="H2207" t="s">
        <v>5057</v>
      </c>
      <c r="I2207" t="s">
        <v>4814</v>
      </c>
      <c r="J2207" t="s">
        <v>5058</v>
      </c>
      <c r="L2207" t="s">
        <v>4769</v>
      </c>
    </row>
    <row r="2208" spans="1:12" x14ac:dyDescent="0.2">
      <c r="A2208" t="s">
        <v>1767</v>
      </c>
      <c r="B2208" t="s">
        <v>1769</v>
      </c>
      <c r="C2208" t="s">
        <v>4767</v>
      </c>
      <c r="D2208">
        <v>4</v>
      </c>
      <c r="E2208">
        <v>107</v>
      </c>
      <c r="F2208">
        <v>107</v>
      </c>
      <c r="G2208" t="s">
        <v>4768</v>
      </c>
      <c r="H2208" t="s">
        <v>4975</v>
      </c>
      <c r="I2208" t="s">
        <v>4814</v>
      </c>
      <c r="J2208" t="s">
        <v>5100</v>
      </c>
      <c r="L2208" t="s">
        <v>4769</v>
      </c>
    </row>
    <row r="2209" spans="1:12" x14ac:dyDescent="0.2">
      <c r="A2209" t="s">
        <v>1767</v>
      </c>
      <c r="B2209" t="s">
        <v>1769</v>
      </c>
      <c r="C2209" t="s">
        <v>4767</v>
      </c>
      <c r="D2209">
        <v>4</v>
      </c>
      <c r="E2209">
        <v>53.5</v>
      </c>
      <c r="F2209">
        <v>53.5</v>
      </c>
      <c r="G2209" t="s">
        <v>4768</v>
      </c>
      <c r="H2209" t="s">
        <v>4909</v>
      </c>
      <c r="I2209" t="s">
        <v>4814</v>
      </c>
      <c r="J2209" t="s">
        <v>4959</v>
      </c>
      <c r="L2209" t="s">
        <v>4769</v>
      </c>
    </row>
    <row r="2210" spans="1:12" x14ac:dyDescent="0.2">
      <c r="A2210" t="s">
        <v>1767</v>
      </c>
      <c r="B2210" t="s">
        <v>1769</v>
      </c>
      <c r="C2210" t="s">
        <v>4767</v>
      </c>
      <c r="D2210">
        <v>4</v>
      </c>
      <c r="E2210">
        <v>53.5</v>
      </c>
      <c r="F2210">
        <v>53.5</v>
      </c>
      <c r="G2210" t="s">
        <v>4768</v>
      </c>
      <c r="H2210" t="s">
        <v>4909</v>
      </c>
      <c r="I2210" t="s">
        <v>4814</v>
      </c>
      <c r="J2210" t="s">
        <v>4960</v>
      </c>
      <c r="L2210" t="s">
        <v>4769</v>
      </c>
    </row>
    <row r="2211" spans="1:12" x14ac:dyDescent="0.2">
      <c r="A2211" t="s">
        <v>1767</v>
      </c>
      <c r="B2211" t="s">
        <v>1769</v>
      </c>
      <c r="C2211" t="s">
        <v>4767</v>
      </c>
      <c r="D2211">
        <v>4</v>
      </c>
      <c r="E2211">
        <v>26.75</v>
      </c>
      <c r="F2211">
        <v>26.75</v>
      </c>
      <c r="G2211" t="s">
        <v>4768</v>
      </c>
      <c r="H2211" t="s">
        <v>4879</v>
      </c>
      <c r="I2211" t="s">
        <v>4814</v>
      </c>
      <c r="J2211" t="s">
        <v>5101</v>
      </c>
      <c r="L2211" t="s">
        <v>4769</v>
      </c>
    </row>
    <row r="2212" spans="1:12" x14ac:dyDescent="0.2">
      <c r="A2212" t="s">
        <v>1767</v>
      </c>
      <c r="B2212" t="s">
        <v>1769</v>
      </c>
      <c r="C2212" t="s">
        <v>4767</v>
      </c>
      <c r="D2212">
        <v>4</v>
      </c>
      <c r="E2212">
        <v>26.75</v>
      </c>
      <c r="F2212">
        <v>26.75</v>
      </c>
      <c r="G2212" t="s">
        <v>4768</v>
      </c>
      <c r="H2212" t="s">
        <v>4879</v>
      </c>
      <c r="I2212" t="s">
        <v>4814</v>
      </c>
      <c r="J2212" t="s">
        <v>5102</v>
      </c>
      <c r="L2212" t="s">
        <v>4769</v>
      </c>
    </row>
    <row r="2213" spans="1:12" x14ac:dyDescent="0.2">
      <c r="A2213" t="s">
        <v>1767</v>
      </c>
      <c r="B2213" t="s">
        <v>1769</v>
      </c>
      <c r="C2213" t="s">
        <v>4767</v>
      </c>
      <c r="D2213">
        <v>4</v>
      </c>
      <c r="E2213">
        <v>189.36</v>
      </c>
      <c r="F2213">
        <v>189.36</v>
      </c>
      <c r="G2213" t="s">
        <v>4768</v>
      </c>
      <c r="H2213" t="s">
        <v>5103</v>
      </c>
      <c r="I2213" t="s">
        <v>4814</v>
      </c>
      <c r="J2213" t="s">
        <v>5104</v>
      </c>
      <c r="L2213" t="s">
        <v>4769</v>
      </c>
    </row>
    <row r="2214" spans="1:12" x14ac:dyDescent="0.2">
      <c r="A2214" t="s">
        <v>1767</v>
      </c>
      <c r="B2214" t="s">
        <v>1769</v>
      </c>
      <c r="C2214" t="s">
        <v>4767</v>
      </c>
      <c r="D2214">
        <v>4</v>
      </c>
      <c r="E2214">
        <v>53.5</v>
      </c>
      <c r="F2214">
        <v>53.5</v>
      </c>
      <c r="G2214" t="s">
        <v>4768</v>
      </c>
      <c r="H2214" t="s">
        <v>4909</v>
      </c>
      <c r="I2214" t="s">
        <v>4814</v>
      </c>
      <c r="J2214" t="s">
        <v>4912</v>
      </c>
      <c r="L2214" t="s">
        <v>4769</v>
      </c>
    </row>
    <row r="2215" spans="1:12" x14ac:dyDescent="0.2">
      <c r="A2215" t="s">
        <v>1767</v>
      </c>
      <c r="B2215" t="s">
        <v>1769</v>
      </c>
      <c r="C2215" t="s">
        <v>4767</v>
      </c>
      <c r="D2215">
        <v>4</v>
      </c>
      <c r="E2215">
        <v>2234.16</v>
      </c>
      <c r="F2215">
        <v>2234.16</v>
      </c>
      <c r="G2215" t="s">
        <v>4768</v>
      </c>
      <c r="H2215" t="s">
        <v>5105</v>
      </c>
      <c r="I2215" t="s">
        <v>4814</v>
      </c>
      <c r="J2215" t="s">
        <v>5106</v>
      </c>
      <c r="L2215" t="s">
        <v>4769</v>
      </c>
    </row>
    <row r="2216" spans="1:12" x14ac:dyDescent="0.2">
      <c r="A2216" t="s">
        <v>1767</v>
      </c>
      <c r="B2216" t="s">
        <v>1769</v>
      </c>
      <c r="C2216" t="s">
        <v>4767</v>
      </c>
      <c r="D2216">
        <v>4</v>
      </c>
      <c r="E2216">
        <v>997</v>
      </c>
      <c r="F2216">
        <v>997</v>
      </c>
      <c r="G2216" t="s">
        <v>4768</v>
      </c>
      <c r="H2216" t="s">
        <v>4938</v>
      </c>
      <c r="I2216" t="s">
        <v>4814</v>
      </c>
      <c r="J2216" t="s">
        <v>4940</v>
      </c>
      <c r="L2216" t="s">
        <v>4769</v>
      </c>
    </row>
    <row r="2217" spans="1:12" x14ac:dyDescent="0.2">
      <c r="A2217" t="s">
        <v>1767</v>
      </c>
      <c r="B2217" t="s">
        <v>1769</v>
      </c>
      <c r="C2217" t="s">
        <v>4767</v>
      </c>
      <c r="D2217">
        <v>4</v>
      </c>
      <c r="E2217">
        <v>4.82</v>
      </c>
      <c r="F2217">
        <v>4.82</v>
      </c>
      <c r="G2217" t="s">
        <v>4768</v>
      </c>
      <c r="H2217" t="s">
        <v>5081</v>
      </c>
      <c r="I2217" t="s">
        <v>4814</v>
      </c>
      <c r="J2217" t="s">
        <v>5082</v>
      </c>
      <c r="L2217" t="s">
        <v>4769</v>
      </c>
    </row>
    <row r="2218" spans="1:12" x14ac:dyDescent="0.2">
      <c r="A2218" t="s">
        <v>1767</v>
      </c>
      <c r="B2218" t="s">
        <v>1769</v>
      </c>
      <c r="C2218" t="s">
        <v>4767</v>
      </c>
      <c r="D2218">
        <v>4</v>
      </c>
      <c r="E2218">
        <v>422.56</v>
      </c>
      <c r="F2218">
        <v>422.56</v>
      </c>
      <c r="G2218" t="s">
        <v>4768</v>
      </c>
      <c r="H2218" t="s">
        <v>5107</v>
      </c>
      <c r="I2218" t="s">
        <v>4814</v>
      </c>
      <c r="J2218" t="s">
        <v>5108</v>
      </c>
      <c r="L2218" t="s">
        <v>4769</v>
      </c>
    </row>
    <row r="2219" spans="1:12" x14ac:dyDescent="0.2">
      <c r="A2219" t="s">
        <v>1767</v>
      </c>
      <c r="B2219" t="s">
        <v>1769</v>
      </c>
      <c r="C2219" t="s">
        <v>4767</v>
      </c>
      <c r="D2219">
        <v>4</v>
      </c>
      <c r="E2219">
        <v>3.68</v>
      </c>
      <c r="F2219">
        <v>3.68</v>
      </c>
      <c r="G2219" t="s">
        <v>4768</v>
      </c>
      <c r="H2219" t="s">
        <v>5109</v>
      </c>
      <c r="I2219" t="s">
        <v>4814</v>
      </c>
      <c r="J2219" t="s">
        <v>5110</v>
      </c>
      <c r="L2219" t="s">
        <v>4769</v>
      </c>
    </row>
    <row r="2220" spans="1:12" x14ac:dyDescent="0.2">
      <c r="A2220" t="s">
        <v>1767</v>
      </c>
      <c r="B2220" t="s">
        <v>1769</v>
      </c>
      <c r="C2220" t="s">
        <v>4767</v>
      </c>
      <c r="D2220">
        <v>4</v>
      </c>
      <c r="E2220">
        <v>7.92</v>
      </c>
      <c r="F2220">
        <v>7.92</v>
      </c>
      <c r="G2220" t="s">
        <v>4768</v>
      </c>
      <c r="H2220" t="s">
        <v>5111</v>
      </c>
      <c r="I2220" t="s">
        <v>4814</v>
      </c>
      <c r="J2220" t="s">
        <v>5112</v>
      </c>
      <c r="L2220" t="s">
        <v>4769</v>
      </c>
    </row>
    <row r="2221" spans="1:12" x14ac:dyDescent="0.2">
      <c r="A2221" t="s">
        <v>1767</v>
      </c>
      <c r="B2221" t="s">
        <v>1769</v>
      </c>
      <c r="C2221" t="s">
        <v>4767</v>
      </c>
      <c r="D2221">
        <v>4</v>
      </c>
      <c r="E2221">
        <v>7.52</v>
      </c>
      <c r="F2221">
        <v>7.52</v>
      </c>
      <c r="G2221" t="s">
        <v>4768</v>
      </c>
      <c r="H2221" t="s">
        <v>5113</v>
      </c>
      <c r="I2221" t="s">
        <v>4814</v>
      </c>
      <c r="J2221" t="s">
        <v>5114</v>
      </c>
      <c r="L2221" t="s">
        <v>4769</v>
      </c>
    </row>
    <row r="2222" spans="1:12" x14ac:dyDescent="0.2">
      <c r="A2222" t="s">
        <v>1767</v>
      </c>
      <c r="B2222" t="s">
        <v>1769</v>
      </c>
      <c r="C2222" t="s">
        <v>4767</v>
      </c>
      <c r="D2222">
        <v>4</v>
      </c>
      <c r="E2222">
        <v>31.68</v>
      </c>
      <c r="F2222">
        <v>31.68</v>
      </c>
      <c r="G2222" t="s">
        <v>4768</v>
      </c>
      <c r="H2222" t="s">
        <v>5085</v>
      </c>
      <c r="I2222" t="s">
        <v>4814</v>
      </c>
      <c r="J2222" t="s">
        <v>5086</v>
      </c>
      <c r="L2222" t="s">
        <v>4769</v>
      </c>
    </row>
    <row r="2223" spans="1:12" x14ac:dyDescent="0.2">
      <c r="A2223" t="s">
        <v>1767</v>
      </c>
      <c r="B2223" t="s">
        <v>1769</v>
      </c>
      <c r="C2223" t="s">
        <v>4767</v>
      </c>
      <c r="D2223">
        <v>4</v>
      </c>
      <c r="E2223">
        <v>0</v>
      </c>
      <c r="F2223">
        <v>0</v>
      </c>
      <c r="G2223" t="s">
        <v>4768</v>
      </c>
      <c r="H2223" t="s">
        <v>4774</v>
      </c>
      <c r="I2223" t="s">
        <v>4814</v>
      </c>
      <c r="J2223" t="s">
        <v>2072</v>
      </c>
      <c r="L2223" t="s">
        <v>4769</v>
      </c>
    </row>
    <row r="2224" spans="1:12" x14ac:dyDescent="0.2">
      <c r="A2224" t="s">
        <v>1767</v>
      </c>
      <c r="B2224" t="s">
        <v>1769</v>
      </c>
      <c r="C2224" t="s">
        <v>4767</v>
      </c>
      <c r="D2224">
        <v>4</v>
      </c>
      <c r="E2224">
        <v>259.62</v>
      </c>
      <c r="F2224">
        <v>259.62</v>
      </c>
      <c r="G2224" t="s">
        <v>4768</v>
      </c>
      <c r="H2224" t="s">
        <v>5115</v>
      </c>
      <c r="I2224" t="s">
        <v>4814</v>
      </c>
      <c r="J2224" t="s">
        <v>5116</v>
      </c>
      <c r="L2224" t="s">
        <v>4769</v>
      </c>
    </row>
    <row r="2225" spans="1:12" x14ac:dyDescent="0.2">
      <c r="A2225" t="s">
        <v>1767</v>
      </c>
      <c r="B2225" t="s">
        <v>1769</v>
      </c>
      <c r="C2225" t="s">
        <v>4767</v>
      </c>
      <c r="D2225">
        <v>4</v>
      </c>
      <c r="E2225">
        <v>240.66</v>
      </c>
      <c r="F2225">
        <v>240.66</v>
      </c>
      <c r="G2225" t="s">
        <v>4768</v>
      </c>
      <c r="H2225" t="s">
        <v>5117</v>
      </c>
      <c r="I2225" t="s">
        <v>4814</v>
      </c>
      <c r="J2225" t="s">
        <v>5118</v>
      </c>
      <c r="L2225" t="s">
        <v>4769</v>
      </c>
    </row>
    <row r="2226" spans="1:12" x14ac:dyDescent="0.2">
      <c r="A2226" t="s">
        <v>1767</v>
      </c>
      <c r="B2226" t="s">
        <v>1769</v>
      </c>
      <c r="C2226" t="s">
        <v>4767</v>
      </c>
      <c r="D2226">
        <v>4</v>
      </c>
      <c r="E2226">
        <v>3.96</v>
      </c>
      <c r="F2226">
        <v>3.96</v>
      </c>
      <c r="G2226" t="s">
        <v>4768</v>
      </c>
      <c r="H2226" t="s">
        <v>5119</v>
      </c>
      <c r="I2226" t="s">
        <v>4814</v>
      </c>
      <c r="J2226" t="s">
        <v>5120</v>
      </c>
      <c r="L2226" t="s">
        <v>4769</v>
      </c>
    </row>
    <row r="2227" spans="1:12" x14ac:dyDescent="0.2">
      <c r="A2227" t="s">
        <v>1767</v>
      </c>
      <c r="B2227" t="s">
        <v>1769</v>
      </c>
      <c r="C2227" t="s">
        <v>4767</v>
      </c>
      <c r="D2227">
        <v>4</v>
      </c>
      <c r="E2227">
        <v>413.1</v>
      </c>
      <c r="F2227">
        <v>413.1</v>
      </c>
      <c r="G2227" t="s">
        <v>4768</v>
      </c>
      <c r="H2227" t="s">
        <v>5121</v>
      </c>
      <c r="I2227" t="s">
        <v>4814</v>
      </c>
      <c r="J2227" t="s">
        <v>5122</v>
      </c>
      <c r="L2227" t="s">
        <v>4769</v>
      </c>
    </row>
    <row r="2228" spans="1:12" x14ac:dyDescent="0.2">
      <c r="A2228" t="s">
        <v>1767</v>
      </c>
      <c r="B2228" t="s">
        <v>1769</v>
      </c>
      <c r="C2228" t="s">
        <v>4767</v>
      </c>
      <c r="D2228">
        <v>4</v>
      </c>
      <c r="E2228">
        <v>318.86</v>
      </c>
      <c r="F2228">
        <v>318.86</v>
      </c>
      <c r="G2228" t="s">
        <v>4768</v>
      </c>
      <c r="H2228" t="s">
        <v>4919</v>
      </c>
      <c r="I2228" t="s">
        <v>4814</v>
      </c>
      <c r="J2228" t="s">
        <v>2011</v>
      </c>
      <c r="L2228" t="s">
        <v>4769</v>
      </c>
    </row>
    <row r="2229" spans="1:12" x14ac:dyDescent="0.2">
      <c r="A2229" t="s">
        <v>1767</v>
      </c>
      <c r="B2229" t="s">
        <v>1769</v>
      </c>
      <c r="C2229" t="s">
        <v>4767</v>
      </c>
      <c r="D2229">
        <v>4</v>
      </c>
      <c r="E2229">
        <v>997</v>
      </c>
      <c r="F2229">
        <v>997</v>
      </c>
      <c r="G2229" t="s">
        <v>4768</v>
      </c>
      <c r="H2229" t="s">
        <v>4938</v>
      </c>
      <c r="I2229" t="s">
        <v>4814</v>
      </c>
      <c r="J2229" t="s">
        <v>4939</v>
      </c>
      <c r="L2229" t="s">
        <v>4769</v>
      </c>
    </row>
    <row r="2230" spans="1:12" x14ac:dyDescent="0.2">
      <c r="A2230" t="s">
        <v>1767</v>
      </c>
      <c r="B2230" t="s">
        <v>1769</v>
      </c>
      <c r="C2230" t="s">
        <v>4767</v>
      </c>
      <c r="D2230">
        <v>4</v>
      </c>
      <c r="E2230">
        <v>65.040000000000006</v>
      </c>
      <c r="F2230">
        <v>65.040000000000006</v>
      </c>
      <c r="G2230" t="s">
        <v>4768</v>
      </c>
      <c r="H2230" t="s">
        <v>5123</v>
      </c>
      <c r="I2230" t="s">
        <v>4814</v>
      </c>
      <c r="J2230" t="s">
        <v>5124</v>
      </c>
      <c r="L2230" t="s">
        <v>4769</v>
      </c>
    </row>
    <row r="2231" spans="1:12" x14ac:dyDescent="0.2">
      <c r="A2231" t="s">
        <v>1767</v>
      </c>
      <c r="B2231" t="s">
        <v>1769</v>
      </c>
      <c r="C2231" t="s">
        <v>4767</v>
      </c>
      <c r="D2231">
        <v>4</v>
      </c>
      <c r="E2231">
        <v>380.02</v>
      </c>
      <c r="F2231">
        <v>380.02</v>
      </c>
      <c r="G2231" t="s">
        <v>4768</v>
      </c>
      <c r="H2231" t="s">
        <v>5125</v>
      </c>
      <c r="I2231" t="s">
        <v>4814</v>
      </c>
      <c r="J2231" t="s">
        <v>5126</v>
      </c>
      <c r="L2231" t="s">
        <v>4769</v>
      </c>
    </row>
    <row r="2232" spans="1:12" x14ac:dyDescent="0.2">
      <c r="A2232" t="s">
        <v>1767</v>
      </c>
      <c r="B2232" t="s">
        <v>1769</v>
      </c>
      <c r="C2232" t="s">
        <v>4767</v>
      </c>
      <c r="D2232">
        <v>4</v>
      </c>
      <c r="E2232">
        <v>107</v>
      </c>
      <c r="F2232">
        <v>107</v>
      </c>
      <c r="G2232" t="s">
        <v>4768</v>
      </c>
      <c r="H2232" t="s">
        <v>4975</v>
      </c>
      <c r="I2232" t="s">
        <v>4814</v>
      </c>
      <c r="J2232" t="s">
        <v>4976</v>
      </c>
      <c r="L2232" t="s">
        <v>4769</v>
      </c>
    </row>
    <row r="2233" spans="1:12" x14ac:dyDescent="0.2">
      <c r="A2233" t="s">
        <v>1767</v>
      </c>
      <c r="B2233" t="s">
        <v>1769</v>
      </c>
      <c r="C2233" t="s">
        <v>4767</v>
      </c>
      <c r="D2233">
        <v>4</v>
      </c>
      <c r="E2233">
        <v>321</v>
      </c>
      <c r="F2233">
        <v>321</v>
      </c>
      <c r="G2233" t="s">
        <v>4768</v>
      </c>
      <c r="H2233" t="s">
        <v>5127</v>
      </c>
      <c r="I2233" t="s">
        <v>4814</v>
      </c>
      <c r="J2233" t="s">
        <v>5128</v>
      </c>
      <c r="L2233" t="s">
        <v>4769</v>
      </c>
    </row>
    <row r="2234" spans="1:12" x14ac:dyDescent="0.2">
      <c r="A2234" t="s">
        <v>1767</v>
      </c>
      <c r="B2234" t="s">
        <v>1769</v>
      </c>
      <c r="C2234" t="s">
        <v>4767</v>
      </c>
      <c r="D2234">
        <v>4</v>
      </c>
      <c r="E2234">
        <v>1489.44</v>
      </c>
      <c r="F2234">
        <v>1489.44</v>
      </c>
      <c r="G2234" t="s">
        <v>4768</v>
      </c>
      <c r="H2234" t="s">
        <v>5129</v>
      </c>
      <c r="I2234" t="s">
        <v>4814</v>
      </c>
      <c r="J2234" t="s">
        <v>5130</v>
      </c>
      <c r="L2234" t="s">
        <v>4769</v>
      </c>
    </row>
    <row r="2235" spans="1:12" x14ac:dyDescent="0.2">
      <c r="A2235" t="s">
        <v>1767</v>
      </c>
      <c r="B2235" t="s">
        <v>1769</v>
      </c>
      <c r="C2235" t="s">
        <v>4767</v>
      </c>
      <c r="D2235">
        <v>4</v>
      </c>
      <c r="E2235">
        <v>2610</v>
      </c>
      <c r="F2235">
        <v>2610</v>
      </c>
      <c r="G2235" t="s">
        <v>4768</v>
      </c>
      <c r="H2235" t="s">
        <v>5131</v>
      </c>
      <c r="I2235" t="s">
        <v>4814</v>
      </c>
      <c r="J2235" t="s">
        <v>5132</v>
      </c>
      <c r="L2235" t="s">
        <v>4769</v>
      </c>
    </row>
    <row r="2236" spans="1:12" x14ac:dyDescent="0.2">
      <c r="A2236" t="s">
        <v>1767</v>
      </c>
      <c r="B2236" t="s">
        <v>1769</v>
      </c>
      <c r="C2236" t="s">
        <v>4767</v>
      </c>
      <c r="D2236">
        <v>4</v>
      </c>
      <c r="E2236">
        <v>174</v>
      </c>
      <c r="F2236">
        <v>174</v>
      </c>
      <c r="G2236" t="s">
        <v>4768</v>
      </c>
      <c r="H2236" t="s">
        <v>4950</v>
      </c>
      <c r="I2236" t="s">
        <v>4814</v>
      </c>
      <c r="J2236" t="s">
        <v>4951</v>
      </c>
      <c r="L2236" t="s">
        <v>4769</v>
      </c>
    </row>
    <row r="2237" spans="1:12" x14ac:dyDescent="0.2">
      <c r="A2237" t="s">
        <v>1767</v>
      </c>
      <c r="B2237" t="s">
        <v>1769</v>
      </c>
      <c r="C2237" t="s">
        <v>4767</v>
      </c>
      <c r="D2237">
        <v>4</v>
      </c>
      <c r="E2237">
        <v>348</v>
      </c>
      <c r="F2237">
        <v>348</v>
      </c>
      <c r="G2237" t="s">
        <v>4768</v>
      </c>
      <c r="H2237" t="s">
        <v>4952</v>
      </c>
      <c r="I2237" t="s">
        <v>4814</v>
      </c>
      <c r="J2237" t="s">
        <v>4953</v>
      </c>
      <c r="L2237" t="s">
        <v>4769</v>
      </c>
    </row>
    <row r="2238" spans="1:12" x14ac:dyDescent="0.2">
      <c r="A2238" t="s">
        <v>1767</v>
      </c>
      <c r="B2238" t="s">
        <v>1769</v>
      </c>
      <c r="C2238" t="s">
        <v>4767</v>
      </c>
      <c r="D2238">
        <v>4</v>
      </c>
      <c r="E2238">
        <v>348</v>
      </c>
      <c r="F2238">
        <v>348</v>
      </c>
      <c r="G2238" t="s">
        <v>4768</v>
      </c>
      <c r="H2238" t="s">
        <v>4952</v>
      </c>
      <c r="I2238" t="s">
        <v>4814</v>
      </c>
      <c r="J2238" t="s">
        <v>4953</v>
      </c>
      <c r="L2238" t="s">
        <v>4769</v>
      </c>
    </row>
    <row r="2239" spans="1:12" x14ac:dyDescent="0.2">
      <c r="A2239" t="s">
        <v>1767</v>
      </c>
      <c r="B2239" t="s">
        <v>1769</v>
      </c>
      <c r="C2239" t="s">
        <v>4767</v>
      </c>
      <c r="D2239">
        <v>4</v>
      </c>
      <c r="E2239">
        <v>64.2</v>
      </c>
      <c r="F2239">
        <v>64.2</v>
      </c>
      <c r="G2239" t="s">
        <v>4768</v>
      </c>
      <c r="H2239" t="s">
        <v>5133</v>
      </c>
      <c r="I2239" t="s">
        <v>4814</v>
      </c>
      <c r="J2239" t="s">
        <v>5134</v>
      </c>
      <c r="L2239" t="s">
        <v>4769</v>
      </c>
    </row>
    <row r="2240" spans="1:12" x14ac:dyDescent="0.2">
      <c r="A2240" t="s">
        <v>1767</v>
      </c>
      <c r="B2240" t="s">
        <v>1769</v>
      </c>
      <c r="C2240" t="s">
        <v>4767</v>
      </c>
      <c r="D2240">
        <v>4</v>
      </c>
      <c r="E2240">
        <v>1913.16</v>
      </c>
      <c r="F2240">
        <v>1913.16</v>
      </c>
      <c r="G2240" t="s">
        <v>4768</v>
      </c>
      <c r="H2240" t="s">
        <v>5135</v>
      </c>
      <c r="I2240" t="s">
        <v>4814</v>
      </c>
      <c r="J2240" t="s">
        <v>5136</v>
      </c>
      <c r="L2240" t="s">
        <v>4769</v>
      </c>
    </row>
    <row r="2241" spans="1:12" x14ac:dyDescent="0.2">
      <c r="A2241" t="s">
        <v>1767</v>
      </c>
      <c r="B2241" t="s">
        <v>1769</v>
      </c>
      <c r="C2241" t="s">
        <v>4767</v>
      </c>
      <c r="D2241">
        <v>4</v>
      </c>
      <c r="E2241">
        <v>594.91999999999996</v>
      </c>
      <c r="F2241">
        <v>594.91999999999996</v>
      </c>
      <c r="G2241" t="s">
        <v>4768</v>
      </c>
      <c r="H2241" t="s">
        <v>5011</v>
      </c>
      <c r="I2241" t="s">
        <v>4814</v>
      </c>
      <c r="J2241" t="s">
        <v>2154</v>
      </c>
      <c r="L2241" t="s">
        <v>4769</v>
      </c>
    </row>
    <row r="2242" spans="1:12" x14ac:dyDescent="0.2">
      <c r="A2242" t="s">
        <v>1767</v>
      </c>
      <c r="B2242" t="s">
        <v>1769</v>
      </c>
      <c r="C2242" t="s">
        <v>4767</v>
      </c>
      <c r="D2242">
        <v>4</v>
      </c>
      <c r="E2242">
        <v>116.44</v>
      </c>
      <c r="F2242">
        <v>116.44</v>
      </c>
      <c r="G2242" t="s">
        <v>4768</v>
      </c>
      <c r="H2242" t="s">
        <v>4962</v>
      </c>
      <c r="I2242" t="s">
        <v>4814</v>
      </c>
      <c r="J2242" t="s">
        <v>3722</v>
      </c>
      <c r="L2242" t="s">
        <v>4769</v>
      </c>
    </row>
    <row r="2243" spans="1:12" x14ac:dyDescent="0.2">
      <c r="A2243" t="s">
        <v>1767</v>
      </c>
      <c r="B2243" t="s">
        <v>1769</v>
      </c>
      <c r="C2243" t="s">
        <v>4767</v>
      </c>
      <c r="D2243">
        <v>4</v>
      </c>
      <c r="E2243">
        <v>316.92</v>
      </c>
      <c r="F2243">
        <v>316.92</v>
      </c>
      <c r="G2243" t="s">
        <v>4768</v>
      </c>
      <c r="H2243" t="s">
        <v>5137</v>
      </c>
      <c r="I2243" t="s">
        <v>4814</v>
      </c>
      <c r="J2243" t="s">
        <v>5138</v>
      </c>
      <c r="L2243" t="s">
        <v>4769</v>
      </c>
    </row>
    <row r="2244" spans="1:12" x14ac:dyDescent="0.2">
      <c r="A2244" t="s">
        <v>1767</v>
      </c>
      <c r="B2244" t="s">
        <v>1769</v>
      </c>
      <c r="C2244" t="s">
        <v>4767</v>
      </c>
      <c r="D2244">
        <v>4</v>
      </c>
      <c r="E2244">
        <v>68.099999999999994</v>
      </c>
      <c r="F2244">
        <v>68.099999999999994</v>
      </c>
      <c r="G2244" t="s">
        <v>4768</v>
      </c>
      <c r="H2244" t="s">
        <v>5139</v>
      </c>
      <c r="I2244" t="s">
        <v>4814</v>
      </c>
      <c r="J2244" t="s">
        <v>5140</v>
      </c>
      <c r="L2244" t="s">
        <v>4769</v>
      </c>
    </row>
    <row r="2245" spans="1:12" x14ac:dyDescent="0.2">
      <c r="A2245" t="s">
        <v>1767</v>
      </c>
      <c r="B2245" t="s">
        <v>1769</v>
      </c>
      <c r="C2245" t="s">
        <v>4767</v>
      </c>
      <c r="D2245">
        <v>4</v>
      </c>
      <c r="E2245">
        <v>-9.08</v>
      </c>
      <c r="F2245">
        <v>-9.08</v>
      </c>
      <c r="G2245" t="s">
        <v>4768</v>
      </c>
      <c r="H2245" t="s">
        <v>5141</v>
      </c>
      <c r="I2245" t="s">
        <v>4814</v>
      </c>
      <c r="J2245" t="s">
        <v>5142</v>
      </c>
      <c r="L2245" t="s">
        <v>4769</v>
      </c>
    </row>
    <row r="2246" spans="1:12" x14ac:dyDescent="0.2">
      <c r="A2246" t="s">
        <v>1767</v>
      </c>
      <c r="B2246" t="s">
        <v>1769</v>
      </c>
      <c r="C2246" t="s">
        <v>4767</v>
      </c>
      <c r="D2246">
        <v>4</v>
      </c>
      <c r="E2246">
        <v>9.08</v>
      </c>
      <c r="F2246">
        <v>9.08</v>
      </c>
      <c r="G2246" t="s">
        <v>4768</v>
      </c>
      <c r="H2246" t="s">
        <v>4887</v>
      </c>
      <c r="I2246" t="s">
        <v>4814</v>
      </c>
      <c r="J2246" t="s">
        <v>5143</v>
      </c>
      <c r="L2246" t="s">
        <v>4769</v>
      </c>
    </row>
    <row r="2247" spans="1:12" x14ac:dyDescent="0.2">
      <c r="A2247" t="s">
        <v>1767</v>
      </c>
      <c r="B2247" t="s">
        <v>1769</v>
      </c>
      <c r="C2247" t="s">
        <v>4767</v>
      </c>
      <c r="D2247">
        <v>4</v>
      </c>
      <c r="E2247">
        <v>13.62</v>
      </c>
      <c r="F2247">
        <v>13.62</v>
      </c>
      <c r="G2247" t="s">
        <v>4768</v>
      </c>
      <c r="H2247" t="s">
        <v>5144</v>
      </c>
      <c r="I2247" t="s">
        <v>4814</v>
      </c>
      <c r="J2247" t="s">
        <v>5145</v>
      </c>
      <c r="L2247" t="s">
        <v>4769</v>
      </c>
    </row>
    <row r="2248" spans="1:12" x14ac:dyDescent="0.2">
      <c r="A2248" t="s">
        <v>1767</v>
      </c>
      <c r="B2248" t="s">
        <v>1769</v>
      </c>
      <c r="C2248" t="s">
        <v>4767</v>
      </c>
      <c r="D2248">
        <v>4</v>
      </c>
      <c r="E2248">
        <v>42.84</v>
      </c>
      <c r="F2248">
        <v>42.84</v>
      </c>
      <c r="G2248" t="s">
        <v>4768</v>
      </c>
      <c r="H2248" t="s">
        <v>5047</v>
      </c>
      <c r="I2248" t="s">
        <v>4814</v>
      </c>
      <c r="J2248" t="s">
        <v>5048</v>
      </c>
      <c r="L2248" t="s">
        <v>4769</v>
      </c>
    </row>
    <row r="2249" spans="1:12" x14ac:dyDescent="0.2">
      <c r="A2249" t="s">
        <v>1767</v>
      </c>
      <c r="B2249" t="s">
        <v>1769</v>
      </c>
      <c r="C2249" t="s">
        <v>4767</v>
      </c>
      <c r="D2249">
        <v>4</v>
      </c>
      <c r="E2249">
        <v>30.08</v>
      </c>
      <c r="F2249">
        <v>30.08</v>
      </c>
      <c r="G2249" t="s">
        <v>4768</v>
      </c>
      <c r="H2249" t="s">
        <v>5146</v>
      </c>
      <c r="I2249" t="s">
        <v>4814</v>
      </c>
      <c r="J2249" t="s">
        <v>5147</v>
      </c>
      <c r="L2249" t="s">
        <v>4769</v>
      </c>
    </row>
    <row r="2250" spans="1:12" x14ac:dyDescent="0.2">
      <c r="A2250" t="s">
        <v>1767</v>
      </c>
      <c r="B2250" t="s">
        <v>1769</v>
      </c>
      <c r="C2250" t="s">
        <v>4767</v>
      </c>
      <c r="D2250">
        <v>4</v>
      </c>
      <c r="E2250">
        <v>69.92</v>
      </c>
      <c r="F2250">
        <v>69.92</v>
      </c>
      <c r="G2250" t="s">
        <v>4768</v>
      </c>
      <c r="H2250" t="s">
        <v>5148</v>
      </c>
      <c r="I2250" t="s">
        <v>4814</v>
      </c>
      <c r="J2250" t="s">
        <v>5149</v>
      </c>
      <c r="L2250" t="s">
        <v>4769</v>
      </c>
    </row>
    <row r="2251" spans="1:12" x14ac:dyDescent="0.2">
      <c r="A2251" t="s">
        <v>1767</v>
      </c>
      <c r="B2251" t="s">
        <v>1769</v>
      </c>
      <c r="C2251" t="s">
        <v>4767</v>
      </c>
      <c r="D2251">
        <v>4</v>
      </c>
      <c r="E2251">
        <v>9.4600000000000009</v>
      </c>
      <c r="F2251">
        <v>9.4600000000000009</v>
      </c>
      <c r="G2251" t="s">
        <v>4768</v>
      </c>
      <c r="H2251" t="s">
        <v>5150</v>
      </c>
      <c r="I2251" t="s">
        <v>4814</v>
      </c>
      <c r="J2251" t="s">
        <v>5151</v>
      </c>
      <c r="L2251" t="s">
        <v>4769</v>
      </c>
    </row>
    <row r="2252" spans="1:12" x14ac:dyDescent="0.2">
      <c r="A2252" t="s">
        <v>1767</v>
      </c>
      <c r="B2252" t="s">
        <v>1769</v>
      </c>
      <c r="C2252" t="s">
        <v>4767</v>
      </c>
      <c r="D2252">
        <v>4</v>
      </c>
      <c r="E2252">
        <v>82.86</v>
      </c>
      <c r="F2252">
        <v>82.86</v>
      </c>
      <c r="G2252" t="s">
        <v>4768</v>
      </c>
      <c r="H2252" t="s">
        <v>5077</v>
      </c>
      <c r="I2252" t="s">
        <v>4814</v>
      </c>
      <c r="J2252" t="s">
        <v>5078</v>
      </c>
      <c r="L2252" t="s">
        <v>4769</v>
      </c>
    </row>
    <row r="2253" spans="1:12" x14ac:dyDescent="0.2">
      <c r="A2253" t="s">
        <v>1767</v>
      </c>
      <c r="B2253" t="s">
        <v>1769</v>
      </c>
      <c r="C2253" t="s">
        <v>4767</v>
      </c>
      <c r="D2253">
        <v>4</v>
      </c>
      <c r="E2253">
        <v>22638</v>
      </c>
      <c r="F2253">
        <v>22638</v>
      </c>
      <c r="G2253" t="s">
        <v>4768</v>
      </c>
      <c r="H2253" t="s">
        <v>5152</v>
      </c>
      <c r="I2253" t="s">
        <v>4814</v>
      </c>
      <c r="J2253" t="s">
        <v>5153</v>
      </c>
      <c r="L2253" t="s">
        <v>4769</v>
      </c>
    </row>
    <row r="2254" spans="1:12" x14ac:dyDescent="0.2">
      <c r="A2254" t="s">
        <v>1767</v>
      </c>
      <c r="B2254" t="s">
        <v>1769</v>
      </c>
      <c r="C2254" t="s">
        <v>4767</v>
      </c>
      <c r="D2254">
        <v>4</v>
      </c>
      <c r="E2254">
        <v>440.1</v>
      </c>
      <c r="F2254">
        <v>440.1</v>
      </c>
      <c r="G2254" t="s">
        <v>4768</v>
      </c>
      <c r="H2254" t="s">
        <v>5154</v>
      </c>
      <c r="I2254" t="s">
        <v>4814</v>
      </c>
      <c r="J2254" t="s">
        <v>5155</v>
      </c>
      <c r="L2254" t="s">
        <v>4769</v>
      </c>
    </row>
    <row r="2255" spans="1:12" x14ac:dyDescent="0.2">
      <c r="A2255" t="s">
        <v>1767</v>
      </c>
      <c r="B2255" t="s">
        <v>1769</v>
      </c>
      <c r="C2255" t="s">
        <v>4767</v>
      </c>
      <c r="D2255">
        <v>4</v>
      </c>
      <c r="E2255">
        <v>230.05</v>
      </c>
      <c r="F2255">
        <v>230.05</v>
      </c>
      <c r="G2255" t="s">
        <v>4768</v>
      </c>
      <c r="H2255" t="s">
        <v>5156</v>
      </c>
      <c r="I2255" t="s">
        <v>4814</v>
      </c>
      <c r="J2255" t="s">
        <v>5157</v>
      </c>
      <c r="L2255" t="s">
        <v>4769</v>
      </c>
    </row>
    <row r="2256" spans="1:12" x14ac:dyDescent="0.2">
      <c r="A2256" t="s">
        <v>1767</v>
      </c>
      <c r="B2256" t="s">
        <v>1769</v>
      </c>
      <c r="C2256" t="s">
        <v>4767</v>
      </c>
      <c r="D2256">
        <v>4</v>
      </c>
      <c r="E2256">
        <v>880.92</v>
      </c>
      <c r="F2256">
        <v>880.92</v>
      </c>
      <c r="G2256" t="s">
        <v>4768</v>
      </c>
      <c r="H2256" t="s">
        <v>5051</v>
      </c>
      <c r="I2256" t="s">
        <v>4814</v>
      </c>
      <c r="J2256" t="s">
        <v>5052</v>
      </c>
      <c r="L2256" t="s">
        <v>4769</v>
      </c>
    </row>
    <row r="2257" spans="1:12" x14ac:dyDescent="0.2">
      <c r="A2257" t="s">
        <v>1767</v>
      </c>
      <c r="B2257" t="s">
        <v>1769</v>
      </c>
      <c r="C2257" t="s">
        <v>4767</v>
      </c>
      <c r="D2257">
        <v>4</v>
      </c>
      <c r="E2257">
        <v>9.08</v>
      </c>
      <c r="F2257">
        <v>9.08</v>
      </c>
      <c r="G2257" t="s">
        <v>4768</v>
      </c>
      <c r="H2257" t="s">
        <v>4887</v>
      </c>
      <c r="I2257" t="s">
        <v>4814</v>
      </c>
      <c r="J2257" t="s">
        <v>5143</v>
      </c>
      <c r="L2257" t="s">
        <v>4769</v>
      </c>
    </row>
    <row r="2258" spans="1:12" x14ac:dyDescent="0.2">
      <c r="A2258" t="s">
        <v>1767</v>
      </c>
      <c r="B2258" t="s">
        <v>1769</v>
      </c>
      <c r="C2258" t="s">
        <v>4767</v>
      </c>
      <c r="D2258">
        <v>4</v>
      </c>
      <c r="E2258">
        <v>0</v>
      </c>
      <c r="F2258">
        <v>0</v>
      </c>
      <c r="G2258" t="s">
        <v>4768</v>
      </c>
      <c r="H2258" t="s">
        <v>4774</v>
      </c>
      <c r="I2258" t="s">
        <v>4814</v>
      </c>
      <c r="J2258" t="s">
        <v>5158</v>
      </c>
      <c r="L2258" t="s">
        <v>4769</v>
      </c>
    </row>
    <row r="2259" spans="1:12" x14ac:dyDescent="0.2">
      <c r="A2259" t="s">
        <v>1767</v>
      </c>
      <c r="B2259" t="s">
        <v>1769</v>
      </c>
      <c r="C2259" t="s">
        <v>4767</v>
      </c>
      <c r="D2259">
        <v>4</v>
      </c>
      <c r="E2259">
        <v>537.44000000000005</v>
      </c>
      <c r="F2259">
        <v>537.44000000000005</v>
      </c>
      <c r="G2259" t="s">
        <v>4768</v>
      </c>
      <c r="H2259" t="s">
        <v>5159</v>
      </c>
      <c r="I2259" t="s">
        <v>4814</v>
      </c>
      <c r="J2259" t="s">
        <v>5160</v>
      </c>
      <c r="L2259" t="s">
        <v>4769</v>
      </c>
    </row>
    <row r="2260" spans="1:12" x14ac:dyDescent="0.2">
      <c r="A2260" t="s">
        <v>1767</v>
      </c>
      <c r="B2260" t="s">
        <v>1769</v>
      </c>
      <c r="C2260" t="s">
        <v>4767</v>
      </c>
      <c r="D2260">
        <v>4</v>
      </c>
      <c r="E2260">
        <v>2.7</v>
      </c>
      <c r="F2260">
        <v>2.7</v>
      </c>
      <c r="G2260" t="s">
        <v>4768</v>
      </c>
      <c r="H2260" t="s">
        <v>5161</v>
      </c>
      <c r="I2260" t="s">
        <v>4814</v>
      </c>
      <c r="J2260" t="s">
        <v>5162</v>
      </c>
      <c r="L2260" t="s">
        <v>4769</v>
      </c>
    </row>
    <row r="2261" spans="1:12" x14ac:dyDescent="0.2">
      <c r="A2261" t="s">
        <v>1767</v>
      </c>
      <c r="B2261" t="s">
        <v>1769</v>
      </c>
      <c r="C2261" t="s">
        <v>4767</v>
      </c>
      <c r="D2261">
        <v>4</v>
      </c>
      <c r="E2261">
        <v>1344</v>
      </c>
      <c r="F2261">
        <v>1344</v>
      </c>
      <c r="G2261" t="s">
        <v>4768</v>
      </c>
      <c r="H2261" t="s">
        <v>5053</v>
      </c>
      <c r="I2261" t="s">
        <v>4814</v>
      </c>
      <c r="J2261" t="s">
        <v>5054</v>
      </c>
      <c r="L2261" t="s">
        <v>4769</v>
      </c>
    </row>
    <row r="2262" spans="1:12" x14ac:dyDescent="0.2">
      <c r="A2262" t="s">
        <v>1767</v>
      </c>
      <c r="B2262" t="s">
        <v>1769</v>
      </c>
      <c r="C2262" t="s">
        <v>4767</v>
      </c>
      <c r="D2262">
        <v>4</v>
      </c>
      <c r="E2262">
        <v>210.6</v>
      </c>
      <c r="F2262">
        <v>210.6</v>
      </c>
      <c r="G2262" t="s">
        <v>4768</v>
      </c>
      <c r="H2262" t="s">
        <v>5163</v>
      </c>
      <c r="I2262" t="s">
        <v>4814</v>
      </c>
      <c r="J2262" t="s">
        <v>5164</v>
      </c>
      <c r="L2262" t="s">
        <v>4769</v>
      </c>
    </row>
    <row r="2263" spans="1:12" x14ac:dyDescent="0.2">
      <c r="A2263" t="s">
        <v>1767</v>
      </c>
      <c r="B2263" t="s">
        <v>1769</v>
      </c>
      <c r="C2263" t="s">
        <v>4767</v>
      </c>
      <c r="D2263">
        <v>4</v>
      </c>
      <c r="E2263">
        <v>0</v>
      </c>
      <c r="F2263">
        <v>0</v>
      </c>
      <c r="G2263" t="s">
        <v>4768</v>
      </c>
      <c r="H2263" t="s">
        <v>4774</v>
      </c>
      <c r="I2263" t="s">
        <v>4814</v>
      </c>
      <c r="J2263" t="s">
        <v>5158</v>
      </c>
      <c r="L2263" t="s">
        <v>4769</v>
      </c>
    </row>
    <row r="2264" spans="1:12" x14ac:dyDescent="0.2">
      <c r="A2264" t="s">
        <v>1767</v>
      </c>
      <c r="B2264" t="s">
        <v>1769</v>
      </c>
      <c r="C2264" t="s">
        <v>4767</v>
      </c>
      <c r="D2264">
        <v>4</v>
      </c>
      <c r="E2264">
        <v>0</v>
      </c>
      <c r="F2264">
        <v>0</v>
      </c>
      <c r="G2264" t="s">
        <v>4768</v>
      </c>
      <c r="H2264" t="s">
        <v>4774</v>
      </c>
      <c r="I2264" t="s">
        <v>4814</v>
      </c>
      <c r="J2264" t="s">
        <v>5165</v>
      </c>
      <c r="L2264" t="s">
        <v>4769</v>
      </c>
    </row>
    <row r="2265" spans="1:12" x14ac:dyDescent="0.2">
      <c r="A2265" t="s">
        <v>1767</v>
      </c>
      <c r="B2265" t="s">
        <v>1769</v>
      </c>
      <c r="C2265" t="s">
        <v>4767</v>
      </c>
      <c r="D2265">
        <v>4</v>
      </c>
      <c r="E2265">
        <v>107</v>
      </c>
      <c r="F2265">
        <v>107</v>
      </c>
      <c r="G2265" t="s">
        <v>4768</v>
      </c>
      <c r="H2265" t="s">
        <v>4975</v>
      </c>
      <c r="I2265" t="s">
        <v>4814</v>
      </c>
      <c r="J2265" t="s">
        <v>5166</v>
      </c>
      <c r="L2265" t="s">
        <v>4769</v>
      </c>
    </row>
    <row r="2266" spans="1:12" x14ac:dyDescent="0.2">
      <c r="A2266" t="s">
        <v>1767</v>
      </c>
      <c r="B2266" t="s">
        <v>1769</v>
      </c>
      <c r="C2266" t="s">
        <v>4767</v>
      </c>
      <c r="D2266">
        <v>4</v>
      </c>
      <c r="E2266">
        <v>0</v>
      </c>
      <c r="F2266">
        <v>0</v>
      </c>
      <c r="G2266" t="s">
        <v>4768</v>
      </c>
      <c r="H2266" t="s">
        <v>4774</v>
      </c>
      <c r="I2266" t="s">
        <v>4814</v>
      </c>
      <c r="J2266" t="s">
        <v>5167</v>
      </c>
      <c r="L2266" t="s">
        <v>4769</v>
      </c>
    </row>
    <row r="2267" spans="1:12" x14ac:dyDescent="0.2">
      <c r="A2267" t="s">
        <v>1767</v>
      </c>
      <c r="B2267" t="s">
        <v>1769</v>
      </c>
      <c r="C2267" t="s">
        <v>4767</v>
      </c>
      <c r="D2267">
        <v>4</v>
      </c>
      <c r="E2267">
        <v>166.2</v>
      </c>
      <c r="F2267">
        <v>166.2</v>
      </c>
      <c r="G2267" t="s">
        <v>4768</v>
      </c>
      <c r="H2267" t="s">
        <v>5065</v>
      </c>
      <c r="I2267" t="s">
        <v>4814</v>
      </c>
      <c r="J2267" t="s">
        <v>5066</v>
      </c>
      <c r="L2267" t="s">
        <v>4769</v>
      </c>
    </row>
    <row r="2268" spans="1:12" x14ac:dyDescent="0.2">
      <c r="A2268" t="s">
        <v>1767</v>
      </c>
      <c r="B2268" t="s">
        <v>1769</v>
      </c>
      <c r="C2268" t="s">
        <v>4767</v>
      </c>
      <c r="D2268">
        <v>4</v>
      </c>
      <c r="E2268">
        <v>441.84</v>
      </c>
      <c r="F2268">
        <v>441.84</v>
      </c>
      <c r="G2268" t="s">
        <v>4768</v>
      </c>
      <c r="H2268" t="s">
        <v>5168</v>
      </c>
      <c r="I2268" t="s">
        <v>4814</v>
      </c>
      <c r="J2268" t="s">
        <v>5169</v>
      </c>
      <c r="L2268" t="s">
        <v>4769</v>
      </c>
    </row>
    <row r="2269" spans="1:12" x14ac:dyDescent="0.2">
      <c r="A2269" t="s">
        <v>1767</v>
      </c>
      <c r="B2269" t="s">
        <v>1769</v>
      </c>
      <c r="C2269" t="s">
        <v>4767</v>
      </c>
      <c r="D2269">
        <v>4</v>
      </c>
      <c r="E2269">
        <v>214</v>
      </c>
      <c r="F2269">
        <v>214</v>
      </c>
      <c r="G2269" t="s">
        <v>4768</v>
      </c>
      <c r="H2269" t="s">
        <v>5019</v>
      </c>
      <c r="I2269" t="s">
        <v>4814</v>
      </c>
      <c r="J2269" t="s">
        <v>5099</v>
      </c>
      <c r="L2269" t="s">
        <v>4769</v>
      </c>
    </row>
    <row r="2270" spans="1:12" x14ac:dyDescent="0.2">
      <c r="A2270" t="s">
        <v>1767</v>
      </c>
      <c r="B2270" t="s">
        <v>1769</v>
      </c>
      <c r="C2270" t="s">
        <v>4767</v>
      </c>
      <c r="D2270">
        <v>4</v>
      </c>
      <c r="E2270">
        <v>107</v>
      </c>
      <c r="F2270">
        <v>107</v>
      </c>
      <c r="G2270" t="s">
        <v>4768</v>
      </c>
      <c r="H2270" t="s">
        <v>4975</v>
      </c>
      <c r="I2270" t="s">
        <v>4814</v>
      </c>
      <c r="J2270" t="s">
        <v>4976</v>
      </c>
      <c r="L2270" t="s">
        <v>4769</v>
      </c>
    </row>
    <row r="2271" spans="1:12" x14ac:dyDescent="0.2">
      <c r="A2271" t="s">
        <v>1767</v>
      </c>
      <c r="B2271" t="s">
        <v>1769</v>
      </c>
      <c r="C2271" t="s">
        <v>4767</v>
      </c>
      <c r="D2271">
        <v>4</v>
      </c>
      <c r="E2271">
        <v>214</v>
      </c>
      <c r="F2271">
        <v>214</v>
      </c>
      <c r="G2271" t="s">
        <v>4768</v>
      </c>
      <c r="H2271" t="s">
        <v>5019</v>
      </c>
      <c r="I2271" t="s">
        <v>4814</v>
      </c>
      <c r="J2271" t="s">
        <v>5020</v>
      </c>
      <c r="L2271" t="s">
        <v>4769</v>
      </c>
    </row>
    <row r="2272" spans="1:12" x14ac:dyDescent="0.2">
      <c r="A2272" t="s">
        <v>1767</v>
      </c>
      <c r="B2272" t="s">
        <v>1769</v>
      </c>
      <c r="C2272" t="s">
        <v>4767</v>
      </c>
      <c r="D2272">
        <v>4</v>
      </c>
      <c r="E2272">
        <v>1219.8</v>
      </c>
      <c r="F2272">
        <v>1219.8</v>
      </c>
      <c r="G2272" t="s">
        <v>4768</v>
      </c>
      <c r="H2272" t="s">
        <v>5170</v>
      </c>
      <c r="I2272" t="s">
        <v>4814</v>
      </c>
      <c r="J2272" t="s">
        <v>5171</v>
      </c>
      <c r="L2272" t="s">
        <v>4769</v>
      </c>
    </row>
    <row r="2273" spans="1:12" x14ac:dyDescent="0.2">
      <c r="A2273" t="s">
        <v>1767</v>
      </c>
      <c r="B2273" t="s">
        <v>1769</v>
      </c>
      <c r="C2273" t="s">
        <v>4767</v>
      </c>
      <c r="D2273">
        <v>4</v>
      </c>
      <c r="E2273">
        <v>406.6</v>
      </c>
      <c r="F2273">
        <v>406.6</v>
      </c>
      <c r="G2273" t="s">
        <v>4768</v>
      </c>
      <c r="H2273" t="s">
        <v>5172</v>
      </c>
      <c r="I2273" t="s">
        <v>4814</v>
      </c>
      <c r="J2273" t="s">
        <v>2257</v>
      </c>
      <c r="L2273" t="s">
        <v>4769</v>
      </c>
    </row>
    <row r="2274" spans="1:12" x14ac:dyDescent="0.2">
      <c r="A2274" t="s">
        <v>1767</v>
      </c>
      <c r="B2274" t="s">
        <v>1769</v>
      </c>
      <c r="C2274" t="s">
        <v>4767</v>
      </c>
      <c r="D2274">
        <v>4</v>
      </c>
      <c r="E2274">
        <v>616.32000000000005</v>
      </c>
      <c r="F2274">
        <v>616.32000000000005</v>
      </c>
      <c r="G2274" t="s">
        <v>4768</v>
      </c>
      <c r="H2274" t="s">
        <v>4997</v>
      </c>
      <c r="I2274" t="s">
        <v>4814</v>
      </c>
      <c r="J2274" t="s">
        <v>3747</v>
      </c>
      <c r="L2274" t="s">
        <v>4769</v>
      </c>
    </row>
    <row r="2275" spans="1:12" x14ac:dyDescent="0.2">
      <c r="A2275" t="s">
        <v>1767</v>
      </c>
      <c r="B2275" t="s">
        <v>1769</v>
      </c>
      <c r="C2275" t="s">
        <v>4767</v>
      </c>
      <c r="D2275">
        <v>4</v>
      </c>
      <c r="E2275">
        <v>1784.76</v>
      </c>
      <c r="F2275">
        <v>1784.76</v>
      </c>
      <c r="G2275" t="s">
        <v>4768</v>
      </c>
      <c r="H2275" t="s">
        <v>5173</v>
      </c>
      <c r="I2275" t="s">
        <v>4814</v>
      </c>
      <c r="J2275" t="s">
        <v>5174</v>
      </c>
      <c r="L2275" t="s">
        <v>4769</v>
      </c>
    </row>
    <row r="2276" spans="1:12" x14ac:dyDescent="0.2">
      <c r="A2276" t="s">
        <v>1767</v>
      </c>
      <c r="B2276" t="s">
        <v>1769</v>
      </c>
      <c r="C2276" t="s">
        <v>4767</v>
      </c>
      <c r="D2276">
        <v>4</v>
      </c>
      <c r="E2276">
        <v>10.56</v>
      </c>
      <c r="F2276">
        <v>10.56</v>
      </c>
      <c r="G2276" t="s">
        <v>4768</v>
      </c>
      <c r="H2276" t="s">
        <v>5000</v>
      </c>
      <c r="I2276" t="s">
        <v>4814</v>
      </c>
      <c r="J2276" t="s">
        <v>5001</v>
      </c>
      <c r="L2276" t="s">
        <v>4769</v>
      </c>
    </row>
    <row r="2277" spans="1:12" x14ac:dyDescent="0.2">
      <c r="A2277" t="s">
        <v>1767</v>
      </c>
      <c r="B2277" t="s">
        <v>1769</v>
      </c>
      <c r="C2277" t="s">
        <v>4767</v>
      </c>
      <c r="D2277">
        <v>4</v>
      </c>
      <c r="E2277">
        <v>523.98</v>
      </c>
      <c r="F2277">
        <v>523.98</v>
      </c>
      <c r="G2277" t="s">
        <v>4768</v>
      </c>
      <c r="H2277" t="s">
        <v>5175</v>
      </c>
      <c r="I2277" t="s">
        <v>4814</v>
      </c>
      <c r="J2277" t="s">
        <v>5176</v>
      </c>
      <c r="L2277" t="s">
        <v>4769</v>
      </c>
    </row>
    <row r="2278" spans="1:12" x14ac:dyDescent="0.2">
      <c r="A2278" t="s">
        <v>1767</v>
      </c>
      <c r="B2278" t="s">
        <v>1769</v>
      </c>
      <c r="C2278" t="s">
        <v>4767</v>
      </c>
      <c r="D2278">
        <v>4</v>
      </c>
      <c r="E2278">
        <v>46.32</v>
      </c>
      <c r="F2278">
        <v>46.32</v>
      </c>
      <c r="G2278" t="s">
        <v>4768</v>
      </c>
      <c r="H2278" t="s">
        <v>5012</v>
      </c>
      <c r="I2278" t="s">
        <v>4814</v>
      </c>
      <c r="J2278" t="s">
        <v>2093</v>
      </c>
      <c r="L2278" t="s">
        <v>4769</v>
      </c>
    </row>
    <row r="2279" spans="1:12" x14ac:dyDescent="0.2">
      <c r="A2279" t="s">
        <v>1767</v>
      </c>
      <c r="B2279" t="s">
        <v>1769</v>
      </c>
      <c r="C2279" t="s">
        <v>4767</v>
      </c>
      <c r="D2279">
        <v>4</v>
      </c>
      <c r="E2279">
        <v>69.92</v>
      </c>
      <c r="F2279">
        <v>69.92</v>
      </c>
      <c r="G2279" t="s">
        <v>4768</v>
      </c>
      <c r="H2279" t="s">
        <v>5148</v>
      </c>
      <c r="I2279" t="s">
        <v>4814</v>
      </c>
      <c r="J2279" t="s">
        <v>5149</v>
      </c>
      <c r="L2279" t="s">
        <v>4769</v>
      </c>
    </row>
    <row r="2280" spans="1:12" x14ac:dyDescent="0.2">
      <c r="A2280" t="s">
        <v>1767</v>
      </c>
      <c r="B2280" t="s">
        <v>1769</v>
      </c>
      <c r="C2280" t="s">
        <v>4767</v>
      </c>
      <c r="D2280">
        <v>4</v>
      </c>
      <c r="E2280">
        <v>13.31</v>
      </c>
      <c r="F2280">
        <v>13.31</v>
      </c>
      <c r="G2280" t="s">
        <v>4768</v>
      </c>
      <c r="H2280" t="s">
        <v>5177</v>
      </c>
      <c r="I2280" t="s">
        <v>4814</v>
      </c>
      <c r="J2280" t="s">
        <v>5178</v>
      </c>
      <c r="L2280" t="s">
        <v>4769</v>
      </c>
    </row>
    <row r="2281" spans="1:12" x14ac:dyDescent="0.2">
      <c r="A2281" t="s">
        <v>1767</v>
      </c>
      <c r="B2281" t="s">
        <v>1769</v>
      </c>
      <c r="C2281" t="s">
        <v>4767</v>
      </c>
      <c r="D2281">
        <v>4</v>
      </c>
      <c r="E2281">
        <v>1275.44</v>
      </c>
      <c r="F2281">
        <v>1275.44</v>
      </c>
      <c r="G2281" t="s">
        <v>4768</v>
      </c>
      <c r="H2281" t="s">
        <v>5021</v>
      </c>
      <c r="I2281" t="s">
        <v>4814</v>
      </c>
      <c r="J2281" t="s">
        <v>2024</v>
      </c>
      <c r="L2281" t="s">
        <v>4769</v>
      </c>
    </row>
    <row r="2282" spans="1:12" x14ac:dyDescent="0.2">
      <c r="A2282" t="s">
        <v>1767</v>
      </c>
      <c r="B2282" t="s">
        <v>1769</v>
      </c>
      <c r="C2282" t="s">
        <v>4767</v>
      </c>
      <c r="D2282">
        <v>4</v>
      </c>
      <c r="E2282">
        <v>43802</v>
      </c>
      <c r="F2282">
        <v>43802</v>
      </c>
      <c r="G2282" t="s">
        <v>4768</v>
      </c>
      <c r="H2282" t="s">
        <v>5179</v>
      </c>
      <c r="I2282" t="s">
        <v>4814</v>
      </c>
      <c r="J2282" t="s">
        <v>5180</v>
      </c>
      <c r="L2282" t="s">
        <v>4769</v>
      </c>
    </row>
    <row r="2283" spans="1:12" x14ac:dyDescent="0.2">
      <c r="A2283" t="s">
        <v>1767</v>
      </c>
      <c r="B2283" t="s">
        <v>1769</v>
      </c>
      <c r="C2283" t="s">
        <v>4767</v>
      </c>
      <c r="D2283">
        <v>4</v>
      </c>
      <c r="E2283">
        <v>170.92</v>
      </c>
      <c r="F2283">
        <v>170.92</v>
      </c>
      <c r="G2283" t="s">
        <v>4768</v>
      </c>
      <c r="H2283" t="s">
        <v>5181</v>
      </c>
      <c r="I2283" t="s">
        <v>4814</v>
      </c>
      <c r="J2283" t="s">
        <v>5182</v>
      </c>
      <c r="L2283" t="s">
        <v>4769</v>
      </c>
    </row>
    <row r="2284" spans="1:12" x14ac:dyDescent="0.2">
      <c r="A2284" t="s">
        <v>1767</v>
      </c>
      <c r="B2284" t="s">
        <v>1769</v>
      </c>
      <c r="C2284" t="s">
        <v>4767</v>
      </c>
      <c r="D2284">
        <v>4</v>
      </c>
      <c r="E2284">
        <v>158.68</v>
      </c>
      <c r="F2284">
        <v>158.68</v>
      </c>
      <c r="G2284" t="s">
        <v>4768</v>
      </c>
      <c r="H2284" t="s">
        <v>5183</v>
      </c>
      <c r="I2284" t="s">
        <v>4814</v>
      </c>
      <c r="J2284" t="s">
        <v>5184</v>
      </c>
      <c r="L2284" t="s">
        <v>4769</v>
      </c>
    </row>
    <row r="2285" spans="1:12" x14ac:dyDescent="0.2">
      <c r="A2285" t="s">
        <v>1767</v>
      </c>
      <c r="B2285" t="s">
        <v>1769</v>
      </c>
      <c r="C2285" t="s">
        <v>4767</v>
      </c>
      <c r="D2285">
        <v>4</v>
      </c>
      <c r="E2285">
        <v>216.48</v>
      </c>
      <c r="F2285">
        <v>216.48</v>
      </c>
      <c r="G2285" t="s">
        <v>4768</v>
      </c>
      <c r="H2285" t="s">
        <v>5045</v>
      </c>
      <c r="I2285" t="s">
        <v>4814</v>
      </c>
      <c r="J2285" t="s">
        <v>5046</v>
      </c>
      <c r="L2285" t="s">
        <v>4769</v>
      </c>
    </row>
    <row r="2286" spans="1:12" x14ac:dyDescent="0.2">
      <c r="A2286" t="s">
        <v>1767</v>
      </c>
      <c r="B2286" t="s">
        <v>1769</v>
      </c>
      <c r="C2286" t="s">
        <v>4767</v>
      </c>
      <c r="D2286">
        <v>4</v>
      </c>
      <c r="E2286">
        <v>58.22</v>
      </c>
      <c r="F2286">
        <v>58.22</v>
      </c>
      <c r="G2286" t="s">
        <v>4768</v>
      </c>
      <c r="H2286" t="s">
        <v>4996</v>
      </c>
      <c r="I2286" t="s">
        <v>4814</v>
      </c>
      <c r="J2286" t="s">
        <v>3745</v>
      </c>
      <c r="L2286" t="s">
        <v>4769</v>
      </c>
    </row>
    <row r="2287" spans="1:12" x14ac:dyDescent="0.2">
      <c r="A2287" t="s">
        <v>1767</v>
      </c>
      <c r="B2287" t="s">
        <v>1769</v>
      </c>
      <c r="C2287" t="s">
        <v>4767</v>
      </c>
      <c r="D2287">
        <v>4</v>
      </c>
      <c r="E2287">
        <v>7636</v>
      </c>
      <c r="F2287">
        <v>7636</v>
      </c>
      <c r="G2287" t="s">
        <v>4768</v>
      </c>
      <c r="H2287" t="s">
        <v>5185</v>
      </c>
      <c r="I2287" t="s">
        <v>4814</v>
      </c>
      <c r="J2287" t="s">
        <v>5186</v>
      </c>
      <c r="L2287" t="s">
        <v>4769</v>
      </c>
    </row>
    <row r="2288" spans="1:12" x14ac:dyDescent="0.2">
      <c r="A2288" t="s">
        <v>1767</v>
      </c>
      <c r="B2288" t="s">
        <v>1769</v>
      </c>
      <c r="C2288" t="s">
        <v>4767</v>
      </c>
      <c r="D2288">
        <v>4</v>
      </c>
      <c r="E2288">
        <v>7636</v>
      </c>
      <c r="F2288">
        <v>7636</v>
      </c>
      <c r="G2288" t="s">
        <v>4768</v>
      </c>
      <c r="H2288" t="s">
        <v>5185</v>
      </c>
      <c r="I2288" t="s">
        <v>4814</v>
      </c>
      <c r="J2288" t="s">
        <v>5186</v>
      </c>
      <c r="L2288" t="s">
        <v>4769</v>
      </c>
    </row>
    <row r="2289" spans="1:12" x14ac:dyDescent="0.2">
      <c r="A2289" t="s">
        <v>1767</v>
      </c>
      <c r="B2289" t="s">
        <v>1769</v>
      </c>
      <c r="C2289" t="s">
        <v>4767</v>
      </c>
      <c r="D2289">
        <v>4</v>
      </c>
      <c r="E2289">
        <v>160.5</v>
      </c>
      <c r="F2289">
        <v>160.5</v>
      </c>
      <c r="G2289" t="s">
        <v>4768</v>
      </c>
      <c r="H2289" t="s">
        <v>5017</v>
      </c>
      <c r="I2289" t="s">
        <v>4814</v>
      </c>
      <c r="J2289" t="s">
        <v>5018</v>
      </c>
      <c r="L2289" t="s">
        <v>4769</v>
      </c>
    </row>
    <row r="2290" spans="1:12" x14ac:dyDescent="0.2">
      <c r="A2290" t="s">
        <v>1767</v>
      </c>
      <c r="B2290" t="s">
        <v>1769</v>
      </c>
      <c r="C2290" t="s">
        <v>4767</v>
      </c>
      <c r="D2290">
        <v>4</v>
      </c>
      <c r="E2290">
        <v>107</v>
      </c>
      <c r="F2290">
        <v>107</v>
      </c>
      <c r="G2290" t="s">
        <v>4768</v>
      </c>
      <c r="H2290" t="s">
        <v>4975</v>
      </c>
      <c r="I2290" t="s">
        <v>4814</v>
      </c>
      <c r="J2290" t="s">
        <v>4976</v>
      </c>
      <c r="L2290" t="s">
        <v>4769</v>
      </c>
    </row>
    <row r="2291" spans="1:12" x14ac:dyDescent="0.2">
      <c r="A2291" t="s">
        <v>1767</v>
      </c>
      <c r="B2291" t="s">
        <v>1769</v>
      </c>
      <c r="C2291" t="s">
        <v>4767</v>
      </c>
      <c r="D2291">
        <v>4</v>
      </c>
      <c r="E2291">
        <v>214</v>
      </c>
      <c r="F2291">
        <v>214</v>
      </c>
      <c r="G2291" t="s">
        <v>4768</v>
      </c>
      <c r="H2291" t="s">
        <v>5019</v>
      </c>
      <c r="I2291" t="s">
        <v>4814</v>
      </c>
      <c r="J2291" t="s">
        <v>5020</v>
      </c>
      <c r="L2291" t="s">
        <v>4769</v>
      </c>
    </row>
    <row r="2292" spans="1:12" x14ac:dyDescent="0.2">
      <c r="A2292" t="s">
        <v>1767</v>
      </c>
      <c r="B2292" t="s">
        <v>1769</v>
      </c>
      <c r="C2292" t="s">
        <v>4767</v>
      </c>
      <c r="D2292">
        <v>4</v>
      </c>
      <c r="E2292">
        <v>1275.44</v>
      </c>
      <c r="F2292">
        <v>1275.44</v>
      </c>
      <c r="G2292" t="s">
        <v>4768</v>
      </c>
      <c r="H2292" t="s">
        <v>5021</v>
      </c>
      <c r="I2292" t="s">
        <v>4814</v>
      </c>
      <c r="J2292" t="s">
        <v>2024</v>
      </c>
      <c r="L2292" t="s">
        <v>4769</v>
      </c>
    </row>
    <row r="2293" spans="1:12" x14ac:dyDescent="0.2">
      <c r="A2293" t="s">
        <v>1767</v>
      </c>
      <c r="B2293" t="s">
        <v>1769</v>
      </c>
      <c r="C2293" t="s">
        <v>4767</v>
      </c>
      <c r="D2293">
        <v>4</v>
      </c>
      <c r="E2293">
        <v>924.48</v>
      </c>
      <c r="F2293">
        <v>924.48</v>
      </c>
      <c r="G2293" t="s">
        <v>4768</v>
      </c>
      <c r="H2293" t="s">
        <v>5022</v>
      </c>
      <c r="I2293" t="s">
        <v>4814</v>
      </c>
      <c r="J2293" t="s">
        <v>5023</v>
      </c>
      <c r="L2293" t="s">
        <v>4769</v>
      </c>
    </row>
    <row r="2294" spans="1:12" x14ac:dyDescent="0.2">
      <c r="A2294" t="s">
        <v>1767</v>
      </c>
      <c r="B2294" t="s">
        <v>1769</v>
      </c>
      <c r="C2294" t="s">
        <v>4767</v>
      </c>
      <c r="D2294">
        <v>4</v>
      </c>
      <c r="E2294">
        <v>594.91999999999996</v>
      </c>
      <c r="F2294">
        <v>594.91999999999996</v>
      </c>
      <c r="G2294" t="s">
        <v>4768</v>
      </c>
      <c r="H2294" t="s">
        <v>5011</v>
      </c>
      <c r="I2294" t="s">
        <v>4814</v>
      </c>
      <c r="J2294" t="s">
        <v>2154</v>
      </c>
      <c r="L2294" t="s">
        <v>4769</v>
      </c>
    </row>
    <row r="2295" spans="1:12" x14ac:dyDescent="0.2">
      <c r="A2295" t="s">
        <v>1767</v>
      </c>
      <c r="B2295" t="s">
        <v>1769</v>
      </c>
      <c r="C2295" t="s">
        <v>4767</v>
      </c>
      <c r="D2295">
        <v>4</v>
      </c>
      <c r="E2295">
        <v>116.44</v>
      </c>
      <c r="F2295">
        <v>116.44</v>
      </c>
      <c r="G2295" t="s">
        <v>4768</v>
      </c>
      <c r="H2295" t="s">
        <v>4962</v>
      </c>
      <c r="I2295" t="s">
        <v>4814</v>
      </c>
      <c r="J2295" t="s">
        <v>3722</v>
      </c>
      <c r="L2295" t="s">
        <v>4769</v>
      </c>
    </row>
    <row r="2296" spans="1:12" x14ac:dyDescent="0.2">
      <c r="A2296" t="s">
        <v>1767</v>
      </c>
      <c r="B2296" t="s">
        <v>1769</v>
      </c>
      <c r="C2296" t="s">
        <v>4767</v>
      </c>
      <c r="D2296">
        <v>4</v>
      </c>
      <c r="E2296">
        <v>6890</v>
      </c>
      <c r="F2296">
        <v>6890</v>
      </c>
      <c r="G2296" t="s">
        <v>4768</v>
      </c>
      <c r="H2296" t="s">
        <v>5187</v>
      </c>
      <c r="I2296" t="s">
        <v>4814</v>
      </c>
      <c r="J2296" t="s">
        <v>5188</v>
      </c>
      <c r="L2296" t="s">
        <v>4769</v>
      </c>
    </row>
    <row r="2297" spans="1:12" x14ac:dyDescent="0.2">
      <c r="A2297" t="s">
        <v>1767</v>
      </c>
      <c r="B2297" t="s">
        <v>1769</v>
      </c>
      <c r="C2297" t="s">
        <v>4767</v>
      </c>
      <c r="D2297">
        <v>4</v>
      </c>
      <c r="E2297">
        <v>107</v>
      </c>
      <c r="F2297">
        <v>107</v>
      </c>
      <c r="G2297" t="s">
        <v>4768</v>
      </c>
      <c r="H2297" t="s">
        <v>4975</v>
      </c>
      <c r="I2297" t="s">
        <v>4814</v>
      </c>
      <c r="J2297" t="s">
        <v>5166</v>
      </c>
      <c r="L2297" t="s">
        <v>4769</v>
      </c>
    </row>
    <row r="2298" spans="1:12" x14ac:dyDescent="0.2">
      <c r="A2298" t="s">
        <v>1767</v>
      </c>
      <c r="B2298" t="s">
        <v>1769</v>
      </c>
      <c r="C2298" t="s">
        <v>4767</v>
      </c>
      <c r="D2298">
        <v>4</v>
      </c>
      <c r="E2298">
        <v>107</v>
      </c>
      <c r="F2298">
        <v>107</v>
      </c>
      <c r="G2298" t="s">
        <v>4768</v>
      </c>
      <c r="H2298" t="s">
        <v>4975</v>
      </c>
      <c r="I2298" t="s">
        <v>4814</v>
      </c>
      <c r="J2298" t="s">
        <v>5189</v>
      </c>
      <c r="L2298" t="s">
        <v>4769</v>
      </c>
    </row>
    <row r="2299" spans="1:12" x14ac:dyDescent="0.2">
      <c r="A2299" t="s">
        <v>1767</v>
      </c>
      <c r="B2299" t="s">
        <v>1769</v>
      </c>
      <c r="C2299" t="s">
        <v>4767</v>
      </c>
      <c r="D2299">
        <v>4</v>
      </c>
      <c r="E2299">
        <v>616.32000000000005</v>
      </c>
      <c r="F2299">
        <v>616.32000000000005</v>
      </c>
      <c r="G2299" t="s">
        <v>4768</v>
      </c>
      <c r="H2299" t="s">
        <v>4997</v>
      </c>
      <c r="I2299" t="s">
        <v>4814</v>
      </c>
      <c r="J2299" t="s">
        <v>5190</v>
      </c>
      <c r="L2299" t="s">
        <v>4769</v>
      </c>
    </row>
    <row r="2300" spans="1:12" x14ac:dyDescent="0.2">
      <c r="A2300" t="s">
        <v>1767</v>
      </c>
      <c r="B2300" t="s">
        <v>1769</v>
      </c>
      <c r="C2300" t="s">
        <v>4767</v>
      </c>
      <c r="D2300">
        <v>4</v>
      </c>
      <c r="E2300">
        <v>637.72</v>
      </c>
      <c r="F2300">
        <v>637.72</v>
      </c>
      <c r="G2300" t="s">
        <v>4768</v>
      </c>
      <c r="H2300" t="s">
        <v>4943</v>
      </c>
      <c r="I2300" t="s">
        <v>4814</v>
      </c>
      <c r="J2300" t="s">
        <v>2230</v>
      </c>
      <c r="L2300" t="s">
        <v>4769</v>
      </c>
    </row>
    <row r="2301" spans="1:12" x14ac:dyDescent="0.2">
      <c r="A2301" t="s">
        <v>1767</v>
      </c>
      <c r="B2301" t="s">
        <v>1769</v>
      </c>
      <c r="C2301" t="s">
        <v>4767</v>
      </c>
      <c r="D2301">
        <v>4</v>
      </c>
      <c r="E2301">
        <v>58.22</v>
      </c>
      <c r="F2301">
        <v>58.22</v>
      </c>
      <c r="G2301" t="s">
        <v>4768</v>
      </c>
      <c r="H2301" t="s">
        <v>4996</v>
      </c>
      <c r="I2301" t="s">
        <v>4814</v>
      </c>
      <c r="J2301" t="s">
        <v>3745</v>
      </c>
      <c r="L2301" t="s">
        <v>4769</v>
      </c>
    </row>
    <row r="2302" spans="1:12" x14ac:dyDescent="0.2">
      <c r="A2302" t="s">
        <v>1767</v>
      </c>
      <c r="B2302" t="s">
        <v>1769</v>
      </c>
      <c r="C2302" t="s">
        <v>4767</v>
      </c>
      <c r="D2302">
        <v>4</v>
      </c>
      <c r="E2302">
        <v>438.7</v>
      </c>
      <c r="F2302">
        <v>438.7</v>
      </c>
      <c r="G2302" t="s">
        <v>4768</v>
      </c>
      <c r="H2302" t="s">
        <v>5191</v>
      </c>
      <c r="I2302" t="s">
        <v>4814</v>
      </c>
      <c r="J2302" t="s">
        <v>5192</v>
      </c>
      <c r="L2302" t="s">
        <v>4769</v>
      </c>
    </row>
    <row r="2303" spans="1:12" x14ac:dyDescent="0.2">
      <c r="A2303" t="s">
        <v>1767</v>
      </c>
      <c r="B2303" t="s">
        <v>1769</v>
      </c>
      <c r="C2303" t="s">
        <v>4767</v>
      </c>
      <c r="D2303">
        <v>4</v>
      </c>
      <c r="E2303">
        <v>0</v>
      </c>
      <c r="F2303">
        <v>0</v>
      </c>
      <c r="G2303" t="s">
        <v>4768</v>
      </c>
      <c r="H2303" t="s">
        <v>4774</v>
      </c>
      <c r="I2303" t="s">
        <v>4814</v>
      </c>
      <c r="J2303" t="s">
        <v>5193</v>
      </c>
      <c r="L2303" t="s">
        <v>4769</v>
      </c>
    </row>
    <row r="2304" spans="1:12" x14ac:dyDescent="0.2">
      <c r="A2304" t="s">
        <v>1767</v>
      </c>
      <c r="B2304" t="s">
        <v>1769</v>
      </c>
      <c r="C2304" t="s">
        <v>4767</v>
      </c>
      <c r="D2304">
        <v>4</v>
      </c>
      <c r="E2304">
        <v>0</v>
      </c>
      <c r="F2304">
        <v>0</v>
      </c>
      <c r="G2304" t="s">
        <v>4768</v>
      </c>
      <c r="H2304" t="s">
        <v>4774</v>
      </c>
      <c r="I2304" t="s">
        <v>4814</v>
      </c>
      <c r="J2304" t="s">
        <v>5194</v>
      </c>
      <c r="L2304" t="s">
        <v>4769</v>
      </c>
    </row>
    <row r="2305" spans="1:12" x14ac:dyDescent="0.2">
      <c r="A2305" t="s">
        <v>1767</v>
      </c>
      <c r="B2305" t="s">
        <v>1769</v>
      </c>
      <c r="C2305" t="s">
        <v>4767</v>
      </c>
      <c r="D2305">
        <v>4</v>
      </c>
      <c r="E2305">
        <v>145.52000000000001</v>
      </c>
      <c r="F2305">
        <v>145.52000000000001</v>
      </c>
      <c r="G2305" t="s">
        <v>4768</v>
      </c>
      <c r="H2305" t="s">
        <v>4956</v>
      </c>
      <c r="I2305" t="s">
        <v>4814</v>
      </c>
      <c r="J2305" t="s">
        <v>5195</v>
      </c>
      <c r="L2305" t="s">
        <v>4769</v>
      </c>
    </row>
    <row r="2306" spans="1:12" x14ac:dyDescent="0.2">
      <c r="A2306" t="s">
        <v>1767</v>
      </c>
      <c r="B2306" t="s">
        <v>1769</v>
      </c>
      <c r="C2306" t="s">
        <v>4767</v>
      </c>
      <c r="D2306">
        <v>4</v>
      </c>
      <c r="E2306">
        <v>11.28</v>
      </c>
      <c r="F2306">
        <v>11.28</v>
      </c>
      <c r="G2306" t="s">
        <v>4768</v>
      </c>
      <c r="H2306" t="s">
        <v>5196</v>
      </c>
      <c r="I2306" t="s">
        <v>4814</v>
      </c>
      <c r="J2306" t="s">
        <v>5197</v>
      </c>
      <c r="L2306" t="s">
        <v>4769</v>
      </c>
    </row>
    <row r="2307" spans="1:12" x14ac:dyDescent="0.2">
      <c r="A2307" t="s">
        <v>1767</v>
      </c>
      <c r="B2307" t="s">
        <v>1769</v>
      </c>
      <c r="C2307" t="s">
        <v>4767</v>
      </c>
      <c r="D2307">
        <v>4</v>
      </c>
      <c r="E2307">
        <v>7.59</v>
      </c>
      <c r="F2307">
        <v>7.59</v>
      </c>
      <c r="G2307" t="s">
        <v>4768</v>
      </c>
      <c r="H2307" t="s">
        <v>5198</v>
      </c>
      <c r="I2307" t="s">
        <v>4814</v>
      </c>
      <c r="J2307" t="s">
        <v>5199</v>
      </c>
      <c r="L2307" t="s">
        <v>4769</v>
      </c>
    </row>
    <row r="2308" spans="1:12" x14ac:dyDescent="0.2">
      <c r="A2308" t="s">
        <v>1767</v>
      </c>
      <c r="B2308" t="s">
        <v>1769</v>
      </c>
      <c r="C2308" t="s">
        <v>4767</v>
      </c>
      <c r="D2308">
        <v>4</v>
      </c>
      <c r="E2308">
        <v>216.48</v>
      </c>
      <c r="F2308">
        <v>216.48</v>
      </c>
      <c r="G2308" t="s">
        <v>4768</v>
      </c>
      <c r="H2308" t="s">
        <v>5045</v>
      </c>
      <c r="I2308" t="s">
        <v>4814</v>
      </c>
      <c r="J2308" t="s">
        <v>5046</v>
      </c>
      <c r="L2308" t="s">
        <v>4769</v>
      </c>
    </row>
    <row r="2309" spans="1:12" x14ac:dyDescent="0.2">
      <c r="A2309" t="s">
        <v>1767</v>
      </c>
      <c r="B2309" t="s">
        <v>1769</v>
      </c>
      <c r="C2309" t="s">
        <v>4767</v>
      </c>
      <c r="D2309">
        <v>4</v>
      </c>
      <c r="E2309">
        <v>247.8</v>
      </c>
      <c r="F2309">
        <v>247.8</v>
      </c>
      <c r="G2309" t="s">
        <v>4768</v>
      </c>
      <c r="H2309" t="s">
        <v>5009</v>
      </c>
      <c r="I2309" t="s">
        <v>4814</v>
      </c>
      <c r="J2309" t="s">
        <v>5010</v>
      </c>
      <c r="L2309" t="s">
        <v>4769</v>
      </c>
    </row>
    <row r="2310" spans="1:12" x14ac:dyDescent="0.2">
      <c r="A2310" t="s">
        <v>1767</v>
      </c>
      <c r="B2310" t="s">
        <v>1769</v>
      </c>
      <c r="C2310" t="s">
        <v>4767</v>
      </c>
      <c r="D2310">
        <v>4</v>
      </c>
      <c r="E2310">
        <v>317.36</v>
      </c>
      <c r="F2310">
        <v>317.36</v>
      </c>
      <c r="G2310" t="s">
        <v>4768</v>
      </c>
      <c r="H2310" t="s">
        <v>5200</v>
      </c>
      <c r="I2310" t="s">
        <v>4814</v>
      </c>
      <c r="J2310" t="s">
        <v>5201</v>
      </c>
      <c r="L2310" t="s">
        <v>4769</v>
      </c>
    </row>
    <row r="2311" spans="1:12" x14ac:dyDescent="0.2">
      <c r="A2311" t="s">
        <v>1767</v>
      </c>
      <c r="B2311" t="s">
        <v>1769</v>
      </c>
      <c r="C2311" t="s">
        <v>4767</v>
      </c>
      <c r="D2311">
        <v>4</v>
      </c>
      <c r="E2311">
        <v>291.32</v>
      </c>
      <c r="F2311">
        <v>291.32</v>
      </c>
      <c r="G2311" t="s">
        <v>4768</v>
      </c>
      <c r="H2311" t="s">
        <v>5202</v>
      </c>
      <c r="I2311" t="s">
        <v>4814</v>
      </c>
      <c r="J2311" t="s">
        <v>5203</v>
      </c>
      <c r="L2311" t="s">
        <v>4769</v>
      </c>
    </row>
    <row r="2312" spans="1:12" x14ac:dyDescent="0.2">
      <c r="A2312" t="s">
        <v>1767</v>
      </c>
      <c r="B2312" t="s">
        <v>1769</v>
      </c>
      <c r="C2312" t="s">
        <v>4767</v>
      </c>
      <c r="D2312">
        <v>4</v>
      </c>
      <c r="E2312">
        <v>21.12</v>
      </c>
      <c r="F2312">
        <v>21.12</v>
      </c>
      <c r="G2312" t="s">
        <v>4768</v>
      </c>
      <c r="H2312" t="s">
        <v>5204</v>
      </c>
      <c r="I2312" t="s">
        <v>4814</v>
      </c>
      <c r="J2312" t="s">
        <v>5205</v>
      </c>
      <c r="L2312" t="s">
        <v>4769</v>
      </c>
    </row>
    <row r="2313" spans="1:12" x14ac:dyDescent="0.2">
      <c r="A2313" t="s">
        <v>1767</v>
      </c>
      <c r="B2313" t="s">
        <v>1769</v>
      </c>
      <c r="C2313" t="s">
        <v>4767</v>
      </c>
      <c r="D2313">
        <v>4</v>
      </c>
      <c r="E2313">
        <v>158.68</v>
      </c>
      <c r="F2313">
        <v>158.68</v>
      </c>
      <c r="G2313" t="s">
        <v>4768</v>
      </c>
      <c r="H2313" t="s">
        <v>5183</v>
      </c>
      <c r="I2313" t="s">
        <v>4814</v>
      </c>
      <c r="J2313" t="s">
        <v>5184</v>
      </c>
      <c r="L2313" t="s">
        <v>4769</v>
      </c>
    </row>
    <row r="2314" spans="1:12" x14ac:dyDescent="0.2">
      <c r="A2314" t="s">
        <v>1767</v>
      </c>
      <c r="B2314" t="s">
        <v>1769</v>
      </c>
      <c r="C2314" t="s">
        <v>4767</v>
      </c>
      <c r="D2314">
        <v>4</v>
      </c>
      <c r="E2314">
        <v>33094</v>
      </c>
      <c r="F2314">
        <v>33094</v>
      </c>
      <c r="G2314" t="s">
        <v>4768</v>
      </c>
      <c r="H2314" t="s">
        <v>5206</v>
      </c>
      <c r="I2314" t="s">
        <v>4814</v>
      </c>
      <c r="J2314" t="s">
        <v>5207</v>
      </c>
      <c r="L2314" t="s">
        <v>4769</v>
      </c>
    </row>
    <row r="2315" spans="1:12" x14ac:dyDescent="0.2">
      <c r="A2315" t="s">
        <v>1767</v>
      </c>
      <c r="B2315" t="s">
        <v>1769</v>
      </c>
      <c r="C2315" t="s">
        <v>4767</v>
      </c>
      <c r="D2315">
        <v>4</v>
      </c>
      <c r="E2315">
        <v>1022.04</v>
      </c>
      <c r="F2315">
        <v>1022.04</v>
      </c>
      <c r="G2315" t="s">
        <v>4768</v>
      </c>
      <c r="H2315" t="s">
        <v>5208</v>
      </c>
      <c r="I2315" t="s">
        <v>4814</v>
      </c>
      <c r="J2315" t="s">
        <v>5209</v>
      </c>
      <c r="L2315" t="s">
        <v>4769</v>
      </c>
    </row>
    <row r="2316" spans="1:12" x14ac:dyDescent="0.2">
      <c r="A2316" t="s">
        <v>1767</v>
      </c>
      <c r="B2316" t="s">
        <v>1769</v>
      </c>
      <c r="C2316" t="s">
        <v>4767</v>
      </c>
      <c r="D2316">
        <v>4</v>
      </c>
      <c r="E2316">
        <v>285.60000000000002</v>
      </c>
      <c r="F2316">
        <v>285.60000000000002</v>
      </c>
      <c r="G2316" t="s">
        <v>4768</v>
      </c>
      <c r="H2316" t="s">
        <v>4895</v>
      </c>
      <c r="I2316" t="s">
        <v>4814</v>
      </c>
      <c r="J2316" t="s">
        <v>4896</v>
      </c>
      <c r="L2316" t="s">
        <v>4769</v>
      </c>
    </row>
    <row r="2317" spans="1:12" x14ac:dyDescent="0.2">
      <c r="A2317" t="s">
        <v>1767</v>
      </c>
      <c r="B2317" t="s">
        <v>1769</v>
      </c>
      <c r="C2317" t="s">
        <v>4767</v>
      </c>
      <c r="D2317">
        <v>4</v>
      </c>
      <c r="E2317">
        <v>159.80000000000001</v>
      </c>
      <c r="F2317">
        <v>159.80000000000001</v>
      </c>
      <c r="G2317" t="s">
        <v>4768</v>
      </c>
      <c r="H2317" t="s">
        <v>4905</v>
      </c>
      <c r="I2317" t="s">
        <v>4814</v>
      </c>
      <c r="J2317" t="s">
        <v>4906</v>
      </c>
      <c r="L2317" t="s">
        <v>4769</v>
      </c>
    </row>
    <row r="2318" spans="1:12" x14ac:dyDescent="0.2">
      <c r="A2318" t="s">
        <v>1767</v>
      </c>
      <c r="B2318" t="s">
        <v>1769</v>
      </c>
      <c r="C2318" t="s">
        <v>4767</v>
      </c>
      <c r="D2318">
        <v>4</v>
      </c>
      <c r="E2318">
        <v>0</v>
      </c>
      <c r="F2318">
        <v>0</v>
      </c>
      <c r="G2318" t="s">
        <v>4768</v>
      </c>
      <c r="H2318" t="s">
        <v>4774</v>
      </c>
      <c r="I2318" t="s">
        <v>4814</v>
      </c>
      <c r="J2318" t="s">
        <v>5167</v>
      </c>
      <c r="L2318" t="s">
        <v>4769</v>
      </c>
    </row>
    <row r="2319" spans="1:12" x14ac:dyDescent="0.2">
      <c r="A2319" t="s">
        <v>1767</v>
      </c>
      <c r="B2319" t="s">
        <v>1769</v>
      </c>
      <c r="C2319" t="s">
        <v>4767</v>
      </c>
      <c r="D2319">
        <v>4</v>
      </c>
      <c r="E2319">
        <v>55.4</v>
      </c>
      <c r="F2319">
        <v>55.4</v>
      </c>
      <c r="G2319" t="s">
        <v>4768</v>
      </c>
      <c r="H2319" t="s">
        <v>5210</v>
      </c>
      <c r="I2319" t="s">
        <v>4814</v>
      </c>
      <c r="J2319" t="s">
        <v>5211</v>
      </c>
      <c r="L2319" t="s">
        <v>4769</v>
      </c>
    </row>
    <row r="2320" spans="1:12" x14ac:dyDescent="0.2">
      <c r="A2320" t="s">
        <v>1767</v>
      </c>
      <c r="B2320" t="s">
        <v>1769</v>
      </c>
      <c r="C2320" t="s">
        <v>4767</v>
      </c>
      <c r="D2320">
        <v>4</v>
      </c>
      <c r="E2320">
        <v>189.36</v>
      </c>
      <c r="F2320">
        <v>189.36</v>
      </c>
      <c r="G2320" t="s">
        <v>4768</v>
      </c>
      <c r="H2320" t="s">
        <v>5103</v>
      </c>
      <c r="I2320" t="s">
        <v>4814</v>
      </c>
      <c r="J2320" t="s">
        <v>5104</v>
      </c>
      <c r="L2320" t="s">
        <v>4769</v>
      </c>
    </row>
    <row r="2321" spans="1:12" x14ac:dyDescent="0.2">
      <c r="A2321" t="s">
        <v>1767</v>
      </c>
      <c r="B2321" t="s">
        <v>1769</v>
      </c>
      <c r="C2321" t="s">
        <v>4767</v>
      </c>
      <c r="D2321">
        <v>4</v>
      </c>
      <c r="E2321">
        <v>53.5</v>
      </c>
      <c r="F2321">
        <v>53.5</v>
      </c>
      <c r="G2321" t="s">
        <v>4768</v>
      </c>
      <c r="H2321" t="s">
        <v>4909</v>
      </c>
      <c r="I2321" t="s">
        <v>4814</v>
      </c>
      <c r="J2321" t="s">
        <v>3748</v>
      </c>
      <c r="L2321" t="s">
        <v>4769</v>
      </c>
    </row>
    <row r="2322" spans="1:12" x14ac:dyDescent="0.2">
      <c r="A2322" t="s">
        <v>1767</v>
      </c>
      <c r="B2322" t="s">
        <v>1769</v>
      </c>
      <c r="C2322" t="s">
        <v>4767</v>
      </c>
      <c r="D2322">
        <v>4</v>
      </c>
      <c r="E2322">
        <v>53.5</v>
      </c>
      <c r="F2322">
        <v>53.5</v>
      </c>
      <c r="G2322" t="s">
        <v>4768</v>
      </c>
      <c r="H2322" t="s">
        <v>4909</v>
      </c>
      <c r="I2322" t="s">
        <v>4814</v>
      </c>
      <c r="J2322" t="s">
        <v>3727</v>
      </c>
      <c r="L2322" t="s">
        <v>4769</v>
      </c>
    </row>
    <row r="2323" spans="1:12" x14ac:dyDescent="0.2">
      <c r="A2323" t="s">
        <v>1767</v>
      </c>
      <c r="B2323" t="s">
        <v>1769</v>
      </c>
      <c r="C2323" t="s">
        <v>4767</v>
      </c>
      <c r="D2323">
        <v>4</v>
      </c>
      <c r="E2323">
        <v>53.5</v>
      </c>
      <c r="F2323">
        <v>53.5</v>
      </c>
      <c r="G2323" t="s">
        <v>4768</v>
      </c>
      <c r="H2323" t="s">
        <v>4909</v>
      </c>
      <c r="I2323" t="s">
        <v>4814</v>
      </c>
      <c r="J2323" t="s">
        <v>4912</v>
      </c>
      <c r="L2323" t="s">
        <v>4769</v>
      </c>
    </row>
    <row r="2324" spans="1:12" x14ac:dyDescent="0.2">
      <c r="A2324" t="s">
        <v>1767</v>
      </c>
      <c r="B2324" t="s">
        <v>1769</v>
      </c>
      <c r="C2324" t="s">
        <v>4767</v>
      </c>
      <c r="D2324">
        <v>4</v>
      </c>
      <c r="E2324">
        <v>107</v>
      </c>
      <c r="F2324">
        <v>107</v>
      </c>
      <c r="G2324" t="s">
        <v>4768</v>
      </c>
      <c r="H2324" t="s">
        <v>4975</v>
      </c>
      <c r="I2324" t="s">
        <v>4814</v>
      </c>
      <c r="J2324" t="s">
        <v>5189</v>
      </c>
      <c r="L2324" t="s">
        <v>4769</v>
      </c>
    </row>
    <row r="2325" spans="1:12" x14ac:dyDescent="0.2">
      <c r="A2325" t="s">
        <v>1767</v>
      </c>
      <c r="B2325" t="s">
        <v>1769</v>
      </c>
      <c r="C2325" t="s">
        <v>4767</v>
      </c>
      <c r="D2325">
        <v>4</v>
      </c>
      <c r="E2325">
        <v>107</v>
      </c>
      <c r="F2325">
        <v>107</v>
      </c>
      <c r="G2325" t="s">
        <v>4768</v>
      </c>
      <c r="H2325" t="s">
        <v>4975</v>
      </c>
      <c r="I2325" t="s">
        <v>4814</v>
      </c>
      <c r="J2325" t="s">
        <v>5212</v>
      </c>
      <c r="L2325" t="s">
        <v>4769</v>
      </c>
    </row>
    <row r="2326" spans="1:12" x14ac:dyDescent="0.2">
      <c r="A2326" t="s">
        <v>1767</v>
      </c>
      <c r="B2326" t="s">
        <v>1769</v>
      </c>
      <c r="C2326" t="s">
        <v>4767</v>
      </c>
      <c r="D2326">
        <v>4</v>
      </c>
      <c r="E2326">
        <v>53.5</v>
      </c>
      <c r="F2326">
        <v>53.5</v>
      </c>
      <c r="G2326" t="s">
        <v>4768</v>
      </c>
      <c r="H2326" t="s">
        <v>4909</v>
      </c>
      <c r="I2326" t="s">
        <v>4814</v>
      </c>
      <c r="J2326" t="s">
        <v>5213</v>
      </c>
      <c r="L2326" t="s">
        <v>4769</v>
      </c>
    </row>
    <row r="2327" spans="1:12" x14ac:dyDescent="0.2">
      <c r="A2327" t="s">
        <v>1767</v>
      </c>
      <c r="B2327" t="s">
        <v>1769</v>
      </c>
      <c r="C2327" t="s">
        <v>4767</v>
      </c>
      <c r="D2327">
        <v>4</v>
      </c>
      <c r="E2327">
        <v>53.5</v>
      </c>
      <c r="F2327">
        <v>53.5</v>
      </c>
      <c r="G2327" t="s">
        <v>4768</v>
      </c>
      <c r="H2327" t="s">
        <v>4909</v>
      </c>
      <c r="I2327" t="s">
        <v>4814</v>
      </c>
      <c r="J2327" t="s">
        <v>5214</v>
      </c>
      <c r="L2327" t="s">
        <v>4769</v>
      </c>
    </row>
    <row r="2328" spans="1:12" x14ac:dyDescent="0.2">
      <c r="A2328" t="s">
        <v>1767</v>
      </c>
      <c r="B2328" t="s">
        <v>1769</v>
      </c>
      <c r="C2328" t="s">
        <v>4767</v>
      </c>
      <c r="D2328">
        <v>4</v>
      </c>
      <c r="E2328">
        <v>224</v>
      </c>
      <c r="F2328">
        <v>224</v>
      </c>
      <c r="G2328" t="s">
        <v>4768</v>
      </c>
      <c r="H2328" t="s">
        <v>5215</v>
      </c>
      <c r="I2328" t="s">
        <v>4814</v>
      </c>
      <c r="J2328" t="s">
        <v>5216</v>
      </c>
      <c r="L2328" t="s">
        <v>4769</v>
      </c>
    </row>
    <row r="2329" spans="1:12" x14ac:dyDescent="0.2">
      <c r="A2329" t="s">
        <v>1767</v>
      </c>
      <c r="B2329" t="s">
        <v>1769</v>
      </c>
      <c r="C2329" t="s">
        <v>4767</v>
      </c>
      <c r="D2329">
        <v>4</v>
      </c>
      <c r="E2329">
        <v>465.76</v>
      </c>
      <c r="F2329">
        <v>465.76</v>
      </c>
      <c r="G2329" t="s">
        <v>4768</v>
      </c>
      <c r="H2329" t="s">
        <v>5217</v>
      </c>
      <c r="I2329" t="s">
        <v>4814</v>
      </c>
      <c r="J2329" t="s">
        <v>5218</v>
      </c>
      <c r="L2329" t="s">
        <v>4769</v>
      </c>
    </row>
    <row r="2330" spans="1:12" x14ac:dyDescent="0.2">
      <c r="A2330" t="s">
        <v>1767</v>
      </c>
      <c r="B2330" t="s">
        <v>1769</v>
      </c>
      <c r="C2330" t="s">
        <v>4767</v>
      </c>
      <c r="D2330">
        <v>4</v>
      </c>
      <c r="E2330">
        <v>2033</v>
      </c>
      <c r="F2330">
        <v>2033</v>
      </c>
      <c r="G2330" t="s">
        <v>4768</v>
      </c>
      <c r="H2330" t="s">
        <v>5219</v>
      </c>
      <c r="I2330" t="s">
        <v>4814</v>
      </c>
      <c r="J2330" t="s">
        <v>5220</v>
      </c>
      <c r="L2330" t="s">
        <v>4769</v>
      </c>
    </row>
    <row r="2331" spans="1:12" x14ac:dyDescent="0.2">
      <c r="A2331" t="s">
        <v>1767</v>
      </c>
      <c r="B2331" t="s">
        <v>1769</v>
      </c>
      <c r="C2331" t="s">
        <v>4767</v>
      </c>
      <c r="D2331">
        <v>4</v>
      </c>
      <c r="E2331">
        <v>406.6</v>
      </c>
      <c r="F2331">
        <v>406.6</v>
      </c>
      <c r="G2331" t="s">
        <v>4768</v>
      </c>
      <c r="H2331" t="s">
        <v>5172</v>
      </c>
      <c r="I2331" t="s">
        <v>4814</v>
      </c>
      <c r="J2331" t="s">
        <v>2257</v>
      </c>
      <c r="L2331" t="s">
        <v>4769</v>
      </c>
    </row>
    <row r="2332" spans="1:12" x14ac:dyDescent="0.2">
      <c r="A2332" t="s">
        <v>1767</v>
      </c>
      <c r="B2332" t="s">
        <v>1769</v>
      </c>
      <c r="C2332" t="s">
        <v>4767</v>
      </c>
      <c r="D2332">
        <v>4</v>
      </c>
      <c r="E2332">
        <v>291.04000000000002</v>
      </c>
      <c r="F2332">
        <v>291.04000000000002</v>
      </c>
      <c r="G2332" t="s">
        <v>4768</v>
      </c>
      <c r="H2332" t="s">
        <v>5221</v>
      </c>
      <c r="I2332" t="s">
        <v>4814</v>
      </c>
      <c r="J2332" t="s">
        <v>5222</v>
      </c>
      <c r="L2332" t="s">
        <v>4769</v>
      </c>
    </row>
    <row r="2333" spans="1:12" x14ac:dyDescent="0.2">
      <c r="A2333" t="s">
        <v>1767</v>
      </c>
      <c r="B2333" t="s">
        <v>1769</v>
      </c>
      <c r="C2333" t="s">
        <v>4767</v>
      </c>
      <c r="D2333">
        <v>4</v>
      </c>
      <c r="E2333">
        <v>616.32000000000005</v>
      </c>
      <c r="F2333">
        <v>616.32000000000005</v>
      </c>
      <c r="G2333" t="s">
        <v>4768</v>
      </c>
      <c r="H2333" t="s">
        <v>4997</v>
      </c>
      <c r="I2333" t="s">
        <v>4814</v>
      </c>
      <c r="J2333" t="s">
        <v>3747</v>
      </c>
      <c r="L2333" t="s">
        <v>4769</v>
      </c>
    </row>
    <row r="2334" spans="1:12" x14ac:dyDescent="0.2">
      <c r="A2334" t="s">
        <v>1767</v>
      </c>
      <c r="B2334" t="s">
        <v>1769</v>
      </c>
      <c r="C2334" t="s">
        <v>4767</v>
      </c>
      <c r="D2334">
        <v>4</v>
      </c>
      <c r="E2334">
        <v>297.45999999999998</v>
      </c>
      <c r="F2334">
        <v>297.45999999999998</v>
      </c>
      <c r="G2334" t="s">
        <v>4768</v>
      </c>
      <c r="H2334" t="s">
        <v>5223</v>
      </c>
      <c r="I2334" t="s">
        <v>4814</v>
      </c>
      <c r="J2334" t="s">
        <v>1998</v>
      </c>
      <c r="L2334" t="s">
        <v>4769</v>
      </c>
    </row>
    <row r="2335" spans="1:12" x14ac:dyDescent="0.2">
      <c r="A2335" t="s">
        <v>1767</v>
      </c>
      <c r="B2335" t="s">
        <v>1769</v>
      </c>
      <c r="C2335" t="s">
        <v>4767</v>
      </c>
      <c r="D2335">
        <v>4</v>
      </c>
      <c r="E2335">
        <v>13.31</v>
      </c>
      <c r="F2335">
        <v>13.31</v>
      </c>
      <c r="G2335" t="s">
        <v>4768</v>
      </c>
      <c r="H2335" t="s">
        <v>5177</v>
      </c>
      <c r="I2335" t="s">
        <v>4814</v>
      </c>
      <c r="J2335" t="s">
        <v>5178</v>
      </c>
      <c r="L2335" t="s">
        <v>4769</v>
      </c>
    </row>
    <row r="2336" spans="1:12" x14ac:dyDescent="0.2">
      <c r="A2336" t="s">
        <v>1767</v>
      </c>
      <c r="B2336" t="s">
        <v>1769</v>
      </c>
      <c r="C2336" t="s">
        <v>4767</v>
      </c>
      <c r="D2336">
        <v>4</v>
      </c>
      <c r="E2336">
        <v>13.31</v>
      </c>
      <c r="F2336">
        <v>13.31</v>
      </c>
      <c r="G2336" t="s">
        <v>4768</v>
      </c>
      <c r="H2336" t="s">
        <v>5177</v>
      </c>
      <c r="I2336" t="s">
        <v>4814</v>
      </c>
      <c r="J2336" t="s">
        <v>5178</v>
      </c>
      <c r="L2336" t="s">
        <v>4769</v>
      </c>
    </row>
    <row r="2337" spans="1:12" x14ac:dyDescent="0.2">
      <c r="A2337" t="s">
        <v>1767</v>
      </c>
      <c r="B2337" t="s">
        <v>1769</v>
      </c>
      <c r="C2337" t="s">
        <v>4767</v>
      </c>
      <c r="D2337">
        <v>4</v>
      </c>
      <c r="E2337">
        <v>26.4</v>
      </c>
      <c r="F2337">
        <v>26.4</v>
      </c>
      <c r="G2337" t="s">
        <v>4768</v>
      </c>
      <c r="H2337" t="s">
        <v>5224</v>
      </c>
      <c r="I2337" t="s">
        <v>4814</v>
      </c>
      <c r="J2337" t="s">
        <v>5225</v>
      </c>
      <c r="L2337" t="s">
        <v>4769</v>
      </c>
    </row>
    <row r="2338" spans="1:12" x14ac:dyDescent="0.2">
      <c r="A2338" t="s">
        <v>1767</v>
      </c>
      <c r="B2338" t="s">
        <v>1769</v>
      </c>
      <c r="C2338" t="s">
        <v>4767</v>
      </c>
      <c r="D2338">
        <v>4</v>
      </c>
      <c r="E2338">
        <v>931.52</v>
      </c>
      <c r="F2338">
        <v>931.52</v>
      </c>
      <c r="G2338" t="s">
        <v>4768</v>
      </c>
      <c r="H2338" t="s">
        <v>5226</v>
      </c>
      <c r="I2338" t="s">
        <v>4814</v>
      </c>
      <c r="J2338" t="s">
        <v>5227</v>
      </c>
      <c r="L2338" t="s">
        <v>4769</v>
      </c>
    </row>
    <row r="2339" spans="1:12" x14ac:dyDescent="0.2">
      <c r="A2339" t="s">
        <v>1767</v>
      </c>
      <c r="B2339" t="s">
        <v>1769</v>
      </c>
      <c r="C2339" t="s">
        <v>4767</v>
      </c>
      <c r="D2339">
        <v>4</v>
      </c>
      <c r="E2339">
        <v>892.38</v>
      </c>
      <c r="F2339">
        <v>892.38</v>
      </c>
      <c r="G2339" t="s">
        <v>4768</v>
      </c>
      <c r="H2339" t="s">
        <v>4961</v>
      </c>
      <c r="I2339" t="s">
        <v>4814</v>
      </c>
      <c r="J2339" t="s">
        <v>1996</v>
      </c>
      <c r="L2339" t="s">
        <v>4769</v>
      </c>
    </row>
    <row r="2340" spans="1:12" x14ac:dyDescent="0.2">
      <c r="A2340" t="s">
        <v>1767</v>
      </c>
      <c r="B2340" t="s">
        <v>1769</v>
      </c>
      <c r="C2340" t="s">
        <v>4767</v>
      </c>
      <c r="D2340">
        <v>4</v>
      </c>
      <c r="E2340">
        <v>46.32</v>
      </c>
      <c r="F2340">
        <v>46.32</v>
      </c>
      <c r="G2340" t="s">
        <v>4768</v>
      </c>
      <c r="H2340" t="s">
        <v>5012</v>
      </c>
      <c r="I2340" t="s">
        <v>4814</v>
      </c>
      <c r="J2340" t="s">
        <v>2093</v>
      </c>
      <c r="L2340" t="s">
        <v>4769</v>
      </c>
    </row>
    <row r="2341" spans="1:12" x14ac:dyDescent="0.2">
      <c r="A2341" t="s">
        <v>1767</v>
      </c>
      <c r="B2341" t="s">
        <v>1769</v>
      </c>
      <c r="C2341" t="s">
        <v>4767</v>
      </c>
      <c r="D2341">
        <v>4</v>
      </c>
      <c r="E2341">
        <v>46.32</v>
      </c>
      <c r="F2341">
        <v>46.32</v>
      </c>
      <c r="G2341" t="s">
        <v>4768</v>
      </c>
      <c r="H2341" t="s">
        <v>5012</v>
      </c>
      <c r="I2341" t="s">
        <v>4814</v>
      </c>
      <c r="J2341" t="s">
        <v>2093</v>
      </c>
      <c r="L2341" t="s">
        <v>4769</v>
      </c>
    </row>
    <row r="2342" spans="1:12" x14ac:dyDescent="0.2">
      <c r="A2342" t="s">
        <v>1767</v>
      </c>
      <c r="B2342" t="s">
        <v>1769</v>
      </c>
      <c r="C2342" t="s">
        <v>4767</v>
      </c>
      <c r="D2342">
        <v>4</v>
      </c>
      <c r="E2342">
        <v>46.32</v>
      </c>
      <c r="F2342">
        <v>46.32</v>
      </c>
      <c r="G2342" t="s">
        <v>4768</v>
      </c>
      <c r="H2342" t="s">
        <v>5012</v>
      </c>
      <c r="I2342" t="s">
        <v>4814</v>
      </c>
      <c r="J2342" t="s">
        <v>2093</v>
      </c>
      <c r="L2342" t="s">
        <v>4769</v>
      </c>
    </row>
    <row r="2343" spans="1:12" x14ac:dyDescent="0.2">
      <c r="A2343" t="s">
        <v>1767</v>
      </c>
      <c r="B2343" t="s">
        <v>1769</v>
      </c>
      <c r="C2343" t="s">
        <v>4767</v>
      </c>
      <c r="D2343">
        <v>4</v>
      </c>
      <c r="E2343">
        <v>46.32</v>
      </c>
      <c r="F2343">
        <v>46.32</v>
      </c>
      <c r="G2343" t="s">
        <v>4768</v>
      </c>
      <c r="H2343" t="s">
        <v>5012</v>
      </c>
      <c r="I2343" t="s">
        <v>4814</v>
      </c>
      <c r="J2343" t="s">
        <v>2093</v>
      </c>
      <c r="L2343" t="s">
        <v>4769</v>
      </c>
    </row>
    <row r="2344" spans="1:12" x14ac:dyDescent="0.2">
      <c r="A2344" t="s">
        <v>1767</v>
      </c>
      <c r="B2344" t="s">
        <v>1769</v>
      </c>
      <c r="C2344" t="s">
        <v>4767</v>
      </c>
      <c r="D2344">
        <v>4</v>
      </c>
      <c r="E2344">
        <v>44344</v>
      </c>
      <c r="F2344">
        <v>44344</v>
      </c>
      <c r="G2344" t="s">
        <v>4768</v>
      </c>
      <c r="H2344" t="s">
        <v>5228</v>
      </c>
      <c r="I2344" t="s">
        <v>4814</v>
      </c>
      <c r="J2344" t="s">
        <v>5229</v>
      </c>
      <c r="L2344" t="s">
        <v>4769</v>
      </c>
    </row>
    <row r="2345" spans="1:12" x14ac:dyDescent="0.2">
      <c r="A2345" t="s">
        <v>1767</v>
      </c>
      <c r="B2345" t="s">
        <v>1769</v>
      </c>
      <c r="C2345" t="s">
        <v>4767</v>
      </c>
      <c r="D2345">
        <v>4</v>
      </c>
      <c r="E2345">
        <v>0</v>
      </c>
      <c r="F2345">
        <v>0</v>
      </c>
      <c r="G2345" t="s">
        <v>4768</v>
      </c>
      <c r="H2345" t="s">
        <v>4774</v>
      </c>
      <c r="I2345" t="s">
        <v>4814</v>
      </c>
      <c r="J2345" t="s">
        <v>5230</v>
      </c>
      <c r="L2345" t="s">
        <v>4769</v>
      </c>
    </row>
    <row r="2346" spans="1:12" x14ac:dyDescent="0.2">
      <c r="A2346" t="s">
        <v>1767</v>
      </c>
      <c r="B2346" t="s">
        <v>1769</v>
      </c>
      <c r="C2346" t="s">
        <v>4767</v>
      </c>
      <c r="D2346">
        <v>4</v>
      </c>
      <c r="E2346">
        <v>0</v>
      </c>
      <c r="F2346">
        <v>0</v>
      </c>
      <c r="G2346" t="s">
        <v>4768</v>
      </c>
      <c r="H2346" t="s">
        <v>4774</v>
      </c>
      <c r="I2346" t="s">
        <v>4814</v>
      </c>
      <c r="J2346" t="s">
        <v>5231</v>
      </c>
      <c r="L2346" t="s">
        <v>4769</v>
      </c>
    </row>
    <row r="2347" spans="1:12" x14ac:dyDescent="0.2">
      <c r="A2347" t="s">
        <v>1767</v>
      </c>
      <c r="B2347" t="s">
        <v>1769</v>
      </c>
      <c r="C2347" t="s">
        <v>4767</v>
      </c>
      <c r="D2347">
        <v>4</v>
      </c>
      <c r="E2347">
        <v>0</v>
      </c>
      <c r="F2347">
        <v>0</v>
      </c>
      <c r="G2347" t="s">
        <v>4768</v>
      </c>
      <c r="H2347" t="s">
        <v>4774</v>
      </c>
      <c r="I2347" t="s">
        <v>4814</v>
      </c>
      <c r="J2347" t="s">
        <v>5232</v>
      </c>
      <c r="L2347" t="s">
        <v>4769</v>
      </c>
    </row>
    <row r="2348" spans="1:12" x14ac:dyDescent="0.2">
      <c r="A2348" t="s">
        <v>1767</v>
      </c>
      <c r="B2348" t="s">
        <v>1769</v>
      </c>
      <c r="C2348" t="s">
        <v>4767</v>
      </c>
      <c r="D2348">
        <v>4</v>
      </c>
      <c r="E2348">
        <v>1994</v>
      </c>
      <c r="F2348">
        <v>1994</v>
      </c>
      <c r="G2348" t="s">
        <v>4768</v>
      </c>
      <c r="H2348" t="s">
        <v>5233</v>
      </c>
      <c r="I2348" t="s">
        <v>4814</v>
      </c>
      <c r="J2348" t="s">
        <v>5234</v>
      </c>
      <c r="L2348" t="s">
        <v>4769</v>
      </c>
    </row>
    <row r="2349" spans="1:12" x14ac:dyDescent="0.2">
      <c r="A2349" t="s">
        <v>1767</v>
      </c>
      <c r="B2349" t="s">
        <v>1769</v>
      </c>
      <c r="C2349" t="s">
        <v>4767</v>
      </c>
      <c r="D2349">
        <v>4</v>
      </c>
      <c r="E2349">
        <v>1994</v>
      </c>
      <c r="F2349">
        <v>1994</v>
      </c>
      <c r="G2349" t="s">
        <v>4768</v>
      </c>
      <c r="H2349" t="s">
        <v>5233</v>
      </c>
      <c r="I2349" t="s">
        <v>4814</v>
      </c>
      <c r="J2349" t="s">
        <v>5235</v>
      </c>
      <c r="L2349" t="s">
        <v>4769</v>
      </c>
    </row>
    <row r="2350" spans="1:12" x14ac:dyDescent="0.2">
      <c r="A2350" t="s">
        <v>1767</v>
      </c>
      <c r="B2350" t="s">
        <v>1769</v>
      </c>
      <c r="C2350" t="s">
        <v>4767</v>
      </c>
      <c r="D2350">
        <v>4</v>
      </c>
      <c r="E2350">
        <v>223.12</v>
      </c>
      <c r="F2350">
        <v>223.12</v>
      </c>
      <c r="G2350" t="s">
        <v>4768</v>
      </c>
      <c r="H2350" t="s">
        <v>5236</v>
      </c>
      <c r="I2350" t="s">
        <v>4814</v>
      </c>
      <c r="J2350" t="s">
        <v>5237</v>
      </c>
      <c r="L2350" t="s">
        <v>4769</v>
      </c>
    </row>
    <row r="2351" spans="1:12" x14ac:dyDescent="0.2">
      <c r="A2351" t="s">
        <v>1767</v>
      </c>
      <c r="B2351" t="s">
        <v>1769</v>
      </c>
      <c r="C2351" t="s">
        <v>4767</v>
      </c>
      <c r="D2351">
        <v>4</v>
      </c>
      <c r="E2351">
        <v>154.08000000000001</v>
      </c>
      <c r="F2351">
        <v>154.08000000000001</v>
      </c>
      <c r="G2351" t="s">
        <v>4768</v>
      </c>
      <c r="H2351" t="s">
        <v>5238</v>
      </c>
      <c r="I2351" t="s">
        <v>4814</v>
      </c>
      <c r="J2351" t="s">
        <v>5239</v>
      </c>
      <c r="L2351" t="s">
        <v>4769</v>
      </c>
    </row>
    <row r="2352" spans="1:12" x14ac:dyDescent="0.2">
      <c r="A2352" t="s">
        <v>1767</v>
      </c>
      <c r="B2352" t="s">
        <v>1769</v>
      </c>
      <c r="C2352" t="s">
        <v>4767</v>
      </c>
      <c r="D2352">
        <v>4</v>
      </c>
      <c r="E2352">
        <v>285.60000000000002</v>
      </c>
      <c r="F2352">
        <v>285.60000000000002</v>
      </c>
      <c r="G2352" t="s">
        <v>4768</v>
      </c>
      <c r="H2352" t="s">
        <v>4895</v>
      </c>
      <c r="I2352" t="s">
        <v>4814</v>
      </c>
      <c r="J2352" t="s">
        <v>4896</v>
      </c>
      <c r="L2352" t="s">
        <v>4769</v>
      </c>
    </row>
    <row r="2353" spans="1:12" x14ac:dyDescent="0.2">
      <c r="A2353" t="s">
        <v>1767</v>
      </c>
      <c r="B2353" t="s">
        <v>1769</v>
      </c>
      <c r="C2353" t="s">
        <v>4767</v>
      </c>
      <c r="D2353">
        <v>4</v>
      </c>
      <c r="E2353">
        <v>110.8</v>
      </c>
      <c r="F2353">
        <v>110.8</v>
      </c>
      <c r="G2353" t="s">
        <v>4768</v>
      </c>
      <c r="H2353" t="s">
        <v>5240</v>
      </c>
      <c r="I2353" t="s">
        <v>4814</v>
      </c>
      <c r="J2353" t="s">
        <v>5241</v>
      </c>
      <c r="L2353" t="s">
        <v>4769</v>
      </c>
    </row>
    <row r="2354" spans="1:12" x14ac:dyDescent="0.2">
      <c r="A2354" t="s">
        <v>1767</v>
      </c>
      <c r="B2354" t="s">
        <v>1769</v>
      </c>
      <c r="C2354" t="s">
        <v>4767</v>
      </c>
      <c r="D2354">
        <v>4</v>
      </c>
      <c r="E2354">
        <v>631.20000000000005</v>
      </c>
      <c r="F2354">
        <v>631.20000000000005</v>
      </c>
      <c r="G2354" t="s">
        <v>4768</v>
      </c>
      <c r="H2354" t="s">
        <v>5242</v>
      </c>
      <c r="I2354" t="s">
        <v>4814</v>
      </c>
      <c r="J2354" t="s">
        <v>5243</v>
      </c>
      <c r="L2354" t="s">
        <v>4769</v>
      </c>
    </row>
    <row r="2355" spans="1:12" x14ac:dyDescent="0.2">
      <c r="A2355" t="s">
        <v>1767</v>
      </c>
      <c r="B2355" t="s">
        <v>1769</v>
      </c>
      <c r="C2355" t="s">
        <v>4767</v>
      </c>
      <c r="D2355">
        <v>4</v>
      </c>
      <c r="E2355">
        <v>53.5</v>
      </c>
      <c r="F2355">
        <v>53.5</v>
      </c>
      <c r="G2355" t="s">
        <v>4768</v>
      </c>
      <c r="H2355" t="s">
        <v>4909</v>
      </c>
      <c r="I2355" t="s">
        <v>4814</v>
      </c>
      <c r="J2355" t="s">
        <v>4912</v>
      </c>
      <c r="L2355" t="s">
        <v>4769</v>
      </c>
    </row>
    <row r="2356" spans="1:12" x14ac:dyDescent="0.2">
      <c r="A2356" t="s">
        <v>1767</v>
      </c>
      <c r="B2356" t="s">
        <v>1769</v>
      </c>
      <c r="C2356" t="s">
        <v>4767</v>
      </c>
      <c r="D2356">
        <v>4</v>
      </c>
      <c r="E2356">
        <v>107</v>
      </c>
      <c r="F2356">
        <v>107</v>
      </c>
      <c r="G2356" t="s">
        <v>4768</v>
      </c>
      <c r="H2356" t="s">
        <v>4975</v>
      </c>
      <c r="I2356" t="s">
        <v>4814</v>
      </c>
      <c r="J2356" t="s">
        <v>4976</v>
      </c>
      <c r="L2356" t="s">
        <v>4769</v>
      </c>
    </row>
    <row r="2357" spans="1:12" x14ac:dyDescent="0.2">
      <c r="A2357" t="s">
        <v>1767</v>
      </c>
      <c r="B2357" t="s">
        <v>1769</v>
      </c>
      <c r="C2357" t="s">
        <v>4767</v>
      </c>
      <c r="D2357">
        <v>4</v>
      </c>
      <c r="E2357">
        <v>107</v>
      </c>
      <c r="F2357">
        <v>107</v>
      </c>
      <c r="G2357" t="s">
        <v>4768</v>
      </c>
      <c r="H2357" t="s">
        <v>4975</v>
      </c>
      <c r="I2357" t="s">
        <v>4814</v>
      </c>
      <c r="J2357" t="s">
        <v>5189</v>
      </c>
      <c r="L2357" t="s">
        <v>4769</v>
      </c>
    </row>
    <row r="2358" spans="1:12" x14ac:dyDescent="0.2">
      <c r="A2358" t="s">
        <v>1767</v>
      </c>
      <c r="B2358" t="s">
        <v>1769</v>
      </c>
      <c r="C2358" t="s">
        <v>4767</v>
      </c>
      <c r="D2358">
        <v>4</v>
      </c>
      <c r="E2358">
        <v>374.5</v>
      </c>
      <c r="F2358">
        <v>374.5</v>
      </c>
      <c r="G2358" t="s">
        <v>4768</v>
      </c>
      <c r="H2358" t="s">
        <v>4973</v>
      </c>
      <c r="I2358" t="s">
        <v>4814</v>
      </c>
      <c r="J2358" t="s">
        <v>5244</v>
      </c>
      <c r="L2358" t="s">
        <v>4769</v>
      </c>
    </row>
    <row r="2359" spans="1:12" x14ac:dyDescent="0.2">
      <c r="A2359" t="s">
        <v>1767</v>
      </c>
      <c r="B2359" t="s">
        <v>1769</v>
      </c>
      <c r="C2359" t="s">
        <v>4767</v>
      </c>
      <c r="D2359">
        <v>4</v>
      </c>
      <c r="E2359">
        <v>107</v>
      </c>
      <c r="F2359">
        <v>107</v>
      </c>
      <c r="G2359" t="s">
        <v>4768</v>
      </c>
      <c r="H2359" t="s">
        <v>4975</v>
      </c>
      <c r="I2359" t="s">
        <v>4814</v>
      </c>
      <c r="J2359" t="s">
        <v>5245</v>
      </c>
      <c r="L2359" t="s">
        <v>4769</v>
      </c>
    </row>
    <row r="2360" spans="1:12" x14ac:dyDescent="0.2">
      <c r="A2360" t="s">
        <v>1767</v>
      </c>
      <c r="B2360" t="s">
        <v>1769</v>
      </c>
      <c r="C2360" t="s">
        <v>4767</v>
      </c>
      <c r="D2360">
        <v>4</v>
      </c>
      <c r="E2360">
        <v>107</v>
      </c>
      <c r="F2360">
        <v>107</v>
      </c>
      <c r="G2360" t="s">
        <v>4768</v>
      </c>
      <c r="H2360" t="s">
        <v>4975</v>
      </c>
      <c r="I2360" t="s">
        <v>4814</v>
      </c>
      <c r="J2360" t="s">
        <v>5246</v>
      </c>
      <c r="L2360" t="s">
        <v>4769</v>
      </c>
    </row>
    <row r="2361" spans="1:12" x14ac:dyDescent="0.2">
      <c r="A2361" t="s">
        <v>1767</v>
      </c>
      <c r="B2361" t="s">
        <v>1769</v>
      </c>
      <c r="C2361" t="s">
        <v>4767</v>
      </c>
      <c r="D2361">
        <v>4</v>
      </c>
      <c r="E2361">
        <v>3220.7</v>
      </c>
      <c r="F2361">
        <v>3220.7</v>
      </c>
      <c r="G2361" t="s">
        <v>4768</v>
      </c>
      <c r="H2361" t="s">
        <v>5247</v>
      </c>
      <c r="I2361" t="s">
        <v>4814</v>
      </c>
      <c r="J2361" t="s">
        <v>5248</v>
      </c>
      <c r="L2361" t="s">
        <v>4769</v>
      </c>
    </row>
    <row r="2362" spans="1:12" x14ac:dyDescent="0.2">
      <c r="A2362" t="s">
        <v>1767</v>
      </c>
      <c r="B2362" t="s">
        <v>1769</v>
      </c>
      <c r="C2362" t="s">
        <v>4767</v>
      </c>
      <c r="D2362">
        <v>4</v>
      </c>
      <c r="E2362">
        <v>2033</v>
      </c>
      <c r="F2362">
        <v>2033</v>
      </c>
      <c r="G2362" t="s">
        <v>4768</v>
      </c>
      <c r="H2362" t="s">
        <v>5219</v>
      </c>
      <c r="I2362" t="s">
        <v>4814</v>
      </c>
      <c r="J2362" t="s">
        <v>5220</v>
      </c>
      <c r="L2362" t="s">
        <v>4769</v>
      </c>
    </row>
    <row r="2363" spans="1:12" x14ac:dyDescent="0.2">
      <c r="A2363" t="s">
        <v>1767</v>
      </c>
      <c r="B2363" t="s">
        <v>1769</v>
      </c>
      <c r="C2363" t="s">
        <v>4767</v>
      </c>
      <c r="D2363">
        <v>4</v>
      </c>
      <c r="E2363">
        <v>406.6</v>
      </c>
      <c r="F2363">
        <v>406.6</v>
      </c>
      <c r="G2363" t="s">
        <v>4768</v>
      </c>
      <c r="H2363" t="s">
        <v>5172</v>
      </c>
      <c r="I2363" t="s">
        <v>4814</v>
      </c>
      <c r="J2363" t="s">
        <v>2257</v>
      </c>
      <c r="L2363" t="s">
        <v>4769</v>
      </c>
    </row>
    <row r="2364" spans="1:12" x14ac:dyDescent="0.2">
      <c r="A2364" t="s">
        <v>1767</v>
      </c>
      <c r="B2364" t="s">
        <v>1769</v>
      </c>
      <c r="C2364" t="s">
        <v>4767</v>
      </c>
      <c r="D2364">
        <v>4</v>
      </c>
      <c r="E2364">
        <v>159.80000000000001</v>
      </c>
      <c r="F2364">
        <v>159.80000000000001</v>
      </c>
      <c r="G2364" t="s">
        <v>4768</v>
      </c>
      <c r="H2364" t="s">
        <v>4905</v>
      </c>
      <c r="I2364" t="s">
        <v>4814</v>
      </c>
      <c r="J2364" t="s">
        <v>4906</v>
      </c>
      <c r="L2364" t="s">
        <v>4769</v>
      </c>
    </row>
    <row r="2365" spans="1:12" x14ac:dyDescent="0.2">
      <c r="A2365" t="s">
        <v>1767</v>
      </c>
      <c r="B2365" t="s">
        <v>1769</v>
      </c>
      <c r="C2365" t="s">
        <v>4767</v>
      </c>
      <c r="D2365">
        <v>4</v>
      </c>
      <c r="E2365">
        <v>637.72</v>
      </c>
      <c r="F2365">
        <v>637.72</v>
      </c>
      <c r="G2365" t="s">
        <v>4768</v>
      </c>
      <c r="H2365" t="s">
        <v>4943</v>
      </c>
      <c r="I2365" t="s">
        <v>4814</v>
      </c>
      <c r="J2365" t="s">
        <v>2230</v>
      </c>
      <c r="L2365" t="s">
        <v>4769</v>
      </c>
    </row>
    <row r="2366" spans="1:12" x14ac:dyDescent="0.2">
      <c r="A2366" t="s">
        <v>1767</v>
      </c>
      <c r="B2366" t="s">
        <v>1769</v>
      </c>
      <c r="C2366" t="s">
        <v>4767</v>
      </c>
      <c r="D2366">
        <v>4</v>
      </c>
      <c r="E2366">
        <v>37.950000000000003</v>
      </c>
      <c r="F2366">
        <v>37.950000000000003</v>
      </c>
      <c r="G2366" t="s">
        <v>4768</v>
      </c>
      <c r="H2366" t="s">
        <v>4881</v>
      </c>
      <c r="I2366" t="s">
        <v>4814</v>
      </c>
      <c r="J2366" t="s">
        <v>4882</v>
      </c>
      <c r="L2366" t="s">
        <v>4769</v>
      </c>
    </row>
    <row r="2367" spans="1:12" x14ac:dyDescent="0.2">
      <c r="A2367" t="s">
        <v>1767</v>
      </c>
      <c r="B2367" t="s">
        <v>1769</v>
      </c>
      <c r="C2367" t="s">
        <v>4767</v>
      </c>
      <c r="D2367">
        <v>4</v>
      </c>
      <c r="E2367">
        <v>26.75</v>
      </c>
      <c r="F2367">
        <v>26.75</v>
      </c>
      <c r="G2367" t="s">
        <v>4768</v>
      </c>
      <c r="H2367" t="s">
        <v>4879</v>
      </c>
      <c r="I2367" t="s">
        <v>4814</v>
      </c>
      <c r="J2367" t="s">
        <v>5249</v>
      </c>
      <c r="L2367" t="s">
        <v>4769</v>
      </c>
    </row>
    <row r="2368" spans="1:12" x14ac:dyDescent="0.2">
      <c r="A2368" t="s">
        <v>1767</v>
      </c>
      <c r="B2368" t="s">
        <v>1769</v>
      </c>
      <c r="C2368" t="s">
        <v>4767</v>
      </c>
      <c r="D2368">
        <v>4</v>
      </c>
      <c r="E2368">
        <v>53.5</v>
      </c>
      <c r="F2368">
        <v>53.5</v>
      </c>
      <c r="G2368" t="s">
        <v>4768</v>
      </c>
      <c r="H2368" t="s">
        <v>4909</v>
      </c>
      <c r="I2368" t="s">
        <v>4814</v>
      </c>
      <c r="J2368" t="s">
        <v>4960</v>
      </c>
      <c r="L2368" t="s">
        <v>4769</v>
      </c>
    </row>
    <row r="2369" spans="1:12" x14ac:dyDescent="0.2">
      <c r="A2369" t="s">
        <v>1767</v>
      </c>
      <c r="B2369" t="s">
        <v>1769</v>
      </c>
      <c r="C2369" t="s">
        <v>4767</v>
      </c>
      <c r="D2369">
        <v>4</v>
      </c>
      <c r="E2369">
        <v>214</v>
      </c>
      <c r="F2369">
        <v>214</v>
      </c>
      <c r="G2369" t="s">
        <v>4768</v>
      </c>
      <c r="H2369" t="s">
        <v>5019</v>
      </c>
      <c r="I2369" t="s">
        <v>4814</v>
      </c>
      <c r="J2369" t="s">
        <v>5250</v>
      </c>
      <c r="L2369" t="s">
        <v>4769</v>
      </c>
    </row>
    <row r="2370" spans="1:12" x14ac:dyDescent="0.2">
      <c r="A2370" t="s">
        <v>1767</v>
      </c>
      <c r="B2370" t="s">
        <v>1769</v>
      </c>
      <c r="C2370" t="s">
        <v>4767</v>
      </c>
      <c r="D2370">
        <v>4</v>
      </c>
      <c r="E2370">
        <v>107</v>
      </c>
      <c r="F2370">
        <v>107</v>
      </c>
      <c r="G2370" t="s">
        <v>4768</v>
      </c>
      <c r="H2370" t="s">
        <v>4975</v>
      </c>
      <c r="I2370" t="s">
        <v>4814</v>
      </c>
      <c r="J2370" t="s">
        <v>5189</v>
      </c>
      <c r="L2370" t="s">
        <v>4769</v>
      </c>
    </row>
    <row r="2371" spans="1:12" x14ac:dyDescent="0.2">
      <c r="A2371" t="s">
        <v>1767</v>
      </c>
      <c r="B2371" t="s">
        <v>1769</v>
      </c>
      <c r="C2371" t="s">
        <v>4767</v>
      </c>
      <c r="D2371">
        <v>4</v>
      </c>
      <c r="E2371">
        <v>166.2</v>
      </c>
      <c r="F2371">
        <v>166.2</v>
      </c>
      <c r="G2371" t="s">
        <v>4768</v>
      </c>
      <c r="H2371" t="s">
        <v>5065</v>
      </c>
      <c r="I2371" t="s">
        <v>4814</v>
      </c>
      <c r="J2371" t="s">
        <v>5066</v>
      </c>
      <c r="L2371" t="s">
        <v>4769</v>
      </c>
    </row>
    <row r="2372" spans="1:12" x14ac:dyDescent="0.2">
      <c r="A2372" t="s">
        <v>1767</v>
      </c>
      <c r="B2372" t="s">
        <v>1769</v>
      </c>
      <c r="C2372" t="s">
        <v>4767</v>
      </c>
      <c r="D2372">
        <v>4</v>
      </c>
      <c r="E2372">
        <v>166.2</v>
      </c>
      <c r="F2372">
        <v>166.2</v>
      </c>
      <c r="G2372" t="s">
        <v>4768</v>
      </c>
      <c r="H2372" t="s">
        <v>5065</v>
      </c>
      <c r="I2372" t="s">
        <v>4814</v>
      </c>
      <c r="J2372" t="s">
        <v>5066</v>
      </c>
      <c r="L2372" t="s">
        <v>4769</v>
      </c>
    </row>
    <row r="2373" spans="1:12" x14ac:dyDescent="0.2">
      <c r="A2373" t="s">
        <v>1767</v>
      </c>
      <c r="B2373" t="s">
        <v>1769</v>
      </c>
      <c r="C2373" t="s">
        <v>4767</v>
      </c>
      <c r="D2373">
        <v>4</v>
      </c>
      <c r="E2373">
        <v>-166.2</v>
      </c>
      <c r="F2373">
        <v>-166.2</v>
      </c>
      <c r="G2373" t="s">
        <v>4768</v>
      </c>
      <c r="H2373" t="s">
        <v>5069</v>
      </c>
      <c r="I2373" t="s">
        <v>4814</v>
      </c>
      <c r="J2373" t="s">
        <v>5070</v>
      </c>
      <c r="L2373" t="s">
        <v>4769</v>
      </c>
    </row>
    <row r="2374" spans="1:12" x14ac:dyDescent="0.2">
      <c r="A2374" t="s">
        <v>1767</v>
      </c>
      <c r="B2374" t="s">
        <v>1769</v>
      </c>
      <c r="C2374" t="s">
        <v>4767</v>
      </c>
      <c r="D2374">
        <v>4</v>
      </c>
      <c r="E2374">
        <v>166.2</v>
      </c>
      <c r="F2374">
        <v>166.2</v>
      </c>
      <c r="G2374" t="s">
        <v>4768</v>
      </c>
      <c r="H2374" t="s">
        <v>5065</v>
      </c>
      <c r="I2374" t="s">
        <v>4814</v>
      </c>
      <c r="J2374" t="s">
        <v>5066</v>
      </c>
      <c r="L2374" t="s">
        <v>4769</v>
      </c>
    </row>
    <row r="2375" spans="1:12" x14ac:dyDescent="0.2">
      <c r="A2375" t="s">
        <v>1767</v>
      </c>
      <c r="B2375" t="s">
        <v>1769</v>
      </c>
      <c r="C2375" t="s">
        <v>4767</v>
      </c>
      <c r="D2375">
        <v>4</v>
      </c>
      <c r="E2375">
        <v>315.60000000000002</v>
      </c>
      <c r="F2375">
        <v>315.60000000000002</v>
      </c>
      <c r="G2375" t="s">
        <v>4768</v>
      </c>
      <c r="H2375" t="s">
        <v>5251</v>
      </c>
      <c r="I2375" t="s">
        <v>4814</v>
      </c>
      <c r="J2375" t="s">
        <v>5252</v>
      </c>
      <c r="L2375" t="s">
        <v>4769</v>
      </c>
    </row>
    <row r="2376" spans="1:12" x14ac:dyDescent="0.2">
      <c r="A2376" t="s">
        <v>1767</v>
      </c>
      <c r="B2376" t="s">
        <v>1769</v>
      </c>
      <c r="C2376" t="s">
        <v>4767</v>
      </c>
      <c r="D2376">
        <v>4</v>
      </c>
      <c r="E2376">
        <v>53.5</v>
      </c>
      <c r="F2376">
        <v>53.5</v>
      </c>
      <c r="G2376" t="s">
        <v>4768</v>
      </c>
      <c r="H2376" t="s">
        <v>4909</v>
      </c>
      <c r="I2376" t="s">
        <v>4814</v>
      </c>
      <c r="J2376" t="s">
        <v>4912</v>
      </c>
      <c r="L2376" t="s">
        <v>4769</v>
      </c>
    </row>
    <row r="2377" spans="1:12" x14ac:dyDescent="0.2">
      <c r="A2377" t="s">
        <v>1767</v>
      </c>
      <c r="B2377" t="s">
        <v>1769</v>
      </c>
      <c r="C2377" t="s">
        <v>4767</v>
      </c>
      <c r="D2377">
        <v>4</v>
      </c>
      <c r="E2377">
        <v>107</v>
      </c>
      <c r="F2377">
        <v>107</v>
      </c>
      <c r="G2377" t="s">
        <v>4768</v>
      </c>
      <c r="H2377" t="s">
        <v>4975</v>
      </c>
      <c r="I2377" t="s">
        <v>4814</v>
      </c>
      <c r="J2377" t="s">
        <v>4976</v>
      </c>
      <c r="L2377" t="s">
        <v>4769</v>
      </c>
    </row>
    <row r="2378" spans="1:12" x14ac:dyDescent="0.2">
      <c r="A2378" t="s">
        <v>1767</v>
      </c>
      <c r="B2378" t="s">
        <v>1769</v>
      </c>
      <c r="C2378" t="s">
        <v>4767</v>
      </c>
      <c r="D2378">
        <v>4</v>
      </c>
      <c r="E2378">
        <v>321</v>
      </c>
      <c r="F2378">
        <v>321</v>
      </c>
      <c r="G2378" t="s">
        <v>4768</v>
      </c>
      <c r="H2378" t="s">
        <v>5127</v>
      </c>
      <c r="I2378" t="s">
        <v>4814</v>
      </c>
      <c r="J2378" t="s">
        <v>5128</v>
      </c>
      <c r="L2378" t="s">
        <v>4769</v>
      </c>
    </row>
    <row r="2379" spans="1:12" x14ac:dyDescent="0.2">
      <c r="A2379" t="s">
        <v>1767</v>
      </c>
      <c r="B2379" t="s">
        <v>1769</v>
      </c>
      <c r="C2379" t="s">
        <v>4767</v>
      </c>
      <c r="D2379">
        <v>4</v>
      </c>
      <c r="E2379">
        <v>877.4</v>
      </c>
      <c r="F2379">
        <v>877.4</v>
      </c>
      <c r="G2379" t="s">
        <v>4768</v>
      </c>
      <c r="H2379" t="s">
        <v>5253</v>
      </c>
      <c r="I2379" t="s">
        <v>4814</v>
      </c>
      <c r="J2379" t="s">
        <v>5254</v>
      </c>
      <c r="L2379" t="s">
        <v>4769</v>
      </c>
    </row>
    <row r="2380" spans="1:12" x14ac:dyDescent="0.2">
      <c r="A2380" t="s">
        <v>1767</v>
      </c>
      <c r="B2380" t="s">
        <v>1769</v>
      </c>
      <c r="C2380" t="s">
        <v>4767</v>
      </c>
      <c r="D2380">
        <v>4</v>
      </c>
      <c r="E2380">
        <v>1489.44</v>
      </c>
      <c r="F2380">
        <v>1489.44</v>
      </c>
      <c r="G2380" t="s">
        <v>4768</v>
      </c>
      <c r="H2380" t="s">
        <v>5129</v>
      </c>
      <c r="I2380" t="s">
        <v>4814</v>
      </c>
      <c r="J2380" t="s">
        <v>5130</v>
      </c>
      <c r="L2380" t="s">
        <v>4769</v>
      </c>
    </row>
    <row r="2381" spans="1:12" x14ac:dyDescent="0.2">
      <c r="A2381" t="s">
        <v>1767</v>
      </c>
      <c r="B2381" t="s">
        <v>1769</v>
      </c>
      <c r="C2381" t="s">
        <v>4767</v>
      </c>
      <c r="D2381">
        <v>4</v>
      </c>
      <c r="E2381">
        <v>791.8</v>
      </c>
      <c r="F2381">
        <v>791.8</v>
      </c>
      <c r="G2381" t="s">
        <v>4768</v>
      </c>
      <c r="H2381" t="s">
        <v>5255</v>
      </c>
      <c r="I2381" t="s">
        <v>4814</v>
      </c>
      <c r="J2381" t="s">
        <v>2173</v>
      </c>
      <c r="L2381" t="s">
        <v>4769</v>
      </c>
    </row>
    <row r="2382" spans="1:12" x14ac:dyDescent="0.2">
      <c r="A2382" t="s">
        <v>1767</v>
      </c>
      <c r="B2382" t="s">
        <v>1769</v>
      </c>
      <c r="C2382" t="s">
        <v>4767</v>
      </c>
      <c r="D2382">
        <v>4</v>
      </c>
      <c r="E2382">
        <v>406.6</v>
      </c>
      <c r="F2382">
        <v>406.6</v>
      </c>
      <c r="G2382" t="s">
        <v>4768</v>
      </c>
      <c r="H2382" t="s">
        <v>5172</v>
      </c>
      <c r="I2382" t="s">
        <v>4814</v>
      </c>
      <c r="J2382" t="s">
        <v>2257</v>
      </c>
      <c r="L2382" t="s">
        <v>4769</v>
      </c>
    </row>
    <row r="2383" spans="1:12" x14ac:dyDescent="0.2">
      <c r="A2383" t="s">
        <v>1767</v>
      </c>
      <c r="B2383" t="s">
        <v>1769</v>
      </c>
      <c r="C2383" t="s">
        <v>4767</v>
      </c>
      <c r="D2383">
        <v>4</v>
      </c>
      <c r="E2383">
        <v>406.6</v>
      </c>
      <c r="F2383">
        <v>406.6</v>
      </c>
      <c r="G2383" t="s">
        <v>4768</v>
      </c>
      <c r="H2383" t="s">
        <v>5172</v>
      </c>
      <c r="I2383" t="s">
        <v>4814</v>
      </c>
      <c r="J2383" t="s">
        <v>2257</v>
      </c>
      <c r="L2383" t="s">
        <v>4769</v>
      </c>
    </row>
    <row r="2384" spans="1:12" x14ac:dyDescent="0.2">
      <c r="A2384" t="s">
        <v>1767</v>
      </c>
      <c r="B2384" t="s">
        <v>1769</v>
      </c>
      <c r="C2384" t="s">
        <v>4767</v>
      </c>
      <c r="D2384">
        <v>4</v>
      </c>
      <c r="E2384">
        <v>1275.44</v>
      </c>
      <c r="F2384">
        <v>1275.44</v>
      </c>
      <c r="G2384" t="s">
        <v>4768</v>
      </c>
      <c r="H2384" t="s">
        <v>5021</v>
      </c>
      <c r="I2384" t="s">
        <v>4814</v>
      </c>
      <c r="J2384" t="s">
        <v>2024</v>
      </c>
      <c r="L2384" t="s">
        <v>4769</v>
      </c>
    </row>
    <row r="2385" spans="1:12" x14ac:dyDescent="0.2">
      <c r="A2385" t="s">
        <v>1767</v>
      </c>
      <c r="B2385" t="s">
        <v>1769</v>
      </c>
      <c r="C2385" t="s">
        <v>4767</v>
      </c>
      <c r="D2385">
        <v>4</v>
      </c>
      <c r="E2385">
        <v>616.32000000000005</v>
      </c>
      <c r="F2385">
        <v>616.32000000000005</v>
      </c>
      <c r="G2385" t="s">
        <v>4768</v>
      </c>
      <c r="H2385" t="s">
        <v>4997</v>
      </c>
      <c r="I2385" t="s">
        <v>4814</v>
      </c>
      <c r="J2385" t="s">
        <v>3747</v>
      </c>
      <c r="L2385" t="s">
        <v>4769</v>
      </c>
    </row>
    <row r="2386" spans="1:12" x14ac:dyDescent="0.2">
      <c r="A2386" t="s">
        <v>1767</v>
      </c>
      <c r="B2386" t="s">
        <v>1769</v>
      </c>
      <c r="C2386" t="s">
        <v>4767</v>
      </c>
      <c r="D2386">
        <v>4</v>
      </c>
      <c r="E2386">
        <v>892.38</v>
      </c>
      <c r="F2386">
        <v>892.38</v>
      </c>
      <c r="G2386" t="s">
        <v>4768</v>
      </c>
      <c r="H2386" t="s">
        <v>4961</v>
      </c>
      <c r="I2386" t="s">
        <v>4814</v>
      </c>
      <c r="J2386" t="s">
        <v>1996</v>
      </c>
      <c r="L2386" t="s">
        <v>4769</v>
      </c>
    </row>
    <row r="2387" spans="1:12" x14ac:dyDescent="0.2">
      <c r="A2387" t="s">
        <v>1767</v>
      </c>
      <c r="B2387" t="s">
        <v>1769</v>
      </c>
      <c r="C2387" t="s">
        <v>4767</v>
      </c>
      <c r="D2387">
        <v>4</v>
      </c>
      <c r="E2387">
        <v>10.56</v>
      </c>
      <c r="F2387">
        <v>10.56</v>
      </c>
      <c r="G2387" t="s">
        <v>4768</v>
      </c>
      <c r="H2387" t="s">
        <v>5000</v>
      </c>
      <c r="I2387" t="s">
        <v>4814</v>
      </c>
      <c r="J2387" t="s">
        <v>5001</v>
      </c>
      <c r="L2387" t="s">
        <v>4769</v>
      </c>
    </row>
    <row r="2388" spans="1:12" x14ac:dyDescent="0.2">
      <c r="A2388" t="s">
        <v>1767</v>
      </c>
      <c r="B2388" t="s">
        <v>1769</v>
      </c>
      <c r="C2388" t="s">
        <v>4767</v>
      </c>
      <c r="D2388">
        <v>4</v>
      </c>
      <c r="E2388">
        <v>611.30999999999995</v>
      </c>
      <c r="F2388">
        <v>611.30999999999995</v>
      </c>
      <c r="G2388" t="s">
        <v>4768</v>
      </c>
      <c r="H2388" t="s">
        <v>5256</v>
      </c>
      <c r="I2388" t="s">
        <v>4814</v>
      </c>
      <c r="J2388" t="s">
        <v>5257</v>
      </c>
      <c r="L2388" t="s">
        <v>4769</v>
      </c>
    </row>
    <row r="2389" spans="1:12" x14ac:dyDescent="0.2">
      <c r="A2389" t="s">
        <v>1767</v>
      </c>
      <c r="B2389" t="s">
        <v>1769</v>
      </c>
      <c r="C2389" t="s">
        <v>4767</v>
      </c>
      <c r="D2389">
        <v>4</v>
      </c>
      <c r="E2389">
        <v>316.92</v>
      </c>
      <c r="F2389">
        <v>316.92</v>
      </c>
      <c r="G2389" t="s">
        <v>4768</v>
      </c>
      <c r="H2389" t="s">
        <v>5137</v>
      </c>
      <c r="I2389" t="s">
        <v>4814</v>
      </c>
      <c r="J2389" t="s">
        <v>5138</v>
      </c>
      <c r="L2389" t="s">
        <v>4769</v>
      </c>
    </row>
    <row r="2390" spans="1:12" x14ac:dyDescent="0.2">
      <c r="A2390" t="s">
        <v>1767</v>
      </c>
      <c r="B2390" t="s">
        <v>1769</v>
      </c>
      <c r="C2390" t="s">
        <v>4767</v>
      </c>
      <c r="D2390">
        <v>4</v>
      </c>
      <c r="E2390">
        <v>29.44</v>
      </c>
      <c r="F2390">
        <v>29.44</v>
      </c>
      <c r="G2390" t="s">
        <v>4768</v>
      </c>
      <c r="H2390" t="s">
        <v>5258</v>
      </c>
      <c r="I2390" t="s">
        <v>4814</v>
      </c>
      <c r="J2390" t="s">
        <v>5259</v>
      </c>
      <c r="L2390" t="s">
        <v>4769</v>
      </c>
    </row>
    <row r="2391" spans="1:12" x14ac:dyDescent="0.2">
      <c r="A2391" t="s">
        <v>1767</v>
      </c>
      <c r="B2391" t="s">
        <v>1769</v>
      </c>
      <c r="C2391" t="s">
        <v>4767</v>
      </c>
      <c r="D2391">
        <v>4</v>
      </c>
      <c r="E2391">
        <v>53.5</v>
      </c>
      <c r="F2391">
        <v>53.5</v>
      </c>
      <c r="G2391" t="s">
        <v>4768</v>
      </c>
      <c r="H2391" t="s">
        <v>4909</v>
      </c>
      <c r="I2391" t="s">
        <v>4814</v>
      </c>
      <c r="J2391" t="s">
        <v>4959</v>
      </c>
      <c r="L2391" t="s">
        <v>4769</v>
      </c>
    </row>
    <row r="2392" spans="1:12" x14ac:dyDescent="0.2">
      <c r="A2392" t="s">
        <v>1767</v>
      </c>
      <c r="B2392" t="s">
        <v>1769</v>
      </c>
      <c r="C2392" t="s">
        <v>4767</v>
      </c>
      <c r="D2392">
        <v>4</v>
      </c>
      <c r="E2392">
        <v>107</v>
      </c>
      <c r="F2392">
        <v>107</v>
      </c>
      <c r="G2392" t="s">
        <v>4768</v>
      </c>
      <c r="H2392" t="s">
        <v>4975</v>
      </c>
      <c r="I2392" t="s">
        <v>4814</v>
      </c>
      <c r="J2392" t="s">
        <v>5260</v>
      </c>
      <c r="L2392" t="s">
        <v>4769</v>
      </c>
    </row>
    <row r="2393" spans="1:12" x14ac:dyDescent="0.2">
      <c r="A2393" t="s">
        <v>1767</v>
      </c>
      <c r="B2393" t="s">
        <v>1769</v>
      </c>
      <c r="C2393" t="s">
        <v>4767</v>
      </c>
      <c r="D2393">
        <v>4</v>
      </c>
      <c r="E2393">
        <v>53.5</v>
      </c>
      <c r="F2393">
        <v>53.5</v>
      </c>
      <c r="G2393" t="s">
        <v>4768</v>
      </c>
      <c r="H2393" t="s">
        <v>4909</v>
      </c>
      <c r="I2393" t="s">
        <v>4814</v>
      </c>
      <c r="J2393" t="s">
        <v>5062</v>
      </c>
      <c r="L2393" t="s">
        <v>4769</v>
      </c>
    </row>
    <row r="2394" spans="1:12" x14ac:dyDescent="0.2">
      <c r="A2394" t="s">
        <v>1767</v>
      </c>
      <c r="B2394" t="s">
        <v>1769</v>
      </c>
      <c r="C2394" t="s">
        <v>4767</v>
      </c>
      <c r="D2394">
        <v>4</v>
      </c>
      <c r="E2394">
        <v>53.5</v>
      </c>
      <c r="F2394">
        <v>53.5</v>
      </c>
      <c r="G2394" t="s">
        <v>4768</v>
      </c>
      <c r="H2394" t="s">
        <v>4909</v>
      </c>
      <c r="I2394" t="s">
        <v>4814</v>
      </c>
      <c r="J2394" t="s">
        <v>5061</v>
      </c>
      <c r="L2394" t="s">
        <v>4769</v>
      </c>
    </row>
    <row r="2395" spans="1:12" x14ac:dyDescent="0.2">
      <c r="A2395" t="s">
        <v>1767</v>
      </c>
      <c r="B2395" t="s">
        <v>1769</v>
      </c>
      <c r="C2395" t="s">
        <v>4767</v>
      </c>
      <c r="D2395">
        <v>4</v>
      </c>
      <c r="E2395">
        <v>53.5</v>
      </c>
      <c r="F2395">
        <v>53.5</v>
      </c>
      <c r="G2395" t="s">
        <v>4768</v>
      </c>
      <c r="H2395" t="s">
        <v>4909</v>
      </c>
      <c r="I2395" t="s">
        <v>4814</v>
      </c>
      <c r="J2395" t="s">
        <v>4959</v>
      </c>
      <c r="L2395" t="s">
        <v>4769</v>
      </c>
    </row>
    <row r="2396" spans="1:12" x14ac:dyDescent="0.2">
      <c r="A2396" t="s">
        <v>1767</v>
      </c>
      <c r="B2396" t="s">
        <v>1769</v>
      </c>
      <c r="C2396" t="s">
        <v>4767</v>
      </c>
      <c r="D2396">
        <v>4</v>
      </c>
      <c r="E2396">
        <v>53.5</v>
      </c>
      <c r="F2396">
        <v>53.5</v>
      </c>
      <c r="G2396" t="s">
        <v>4768</v>
      </c>
      <c r="H2396" t="s">
        <v>4909</v>
      </c>
      <c r="I2396" t="s">
        <v>4814</v>
      </c>
      <c r="J2396" t="s">
        <v>4960</v>
      </c>
      <c r="L2396" t="s">
        <v>4769</v>
      </c>
    </row>
    <row r="2397" spans="1:12" x14ac:dyDescent="0.2">
      <c r="A2397" t="s">
        <v>1767</v>
      </c>
      <c r="B2397" t="s">
        <v>1769</v>
      </c>
      <c r="C2397" t="s">
        <v>4767</v>
      </c>
      <c r="D2397">
        <v>4</v>
      </c>
      <c r="E2397">
        <v>159.80000000000001</v>
      </c>
      <c r="F2397">
        <v>159.80000000000001</v>
      </c>
      <c r="G2397" t="s">
        <v>4768</v>
      </c>
      <c r="H2397" t="s">
        <v>4905</v>
      </c>
      <c r="I2397" t="s">
        <v>4814</v>
      </c>
      <c r="J2397" t="s">
        <v>4906</v>
      </c>
      <c r="L2397" t="s">
        <v>4769</v>
      </c>
    </row>
    <row r="2398" spans="1:12" x14ac:dyDescent="0.2">
      <c r="A2398" t="s">
        <v>1767</v>
      </c>
      <c r="B2398" t="s">
        <v>1769</v>
      </c>
      <c r="C2398" t="s">
        <v>4767</v>
      </c>
      <c r="D2398">
        <v>4</v>
      </c>
      <c r="E2398">
        <v>166.2</v>
      </c>
      <c r="F2398">
        <v>166.2</v>
      </c>
      <c r="G2398" t="s">
        <v>4768</v>
      </c>
      <c r="H2398" t="s">
        <v>5065</v>
      </c>
      <c r="I2398" t="s">
        <v>4814</v>
      </c>
      <c r="J2398" t="s">
        <v>5066</v>
      </c>
      <c r="L2398" t="s">
        <v>4769</v>
      </c>
    </row>
    <row r="2399" spans="1:12" x14ac:dyDescent="0.2">
      <c r="A2399" t="s">
        <v>1767</v>
      </c>
      <c r="B2399" t="s">
        <v>1769</v>
      </c>
      <c r="C2399" t="s">
        <v>4767</v>
      </c>
      <c r="D2399">
        <v>4</v>
      </c>
      <c r="E2399">
        <v>53.5</v>
      </c>
      <c r="F2399">
        <v>53.5</v>
      </c>
      <c r="G2399" t="s">
        <v>4768</v>
      </c>
      <c r="H2399" t="s">
        <v>4909</v>
      </c>
      <c r="I2399" t="s">
        <v>4814</v>
      </c>
      <c r="J2399" t="s">
        <v>4912</v>
      </c>
      <c r="L2399" t="s">
        <v>4769</v>
      </c>
    </row>
    <row r="2400" spans="1:12" x14ac:dyDescent="0.2">
      <c r="A2400" t="s">
        <v>1767</v>
      </c>
      <c r="B2400" t="s">
        <v>1769</v>
      </c>
      <c r="C2400" t="s">
        <v>4767</v>
      </c>
      <c r="D2400">
        <v>4</v>
      </c>
      <c r="E2400">
        <v>892.38</v>
      </c>
      <c r="F2400">
        <v>892.38</v>
      </c>
      <c r="G2400" t="s">
        <v>4768</v>
      </c>
      <c r="H2400" t="s">
        <v>4961</v>
      </c>
      <c r="I2400" t="s">
        <v>4814</v>
      </c>
      <c r="J2400" t="s">
        <v>1996</v>
      </c>
      <c r="L2400" t="s">
        <v>4769</v>
      </c>
    </row>
    <row r="2401" spans="1:12" x14ac:dyDescent="0.2">
      <c r="A2401" t="s">
        <v>1767</v>
      </c>
      <c r="B2401" t="s">
        <v>1769</v>
      </c>
      <c r="C2401" t="s">
        <v>4767</v>
      </c>
      <c r="D2401">
        <v>4</v>
      </c>
      <c r="E2401">
        <v>12.4</v>
      </c>
      <c r="F2401">
        <v>12.4</v>
      </c>
      <c r="G2401" t="s">
        <v>4768</v>
      </c>
      <c r="H2401" t="s">
        <v>4998</v>
      </c>
      <c r="I2401" t="s">
        <v>4814</v>
      </c>
      <c r="J2401" t="s">
        <v>4999</v>
      </c>
      <c r="L2401" t="s">
        <v>4769</v>
      </c>
    </row>
    <row r="2402" spans="1:12" x14ac:dyDescent="0.2">
      <c r="A2402" t="s">
        <v>1767</v>
      </c>
      <c r="B2402" t="s">
        <v>1769</v>
      </c>
      <c r="C2402" t="s">
        <v>4767</v>
      </c>
      <c r="D2402">
        <v>4</v>
      </c>
      <c r="E2402">
        <v>5.28</v>
      </c>
      <c r="F2402">
        <v>5.28</v>
      </c>
      <c r="G2402" t="s">
        <v>4768</v>
      </c>
      <c r="H2402" t="s">
        <v>4927</v>
      </c>
      <c r="I2402" t="s">
        <v>4814</v>
      </c>
      <c r="J2402" t="s">
        <v>2091</v>
      </c>
      <c r="L2402" t="s">
        <v>4769</v>
      </c>
    </row>
    <row r="2403" spans="1:12" x14ac:dyDescent="0.2">
      <c r="A2403" t="s">
        <v>1767</v>
      </c>
      <c r="B2403" t="s">
        <v>1769</v>
      </c>
      <c r="C2403" t="s">
        <v>4767</v>
      </c>
      <c r="D2403">
        <v>4</v>
      </c>
      <c r="E2403">
        <v>232.88</v>
      </c>
      <c r="F2403">
        <v>232.88</v>
      </c>
      <c r="G2403" t="s">
        <v>4768</v>
      </c>
      <c r="H2403" t="s">
        <v>5261</v>
      </c>
      <c r="I2403" t="s">
        <v>4814</v>
      </c>
      <c r="J2403" t="s">
        <v>5262</v>
      </c>
      <c r="L2403" t="s">
        <v>4769</v>
      </c>
    </row>
    <row r="2404" spans="1:12" x14ac:dyDescent="0.2">
      <c r="A2404" t="s">
        <v>1767</v>
      </c>
      <c r="B2404" t="s">
        <v>1769</v>
      </c>
      <c r="C2404" t="s">
        <v>4767</v>
      </c>
      <c r="D2404">
        <v>4</v>
      </c>
      <c r="E2404">
        <v>438.7</v>
      </c>
      <c r="F2404">
        <v>438.7</v>
      </c>
      <c r="G2404" t="s">
        <v>4768</v>
      </c>
      <c r="H2404" t="s">
        <v>5191</v>
      </c>
      <c r="I2404" t="s">
        <v>4814</v>
      </c>
      <c r="J2404" t="s">
        <v>5192</v>
      </c>
      <c r="L2404" t="s">
        <v>4769</v>
      </c>
    </row>
    <row r="2405" spans="1:12" x14ac:dyDescent="0.2">
      <c r="A2405" t="s">
        <v>1767</v>
      </c>
      <c r="B2405" t="s">
        <v>1769</v>
      </c>
      <c r="C2405" t="s">
        <v>4767</v>
      </c>
      <c r="D2405">
        <v>4</v>
      </c>
      <c r="E2405">
        <v>269.76</v>
      </c>
      <c r="F2405">
        <v>269.76</v>
      </c>
      <c r="G2405" t="s">
        <v>4768</v>
      </c>
      <c r="H2405" t="s">
        <v>5043</v>
      </c>
      <c r="I2405" t="s">
        <v>4814</v>
      </c>
      <c r="J2405" t="s">
        <v>5044</v>
      </c>
      <c r="L2405" t="s">
        <v>4769</v>
      </c>
    </row>
    <row r="2406" spans="1:12" x14ac:dyDescent="0.2">
      <c r="A2406" t="s">
        <v>1767</v>
      </c>
      <c r="B2406" t="s">
        <v>1769</v>
      </c>
      <c r="C2406" t="s">
        <v>4767</v>
      </c>
      <c r="D2406">
        <v>4</v>
      </c>
      <c r="E2406">
        <v>46.32</v>
      </c>
      <c r="F2406">
        <v>46.32</v>
      </c>
      <c r="G2406" t="s">
        <v>4768</v>
      </c>
      <c r="H2406" t="s">
        <v>5012</v>
      </c>
      <c r="I2406" t="s">
        <v>4814</v>
      </c>
      <c r="J2406" t="s">
        <v>2093</v>
      </c>
      <c r="L2406" t="s">
        <v>4769</v>
      </c>
    </row>
    <row r="2407" spans="1:12" x14ac:dyDescent="0.2">
      <c r="A2407" t="s">
        <v>1767</v>
      </c>
      <c r="B2407" t="s">
        <v>1769</v>
      </c>
      <c r="C2407" t="s">
        <v>4767</v>
      </c>
      <c r="D2407">
        <v>4</v>
      </c>
      <c r="E2407">
        <v>128.52000000000001</v>
      </c>
      <c r="F2407">
        <v>128.52000000000001</v>
      </c>
      <c r="G2407" t="s">
        <v>4768</v>
      </c>
      <c r="H2407" t="s">
        <v>5263</v>
      </c>
      <c r="I2407" t="s">
        <v>4814</v>
      </c>
      <c r="J2407" t="s">
        <v>5264</v>
      </c>
      <c r="L2407" t="s">
        <v>4769</v>
      </c>
    </row>
    <row r="2408" spans="1:12" x14ac:dyDescent="0.2">
      <c r="A2408" t="s">
        <v>1767</v>
      </c>
      <c r="B2408" t="s">
        <v>1769</v>
      </c>
      <c r="C2408" t="s">
        <v>4767</v>
      </c>
      <c r="D2408">
        <v>4</v>
      </c>
      <c r="E2408">
        <v>59542</v>
      </c>
      <c r="F2408">
        <v>59542</v>
      </c>
      <c r="G2408" t="s">
        <v>4768</v>
      </c>
      <c r="H2408" t="s">
        <v>5265</v>
      </c>
      <c r="I2408" t="s">
        <v>4814</v>
      </c>
      <c r="J2408" t="s">
        <v>5266</v>
      </c>
      <c r="L2408" t="s">
        <v>4769</v>
      </c>
    </row>
    <row r="2409" spans="1:12" x14ac:dyDescent="0.2">
      <c r="A2409" t="s">
        <v>1767</v>
      </c>
      <c r="B2409" t="s">
        <v>1769</v>
      </c>
      <c r="C2409" t="s">
        <v>4767</v>
      </c>
      <c r="D2409">
        <v>4</v>
      </c>
      <c r="E2409">
        <v>219.16</v>
      </c>
      <c r="F2409">
        <v>219.16</v>
      </c>
      <c r="G2409" t="s">
        <v>4768</v>
      </c>
      <c r="H2409" t="s">
        <v>5067</v>
      </c>
      <c r="I2409" t="s">
        <v>4814</v>
      </c>
      <c r="J2409" t="s">
        <v>5068</v>
      </c>
      <c r="L2409" t="s">
        <v>4769</v>
      </c>
    </row>
    <row r="2410" spans="1:12" x14ac:dyDescent="0.2">
      <c r="A2410" t="s">
        <v>1767</v>
      </c>
      <c r="B2410" t="s">
        <v>1769</v>
      </c>
      <c r="C2410" t="s">
        <v>4767</v>
      </c>
      <c r="D2410">
        <v>4</v>
      </c>
      <c r="E2410">
        <v>371.52</v>
      </c>
      <c r="F2410">
        <v>371.52</v>
      </c>
      <c r="G2410" t="s">
        <v>4768</v>
      </c>
      <c r="H2410" t="s">
        <v>5267</v>
      </c>
      <c r="I2410" t="s">
        <v>4814</v>
      </c>
      <c r="J2410" t="s">
        <v>5268</v>
      </c>
      <c r="L2410" t="s">
        <v>4769</v>
      </c>
    </row>
    <row r="2411" spans="1:12" x14ac:dyDescent="0.2">
      <c r="A2411" t="s">
        <v>1767</v>
      </c>
      <c r="B2411" t="s">
        <v>1769</v>
      </c>
      <c r="C2411" t="s">
        <v>4767</v>
      </c>
      <c r="D2411">
        <v>4</v>
      </c>
      <c r="E2411">
        <v>35.6</v>
      </c>
      <c r="F2411">
        <v>35.6</v>
      </c>
      <c r="G2411" t="s">
        <v>4768</v>
      </c>
      <c r="H2411" t="s">
        <v>5269</v>
      </c>
      <c r="I2411" t="s">
        <v>4814</v>
      </c>
      <c r="J2411" t="s">
        <v>5270</v>
      </c>
      <c r="L2411" t="s">
        <v>4769</v>
      </c>
    </row>
    <row r="2412" spans="1:12" x14ac:dyDescent="0.2">
      <c r="A2412" t="s">
        <v>1767</v>
      </c>
      <c r="B2412" t="s">
        <v>1769</v>
      </c>
      <c r="C2412" t="s">
        <v>4767</v>
      </c>
      <c r="D2412">
        <v>4</v>
      </c>
      <c r="E2412">
        <v>1.92</v>
      </c>
      <c r="F2412">
        <v>1.92</v>
      </c>
      <c r="G2412" t="s">
        <v>4768</v>
      </c>
      <c r="H2412" t="s">
        <v>5271</v>
      </c>
      <c r="I2412" t="s">
        <v>4814</v>
      </c>
      <c r="J2412" t="s">
        <v>5272</v>
      </c>
      <c r="L2412" t="s">
        <v>4769</v>
      </c>
    </row>
    <row r="2413" spans="1:12" x14ac:dyDescent="0.2">
      <c r="A2413" t="s">
        <v>1767</v>
      </c>
      <c r="B2413" t="s">
        <v>1769</v>
      </c>
      <c r="C2413" t="s">
        <v>4767</v>
      </c>
      <c r="D2413">
        <v>4</v>
      </c>
      <c r="E2413">
        <v>896</v>
      </c>
      <c r="F2413">
        <v>896</v>
      </c>
      <c r="G2413" t="s">
        <v>4768</v>
      </c>
      <c r="H2413" t="s">
        <v>5273</v>
      </c>
      <c r="I2413" t="s">
        <v>4814</v>
      </c>
      <c r="J2413" t="s">
        <v>5274</v>
      </c>
      <c r="L2413" t="s">
        <v>4769</v>
      </c>
    </row>
    <row r="2414" spans="1:12" x14ac:dyDescent="0.2">
      <c r="A2414" t="s">
        <v>1767</v>
      </c>
      <c r="B2414" t="s">
        <v>1769</v>
      </c>
      <c r="C2414" t="s">
        <v>4767</v>
      </c>
      <c r="D2414">
        <v>4</v>
      </c>
      <c r="E2414">
        <v>0</v>
      </c>
      <c r="F2414">
        <v>0</v>
      </c>
      <c r="G2414" t="s">
        <v>4768</v>
      </c>
      <c r="H2414" t="s">
        <v>4774</v>
      </c>
      <c r="I2414" t="s">
        <v>4814</v>
      </c>
      <c r="J2414" t="s">
        <v>5275</v>
      </c>
      <c r="L2414" t="s">
        <v>4769</v>
      </c>
    </row>
    <row r="2415" spans="1:12" x14ac:dyDescent="0.2">
      <c r="A2415" t="s">
        <v>1767</v>
      </c>
      <c r="B2415" t="s">
        <v>1769</v>
      </c>
      <c r="C2415" t="s">
        <v>4767</v>
      </c>
      <c r="D2415">
        <v>4</v>
      </c>
      <c r="E2415">
        <v>0</v>
      </c>
      <c r="F2415">
        <v>0</v>
      </c>
      <c r="G2415" t="s">
        <v>4768</v>
      </c>
      <c r="H2415" t="s">
        <v>4774</v>
      </c>
      <c r="I2415" t="s">
        <v>4814</v>
      </c>
      <c r="J2415" t="s">
        <v>5276</v>
      </c>
      <c r="L2415" t="s">
        <v>4769</v>
      </c>
    </row>
    <row r="2416" spans="1:12" x14ac:dyDescent="0.2">
      <c r="A2416" t="s">
        <v>1767</v>
      </c>
      <c r="B2416" t="s">
        <v>1769</v>
      </c>
      <c r="C2416" t="s">
        <v>4767</v>
      </c>
      <c r="D2416">
        <v>4</v>
      </c>
      <c r="E2416">
        <v>0</v>
      </c>
      <c r="F2416">
        <v>0</v>
      </c>
      <c r="G2416" t="s">
        <v>4768</v>
      </c>
      <c r="H2416" t="s">
        <v>4774</v>
      </c>
      <c r="I2416" t="s">
        <v>4814</v>
      </c>
      <c r="J2416" t="s">
        <v>5165</v>
      </c>
      <c r="L2416" t="s">
        <v>4769</v>
      </c>
    </row>
    <row r="2417" spans="1:12" x14ac:dyDescent="0.2">
      <c r="A2417" t="s">
        <v>1767</v>
      </c>
      <c r="B2417" t="s">
        <v>1769</v>
      </c>
      <c r="C2417" t="s">
        <v>4767</v>
      </c>
      <c r="D2417">
        <v>4</v>
      </c>
      <c r="E2417">
        <v>1994</v>
      </c>
      <c r="F2417">
        <v>1994</v>
      </c>
      <c r="G2417" t="s">
        <v>4768</v>
      </c>
      <c r="H2417" t="s">
        <v>5233</v>
      </c>
      <c r="I2417" t="s">
        <v>4814</v>
      </c>
      <c r="J2417" t="s">
        <v>5234</v>
      </c>
      <c r="L2417" t="s">
        <v>4769</v>
      </c>
    </row>
    <row r="2418" spans="1:12" x14ac:dyDescent="0.2">
      <c r="A2418" t="s">
        <v>1767</v>
      </c>
      <c r="B2418" t="s">
        <v>1769</v>
      </c>
      <c r="C2418" t="s">
        <v>4767</v>
      </c>
      <c r="D2418">
        <v>4</v>
      </c>
      <c r="E2418">
        <v>1994</v>
      </c>
      <c r="F2418">
        <v>1994</v>
      </c>
      <c r="G2418" t="s">
        <v>4768</v>
      </c>
      <c r="H2418" t="s">
        <v>5233</v>
      </c>
      <c r="I2418" t="s">
        <v>4814</v>
      </c>
      <c r="J2418" t="s">
        <v>5235</v>
      </c>
      <c r="L2418" t="s">
        <v>4769</v>
      </c>
    </row>
    <row r="2419" spans="1:12" x14ac:dyDescent="0.2">
      <c r="A2419" t="s">
        <v>1767</v>
      </c>
      <c r="B2419" t="s">
        <v>1769</v>
      </c>
      <c r="C2419" t="s">
        <v>4767</v>
      </c>
      <c r="D2419">
        <v>4</v>
      </c>
      <c r="E2419">
        <v>247.8</v>
      </c>
      <c r="F2419">
        <v>247.8</v>
      </c>
      <c r="G2419" t="s">
        <v>4768</v>
      </c>
      <c r="H2419" t="s">
        <v>5009</v>
      </c>
      <c r="I2419" t="s">
        <v>4814</v>
      </c>
      <c r="J2419" t="s">
        <v>5010</v>
      </c>
      <c r="L2419" t="s">
        <v>4769</v>
      </c>
    </row>
    <row r="2420" spans="1:12" x14ac:dyDescent="0.2">
      <c r="A2420" t="s">
        <v>1767</v>
      </c>
      <c r="B2420" t="s">
        <v>1769</v>
      </c>
      <c r="C2420" t="s">
        <v>4767</v>
      </c>
      <c r="D2420">
        <v>4</v>
      </c>
      <c r="E2420">
        <v>69.92</v>
      </c>
      <c r="F2420">
        <v>69.92</v>
      </c>
      <c r="G2420" t="s">
        <v>4768</v>
      </c>
      <c r="H2420" t="s">
        <v>5148</v>
      </c>
      <c r="I2420" t="s">
        <v>4814</v>
      </c>
      <c r="J2420" t="s">
        <v>5149</v>
      </c>
      <c r="L2420" t="s">
        <v>4769</v>
      </c>
    </row>
    <row r="2421" spans="1:12" x14ac:dyDescent="0.2">
      <c r="A2421" t="s">
        <v>1767</v>
      </c>
      <c r="B2421" t="s">
        <v>1769</v>
      </c>
      <c r="C2421" t="s">
        <v>4767</v>
      </c>
      <c r="D2421">
        <v>4</v>
      </c>
      <c r="E2421">
        <v>55.4</v>
      </c>
      <c r="F2421">
        <v>55.4</v>
      </c>
      <c r="G2421" t="s">
        <v>4768</v>
      </c>
      <c r="H2421" t="s">
        <v>5210</v>
      </c>
      <c r="I2421" t="s">
        <v>4814</v>
      </c>
      <c r="J2421" t="s">
        <v>5211</v>
      </c>
      <c r="L2421" t="s">
        <v>4769</v>
      </c>
    </row>
    <row r="2422" spans="1:12" x14ac:dyDescent="0.2">
      <c r="A2422" t="s">
        <v>1767</v>
      </c>
      <c r="B2422" t="s">
        <v>1769</v>
      </c>
      <c r="C2422" t="s">
        <v>4767</v>
      </c>
      <c r="D2422">
        <v>4</v>
      </c>
      <c r="E2422">
        <v>111.56</v>
      </c>
      <c r="F2422">
        <v>111.56</v>
      </c>
      <c r="G2422" t="s">
        <v>4768</v>
      </c>
      <c r="H2422" t="s">
        <v>5277</v>
      </c>
      <c r="I2422" t="s">
        <v>4814</v>
      </c>
      <c r="J2422" t="s">
        <v>5278</v>
      </c>
      <c r="L2422" t="s">
        <v>4769</v>
      </c>
    </row>
    <row r="2423" spans="1:12" x14ac:dyDescent="0.2">
      <c r="A2423" t="s">
        <v>1767</v>
      </c>
      <c r="B2423" t="s">
        <v>1769</v>
      </c>
      <c r="C2423" t="s">
        <v>4767</v>
      </c>
      <c r="D2423">
        <v>4</v>
      </c>
      <c r="E2423">
        <v>189.36</v>
      </c>
      <c r="F2423">
        <v>189.36</v>
      </c>
      <c r="G2423" t="s">
        <v>4768</v>
      </c>
      <c r="H2423" t="s">
        <v>5103</v>
      </c>
      <c r="I2423" t="s">
        <v>4814</v>
      </c>
      <c r="J2423" t="s">
        <v>5104</v>
      </c>
      <c r="L2423" t="s">
        <v>4769</v>
      </c>
    </row>
    <row r="2424" spans="1:12" x14ac:dyDescent="0.2">
      <c r="A2424" t="s">
        <v>1767</v>
      </c>
      <c r="B2424" t="s">
        <v>1769</v>
      </c>
      <c r="C2424" t="s">
        <v>4767</v>
      </c>
      <c r="D2424">
        <v>4</v>
      </c>
      <c r="E2424">
        <v>6356</v>
      </c>
      <c r="F2424">
        <v>6356</v>
      </c>
      <c r="G2424" t="s">
        <v>4768</v>
      </c>
      <c r="H2424" t="s">
        <v>5279</v>
      </c>
      <c r="I2424" t="s">
        <v>4814</v>
      </c>
      <c r="J2424" t="s">
        <v>5280</v>
      </c>
      <c r="L2424" t="s">
        <v>4769</v>
      </c>
    </row>
    <row r="2425" spans="1:12" x14ac:dyDescent="0.2">
      <c r="A2425" t="s">
        <v>1767</v>
      </c>
      <c r="B2425" t="s">
        <v>1769</v>
      </c>
      <c r="C2425" t="s">
        <v>4767</v>
      </c>
      <c r="D2425">
        <v>4</v>
      </c>
      <c r="E2425">
        <v>53.5</v>
      </c>
      <c r="F2425">
        <v>53.5</v>
      </c>
      <c r="G2425" t="s">
        <v>4768</v>
      </c>
      <c r="H2425" t="s">
        <v>4909</v>
      </c>
      <c r="I2425" t="s">
        <v>4814</v>
      </c>
      <c r="J2425" t="s">
        <v>4912</v>
      </c>
      <c r="L2425" t="s">
        <v>4769</v>
      </c>
    </row>
    <row r="2426" spans="1:12" x14ac:dyDescent="0.2">
      <c r="A2426" t="s">
        <v>1767</v>
      </c>
      <c r="B2426" t="s">
        <v>1769</v>
      </c>
      <c r="C2426" t="s">
        <v>4767</v>
      </c>
      <c r="D2426">
        <v>4</v>
      </c>
      <c r="E2426">
        <v>107</v>
      </c>
      <c r="F2426">
        <v>107</v>
      </c>
      <c r="G2426" t="s">
        <v>4768</v>
      </c>
      <c r="H2426" t="s">
        <v>4975</v>
      </c>
      <c r="I2426" t="s">
        <v>4814</v>
      </c>
      <c r="J2426" t="s">
        <v>4976</v>
      </c>
      <c r="L2426" t="s">
        <v>4769</v>
      </c>
    </row>
    <row r="2427" spans="1:12" x14ac:dyDescent="0.2">
      <c r="A2427" t="s">
        <v>1767</v>
      </c>
      <c r="B2427" t="s">
        <v>1769</v>
      </c>
      <c r="C2427" t="s">
        <v>4767</v>
      </c>
      <c r="D2427">
        <v>4</v>
      </c>
      <c r="E2427">
        <v>107</v>
      </c>
      <c r="F2427">
        <v>107</v>
      </c>
      <c r="G2427" t="s">
        <v>4768</v>
      </c>
      <c r="H2427" t="s">
        <v>4975</v>
      </c>
      <c r="I2427" t="s">
        <v>4814</v>
      </c>
      <c r="J2427" t="s">
        <v>5189</v>
      </c>
      <c r="L2427" t="s">
        <v>4769</v>
      </c>
    </row>
    <row r="2428" spans="1:12" x14ac:dyDescent="0.2">
      <c r="A2428" t="s">
        <v>1767</v>
      </c>
      <c r="B2428" t="s">
        <v>1769</v>
      </c>
      <c r="C2428" t="s">
        <v>4767</v>
      </c>
      <c r="D2428">
        <v>4</v>
      </c>
      <c r="E2428">
        <v>107</v>
      </c>
      <c r="F2428">
        <v>107</v>
      </c>
      <c r="G2428" t="s">
        <v>4768</v>
      </c>
      <c r="H2428" t="s">
        <v>4975</v>
      </c>
      <c r="I2428" t="s">
        <v>4814</v>
      </c>
      <c r="J2428" t="s">
        <v>5212</v>
      </c>
      <c r="L2428" t="s">
        <v>4769</v>
      </c>
    </row>
    <row r="2429" spans="1:12" x14ac:dyDescent="0.2">
      <c r="A2429" t="s">
        <v>1767</v>
      </c>
      <c r="B2429" t="s">
        <v>1769</v>
      </c>
      <c r="C2429" t="s">
        <v>4767</v>
      </c>
      <c r="D2429">
        <v>4</v>
      </c>
      <c r="E2429">
        <v>920.2</v>
      </c>
      <c r="F2429">
        <v>920.2</v>
      </c>
      <c r="G2429" t="s">
        <v>4768</v>
      </c>
      <c r="H2429" t="s">
        <v>5281</v>
      </c>
      <c r="I2429" t="s">
        <v>4814</v>
      </c>
      <c r="J2429" t="s">
        <v>5282</v>
      </c>
      <c r="L2429" t="s">
        <v>4769</v>
      </c>
    </row>
    <row r="2430" spans="1:12" x14ac:dyDescent="0.2">
      <c r="A2430" t="s">
        <v>1767</v>
      </c>
      <c r="B2430" t="s">
        <v>1769</v>
      </c>
      <c r="C2430" t="s">
        <v>4767</v>
      </c>
      <c r="D2430">
        <v>4</v>
      </c>
      <c r="E2430">
        <v>877.4</v>
      </c>
      <c r="F2430">
        <v>877.4</v>
      </c>
      <c r="G2430" t="s">
        <v>4768</v>
      </c>
      <c r="H2430" t="s">
        <v>5253</v>
      </c>
      <c r="I2430" t="s">
        <v>4814</v>
      </c>
      <c r="J2430" t="s">
        <v>5254</v>
      </c>
      <c r="L2430" t="s">
        <v>4769</v>
      </c>
    </row>
    <row r="2431" spans="1:12" x14ac:dyDescent="0.2">
      <c r="A2431" t="s">
        <v>1767</v>
      </c>
      <c r="B2431" t="s">
        <v>1769</v>
      </c>
      <c r="C2431" t="s">
        <v>4767</v>
      </c>
      <c r="D2431">
        <v>4</v>
      </c>
      <c r="E2431">
        <v>2234.16</v>
      </c>
      <c r="F2431">
        <v>2234.16</v>
      </c>
      <c r="G2431" t="s">
        <v>4768</v>
      </c>
      <c r="H2431" t="s">
        <v>5105</v>
      </c>
      <c r="I2431" t="s">
        <v>4814</v>
      </c>
      <c r="J2431" t="s">
        <v>5106</v>
      </c>
      <c r="L2431" t="s">
        <v>4769</v>
      </c>
    </row>
    <row r="2432" spans="1:12" x14ac:dyDescent="0.2">
      <c r="A2432" t="s">
        <v>1767</v>
      </c>
      <c r="B2432" t="s">
        <v>1769</v>
      </c>
      <c r="C2432" t="s">
        <v>4767</v>
      </c>
      <c r="D2432">
        <v>4</v>
      </c>
      <c r="E2432">
        <v>1219.8</v>
      </c>
      <c r="F2432">
        <v>1219.8</v>
      </c>
      <c r="G2432" t="s">
        <v>4768</v>
      </c>
      <c r="H2432" t="s">
        <v>5170</v>
      </c>
      <c r="I2432" t="s">
        <v>4814</v>
      </c>
      <c r="J2432" t="s">
        <v>5171</v>
      </c>
      <c r="L2432" t="s">
        <v>4769</v>
      </c>
    </row>
    <row r="2433" spans="1:12" x14ac:dyDescent="0.2">
      <c r="A2433" t="s">
        <v>1767</v>
      </c>
      <c r="B2433" t="s">
        <v>1769</v>
      </c>
      <c r="C2433" t="s">
        <v>4767</v>
      </c>
      <c r="D2433">
        <v>4</v>
      </c>
      <c r="E2433">
        <v>406.6</v>
      </c>
      <c r="F2433">
        <v>406.6</v>
      </c>
      <c r="G2433" t="s">
        <v>4768</v>
      </c>
      <c r="H2433" t="s">
        <v>5172</v>
      </c>
      <c r="I2433" t="s">
        <v>4814</v>
      </c>
      <c r="J2433" t="s">
        <v>2257</v>
      </c>
      <c r="L2433" t="s">
        <v>4769</v>
      </c>
    </row>
    <row r="2434" spans="1:12" x14ac:dyDescent="0.2">
      <c r="A2434" t="s">
        <v>1767</v>
      </c>
      <c r="B2434" t="s">
        <v>1769</v>
      </c>
      <c r="C2434" t="s">
        <v>4767</v>
      </c>
      <c r="D2434">
        <v>4</v>
      </c>
      <c r="E2434">
        <v>6.4</v>
      </c>
      <c r="F2434">
        <v>6.4</v>
      </c>
      <c r="G2434" t="s">
        <v>4768</v>
      </c>
      <c r="H2434" t="s">
        <v>5283</v>
      </c>
      <c r="I2434" t="s">
        <v>4814</v>
      </c>
      <c r="J2434" t="s">
        <v>1974</v>
      </c>
      <c r="L2434" t="s">
        <v>4769</v>
      </c>
    </row>
    <row r="2435" spans="1:12" x14ac:dyDescent="0.2">
      <c r="A2435" t="s">
        <v>1767</v>
      </c>
      <c r="B2435" t="s">
        <v>1769</v>
      </c>
      <c r="C2435" t="s">
        <v>4767</v>
      </c>
      <c r="D2435">
        <v>4</v>
      </c>
      <c r="E2435">
        <v>637.72</v>
      </c>
      <c r="F2435">
        <v>637.72</v>
      </c>
      <c r="G2435" t="s">
        <v>4768</v>
      </c>
      <c r="H2435" t="s">
        <v>4943</v>
      </c>
      <c r="I2435" t="s">
        <v>4814</v>
      </c>
      <c r="J2435" t="s">
        <v>2230</v>
      </c>
      <c r="L2435" t="s">
        <v>4769</v>
      </c>
    </row>
    <row r="2436" spans="1:12" x14ac:dyDescent="0.2">
      <c r="A2436" t="s">
        <v>1767</v>
      </c>
      <c r="B2436" t="s">
        <v>1769</v>
      </c>
      <c r="C2436" t="s">
        <v>4767</v>
      </c>
      <c r="D2436">
        <v>4</v>
      </c>
      <c r="E2436">
        <v>297.45999999999998</v>
      </c>
      <c r="F2436">
        <v>297.45999999999998</v>
      </c>
      <c r="G2436" t="s">
        <v>4768</v>
      </c>
      <c r="H2436" t="s">
        <v>5223</v>
      </c>
      <c r="I2436" t="s">
        <v>4814</v>
      </c>
      <c r="J2436" t="s">
        <v>1998</v>
      </c>
      <c r="L2436" t="s">
        <v>4769</v>
      </c>
    </row>
    <row r="2437" spans="1:12" x14ac:dyDescent="0.2">
      <c r="A2437" t="s">
        <v>1767</v>
      </c>
      <c r="B2437" t="s">
        <v>1769</v>
      </c>
      <c r="C2437" t="s">
        <v>4767</v>
      </c>
      <c r="D2437">
        <v>4</v>
      </c>
      <c r="E2437">
        <v>116.44</v>
      </c>
      <c r="F2437">
        <v>116.44</v>
      </c>
      <c r="G2437" t="s">
        <v>4768</v>
      </c>
      <c r="H2437" t="s">
        <v>4962</v>
      </c>
      <c r="I2437" t="s">
        <v>4814</v>
      </c>
      <c r="J2437" t="s">
        <v>3722</v>
      </c>
      <c r="L2437" t="s">
        <v>4769</v>
      </c>
    </row>
    <row r="2438" spans="1:12" x14ac:dyDescent="0.2">
      <c r="A2438" t="s">
        <v>1767</v>
      </c>
      <c r="B2438" t="s">
        <v>1769</v>
      </c>
      <c r="C2438" t="s">
        <v>4767</v>
      </c>
      <c r="D2438">
        <v>4</v>
      </c>
      <c r="E2438">
        <v>53.5</v>
      </c>
      <c r="F2438">
        <v>53.5</v>
      </c>
      <c r="G2438" t="s">
        <v>4768</v>
      </c>
      <c r="H2438" t="s">
        <v>4909</v>
      </c>
      <c r="I2438" t="s">
        <v>4814</v>
      </c>
      <c r="J2438" t="s">
        <v>5284</v>
      </c>
      <c r="L2438" t="s">
        <v>4769</v>
      </c>
    </row>
    <row r="2439" spans="1:12" x14ac:dyDescent="0.2">
      <c r="A2439" t="s">
        <v>1767</v>
      </c>
      <c r="B2439" t="s">
        <v>1769</v>
      </c>
      <c r="C2439" t="s">
        <v>4767</v>
      </c>
      <c r="D2439">
        <v>4</v>
      </c>
      <c r="E2439">
        <v>308.16000000000003</v>
      </c>
      <c r="F2439">
        <v>308.16000000000003</v>
      </c>
      <c r="G2439" t="s">
        <v>4768</v>
      </c>
      <c r="H2439" t="s">
        <v>5285</v>
      </c>
      <c r="I2439" t="s">
        <v>4814</v>
      </c>
      <c r="J2439" t="s">
        <v>5286</v>
      </c>
      <c r="L2439" t="s">
        <v>4769</v>
      </c>
    </row>
    <row r="2440" spans="1:12" x14ac:dyDescent="0.2">
      <c r="A2440" t="s">
        <v>1767</v>
      </c>
      <c r="B2440" t="s">
        <v>1769</v>
      </c>
      <c r="C2440" t="s">
        <v>4767</v>
      </c>
      <c r="D2440">
        <v>4</v>
      </c>
      <c r="E2440">
        <v>921</v>
      </c>
      <c r="F2440">
        <v>921</v>
      </c>
      <c r="G2440" t="s">
        <v>4768</v>
      </c>
      <c r="H2440" t="s">
        <v>5287</v>
      </c>
      <c r="I2440" t="s">
        <v>4814</v>
      </c>
      <c r="J2440" t="s">
        <v>5288</v>
      </c>
      <c r="L2440" t="s">
        <v>4769</v>
      </c>
    </row>
    <row r="2441" spans="1:12" x14ac:dyDescent="0.2">
      <c r="A2441" t="s">
        <v>1767</v>
      </c>
      <c r="B2441" t="s">
        <v>1769</v>
      </c>
      <c r="C2441" t="s">
        <v>4767</v>
      </c>
      <c r="D2441">
        <v>4</v>
      </c>
      <c r="E2441">
        <v>0.7</v>
      </c>
      <c r="F2441">
        <v>0.7</v>
      </c>
      <c r="G2441" t="s">
        <v>4768</v>
      </c>
      <c r="H2441" t="s">
        <v>5289</v>
      </c>
      <c r="I2441" t="s">
        <v>4814</v>
      </c>
      <c r="J2441" t="s">
        <v>5290</v>
      </c>
      <c r="L2441" t="s">
        <v>4769</v>
      </c>
    </row>
    <row r="2442" spans="1:12" x14ac:dyDescent="0.2">
      <c r="A2442" t="s">
        <v>1767</v>
      </c>
      <c r="B2442" t="s">
        <v>1769</v>
      </c>
      <c r="C2442" t="s">
        <v>4767</v>
      </c>
      <c r="D2442">
        <v>4</v>
      </c>
      <c r="E2442">
        <v>13.31</v>
      </c>
      <c r="F2442">
        <v>13.31</v>
      </c>
      <c r="G2442" t="s">
        <v>4768</v>
      </c>
      <c r="H2442" t="s">
        <v>5177</v>
      </c>
      <c r="I2442" t="s">
        <v>4814</v>
      </c>
      <c r="J2442" t="s">
        <v>5178</v>
      </c>
      <c r="L2442" t="s">
        <v>4769</v>
      </c>
    </row>
    <row r="2443" spans="1:12" x14ac:dyDescent="0.2">
      <c r="A2443" t="s">
        <v>1767</v>
      </c>
      <c r="B2443" t="s">
        <v>1769</v>
      </c>
      <c r="C2443" t="s">
        <v>4767</v>
      </c>
      <c r="D2443">
        <v>4</v>
      </c>
      <c r="E2443">
        <v>13.31</v>
      </c>
      <c r="F2443">
        <v>13.31</v>
      </c>
      <c r="G2443" t="s">
        <v>4768</v>
      </c>
      <c r="H2443" t="s">
        <v>5177</v>
      </c>
      <c r="I2443" t="s">
        <v>4814</v>
      </c>
      <c r="J2443" t="s">
        <v>5178</v>
      </c>
      <c r="L2443" t="s">
        <v>4769</v>
      </c>
    </row>
    <row r="2444" spans="1:12" x14ac:dyDescent="0.2">
      <c r="A2444" t="s">
        <v>1767</v>
      </c>
      <c r="B2444" t="s">
        <v>1769</v>
      </c>
      <c r="C2444" t="s">
        <v>4767</v>
      </c>
      <c r="D2444">
        <v>4</v>
      </c>
      <c r="E2444">
        <v>30.08</v>
      </c>
      <c r="F2444">
        <v>30.08</v>
      </c>
      <c r="G2444" t="s">
        <v>4768</v>
      </c>
      <c r="H2444" t="s">
        <v>5146</v>
      </c>
      <c r="I2444" t="s">
        <v>4814</v>
      </c>
      <c r="J2444" t="s">
        <v>5147</v>
      </c>
      <c r="L2444" t="s">
        <v>4769</v>
      </c>
    </row>
    <row r="2445" spans="1:12" x14ac:dyDescent="0.2">
      <c r="A2445" t="s">
        <v>1767</v>
      </c>
      <c r="B2445" t="s">
        <v>1769</v>
      </c>
      <c r="C2445" t="s">
        <v>4767</v>
      </c>
      <c r="D2445">
        <v>4</v>
      </c>
      <c r="E2445">
        <v>633.84</v>
      </c>
      <c r="F2445">
        <v>633.84</v>
      </c>
      <c r="G2445" t="s">
        <v>4768</v>
      </c>
      <c r="H2445" t="s">
        <v>5291</v>
      </c>
      <c r="I2445" t="s">
        <v>4814</v>
      </c>
      <c r="J2445" t="s">
        <v>5292</v>
      </c>
      <c r="L2445" t="s">
        <v>4769</v>
      </c>
    </row>
    <row r="2446" spans="1:12" x14ac:dyDescent="0.2">
      <c r="A2446" t="s">
        <v>1767</v>
      </c>
      <c r="B2446" t="s">
        <v>1769</v>
      </c>
      <c r="C2446" t="s">
        <v>4767</v>
      </c>
      <c r="D2446">
        <v>4</v>
      </c>
      <c r="E2446">
        <v>166.2</v>
      </c>
      <c r="F2446">
        <v>166.2</v>
      </c>
      <c r="G2446" t="s">
        <v>4768</v>
      </c>
      <c r="H2446" t="s">
        <v>5065</v>
      </c>
      <c r="I2446" t="s">
        <v>4814</v>
      </c>
      <c r="J2446" t="s">
        <v>5066</v>
      </c>
      <c r="L2446" t="s">
        <v>4769</v>
      </c>
    </row>
    <row r="2447" spans="1:12" x14ac:dyDescent="0.2">
      <c r="A2447" t="s">
        <v>1767</v>
      </c>
      <c r="B2447" t="s">
        <v>1769</v>
      </c>
      <c r="C2447" t="s">
        <v>4767</v>
      </c>
      <c r="D2447">
        <v>4</v>
      </c>
      <c r="E2447">
        <v>-166.2</v>
      </c>
      <c r="F2447">
        <v>-166.2</v>
      </c>
      <c r="G2447" t="s">
        <v>4768</v>
      </c>
      <c r="H2447" t="s">
        <v>5069</v>
      </c>
      <c r="I2447" t="s">
        <v>4814</v>
      </c>
      <c r="J2447" t="s">
        <v>5070</v>
      </c>
      <c r="L2447" t="s">
        <v>4769</v>
      </c>
    </row>
    <row r="2448" spans="1:12" x14ac:dyDescent="0.2">
      <c r="A2448" t="s">
        <v>1767</v>
      </c>
      <c r="B2448" t="s">
        <v>1769</v>
      </c>
      <c r="C2448" t="s">
        <v>4767</v>
      </c>
      <c r="D2448">
        <v>4</v>
      </c>
      <c r="E2448">
        <v>166.2</v>
      </c>
      <c r="F2448">
        <v>166.2</v>
      </c>
      <c r="G2448" t="s">
        <v>4768</v>
      </c>
      <c r="H2448" t="s">
        <v>5065</v>
      </c>
      <c r="I2448" t="s">
        <v>4814</v>
      </c>
      <c r="J2448" t="s">
        <v>5066</v>
      </c>
      <c r="L2448" t="s">
        <v>4769</v>
      </c>
    </row>
    <row r="2449" spans="1:12" x14ac:dyDescent="0.2">
      <c r="A2449" t="s">
        <v>1767</v>
      </c>
      <c r="B2449" t="s">
        <v>1769</v>
      </c>
      <c r="C2449" t="s">
        <v>4767</v>
      </c>
      <c r="D2449">
        <v>4</v>
      </c>
      <c r="E2449">
        <v>166.2</v>
      </c>
      <c r="F2449">
        <v>166.2</v>
      </c>
      <c r="G2449" t="s">
        <v>4768</v>
      </c>
      <c r="H2449" t="s">
        <v>5065</v>
      </c>
      <c r="I2449" t="s">
        <v>4814</v>
      </c>
      <c r="J2449" t="s">
        <v>5066</v>
      </c>
      <c r="L2449" t="s">
        <v>4769</v>
      </c>
    </row>
    <row r="2450" spans="1:12" x14ac:dyDescent="0.2">
      <c r="A2450" t="s">
        <v>1767</v>
      </c>
      <c r="B2450" t="s">
        <v>1769</v>
      </c>
      <c r="C2450" t="s">
        <v>4767</v>
      </c>
      <c r="D2450">
        <v>4</v>
      </c>
      <c r="E2450">
        <v>23.48</v>
      </c>
      <c r="F2450">
        <v>23.48</v>
      </c>
      <c r="G2450" t="s">
        <v>4768</v>
      </c>
      <c r="H2450" t="s">
        <v>5293</v>
      </c>
      <c r="I2450" t="s">
        <v>4814</v>
      </c>
      <c r="J2450" t="s">
        <v>5294</v>
      </c>
      <c r="L2450" t="s">
        <v>4769</v>
      </c>
    </row>
    <row r="2451" spans="1:12" x14ac:dyDescent="0.2">
      <c r="A2451" t="s">
        <v>1767</v>
      </c>
      <c r="B2451" t="s">
        <v>1769</v>
      </c>
      <c r="C2451" t="s">
        <v>4767</v>
      </c>
      <c r="D2451">
        <v>4</v>
      </c>
      <c r="E2451">
        <v>107</v>
      </c>
      <c r="F2451">
        <v>107</v>
      </c>
      <c r="G2451" t="s">
        <v>4768</v>
      </c>
      <c r="H2451" t="s">
        <v>4975</v>
      </c>
      <c r="I2451" t="s">
        <v>4814</v>
      </c>
      <c r="J2451" t="s">
        <v>5260</v>
      </c>
      <c r="L2451" t="s">
        <v>4769</v>
      </c>
    </row>
    <row r="2452" spans="1:12" x14ac:dyDescent="0.2">
      <c r="A2452" t="s">
        <v>1767</v>
      </c>
      <c r="B2452" t="s">
        <v>1769</v>
      </c>
      <c r="C2452" t="s">
        <v>4767</v>
      </c>
      <c r="D2452">
        <v>4</v>
      </c>
      <c r="E2452">
        <v>372.36</v>
      </c>
      <c r="F2452">
        <v>372.36</v>
      </c>
      <c r="G2452" t="s">
        <v>4768</v>
      </c>
      <c r="H2452" t="s">
        <v>5295</v>
      </c>
      <c r="I2452" t="s">
        <v>4814</v>
      </c>
      <c r="J2452" t="s">
        <v>2271</v>
      </c>
      <c r="L2452" t="s">
        <v>4769</v>
      </c>
    </row>
    <row r="2453" spans="1:12" x14ac:dyDescent="0.2">
      <c r="A2453" t="s">
        <v>1767</v>
      </c>
      <c r="B2453" t="s">
        <v>1769</v>
      </c>
      <c r="C2453" t="s">
        <v>4767</v>
      </c>
      <c r="D2453">
        <v>4</v>
      </c>
      <c r="E2453">
        <v>372.36</v>
      </c>
      <c r="F2453">
        <v>372.36</v>
      </c>
      <c r="G2453" t="s">
        <v>4768</v>
      </c>
      <c r="H2453" t="s">
        <v>5295</v>
      </c>
      <c r="I2453" t="s">
        <v>4814</v>
      </c>
      <c r="J2453" t="s">
        <v>2271</v>
      </c>
      <c r="L2453" t="s">
        <v>4769</v>
      </c>
    </row>
    <row r="2454" spans="1:12" x14ac:dyDescent="0.2">
      <c r="A2454" t="s">
        <v>1767</v>
      </c>
      <c r="B2454" t="s">
        <v>1769</v>
      </c>
      <c r="C2454" t="s">
        <v>4767</v>
      </c>
      <c r="D2454">
        <v>4</v>
      </c>
      <c r="E2454">
        <v>1.92</v>
      </c>
      <c r="F2454">
        <v>1.92</v>
      </c>
      <c r="G2454" t="s">
        <v>4768</v>
      </c>
      <c r="H2454" t="s">
        <v>5271</v>
      </c>
      <c r="I2454" t="s">
        <v>4814</v>
      </c>
      <c r="J2454" t="s">
        <v>5272</v>
      </c>
      <c r="L2454" t="s">
        <v>4769</v>
      </c>
    </row>
    <row r="2455" spans="1:12" x14ac:dyDescent="0.2">
      <c r="A2455" t="s">
        <v>1767</v>
      </c>
      <c r="B2455" t="s">
        <v>1769</v>
      </c>
      <c r="C2455" t="s">
        <v>4767</v>
      </c>
      <c r="D2455">
        <v>4</v>
      </c>
      <c r="E2455">
        <v>252.84</v>
      </c>
      <c r="F2455">
        <v>252.84</v>
      </c>
      <c r="G2455" t="s">
        <v>4768</v>
      </c>
      <c r="H2455" t="s">
        <v>5296</v>
      </c>
      <c r="I2455" t="s">
        <v>4814</v>
      </c>
      <c r="J2455" t="s">
        <v>5297</v>
      </c>
      <c r="L2455" t="s">
        <v>4769</v>
      </c>
    </row>
    <row r="2456" spans="1:12" x14ac:dyDescent="0.2">
      <c r="A2456" t="s">
        <v>1767</v>
      </c>
      <c r="B2456" t="s">
        <v>1769</v>
      </c>
      <c r="C2456" t="s">
        <v>4767</v>
      </c>
      <c r="D2456">
        <v>4</v>
      </c>
      <c r="E2456">
        <v>317.36</v>
      </c>
      <c r="F2456">
        <v>317.36</v>
      </c>
      <c r="G2456" t="s">
        <v>4768</v>
      </c>
      <c r="H2456" t="s">
        <v>5200</v>
      </c>
      <c r="I2456" t="s">
        <v>4814</v>
      </c>
      <c r="J2456" t="s">
        <v>5298</v>
      </c>
      <c r="L2456" t="s">
        <v>4769</v>
      </c>
    </row>
    <row r="2457" spans="1:12" x14ac:dyDescent="0.2">
      <c r="A2457" t="s">
        <v>1767</v>
      </c>
      <c r="B2457" t="s">
        <v>1769</v>
      </c>
      <c r="C2457" t="s">
        <v>4767</v>
      </c>
      <c r="D2457">
        <v>4</v>
      </c>
      <c r="E2457">
        <v>24536</v>
      </c>
      <c r="F2457">
        <v>24536</v>
      </c>
      <c r="G2457" t="s">
        <v>4768</v>
      </c>
      <c r="H2457" t="s">
        <v>5299</v>
      </c>
      <c r="I2457" t="s">
        <v>4814</v>
      </c>
      <c r="J2457" t="s">
        <v>5300</v>
      </c>
      <c r="L2457" t="s">
        <v>4769</v>
      </c>
    </row>
    <row r="2458" spans="1:12" x14ac:dyDescent="0.2">
      <c r="A2458" t="s">
        <v>1767</v>
      </c>
      <c r="B2458" t="s">
        <v>1769</v>
      </c>
      <c r="C2458" t="s">
        <v>4767</v>
      </c>
      <c r="D2458">
        <v>4</v>
      </c>
      <c r="E2458">
        <v>24536</v>
      </c>
      <c r="F2458">
        <v>24536</v>
      </c>
      <c r="G2458" t="s">
        <v>4768</v>
      </c>
      <c r="H2458" t="s">
        <v>5299</v>
      </c>
      <c r="I2458" t="s">
        <v>4814</v>
      </c>
      <c r="J2458" t="s">
        <v>5300</v>
      </c>
      <c r="L2458" t="s">
        <v>4769</v>
      </c>
    </row>
    <row r="2459" spans="1:12" x14ac:dyDescent="0.2">
      <c r="A2459" t="s">
        <v>1767</v>
      </c>
      <c r="B2459" t="s">
        <v>1769</v>
      </c>
      <c r="C2459" t="s">
        <v>4767</v>
      </c>
      <c r="D2459">
        <v>4</v>
      </c>
      <c r="E2459">
        <v>464</v>
      </c>
      <c r="F2459">
        <v>464</v>
      </c>
      <c r="G2459" t="s">
        <v>4768</v>
      </c>
      <c r="H2459" t="s">
        <v>4770</v>
      </c>
      <c r="I2459" t="s">
        <v>4814</v>
      </c>
      <c r="J2459" t="s">
        <v>5301</v>
      </c>
      <c r="L2459" t="s">
        <v>4769</v>
      </c>
    </row>
    <row r="2460" spans="1:12" x14ac:dyDescent="0.2">
      <c r="A2460" t="s">
        <v>1767</v>
      </c>
      <c r="B2460" t="s">
        <v>1769</v>
      </c>
      <c r="C2460" t="s">
        <v>4767</v>
      </c>
      <c r="D2460">
        <v>4</v>
      </c>
      <c r="E2460">
        <v>1.92</v>
      </c>
      <c r="F2460">
        <v>1.92</v>
      </c>
      <c r="G2460" t="s">
        <v>4768</v>
      </c>
      <c r="H2460" t="s">
        <v>5271</v>
      </c>
      <c r="I2460" t="s">
        <v>4814</v>
      </c>
      <c r="J2460" t="s">
        <v>5272</v>
      </c>
      <c r="L2460" t="s">
        <v>4769</v>
      </c>
    </row>
    <row r="2461" spans="1:12" x14ac:dyDescent="0.2">
      <c r="A2461" t="s">
        <v>1767</v>
      </c>
      <c r="B2461" t="s">
        <v>1769</v>
      </c>
      <c r="C2461" t="s">
        <v>4767</v>
      </c>
      <c r="D2461">
        <v>4</v>
      </c>
      <c r="E2461">
        <v>571.20000000000005</v>
      </c>
      <c r="F2461">
        <v>571.20000000000005</v>
      </c>
      <c r="G2461" t="s">
        <v>4768</v>
      </c>
      <c r="H2461" t="s">
        <v>5302</v>
      </c>
      <c r="I2461" t="s">
        <v>4814</v>
      </c>
      <c r="J2461" t="s">
        <v>5303</v>
      </c>
      <c r="L2461" t="s">
        <v>4769</v>
      </c>
    </row>
    <row r="2462" spans="1:12" x14ac:dyDescent="0.2">
      <c r="A2462" t="s">
        <v>1767</v>
      </c>
      <c r="B2462" t="s">
        <v>1769</v>
      </c>
      <c r="C2462" t="s">
        <v>4767</v>
      </c>
      <c r="D2462">
        <v>4</v>
      </c>
      <c r="E2462">
        <v>896</v>
      </c>
      <c r="F2462">
        <v>896</v>
      </c>
      <c r="G2462" t="s">
        <v>4768</v>
      </c>
      <c r="H2462" t="s">
        <v>5273</v>
      </c>
      <c r="I2462" t="s">
        <v>4814</v>
      </c>
      <c r="J2462" t="s">
        <v>5274</v>
      </c>
      <c r="L2462" t="s">
        <v>4769</v>
      </c>
    </row>
    <row r="2463" spans="1:12" x14ac:dyDescent="0.2">
      <c r="A2463" t="s">
        <v>1767</v>
      </c>
      <c r="B2463" t="s">
        <v>1769</v>
      </c>
      <c r="C2463" t="s">
        <v>4767</v>
      </c>
      <c r="D2463">
        <v>4</v>
      </c>
      <c r="E2463">
        <v>0</v>
      </c>
      <c r="F2463">
        <v>0</v>
      </c>
      <c r="G2463" t="s">
        <v>4768</v>
      </c>
      <c r="H2463" t="s">
        <v>4774</v>
      </c>
      <c r="I2463" t="s">
        <v>4814</v>
      </c>
      <c r="J2463" t="s">
        <v>5304</v>
      </c>
      <c r="L2463" t="s">
        <v>4769</v>
      </c>
    </row>
    <row r="2464" spans="1:12" x14ac:dyDescent="0.2">
      <c r="A2464" t="s">
        <v>1767</v>
      </c>
      <c r="B2464" t="s">
        <v>1769</v>
      </c>
      <c r="C2464" t="s">
        <v>4767</v>
      </c>
      <c r="D2464">
        <v>4</v>
      </c>
      <c r="E2464">
        <v>1994</v>
      </c>
      <c r="F2464">
        <v>1994</v>
      </c>
      <c r="G2464" t="s">
        <v>4768</v>
      </c>
      <c r="H2464" t="s">
        <v>5233</v>
      </c>
      <c r="I2464" t="s">
        <v>4814</v>
      </c>
      <c r="J2464" t="s">
        <v>5234</v>
      </c>
      <c r="L2464" t="s">
        <v>4769</v>
      </c>
    </row>
    <row r="2465" spans="1:12" x14ac:dyDescent="0.2">
      <c r="A2465" t="s">
        <v>1767</v>
      </c>
      <c r="B2465" t="s">
        <v>1769</v>
      </c>
      <c r="C2465" t="s">
        <v>4767</v>
      </c>
      <c r="D2465">
        <v>4</v>
      </c>
      <c r="E2465">
        <v>1994</v>
      </c>
      <c r="F2465">
        <v>1994</v>
      </c>
      <c r="G2465" t="s">
        <v>4768</v>
      </c>
      <c r="H2465" t="s">
        <v>5233</v>
      </c>
      <c r="I2465" t="s">
        <v>4814</v>
      </c>
      <c r="J2465" t="s">
        <v>5235</v>
      </c>
      <c r="L2465" t="s">
        <v>4769</v>
      </c>
    </row>
    <row r="2466" spans="1:12" x14ac:dyDescent="0.2">
      <c r="A2466" t="s">
        <v>1767</v>
      </c>
      <c r="B2466" t="s">
        <v>1769</v>
      </c>
      <c r="C2466" t="s">
        <v>4767</v>
      </c>
      <c r="D2466">
        <v>4</v>
      </c>
      <c r="E2466">
        <v>111.56</v>
      </c>
      <c r="F2466">
        <v>111.56</v>
      </c>
      <c r="G2466" t="s">
        <v>4768</v>
      </c>
      <c r="H2466" t="s">
        <v>5277</v>
      </c>
      <c r="I2466" t="s">
        <v>4814</v>
      </c>
      <c r="J2466" t="s">
        <v>5278</v>
      </c>
      <c r="L2466" t="s">
        <v>4769</v>
      </c>
    </row>
    <row r="2467" spans="1:12" x14ac:dyDescent="0.2">
      <c r="A2467" t="s">
        <v>1767</v>
      </c>
      <c r="B2467" t="s">
        <v>1769</v>
      </c>
      <c r="C2467" t="s">
        <v>4767</v>
      </c>
      <c r="D2467">
        <v>4</v>
      </c>
      <c r="E2467">
        <v>64.2</v>
      </c>
      <c r="F2467">
        <v>64.2</v>
      </c>
      <c r="G2467" t="s">
        <v>4768</v>
      </c>
      <c r="H2467" t="s">
        <v>5133</v>
      </c>
      <c r="I2467" t="s">
        <v>4814</v>
      </c>
      <c r="J2467" t="s">
        <v>5305</v>
      </c>
      <c r="L2467" t="s">
        <v>4769</v>
      </c>
    </row>
    <row r="2468" spans="1:12" x14ac:dyDescent="0.2">
      <c r="A2468" t="s">
        <v>1767</v>
      </c>
      <c r="B2468" t="s">
        <v>1769</v>
      </c>
      <c r="C2468" t="s">
        <v>4767</v>
      </c>
      <c r="D2468">
        <v>4</v>
      </c>
      <c r="E2468">
        <v>21.4</v>
      </c>
      <c r="F2468">
        <v>21.4</v>
      </c>
      <c r="G2468" t="s">
        <v>4768</v>
      </c>
      <c r="H2468" t="s">
        <v>5057</v>
      </c>
      <c r="I2468" t="s">
        <v>4814</v>
      </c>
      <c r="J2468" t="s">
        <v>5058</v>
      </c>
      <c r="L2468" t="s">
        <v>4769</v>
      </c>
    </row>
    <row r="2469" spans="1:12" x14ac:dyDescent="0.2">
      <c r="A2469" t="s">
        <v>1767</v>
      </c>
      <c r="B2469" t="s">
        <v>1769</v>
      </c>
      <c r="C2469" t="s">
        <v>4767</v>
      </c>
      <c r="D2469">
        <v>4</v>
      </c>
      <c r="E2469">
        <v>214</v>
      </c>
      <c r="F2469">
        <v>214</v>
      </c>
      <c r="G2469" t="s">
        <v>4768</v>
      </c>
      <c r="H2469" t="s">
        <v>5019</v>
      </c>
      <c r="I2469" t="s">
        <v>4814</v>
      </c>
      <c r="J2469" t="s">
        <v>5306</v>
      </c>
      <c r="L2469" t="s">
        <v>4769</v>
      </c>
    </row>
    <row r="2470" spans="1:12" x14ac:dyDescent="0.2">
      <c r="A2470" t="s">
        <v>1767</v>
      </c>
      <c r="B2470" t="s">
        <v>1769</v>
      </c>
      <c r="C2470" t="s">
        <v>4767</v>
      </c>
      <c r="D2470">
        <v>4</v>
      </c>
      <c r="E2470">
        <v>107</v>
      </c>
      <c r="F2470">
        <v>107</v>
      </c>
      <c r="G2470" t="s">
        <v>4768</v>
      </c>
      <c r="H2470" t="s">
        <v>4975</v>
      </c>
      <c r="I2470" t="s">
        <v>4814</v>
      </c>
      <c r="J2470" t="s">
        <v>5307</v>
      </c>
      <c r="L2470" t="s">
        <v>4769</v>
      </c>
    </row>
    <row r="2471" spans="1:12" x14ac:dyDescent="0.2">
      <c r="A2471" t="s">
        <v>1767</v>
      </c>
      <c r="B2471" t="s">
        <v>1769</v>
      </c>
      <c r="C2471" t="s">
        <v>4767</v>
      </c>
      <c r="D2471">
        <v>4</v>
      </c>
      <c r="E2471">
        <v>107</v>
      </c>
      <c r="F2471">
        <v>107</v>
      </c>
      <c r="G2471" t="s">
        <v>4768</v>
      </c>
      <c r="H2471" t="s">
        <v>4975</v>
      </c>
      <c r="I2471" t="s">
        <v>4814</v>
      </c>
      <c r="J2471" t="s">
        <v>5308</v>
      </c>
      <c r="L2471" t="s">
        <v>4769</v>
      </c>
    </row>
    <row r="2472" spans="1:12" x14ac:dyDescent="0.2">
      <c r="A2472" t="s">
        <v>1767</v>
      </c>
      <c r="B2472" t="s">
        <v>1769</v>
      </c>
      <c r="C2472" t="s">
        <v>4767</v>
      </c>
      <c r="D2472">
        <v>4</v>
      </c>
      <c r="E2472">
        <v>0</v>
      </c>
      <c r="F2472">
        <v>0</v>
      </c>
      <c r="G2472" t="s">
        <v>4768</v>
      </c>
      <c r="H2472" t="s">
        <v>4774</v>
      </c>
      <c r="I2472" t="s">
        <v>4814</v>
      </c>
      <c r="J2472" t="s">
        <v>5167</v>
      </c>
      <c r="L2472" t="s">
        <v>4769</v>
      </c>
    </row>
    <row r="2473" spans="1:12" x14ac:dyDescent="0.2">
      <c r="A2473" t="s">
        <v>1767</v>
      </c>
      <c r="B2473" t="s">
        <v>1769</v>
      </c>
      <c r="C2473" t="s">
        <v>4767</v>
      </c>
      <c r="D2473">
        <v>4</v>
      </c>
      <c r="E2473">
        <v>264.56</v>
      </c>
      <c r="F2473">
        <v>264.56</v>
      </c>
      <c r="G2473" t="s">
        <v>4768</v>
      </c>
      <c r="H2473" t="s">
        <v>5309</v>
      </c>
      <c r="I2473" t="s">
        <v>4814</v>
      </c>
      <c r="J2473" t="s">
        <v>5310</v>
      </c>
      <c r="L2473" t="s">
        <v>4769</v>
      </c>
    </row>
    <row r="2474" spans="1:12" x14ac:dyDescent="0.2">
      <c r="A2474" t="s">
        <v>1767</v>
      </c>
      <c r="B2474" t="s">
        <v>1769</v>
      </c>
      <c r="C2474" t="s">
        <v>4767</v>
      </c>
      <c r="D2474">
        <v>5</v>
      </c>
      <c r="E2474">
        <v>123.9</v>
      </c>
      <c r="F2474">
        <v>123.9</v>
      </c>
      <c r="G2474" t="s">
        <v>4768</v>
      </c>
      <c r="H2474" t="s">
        <v>5025</v>
      </c>
      <c r="I2474" t="s">
        <v>4814</v>
      </c>
      <c r="J2474" t="s">
        <v>5074</v>
      </c>
      <c r="K2474" t="s">
        <v>5311</v>
      </c>
      <c r="L2474" t="s">
        <v>4769</v>
      </c>
    </row>
    <row r="2475" spans="1:12" x14ac:dyDescent="0.2">
      <c r="A2475" t="s">
        <v>1767</v>
      </c>
      <c r="B2475" t="s">
        <v>1769</v>
      </c>
      <c r="C2475" t="s">
        <v>4767</v>
      </c>
      <c r="D2475">
        <v>5</v>
      </c>
      <c r="E2475">
        <v>0.96</v>
      </c>
      <c r="F2475">
        <v>0.96</v>
      </c>
      <c r="G2475" t="s">
        <v>4768</v>
      </c>
      <c r="H2475" t="s">
        <v>4897</v>
      </c>
      <c r="I2475" t="s">
        <v>4814</v>
      </c>
      <c r="J2475" t="s">
        <v>5074</v>
      </c>
      <c r="K2475" t="s">
        <v>5312</v>
      </c>
      <c r="L2475" t="s">
        <v>4769</v>
      </c>
    </row>
    <row r="2476" spans="1:12" x14ac:dyDescent="0.2">
      <c r="A2476" t="s">
        <v>1767</v>
      </c>
      <c r="B2476" t="s">
        <v>1769</v>
      </c>
      <c r="C2476" t="s">
        <v>4767</v>
      </c>
      <c r="D2476">
        <v>5</v>
      </c>
      <c r="E2476">
        <v>348</v>
      </c>
      <c r="F2476">
        <v>348</v>
      </c>
      <c r="G2476" t="s">
        <v>4768</v>
      </c>
      <c r="H2476" t="s">
        <v>4952</v>
      </c>
      <c r="I2476" t="s">
        <v>4814</v>
      </c>
      <c r="J2476" t="s">
        <v>5074</v>
      </c>
      <c r="K2476" t="s">
        <v>5313</v>
      </c>
      <c r="L2476" t="s">
        <v>4769</v>
      </c>
    </row>
    <row r="2477" spans="1:12" x14ac:dyDescent="0.2">
      <c r="A2477" t="s">
        <v>1767</v>
      </c>
      <c r="B2477" t="s">
        <v>1769</v>
      </c>
      <c r="C2477" t="s">
        <v>4767</v>
      </c>
      <c r="D2477">
        <v>5</v>
      </c>
      <c r="E2477">
        <v>26.75</v>
      </c>
      <c r="F2477">
        <v>26.75</v>
      </c>
      <c r="G2477" t="s">
        <v>4768</v>
      </c>
      <c r="H2477" t="s">
        <v>4879</v>
      </c>
      <c r="I2477" t="s">
        <v>4814</v>
      </c>
      <c r="J2477" t="s">
        <v>5074</v>
      </c>
      <c r="K2477" t="s">
        <v>5314</v>
      </c>
      <c r="L2477" t="s">
        <v>4769</v>
      </c>
    </row>
    <row r="2478" spans="1:12" x14ac:dyDescent="0.2">
      <c r="A2478" t="s">
        <v>1767</v>
      </c>
      <c r="B2478" t="s">
        <v>1769</v>
      </c>
      <c r="C2478" t="s">
        <v>4767</v>
      </c>
      <c r="D2478">
        <v>5</v>
      </c>
      <c r="E2478">
        <v>26.75</v>
      </c>
      <c r="F2478">
        <v>26.75</v>
      </c>
      <c r="G2478" t="s">
        <v>4768</v>
      </c>
      <c r="H2478" t="s">
        <v>4879</v>
      </c>
      <c r="I2478" t="s">
        <v>4814</v>
      </c>
      <c r="J2478" t="s">
        <v>5074</v>
      </c>
      <c r="K2478" t="s">
        <v>5315</v>
      </c>
      <c r="L2478" t="s">
        <v>4769</v>
      </c>
    </row>
    <row r="2479" spans="1:12" x14ac:dyDescent="0.2">
      <c r="A2479" t="s">
        <v>1767</v>
      </c>
      <c r="B2479" t="s">
        <v>1769</v>
      </c>
      <c r="C2479" t="s">
        <v>4767</v>
      </c>
      <c r="D2479">
        <v>5</v>
      </c>
      <c r="E2479">
        <v>5.88</v>
      </c>
      <c r="F2479">
        <v>5.88</v>
      </c>
      <c r="G2479" t="s">
        <v>4768</v>
      </c>
      <c r="H2479" t="s">
        <v>4948</v>
      </c>
      <c r="I2479" t="s">
        <v>4814</v>
      </c>
      <c r="J2479" t="s">
        <v>5074</v>
      </c>
      <c r="K2479" t="s">
        <v>5316</v>
      </c>
      <c r="L2479" t="s">
        <v>4769</v>
      </c>
    </row>
    <row r="2480" spans="1:12" x14ac:dyDescent="0.2">
      <c r="A2480" t="s">
        <v>1767</v>
      </c>
      <c r="B2480" t="s">
        <v>1769</v>
      </c>
      <c r="C2480" t="s">
        <v>4767</v>
      </c>
      <c r="D2480">
        <v>5</v>
      </c>
      <c r="E2480">
        <v>5.28</v>
      </c>
      <c r="F2480">
        <v>5.28</v>
      </c>
      <c r="G2480" t="s">
        <v>4768</v>
      </c>
      <c r="H2480" t="s">
        <v>4927</v>
      </c>
      <c r="I2480" t="s">
        <v>4814</v>
      </c>
      <c r="J2480" t="s">
        <v>5074</v>
      </c>
      <c r="K2480" t="s">
        <v>5317</v>
      </c>
      <c r="L2480" t="s">
        <v>4769</v>
      </c>
    </row>
    <row r="2481" spans="1:12" x14ac:dyDescent="0.2">
      <c r="A2481" t="s">
        <v>1767</v>
      </c>
      <c r="B2481" t="s">
        <v>1769</v>
      </c>
      <c r="C2481" t="s">
        <v>4767</v>
      </c>
      <c r="D2481">
        <v>5</v>
      </c>
      <c r="E2481">
        <v>637.72</v>
      </c>
      <c r="F2481">
        <v>637.72</v>
      </c>
      <c r="G2481" t="s">
        <v>4768</v>
      </c>
      <c r="H2481" t="s">
        <v>4943</v>
      </c>
      <c r="I2481" t="s">
        <v>4814</v>
      </c>
      <c r="J2481" t="s">
        <v>5074</v>
      </c>
      <c r="K2481" t="s">
        <v>5318</v>
      </c>
      <c r="L2481" t="s">
        <v>4769</v>
      </c>
    </row>
    <row r="2482" spans="1:12" x14ac:dyDescent="0.2">
      <c r="A2482" t="s">
        <v>1767</v>
      </c>
      <c r="B2482" t="s">
        <v>1769</v>
      </c>
      <c r="C2482" t="s">
        <v>4767</v>
      </c>
      <c r="D2482">
        <v>5</v>
      </c>
      <c r="E2482">
        <v>23.16</v>
      </c>
      <c r="F2482">
        <v>23.16</v>
      </c>
      <c r="G2482" t="s">
        <v>4768</v>
      </c>
      <c r="H2482" t="s">
        <v>4932</v>
      </c>
      <c r="I2482" t="s">
        <v>4814</v>
      </c>
      <c r="J2482" t="s">
        <v>5074</v>
      </c>
      <c r="K2482" t="s">
        <v>5319</v>
      </c>
      <c r="L2482" t="s">
        <v>4769</v>
      </c>
    </row>
    <row r="2483" spans="1:12" x14ac:dyDescent="0.2">
      <c r="A2483" t="s">
        <v>1767</v>
      </c>
      <c r="B2483" t="s">
        <v>1769</v>
      </c>
      <c r="C2483" t="s">
        <v>4767</v>
      </c>
      <c r="D2483">
        <v>5</v>
      </c>
      <c r="E2483">
        <v>26.75</v>
      </c>
      <c r="F2483">
        <v>26.75</v>
      </c>
      <c r="G2483" t="s">
        <v>4768</v>
      </c>
      <c r="H2483" t="s">
        <v>4879</v>
      </c>
      <c r="I2483" t="s">
        <v>4814</v>
      </c>
      <c r="J2483" t="s">
        <v>5074</v>
      </c>
      <c r="K2483" t="s">
        <v>5320</v>
      </c>
      <c r="L2483" t="s">
        <v>4769</v>
      </c>
    </row>
    <row r="2484" spans="1:12" x14ac:dyDescent="0.2">
      <c r="A2484" t="s">
        <v>1767</v>
      </c>
      <c r="B2484" t="s">
        <v>1769</v>
      </c>
      <c r="C2484" t="s">
        <v>4767</v>
      </c>
      <c r="D2484">
        <v>5</v>
      </c>
      <c r="E2484">
        <v>26.75</v>
      </c>
      <c r="F2484">
        <v>26.75</v>
      </c>
      <c r="G2484" t="s">
        <v>4768</v>
      </c>
      <c r="H2484" t="s">
        <v>4879</v>
      </c>
      <c r="I2484" t="s">
        <v>4814</v>
      </c>
      <c r="J2484" t="s">
        <v>5074</v>
      </c>
      <c r="K2484" t="s">
        <v>5321</v>
      </c>
      <c r="L2484" t="s">
        <v>4769</v>
      </c>
    </row>
    <row r="2485" spans="1:12" x14ac:dyDescent="0.2">
      <c r="A2485" t="s">
        <v>1767</v>
      </c>
      <c r="B2485" t="s">
        <v>1769</v>
      </c>
      <c r="C2485" t="s">
        <v>4767</v>
      </c>
      <c r="D2485">
        <v>5</v>
      </c>
      <c r="E2485">
        <v>107</v>
      </c>
      <c r="F2485">
        <v>107</v>
      </c>
      <c r="G2485" t="s">
        <v>4768</v>
      </c>
      <c r="H2485" t="s">
        <v>4975</v>
      </c>
      <c r="I2485" t="s">
        <v>4814</v>
      </c>
      <c r="J2485" t="s">
        <v>5074</v>
      </c>
      <c r="K2485" t="s">
        <v>5322</v>
      </c>
      <c r="L2485" t="s">
        <v>4769</v>
      </c>
    </row>
    <row r="2486" spans="1:12" x14ac:dyDescent="0.2">
      <c r="A2486" t="s">
        <v>1767</v>
      </c>
      <c r="B2486" t="s">
        <v>1769</v>
      </c>
      <c r="C2486" t="s">
        <v>4767</v>
      </c>
      <c r="D2486">
        <v>5</v>
      </c>
      <c r="E2486">
        <v>406.6</v>
      </c>
      <c r="F2486">
        <v>406.6</v>
      </c>
      <c r="G2486" t="s">
        <v>4768</v>
      </c>
      <c r="H2486" t="s">
        <v>5172</v>
      </c>
      <c r="I2486" t="s">
        <v>4814</v>
      </c>
      <c r="J2486" t="s">
        <v>5074</v>
      </c>
      <c r="K2486" t="s">
        <v>5323</v>
      </c>
      <c r="L2486" t="s">
        <v>4769</v>
      </c>
    </row>
    <row r="2487" spans="1:12" x14ac:dyDescent="0.2">
      <c r="A2487" t="s">
        <v>1767</v>
      </c>
      <c r="B2487" t="s">
        <v>1769</v>
      </c>
      <c r="C2487" t="s">
        <v>5324</v>
      </c>
      <c r="D2487">
        <v>1</v>
      </c>
      <c r="E2487">
        <v>0</v>
      </c>
      <c r="F2487">
        <v>0</v>
      </c>
      <c r="G2487" t="s">
        <v>5325</v>
      </c>
      <c r="L2487" t="s">
        <v>5326</v>
      </c>
    </row>
    <row r="2488" spans="1:12" x14ac:dyDescent="0.2">
      <c r="A2488" t="s">
        <v>1767</v>
      </c>
      <c r="B2488" t="s">
        <v>1769</v>
      </c>
      <c r="C2488" t="s">
        <v>5324</v>
      </c>
      <c r="D2488">
        <v>3</v>
      </c>
      <c r="E2488">
        <v>234.5</v>
      </c>
      <c r="F2488">
        <v>234.5</v>
      </c>
      <c r="G2488" t="s">
        <v>5325</v>
      </c>
      <c r="H2488" t="s">
        <v>5327</v>
      </c>
      <c r="I2488" t="s">
        <v>5328</v>
      </c>
      <c r="L2488" t="s">
        <v>5326</v>
      </c>
    </row>
    <row r="2489" spans="1:12" x14ac:dyDescent="0.2">
      <c r="A2489" t="s">
        <v>1767</v>
      </c>
      <c r="B2489" t="s">
        <v>1769</v>
      </c>
      <c r="C2489" t="s">
        <v>5324</v>
      </c>
      <c r="D2489">
        <v>3</v>
      </c>
      <c r="E2489">
        <v>0</v>
      </c>
      <c r="F2489">
        <v>0</v>
      </c>
      <c r="G2489" t="s">
        <v>5325</v>
      </c>
      <c r="H2489" t="s">
        <v>5329</v>
      </c>
      <c r="I2489" t="s">
        <v>5330</v>
      </c>
      <c r="L2489" t="s">
        <v>5326</v>
      </c>
    </row>
    <row r="2490" spans="1:12" x14ac:dyDescent="0.2">
      <c r="A2490" t="s">
        <v>1767</v>
      </c>
      <c r="B2490" t="s">
        <v>1769</v>
      </c>
      <c r="C2490" t="s">
        <v>5324</v>
      </c>
      <c r="D2490">
        <v>3</v>
      </c>
      <c r="E2490">
        <v>340</v>
      </c>
      <c r="F2490">
        <v>340</v>
      </c>
      <c r="G2490" t="s">
        <v>5325</v>
      </c>
      <c r="H2490" t="s">
        <v>5331</v>
      </c>
      <c r="I2490" t="s">
        <v>5332</v>
      </c>
      <c r="L2490" t="s">
        <v>5326</v>
      </c>
    </row>
    <row r="2491" spans="1:12" x14ac:dyDescent="0.2">
      <c r="A2491" t="s">
        <v>1767</v>
      </c>
      <c r="B2491" t="s">
        <v>1769</v>
      </c>
      <c r="C2491" t="s">
        <v>5324</v>
      </c>
      <c r="D2491">
        <v>3</v>
      </c>
      <c r="E2491">
        <v>390</v>
      </c>
      <c r="F2491">
        <v>390</v>
      </c>
      <c r="G2491" t="s">
        <v>5325</v>
      </c>
      <c r="H2491" t="s">
        <v>5333</v>
      </c>
      <c r="I2491" t="s">
        <v>5334</v>
      </c>
      <c r="L2491" t="s">
        <v>5326</v>
      </c>
    </row>
    <row r="2492" spans="1:12" x14ac:dyDescent="0.2">
      <c r="A2492" t="s">
        <v>1767</v>
      </c>
      <c r="B2492" t="s">
        <v>1769</v>
      </c>
      <c r="C2492" t="s">
        <v>5324</v>
      </c>
      <c r="D2492">
        <v>3</v>
      </c>
      <c r="E2492">
        <v>0</v>
      </c>
      <c r="F2492">
        <v>0</v>
      </c>
      <c r="G2492" t="s">
        <v>5325</v>
      </c>
      <c r="H2492" t="s">
        <v>5329</v>
      </c>
      <c r="I2492" t="s">
        <v>5335</v>
      </c>
      <c r="L2492" t="s">
        <v>5326</v>
      </c>
    </row>
    <row r="2493" spans="1:12" x14ac:dyDescent="0.2">
      <c r="A2493" t="s">
        <v>1767</v>
      </c>
      <c r="B2493" t="s">
        <v>1769</v>
      </c>
      <c r="C2493" t="s">
        <v>5324</v>
      </c>
      <c r="D2493">
        <v>3</v>
      </c>
      <c r="E2493">
        <v>100.5</v>
      </c>
      <c r="F2493">
        <v>100.5</v>
      </c>
      <c r="G2493" t="s">
        <v>5325</v>
      </c>
      <c r="H2493" t="s">
        <v>5336</v>
      </c>
      <c r="I2493" t="s">
        <v>5337</v>
      </c>
      <c r="L2493" t="s">
        <v>5326</v>
      </c>
    </row>
    <row r="2494" spans="1:12" x14ac:dyDescent="0.2">
      <c r="A2494" t="s">
        <v>1767</v>
      </c>
      <c r="B2494" t="s">
        <v>1769</v>
      </c>
      <c r="C2494" t="s">
        <v>5324</v>
      </c>
      <c r="D2494">
        <v>3</v>
      </c>
      <c r="E2494">
        <v>0</v>
      </c>
      <c r="F2494">
        <v>0</v>
      </c>
      <c r="G2494" t="s">
        <v>5325</v>
      </c>
      <c r="H2494" t="s">
        <v>5329</v>
      </c>
      <c r="I2494" t="s">
        <v>5338</v>
      </c>
      <c r="L2494" t="s">
        <v>5326</v>
      </c>
    </row>
    <row r="2495" spans="1:12" x14ac:dyDescent="0.2">
      <c r="A2495" t="s">
        <v>1767</v>
      </c>
      <c r="B2495" t="s">
        <v>1769</v>
      </c>
      <c r="C2495" t="s">
        <v>5324</v>
      </c>
      <c r="D2495">
        <v>3</v>
      </c>
      <c r="E2495">
        <v>183.6</v>
      </c>
      <c r="F2495">
        <v>183.6</v>
      </c>
      <c r="G2495" t="s">
        <v>5325</v>
      </c>
      <c r="H2495" t="s">
        <v>5339</v>
      </c>
      <c r="I2495" t="s">
        <v>5340</v>
      </c>
      <c r="L2495" t="s">
        <v>5326</v>
      </c>
    </row>
    <row r="2496" spans="1:12" x14ac:dyDescent="0.2">
      <c r="A2496" t="s">
        <v>1767</v>
      </c>
      <c r="B2496" t="s">
        <v>1769</v>
      </c>
      <c r="C2496" t="s">
        <v>5324</v>
      </c>
      <c r="D2496">
        <v>3</v>
      </c>
      <c r="E2496">
        <v>0</v>
      </c>
      <c r="F2496">
        <v>0</v>
      </c>
      <c r="G2496" t="s">
        <v>5325</v>
      </c>
      <c r="H2496" t="s">
        <v>5329</v>
      </c>
      <c r="I2496" t="s">
        <v>5341</v>
      </c>
      <c r="L2496" t="s">
        <v>5326</v>
      </c>
    </row>
    <row r="2497" spans="1:12" x14ac:dyDescent="0.2">
      <c r="A2497" t="s">
        <v>1767</v>
      </c>
      <c r="B2497" t="s">
        <v>1769</v>
      </c>
      <c r="C2497" t="s">
        <v>5324</v>
      </c>
      <c r="D2497">
        <v>3</v>
      </c>
      <c r="E2497">
        <v>0</v>
      </c>
      <c r="F2497">
        <v>0</v>
      </c>
      <c r="G2497" t="s">
        <v>5325</v>
      </c>
      <c r="H2497" t="s">
        <v>5329</v>
      </c>
      <c r="I2497" t="s">
        <v>5342</v>
      </c>
      <c r="L2497" t="s">
        <v>5326</v>
      </c>
    </row>
    <row r="2498" spans="1:12" x14ac:dyDescent="0.2">
      <c r="A2498" t="s">
        <v>1767</v>
      </c>
      <c r="B2498" t="s">
        <v>1769</v>
      </c>
      <c r="C2498" t="s">
        <v>5324</v>
      </c>
      <c r="D2498">
        <v>3</v>
      </c>
      <c r="E2498">
        <v>105</v>
      </c>
      <c r="F2498">
        <v>105</v>
      </c>
      <c r="G2498" t="s">
        <v>5325</v>
      </c>
      <c r="H2498" t="s">
        <v>5343</v>
      </c>
      <c r="I2498" t="s">
        <v>5344</v>
      </c>
      <c r="L2498" t="s">
        <v>5326</v>
      </c>
    </row>
    <row r="2499" spans="1:12" x14ac:dyDescent="0.2">
      <c r="A2499" t="s">
        <v>1767</v>
      </c>
      <c r="B2499" t="s">
        <v>1769</v>
      </c>
      <c r="C2499" t="s">
        <v>5324</v>
      </c>
      <c r="D2499">
        <v>3</v>
      </c>
      <c r="E2499">
        <v>177.63</v>
      </c>
      <c r="F2499">
        <v>177.63</v>
      </c>
      <c r="G2499" t="s">
        <v>5325</v>
      </c>
      <c r="H2499" t="s">
        <v>5345</v>
      </c>
      <c r="I2499" t="s">
        <v>5346</v>
      </c>
      <c r="L2499" t="s">
        <v>5326</v>
      </c>
    </row>
    <row r="2500" spans="1:12" x14ac:dyDescent="0.2">
      <c r="A2500" t="s">
        <v>1767</v>
      </c>
      <c r="B2500" t="s">
        <v>1769</v>
      </c>
      <c r="C2500" t="s">
        <v>5324</v>
      </c>
      <c r="D2500">
        <v>3</v>
      </c>
      <c r="E2500">
        <v>70.5</v>
      </c>
      <c r="F2500">
        <v>70.5</v>
      </c>
      <c r="G2500" t="s">
        <v>5325</v>
      </c>
      <c r="H2500" t="s">
        <v>5347</v>
      </c>
      <c r="I2500" t="s">
        <v>5348</v>
      </c>
      <c r="L2500" t="s">
        <v>5326</v>
      </c>
    </row>
    <row r="2501" spans="1:12" x14ac:dyDescent="0.2">
      <c r="A2501" t="s">
        <v>1767</v>
      </c>
      <c r="B2501" t="s">
        <v>1769</v>
      </c>
      <c r="C2501" t="s">
        <v>5324</v>
      </c>
      <c r="D2501">
        <v>3</v>
      </c>
      <c r="E2501">
        <v>846</v>
      </c>
      <c r="F2501">
        <v>846</v>
      </c>
      <c r="G2501" t="s">
        <v>5325</v>
      </c>
      <c r="H2501" t="s">
        <v>5349</v>
      </c>
      <c r="I2501" t="s">
        <v>5350</v>
      </c>
      <c r="L2501" t="s">
        <v>5326</v>
      </c>
    </row>
    <row r="2502" spans="1:12" x14ac:dyDescent="0.2">
      <c r="A2502" t="s">
        <v>1767</v>
      </c>
      <c r="B2502" t="s">
        <v>1769</v>
      </c>
      <c r="C2502" t="s">
        <v>5324</v>
      </c>
      <c r="D2502">
        <v>3</v>
      </c>
      <c r="E2502">
        <v>0</v>
      </c>
      <c r="F2502">
        <v>0</v>
      </c>
      <c r="G2502" t="s">
        <v>5325</v>
      </c>
      <c r="H2502" t="s">
        <v>5329</v>
      </c>
      <c r="I2502" t="s">
        <v>5351</v>
      </c>
      <c r="L2502" t="s">
        <v>5326</v>
      </c>
    </row>
    <row r="2503" spans="1:12" x14ac:dyDescent="0.2">
      <c r="A2503" t="s">
        <v>1767</v>
      </c>
      <c r="B2503" t="s">
        <v>1769</v>
      </c>
      <c r="C2503" t="s">
        <v>5324</v>
      </c>
      <c r="D2503">
        <v>3</v>
      </c>
      <c r="E2503">
        <v>-110</v>
      </c>
      <c r="F2503">
        <v>-110</v>
      </c>
      <c r="G2503" t="s">
        <v>5325</v>
      </c>
      <c r="H2503" t="s">
        <v>5352</v>
      </c>
      <c r="I2503" t="s">
        <v>5353</v>
      </c>
      <c r="L2503" t="s">
        <v>5326</v>
      </c>
    </row>
    <row r="2504" spans="1:12" x14ac:dyDescent="0.2">
      <c r="A2504" t="s">
        <v>1767</v>
      </c>
      <c r="B2504" t="s">
        <v>1769</v>
      </c>
      <c r="C2504" t="s">
        <v>5324</v>
      </c>
      <c r="D2504">
        <v>3</v>
      </c>
      <c r="E2504">
        <v>440</v>
      </c>
      <c r="F2504">
        <v>440</v>
      </c>
      <c r="G2504" t="s">
        <v>5325</v>
      </c>
      <c r="H2504" t="s">
        <v>5354</v>
      </c>
      <c r="I2504" t="s">
        <v>5355</v>
      </c>
      <c r="L2504" t="s">
        <v>5326</v>
      </c>
    </row>
    <row r="2505" spans="1:12" x14ac:dyDescent="0.2">
      <c r="A2505" t="s">
        <v>1767</v>
      </c>
      <c r="B2505" t="s">
        <v>1769</v>
      </c>
      <c r="C2505" t="s">
        <v>5324</v>
      </c>
      <c r="D2505">
        <v>3</v>
      </c>
      <c r="E2505">
        <v>570</v>
      </c>
      <c r="F2505">
        <v>570</v>
      </c>
      <c r="G2505" t="s">
        <v>5325</v>
      </c>
      <c r="H2505" t="s">
        <v>5356</v>
      </c>
      <c r="I2505" t="s">
        <v>5357</v>
      </c>
      <c r="L2505" t="s">
        <v>5326</v>
      </c>
    </row>
    <row r="2506" spans="1:12" x14ac:dyDescent="0.2">
      <c r="A2506" t="s">
        <v>1767</v>
      </c>
      <c r="B2506" t="s">
        <v>1769</v>
      </c>
      <c r="C2506" t="s">
        <v>5324</v>
      </c>
      <c r="D2506">
        <v>3</v>
      </c>
      <c r="E2506">
        <v>7604.76</v>
      </c>
      <c r="F2506">
        <v>7604.76</v>
      </c>
      <c r="G2506" t="s">
        <v>5325</v>
      </c>
      <c r="H2506" t="s">
        <v>5358</v>
      </c>
      <c r="I2506" t="s">
        <v>5359</v>
      </c>
      <c r="L2506" t="s">
        <v>5326</v>
      </c>
    </row>
    <row r="2507" spans="1:12" x14ac:dyDescent="0.2">
      <c r="A2507" t="s">
        <v>1767</v>
      </c>
      <c r="B2507" t="s">
        <v>1769</v>
      </c>
      <c r="C2507" t="s">
        <v>5324</v>
      </c>
      <c r="D2507">
        <v>3</v>
      </c>
      <c r="E2507">
        <v>0</v>
      </c>
      <c r="F2507">
        <v>0</v>
      </c>
      <c r="G2507" t="s">
        <v>5325</v>
      </c>
      <c r="H2507" t="s">
        <v>5329</v>
      </c>
      <c r="I2507" t="s">
        <v>5360</v>
      </c>
      <c r="L2507" t="s">
        <v>5326</v>
      </c>
    </row>
    <row r="2508" spans="1:12" x14ac:dyDescent="0.2">
      <c r="A2508" t="s">
        <v>1767</v>
      </c>
      <c r="B2508" t="s">
        <v>1769</v>
      </c>
      <c r="C2508" t="s">
        <v>5324</v>
      </c>
      <c r="D2508">
        <v>3</v>
      </c>
      <c r="E2508">
        <v>452.92</v>
      </c>
      <c r="F2508">
        <v>452.92</v>
      </c>
      <c r="G2508" t="s">
        <v>5325</v>
      </c>
      <c r="H2508" t="s">
        <v>5361</v>
      </c>
      <c r="I2508" t="s">
        <v>5362</v>
      </c>
      <c r="L2508" t="s">
        <v>5326</v>
      </c>
    </row>
    <row r="2509" spans="1:12" x14ac:dyDescent="0.2">
      <c r="A2509" t="s">
        <v>1767</v>
      </c>
      <c r="B2509" t="s">
        <v>1769</v>
      </c>
      <c r="C2509" t="s">
        <v>5324</v>
      </c>
      <c r="D2509">
        <v>3</v>
      </c>
      <c r="E2509">
        <v>27.6</v>
      </c>
      <c r="F2509">
        <v>27.6</v>
      </c>
      <c r="G2509" t="s">
        <v>5325</v>
      </c>
      <c r="H2509" t="s">
        <v>5363</v>
      </c>
      <c r="I2509" t="s">
        <v>5364</v>
      </c>
      <c r="L2509" t="s">
        <v>5326</v>
      </c>
    </row>
    <row r="2510" spans="1:12" x14ac:dyDescent="0.2">
      <c r="A2510" t="s">
        <v>1767</v>
      </c>
      <c r="B2510" t="s">
        <v>1769</v>
      </c>
      <c r="C2510" t="s">
        <v>5324</v>
      </c>
      <c r="D2510">
        <v>3</v>
      </c>
      <c r="E2510">
        <v>0</v>
      </c>
      <c r="F2510">
        <v>0</v>
      </c>
      <c r="G2510" t="s">
        <v>5325</v>
      </c>
      <c r="H2510" t="s">
        <v>5329</v>
      </c>
      <c r="I2510" t="s">
        <v>5365</v>
      </c>
      <c r="L2510" t="s">
        <v>5326</v>
      </c>
    </row>
    <row r="2511" spans="1:12" x14ac:dyDescent="0.2">
      <c r="A2511" t="s">
        <v>1767</v>
      </c>
      <c r="B2511" t="s">
        <v>1769</v>
      </c>
      <c r="C2511" t="s">
        <v>5324</v>
      </c>
      <c r="D2511">
        <v>3</v>
      </c>
      <c r="E2511">
        <v>837</v>
      </c>
      <c r="F2511">
        <v>837</v>
      </c>
      <c r="G2511" t="s">
        <v>5325</v>
      </c>
      <c r="H2511" t="s">
        <v>5366</v>
      </c>
      <c r="I2511" t="s">
        <v>5367</v>
      </c>
      <c r="L2511" t="s">
        <v>5326</v>
      </c>
    </row>
    <row r="2512" spans="1:12" x14ac:dyDescent="0.2">
      <c r="A2512" t="s">
        <v>1767</v>
      </c>
      <c r="B2512" t="s">
        <v>1769</v>
      </c>
      <c r="C2512" t="s">
        <v>5324</v>
      </c>
      <c r="D2512">
        <v>3</v>
      </c>
      <c r="E2512">
        <v>63.2</v>
      </c>
      <c r="F2512">
        <v>63.2</v>
      </c>
      <c r="G2512" t="s">
        <v>5325</v>
      </c>
      <c r="H2512" t="s">
        <v>5368</v>
      </c>
      <c r="I2512" t="s">
        <v>5369</v>
      </c>
      <c r="L2512" t="s">
        <v>5326</v>
      </c>
    </row>
    <row r="2513" spans="1:12" x14ac:dyDescent="0.2">
      <c r="A2513" t="s">
        <v>1767</v>
      </c>
      <c r="B2513" t="s">
        <v>1769</v>
      </c>
      <c r="C2513" t="s">
        <v>5324</v>
      </c>
      <c r="D2513">
        <v>3</v>
      </c>
      <c r="E2513">
        <v>115.9</v>
      </c>
      <c r="F2513">
        <v>115.9</v>
      </c>
      <c r="G2513" t="s">
        <v>5325</v>
      </c>
      <c r="H2513" t="s">
        <v>5370</v>
      </c>
      <c r="I2513" t="s">
        <v>5371</v>
      </c>
      <c r="L2513" t="s">
        <v>5326</v>
      </c>
    </row>
    <row r="2514" spans="1:12" x14ac:dyDescent="0.2">
      <c r="A2514" t="s">
        <v>1767</v>
      </c>
      <c r="B2514" t="s">
        <v>1769</v>
      </c>
      <c r="C2514" t="s">
        <v>5324</v>
      </c>
      <c r="D2514">
        <v>3</v>
      </c>
      <c r="E2514">
        <v>568</v>
      </c>
      <c r="F2514">
        <v>568</v>
      </c>
      <c r="G2514" t="s">
        <v>5325</v>
      </c>
      <c r="H2514" t="s">
        <v>5372</v>
      </c>
      <c r="I2514" t="s">
        <v>5373</v>
      </c>
      <c r="L2514" t="s">
        <v>5326</v>
      </c>
    </row>
    <row r="2515" spans="1:12" x14ac:dyDescent="0.2">
      <c r="A2515" t="s">
        <v>1767</v>
      </c>
      <c r="B2515" t="s">
        <v>1769</v>
      </c>
      <c r="C2515" t="s">
        <v>5324</v>
      </c>
      <c r="D2515">
        <v>3</v>
      </c>
      <c r="E2515">
        <v>220</v>
      </c>
      <c r="F2515">
        <v>220</v>
      </c>
      <c r="G2515" t="s">
        <v>5325</v>
      </c>
      <c r="H2515" t="s">
        <v>5374</v>
      </c>
      <c r="I2515" t="s">
        <v>5375</v>
      </c>
      <c r="L2515" t="s">
        <v>5326</v>
      </c>
    </row>
    <row r="2516" spans="1:12" x14ac:dyDescent="0.2">
      <c r="A2516" t="s">
        <v>1767</v>
      </c>
      <c r="B2516" t="s">
        <v>1769</v>
      </c>
      <c r="C2516" t="s">
        <v>5324</v>
      </c>
      <c r="D2516">
        <v>3</v>
      </c>
      <c r="E2516">
        <v>110</v>
      </c>
      <c r="F2516">
        <v>110</v>
      </c>
      <c r="G2516" t="s">
        <v>5325</v>
      </c>
      <c r="H2516" t="s">
        <v>5376</v>
      </c>
      <c r="I2516" t="s">
        <v>5377</v>
      </c>
      <c r="L2516" t="s">
        <v>5326</v>
      </c>
    </row>
    <row r="2517" spans="1:12" x14ac:dyDescent="0.2">
      <c r="A2517" t="s">
        <v>1767</v>
      </c>
      <c r="B2517" t="s">
        <v>1769</v>
      </c>
      <c r="C2517" t="s">
        <v>5324</v>
      </c>
      <c r="D2517">
        <v>3</v>
      </c>
      <c r="E2517">
        <v>440</v>
      </c>
      <c r="F2517">
        <v>440</v>
      </c>
      <c r="G2517" t="s">
        <v>5325</v>
      </c>
      <c r="H2517" t="s">
        <v>5354</v>
      </c>
      <c r="I2517" t="s">
        <v>5355</v>
      </c>
      <c r="L2517" t="s">
        <v>5326</v>
      </c>
    </row>
    <row r="2518" spans="1:12" x14ac:dyDescent="0.2">
      <c r="A2518" t="s">
        <v>1767</v>
      </c>
      <c r="B2518" t="s">
        <v>1769</v>
      </c>
      <c r="C2518" t="s">
        <v>5324</v>
      </c>
      <c r="D2518">
        <v>3</v>
      </c>
      <c r="E2518">
        <v>-440</v>
      </c>
      <c r="F2518">
        <v>-440</v>
      </c>
      <c r="G2518" t="s">
        <v>5325</v>
      </c>
      <c r="H2518" t="s">
        <v>5378</v>
      </c>
      <c r="I2518" t="s">
        <v>5379</v>
      </c>
      <c r="L2518" t="s">
        <v>5326</v>
      </c>
    </row>
    <row r="2519" spans="1:12" x14ac:dyDescent="0.2">
      <c r="A2519" t="s">
        <v>1767</v>
      </c>
      <c r="B2519" t="s">
        <v>1769</v>
      </c>
      <c r="C2519" t="s">
        <v>5324</v>
      </c>
      <c r="D2519">
        <v>3</v>
      </c>
      <c r="E2519">
        <v>0</v>
      </c>
      <c r="F2519">
        <v>0</v>
      </c>
      <c r="G2519" t="s">
        <v>5325</v>
      </c>
      <c r="H2519" t="s">
        <v>5329</v>
      </c>
      <c r="I2519" t="s">
        <v>5380</v>
      </c>
      <c r="L2519" t="s">
        <v>5326</v>
      </c>
    </row>
    <row r="2520" spans="1:12" x14ac:dyDescent="0.2">
      <c r="A2520" t="s">
        <v>1767</v>
      </c>
      <c r="B2520" t="s">
        <v>1769</v>
      </c>
      <c r="C2520" t="s">
        <v>5324</v>
      </c>
      <c r="D2520">
        <v>3</v>
      </c>
      <c r="E2520">
        <v>560</v>
      </c>
      <c r="F2520">
        <v>560</v>
      </c>
      <c r="G2520" t="s">
        <v>5325</v>
      </c>
      <c r="H2520" t="s">
        <v>5381</v>
      </c>
      <c r="I2520" t="s">
        <v>5382</v>
      </c>
      <c r="L2520" t="s">
        <v>5326</v>
      </c>
    </row>
    <row r="2521" spans="1:12" x14ac:dyDescent="0.2">
      <c r="A2521" t="s">
        <v>1767</v>
      </c>
      <c r="B2521" t="s">
        <v>1769</v>
      </c>
      <c r="C2521" t="s">
        <v>5324</v>
      </c>
      <c r="D2521">
        <v>3</v>
      </c>
      <c r="E2521">
        <v>594</v>
      </c>
      <c r="F2521">
        <v>594</v>
      </c>
      <c r="G2521" t="s">
        <v>5325</v>
      </c>
      <c r="H2521" t="s">
        <v>5383</v>
      </c>
      <c r="I2521" t="s">
        <v>5384</v>
      </c>
      <c r="L2521" t="s">
        <v>5326</v>
      </c>
    </row>
    <row r="2522" spans="1:12" x14ac:dyDescent="0.2">
      <c r="A2522" t="s">
        <v>1767</v>
      </c>
      <c r="B2522" t="s">
        <v>1769</v>
      </c>
      <c r="C2522" t="s">
        <v>5324</v>
      </c>
      <c r="D2522">
        <v>3</v>
      </c>
      <c r="E2522">
        <v>380</v>
      </c>
      <c r="F2522">
        <v>380</v>
      </c>
      <c r="G2522" t="s">
        <v>5325</v>
      </c>
      <c r="H2522" t="s">
        <v>5385</v>
      </c>
      <c r="I2522" t="s">
        <v>5386</v>
      </c>
      <c r="L2522" t="s">
        <v>5326</v>
      </c>
    </row>
    <row r="2523" spans="1:12" x14ac:dyDescent="0.2">
      <c r="A2523" t="s">
        <v>1767</v>
      </c>
      <c r="B2523" t="s">
        <v>1769</v>
      </c>
      <c r="C2523" t="s">
        <v>5324</v>
      </c>
      <c r="D2523">
        <v>3</v>
      </c>
      <c r="E2523">
        <v>0</v>
      </c>
      <c r="F2523">
        <v>0</v>
      </c>
      <c r="G2523" t="s">
        <v>5325</v>
      </c>
      <c r="H2523" t="s">
        <v>5329</v>
      </c>
      <c r="I2523" t="s">
        <v>5387</v>
      </c>
      <c r="L2523" t="s">
        <v>5326</v>
      </c>
    </row>
    <row r="2524" spans="1:12" x14ac:dyDescent="0.2">
      <c r="A2524" t="s">
        <v>1767</v>
      </c>
      <c r="B2524" t="s">
        <v>1769</v>
      </c>
      <c r="C2524" t="s">
        <v>5324</v>
      </c>
      <c r="D2524">
        <v>3</v>
      </c>
      <c r="E2524">
        <v>0</v>
      </c>
      <c r="F2524">
        <v>0</v>
      </c>
      <c r="G2524" t="s">
        <v>5325</v>
      </c>
      <c r="H2524" t="s">
        <v>5329</v>
      </c>
      <c r="I2524" t="s">
        <v>5388</v>
      </c>
      <c r="L2524" t="s">
        <v>5326</v>
      </c>
    </row>
    <row r="2525" spans="1:12" x14ac:dyDescent="0.2">
      <c r="A2525" t="s">
        <v>1767</v>
      </c>
      <c r="B2525" t="s">
        <v>1769</v>
      </c>
      <c r="C2525" t="s">
        <v>5324</v>
      </c>
      <c r="D2525">
        <v>3</v>
      </c>
      <c r="E2525">
        <v>0</v>
      </c>
      <c r="F2525">
        <v>0</v>
      </c>
      <c r="G2525" t="s">
        <v>5325</v>
      </c>
      <c r="H2525" t="s">
        <v>5329</v>
      </c>
      <c r="I2525" t="s">
        <v>5389</v>
      </c>
      <c r="L2525" t="s">
        <v>5326</v>
      </c>
    </row>
    <row r="2526" spans="1:12" x14ac:dyDescent="0.2">
      <c r="A2526" t="s">
        <v>1767</v>
      </c>
      <c r="B2526" t="s">
        <v>1769</v>
      </c>
      <c r="C2526" t="s">
        <v>5324</v>
      </c>
      <c r="D2526">
        <v>3</v>
      </c>
      <c r="E2526">
        <v>0</v>
      </c>
      <c r="F2526">
        <v>0</v>
      </c>
      <c r="G2526" t="s">
        <v>5325</v>
      </c>
      <c r="H2526" t="s">
        <v>5329</v>
      </c>
      <c r="I2526" t="s">
        <v>5390</v>
      </c>
      <c r="L2526" t="s">
        <v>5326</v>
      </c>
    </row>
    <row r="2527" spans="1:12" x14ac:dyDescent="0.2">
      <c r="A2527" t="s">
        <v>1767</v>
      </c>
      <c r="B2527" t="s">
        <v>1769</v>
      </c>
      <c r="C2527" t="s">
        <v>5324</v>
      </c>
      <c r="D2527">
        <v>3</v>
      </c>
      <c r="E2527">
        <v>0</v>
      </c>
      <c r="F2527">
        <v>0</v>
      </c>
      <c r="G2527" t="s">
        <v>5325</v>
      </c>
      <c r="H2527" t="s">
        <v>5329</v>
      </c>
      <c r="I2527" t="s">
        <v>5391</v>
      </c>
      <c r="L2527" t="s">
        <v>5326</v>
      </c>
    </row>
    <row r="2528" spans="1:12" x14ac:dyDescent="0.2">
      <c r="A2528" t="s">
        <v>1767</v>
      </c>
      <c r="B2528" t="s">
        <v>1769</v>
      </c>
      <c r="C2528" t="s">
        <v>5324</v>
      </c>
      <c r="D2528">
        <v>3</v>
      </c>
      <c r="E2528">
        <v>0</v>
      </c>
      <c r="F2528">
        <v>0</v>
      </c>
      <c r="G2528" t="s">
        <v>5325</v>
      </c>
      <c r="H2528" t="s">
        <v>5329</v>
      </c>
      <c r="I2528" t="s">
        <v>5392</v>
      </c>
      <c r="L2528" t="s">
        <v>5326</v>
      </c>
    </row>
    <row r="2529" spans="1:12" x14ac:dyDescent="0.2">
      <c r="A2529" t="s">
        <v>1767</v>
      </c>
      <c r="B2529" t="s">
        <v>1769</v>
      </c>
      <c r="C2529" t="s">
        <v>5324</v>
      </c>
      <c r="D2529">
        <v>3</v>
      </c>
      <c r="E2529">
        <v>30</v>
      </c>
      <c r="F2529">
        <v>30</v>
      </c>
      <c r="G2529" t="s">
        <v>5325</v>
      </c>
      <c r="H2529" t="s">
        <v>5393</v>
      </c>
      <c r="I2529" t="s">
        <v>5394</v>
      </c>
      <c r="L2529" t="s">
        <v>5326</v>
      </c>
    </row>
    <row r="2530" spans="1:12" x14ac:dyDescent="0.2">
      <c r="A2530" t="s">
        <v>1767</v>
      </c>
      <c r="B2530" t="s">
        <v>1769</v>
      </c>
      <c r="C2530" t="s">
        <v>5324</v>
      </c>
      <c r="D2530">
        <v>3</v>
      </c>
      <c r="E2530">
        <v>0</v>
      </c>
      <c r="F2530">
        <v>0</v>
      </c>
      <c r="G2530" t="s">
        <v>5325</v>
      </c>
      <c r="H2530" t="s">
        <v>5329</v>
      </c>
      <c r="I2530" t="s">
        <v>5395</v>
      </c>
      <c r="L2530" t="s">
        <v>5326</v>
      </c>
    </row>
    <row r="2531" spans="1:12" x14ac:dyDescent="0.2">
      <c r="A2531" t="s">
        <v>1767</v>
      </c>
      <c r="B2531" t="s">
        <v>1769</v>
      </c>
      <c r="C2531" t="s">
        <v>5324</v>
      </c>
      <c r="D2531">
        <v>3</v>
      </c>
      <c r="E2531">
        <v>11250</v>
      </c>
      <c r="F2531">
        <v>11250</v>
      </c>
      <c r="G2531" t="s">
        <v>5325</v>
      </c>
      <c r="H2531" t="s">
        <v>5396</v>
      </c>
      <c r="I2531" t="s">
        <v>5397</v>
      </c>
      <c r="L2531" t="s">
        <v>5326</v>
      </c>
    </row>
    <row r="2532" spans="1:12" x14ac:dyDescent="0.2">
      <c r="A2532" t="s">
        <v>1767</v>
      </c>
      <c r="B2532" t="s">
        <v>1769</v>
      </c>
      <c r="C2532" t="s">
        <v>5324</v>
      </c>
      <c r="D2532">
        <v>3</v>
      </c>
      <c r="E2532">
        <v>0</v>
      </c>
      <c r="F2532">
        <v>0</v>
      </c>
      <c r="G2532" t="s">
        <v>5325</v>
      </c>
      <c r="H2532" t="s">
        <v>5329</v>
      </c>
      <c r="I2532" t="s">
        <v>5398</v>
      </c>
      <c r="L2532" t="s">
        <v>5326</v>
      </c>
    </row>
    <row r="2533" spans="1:12" x14ac:dyDescent="0.2">
      <c r="A2533" t="s">
        <v>1767</v>
      </c>
      <c r="B2533" t="s">
        <v>1769</v>
      </c>
      <c r="C2533" t="s">
        <v>5324</v>
      </c>
      <c r="D2533">
        <v>3</v>
      </c>
      <c r="E2533">
        <v>0</v>
      </c>
      <c r="F2533">
        <v>0</v>
      </c>
      <c r="G2533" t="s">
        <v>5325</v>
      </c>
      <c r="H2533" t="s">
        <v>5329</v>
      </c>
      <c r="I2533" t="s">
        <v>5399</v>
      </c>
      <c r="L2533" t="s">
        <v>5326</v>
      </c>
    </row>
    <row r="2534" spans="1:12" x14ac:dyDescent="0.2">
      <c r="A2534" t="s">
        <v>1767</v>
      </c>
      <c r="B2534" t="s">
        <v>1769</v>
      </c>
      <c r="C2534" t="s">
        <v>5324</v>
      </c>
      <c r="D2534">
        <v>3</v>
      </c>
      <c r="E2534">
        <v>0</v>
      </c>
      <c r="F2534">
        <v>0</v>
      </c>
      <c r="G2534" t="s">
        <v>5325</v>
      </c>
      <c r="H2534" t="s">
        <v>5329</v>
      </c>
      <c r="I2534" t="s">
        <v>5400</v>
      </c>
      <c r="L2534" t="s">
        <v>5326</v>
      </c>
    </row>
    <row r="2535" spans="1:12" x14ac:dyDescent="0.2">
      <c r="A2535" t="s">
        <v>1767</v>
      </c>
      <c r="B2535" t="s">
        <v>1769</v>
      </c>
      <c r="C2535" t="s">
        <v>5324</v>
      </c>
      <c r="D2535">
        <v>3</v>
      </c>
      <c r="E2535">
        <v>0</v>
      </c>
      <c r="F2535">
        <v>0</v>
      </c>
      <c r="G2535" t="s">
        <v>5325</v>
      </c>
      <c r="H2535" t="s">
        <v>5329</v>
      </c>
      <c r="I2535" t="s">
        <v>5401</v>
      </c>
      <c r="L2535" t="s">
        <v>5326</v>
      </c>
    </row>
    <row r="2536" spans="1:12" x14ac:dyDescent="0.2">
      <c r="A2536" t="s">
        <v>1767</v>
      </c>
      <c r="B2536" t="s">
        <v>1769</v>
      </c>
      <c r="C2536" t="s">
        <v>5324</v>
      </c>
      <c r="D2536">
        <v>3</v>
      </c>
      <c r="E2536">
        <v>0</v>
      </c>
      <c r="F2536">
        <v>0</v>
      </c>
      <c r="G2536" t="s">
        <v>5325</v>
      </c>
      <c r="H2536" t="s">
        <v>5329</v>
      </c>
      <c r="I2536" t="s">
        <v>5402</v>
      </c>
      <c r="L2536" t="s">
        <v>5326</v>
      </c>
    </row>
    <row r="2537" spans="1:12" x14ac:dyDescent="0.2">
      <c r="A2537" t="s">
        <v>1767</v>
      </c>
      <c r="B2537" t="s">
        <v>1769</v>
      </c>
      <c r="C2537" t="s">
        <v>5324</v>
      </c>
      <c r="D2537">
        <v>3</v>
      </c>
      <c r="E2537">
        <v>0</v>
      </c>
      <c r="F2537">
        <v>0</v>
      </c>
      <c r="G2537" t="s">
        <v>5325</v>
      </c>
      <c r="H2537" t="s">
        <v>5329</v>
      </c>
      <c r="I2537" t="s">
        <v>5403</v>
      </c>
      <c r="L2537" t="s">
        <v>5326</v>
      </c>
    </row>
    <row r="2538" spans="1:12" x14ac:dyDescent="0.2">
      <c r="A2538" t="s">
        <v>1767</v>
      </c>
      <c r="B2538" t="s">
        <v>1769</v>
      </c>
      <c r="C2538" t="s">
        <v>5324</v>
      </c>
      <c r="D2538">
        <v>3</v>
      </c>
      <c r="E2538">
        <v>416</v>
      </c>
      <c r="F2538">
        <v>416</v>
      </c>
      <c r="G2538" t="s">
        <v>5325</v>
      </c>
      <c r="H2538" t="s">
        <v>5404</v>
      </c>
      <c r="I2538" t="s">
        <v>5405</v>
      </c>
      <c r="L2538" t="s">
        <v>5326</v>
      </c>
    </row>
    <row r="2539" spans="1:12" x14ac:dyDescent="0.2">
      <c r="A2539" t="s">
        <v>1767</v>
      </c>
      <c r="B2539" t="s">
        <v>1769</v>
      </c>
      <c r="C2539" t="s">
        <v>5324</v>
      </c>
      <c r="D2539">
        <v>3</v>
      </c>
      <c r="E2539">
        <v>0</v>
      </c>
      <c r="F2539">
        <v>0</v>
      </c>
      <c r="G2539" t="s">
        <v>5325</v>
      </c>
      <c r="H2539" t="s">
        <v>5329</v>
      </c>
      <c r="I2539" t="s">
        <v>5406</v>
      </c>
      <c r="L2539" t="s">
        <v>5326</v>
      </c>
    </row>
    <row r="2540" spans="1:12" x14ac:dyDescent="0.2">
      <c r="A2540" t="s">
        <v>1767</v>
      </c>
      <c r="B2540" t="s">
        <v>1769</v>
      </c>
      <c r="C2540" t="s">
        <v>5324</v>
      </c>
      <c r="D2540">
        <v>3</v>
      </c>
      <c r="E2540">
        <v>0</v>
      </c>
      <c r="F2540">
        <v>0</v>
      </c>
      <c r="G2540" t="s">
        <v>5325</v>
      </c>
      <c r="H2540" t="s">
        <v>5329</v>
      </c>
      <c r="I2540" t="s">
        <v>5407</v>
      </c>
      <c r="L2540" t="s">
        <v>5326</v>
      </c>
    </row>
    <row r="2541" spans="1:12" x14ac:dyDescent="0.2">
      <c r="A2541" t="s">
        <v>1767</v>
      </c>
      <c r="B2541" t="s">
        <v>1769</v>
      </c>
      <c r="C2541" t="s">
        <v>5324</v>
      </c>
      <c r="D2541">
        <v>3</v>
      </c>
      <c r="E2541">
        <v>0</v>
      </c>
      <c r="F2541">
        <v>0</v>
      </c>
      <c r="G2541" t="s">
        <v>5325</v>
      </c>
      <c r="H2541" t="s">
        <v>5329</v>
      </c>
      <c r="I2541" t="s">
        <v>5408</v>
      </c>
      <c r="L2541" t="s">
        <v>5326</v>
      </c>
    </row>
    <row r="2542" spans="1:12" x14ac:dyDescent="0.2">
      <c r="A2542" t="s">
        <v>1767</v>
      </c>
      <c r="B2542" t="s">
        <v>1769</v>
      </c>
      <c r="C2542" t="s">
        <v>5324</v>
      </c>
      <c r="D2542">
        <v>3</v>
      </c>
      <c r="E2542">
        <v>0</v>
      </c>
      <c r="F2542">
        <v>0</v>
      </c>
      <c r="G2542" t="s">
        <v>5325</v>
      </c>
      <c r="H2542" t="s">
        <v>5329</v>
      </c>
      <c r="I2542" t="s">
        <v>5409</v>
      </c>
      <c r="L2542" t="s">
        <v>5326</v>
      </c>
    </row>
    <row r="2543" spans="1:12" x14ac:dyDescent="0.2">
      <c r="A2543" t="s">
        <v>1767</v>
      </c>
      <c r="B2543" t="s">
        <v>1769</v>
      </c>
      <c r="C2543" t="s">
        <v>5324</v>
      </c>
      <c r="D2543">
        <v>3</v>
      </c>
      <c r="E2543">
        <v>0</v>
      </c>
      <c r="F2543">
        <v>0</v>
      </c>
      <c r="G2543" t="s">
        <v>5325</v>
      </c>
      <c r="H2543" t="s">
        <v>5329</v>
      </c>
      <c r="I2543" t="s">
        <v>5410</v>
      </c>
      <c r="L2543" t="s">
        <v>5326</v>
      </c>
    </row>
    <row r="2544" spans="1:12" x14ac:dyDescent="0.2">
      <c r="A2544" t="s">
        <v>1767</v>
      </c>
      <c r="B2544" t="s">
        <v>1769</v>
      </c>
      <c r="C2544" t="s">
        <v>5324</v>
      </c>
      <c r="D2544">
        <v>3</v>
      </c>
      <c r="E2544">
        <v>0</v>
      </c>
      <c r="F2544">
        <v>0</v>
      </c>
      <c r="G2544" t="s">
        <v>5325</v>
      </c>
      <c r="H2544" t="s">
        <v>5329</v>
      </c>
      <c r="I2544" t="s">
        <v>5411</v>
      </c>
      <c r="L2544" t="s">
        <v>5326</v>
      </c>
    </row>
    <row r="2545" spans="1:12" x14ac:dyDescent="0.2">
      <c r="A2545" t="s">
        <v>1767</v>
      </c>
      <c r="B2545" t="s">
        <v>1769</v>
      </c>
      <c r="C2545" t="s">
        <v>5324</v>
      </c>
      <c r="D2545">
        <v>3</v>
      </c>
      <c r="E2545">
        <v>88</v>
      </c>
      <c r="F2545">
        <v>88</v>
      </c>
      <c r="G2545" t="s">
        <v>5325</v>
      </c>
      <c r="H2545" t="s">
        <v>5412</v>
      </c>
      <c r="I2545" t="s">
        <v>5413</v>
      </c>
      <c r="L2545" t="s">
        <v>5326</v>
      </c>
    </row>
    <row r="2546" spans="1:12" x14ac:dyDescent="0.2">
      <c r="A2546" t="s">
        <v>1767</v>
      </c>
      <c r="B2546" t="s">
        <v>1769</v>
      </c>
      <c r="C2546" t="s">
        <v>5324</v>
      </c>
      <c r="D2546">
        <v>3</v>
      </c>
      <c r="E2546">
        <v>340</v>
      </c>
      <c r="F2546">
        <v>340</v>
      </c>
      <c r="G2546" t="s">
        <v>5325</v>
      </c>
      <c r="H2546" t="s">
        <v>5331</v>
      </c>
      <c r="I2546" t="s">
        <v>5414</v>
      </c>
      <c r="L2546" t="s">
        <v>5326</v>
      </c>
    </row>
    <row r="2547" spans="1:12" x14ac:dyDescent="0.2">
      <c r="A2547" t="s">
        <v>1767</v>
      </c>
      <c r="B2547" t="s">
        <v>1769</v>
      </c>
      <c r="C2547" t="s">
        <v>5324</v>
      </c>
      <c r="D2547">
        <v>3</v>
      </c>
      <c r="E2547">
        <v>0</v>
      </c>
      <c r="F2547">
        <v>0</v>
      </c>
      <c r="G2547" t="s">
        <v>5325</v>
      </c>
      <c r="H2547" t="s">
        <v>5329</v>
      </c>
      <c r="I2547" t="s">
        <v>5415</v>
      </c>
      <c r="L2547" t="s">
        <v>5326</v>
      </c>
    </row>
    <row r="2548" spans="1:12" x14ac:dyDescent="0.2">
      <c r="A2548" t="s">
        <v>1767</v>
      </c>
      <c r="B2548" t="s">
        <v>1769</v>
      </c>
      <c r="C2548" t="s">
        <v>5324</v>
      </c>
      <c r="D2548">
        <v>3</v>
      </c>
      <c r="E2548">
        <v>232</v>
      </c>
      <c r="F2548">
        <v>232</v>
      </c>
      <c r="G2548" t="s">
        <v>5325</v>
      </c>
      <c r="H2548" t="s">
        <v>5416</v>
      </c>
      <c r="I2548" t="s">
        <v>5417</v>
      </c>
      <c r="L2548" t="s">
        <v>5326</v>
      </c>
    </row>
    <row r="2549" spans="1:12" x14ac:dyDescent="0.2">
      <c r="A2549" t="s">
        <v>1767</v>
      </c>
      <c r="B2549" t="s">
        <v>1769</v>
      </c>
      <c r="C2549" t="s">
        <v>5324</v>
      </c>
      <c r="D2549">
        <v>3</v>
      </c>
      <c r="E2549">
        <v>119</v>
      </c>
      <c r="F2549">
        <v>119</v>
      </c>
      <c r="G2549" t="s">
        <v>5325</v>
      </c>
      <c r="H2549" t="s">
        <v>5418</v>
      </c>
      <c r="I2549" t="s">
        <v>5419</v>
      </c>
      <c r="L2549" t="s">
        <v>5326</v>
      </c>
    </row>
    <row r="2550" spans="1:12" x14ac:dyDescent="0.2">
      <c r="A2550" t="s">
        <v>1767</v>
      </c>
      <c r="B2550" t="s">
        <v>1769</v>
      </c>
      <c r="C2550" t="s">
        <v>5324</v>
      </c>
      <c r="D2550">
        <v>3</v>
      </c>
      <c r="E2550">
        <v>30.06</v>
      </c>
      <c r="F2550">
        <v>30.06</v>
      </c>
      <c r="G2550" t="s">
        <v>5325</v>
      </c>
      <c r="H2550" t="s">
        <v>5420</v>
      </c>
      <c r="I2550" t="s">
        <v>5421</v>
      </c>
      <c r="L2550" t="s">
        <v>5326</v>
      </c>
    </row>
    <row r="2551" spans="1:12" x14ac:dyDescent="0.2">
      <c r="A2551" t="s">
        <v>1767</v>
      </c>
      <c r="B2551" t="s">
        <v>1769</v>
      </c>
      <c r="C2551" t="s">
        <v>5324</v>
      </c>
      <c r="D2551">
        <v>3</v>
      </c>
      <c r="E2551">
        <v>4158</v>
      </c>
      <c r="F2551">
        <v>4158</v>
      </c>
      <c r="G2551" t="s">
        <v>5325</v>
      </c>
      <c r="H2551" t="s">
        <v>5422</v>
      </c>
      <c r="I2551" t="s">
        <v>5423</v>
      </c>
      <c r="L2551" t="s">
        <v>5326</v>
      </c>
    </row>
    <row r="2552" spans="1:12" x14ac:dyDescent="0.2">
      <c r="A2552" t="s">
        <v>1767</v>
      </c>
      <c r="B2552" t="s">
        <v>1769</v>
      </c>
      <c r="C2552" t="s">
        <v>5324</v>
      </c>
      <c r="D2552">
        <v>3</v>
      </c>
      <c r="E2552">
        <v>170</v>
      </c>
      <c r="F2552">
        <v>170</v>
      </c>
      <c r="G2552" t="s">
        <v>5325</v>
      </c>
      <c r="H2552" t="s">
        <v>5424</v>
      </c>
      <c r="I2552" t="s">
        <v>5425</v>
      </c>
      <c r="L2552" t="s">
        <v>5326</v>
      </c>
    </row>
    <row r="2553" spans="1:12" x14ac:dyDescent="0.2">
      <c r="A2553" t="s">
        <v>1767</v>
      </c>
      <c r="B2553" t="s">
        <v>1769</v>
      </c>
      <c r="C2553" t="s">
        <v>5324</v>
      </c>
      <c r="D2553">
        <v>3</v>
      </c>
      <c r="E2553">
        <v>552</v>
      </c>
      <c r="F2553">
        <v>552</v>
      </c>
      <c r="G2553" t="s">
        <v>5325</v>
      </c>
      <c r="H2553" t="s">
        <v>5426</v>
      </c>
      <c r="I2553" t="s">
        <v>5427</v>
      </c>
      <c r="L2553" t="s">
        <v>5326</v>
      </c>
    </row>
    <row r="2554" spans="1:12" x14ac:dyDescent="0.2">
      <c r="A2554" t="s">
        <v>1767</v>
      </c>
      <c r="B2554" t="s">
        <v>1769</v>
      </c>
      <c r="C2554" t="s">
        <v>5324</v>
      </c>
      <c r="D2554">
        <v>3</v>
      </c>
      <c r="E2554">
        <v>15706.5</v>
      </c>
      <c r="F2554">
        <v>15706.5</v>
      </c>
      <c r="G2554" t="s">
        <v>5325</v>
      </c>
      <c r="H2554" t="s">
        <v>5428</v>
      </c>
      <c r="I2554" t="s">
        <v>5429</v>
      </c>
      <c r="L2554" t="s">
        <v>5326</v>
      </c>
    </row>
    <row r="2555" spans="1:12" x14ac:dyDescent="0.2">
      <c r="A2555" t="s">
        <v>1767</v>
      </c>
      <c r="B2555" t="s">
        <v>1769</v>
      </c>
      <c r="C2555" t="s">
        <v>5324</v>
      </c>
      <c r="D2555">
        <v>3</v>
      </c>
      <c r="E2555">
        <v>15706.5</v>
      </c>
      <c r="F2555">
        <v>15706.5</v>
      </c>
      <c r="G2555" t="s">
        <v>5325</v>
      </c>
      <c r="H2555" t="s">
        <v>5428</v>
      </c>
      <c r="I2555" t="s">
        <v>5429</v>
      </c>
      <c r="L2555" t="s">
        <v>5326</v>
      </c>
    </row>
    <row r="2556" spans="1:12" x14ac:dyDescent="0.2">
      <c r="A2556" t="s">
        <v>1767</v>
      </c>
      <c r="B2556" t="s">
        <v>1769</v>
      </c>
      <c r="C2556" t="s">
        <v>5324</v>
      </c>
      <c r="D2556">
        <v>3</v>
      </c>
      <c r="E2556">
        <v>10471</v>
      </c>
      <c r="F2556">
        <v>10471</v>
      </c>
      <c r="G2556" t="s">
        <v>5325</v>
      </c>
      <c r="H2556" t="s">
        <v>5430</v>
      </c>
      <c r="I2556" t="s">
        <v>5431</v>
      </c>
      <c r="L2556" t="s">
        <v>5326</v>
      </c>
    </row>
    <row r="2557" spans="1:12" x14ac:dyDescent="0.2">
      <c r="A2557" t="s">
        <v>1767</v>
      </c>
      <c r="B2557" t="s">
        <v>1769</v>
      </c>
      <c r="C2557" t="s">
        <v>5324</v>
      </c>
      <c r="D2557">
        <v>3</v>
      </c>
      <c r="E2557">
        <v>5235.5</v>
      </c>
      <c r="F2557">
        <v>5235.5</v>
      </c>
      <c r="G2557" t="s">
        <v>5325</v>
      </c>
      <c r="H2557" t="s">
        <v>5432</v>
      </c>
      <c r="I2557" t="s">
        <v>5433</v>
      </c>
      <c r="L2557" t="s">
        <v>5326</v>
      </c>
    </row>
    <row r="2558" spans="1:12" x14ac:dyDescent="0.2">
      <c r="A2558" t="s">
        <v>1767</v>
      </c>
      <c r="B2558" t="s">
        <v>1769</v>
      </c>
      <c r="C2558" t="s">
        <v>5324</v>
      </c>
      <c r="D2558">
        <v>3</v>
      </c>
      <c r="E2558">
        <v>5235.5</v>
      </c>
      <c r="F2558">
        <v>5235.5</v>
      </c>
      <c r="G2558" t="s">
        <v>5325</v>
      </c>
      <c r="H2558" t="s">
        <v>5432</v>
      </c>
      <c r="I2558" t="s">
        <v>5433</v>
      </c>
      <c r="L2558" t="s">
        <v>5326</v>
      </c>
    </row>
    <row r="2559" spans="1:12" x14ac:dyDescent="0.2">
      <c r="A2559" t="s">
        <v>1767</v>
      </c>
      <c r="B2559" t="s">
        <v>1769</v>
      </c>
      <c r="C2559" t="s">
        <v>5324</v>
      </c>
      <c r="D2559">
        <v>3</v>
      </c>
      <c r="E2559">
        <v>380</v>
      </c>
      <c r="F2559">
        <v>380</v>
      </c>
      <c r="G2559" t="s">
        <v>5325</v>
      </c>
      <c r="H2559" t="s">
        <v>5385</v>
      </c>
      <c r="I2559" t="s">
        <v>5434</v>
      </c>
      <c r="L2559" t="s">
        <v>5326</v>
      </c>
    </row>
    <row r="2560" spans="1:12" x14ac:dyDescent="0.2">
      <c r="A2560" t="s">
        <v>1767</v>
      </c>
      <c r="B2560" t="s">
        <v>1769</v>
      </c>
      <c r="C2560" t="s">
        <v>5324</v>
      </c>
      <c r="D2560">
        <v>3</v>
      </c>
      <c r="E2560">
        <v>792</v>
      </c>
      <c r="F2560">
        <v>792</v>
      </c>
      <c r="G2560" t="s">
        <v>5325</v>
      </c>
      <c r="H2560" t="s">
        <v>5435</v>
      </c>
      <c r="I2560" t="s">
        <v>5436</v>
      </c>
      <c r="L2560" t="s">
        <v>5326</v>
      </c>
    </row>
    <row r="2561" spans="1:12" x14ac:dyDescent="0.2">
      <c r="A2561" t="s">
        <v>1767</v>
      </c>
      <c r="B2561" t="s">
        <v>1769</v>
      </c>
      <c r="C2561" t="s">
        <v>5324</v>
      </c>
      <c r="D2561">
        <v>3</v>
      </c>
      <c r="E2561">
        <v>462</v>
      </c>
      <c r="F2561">
        <v>462</v>
      </c>
      <c r="G2561" t="s">
        <v>5325</v>
      </c>
      <c r="H2561" t="s">
        <v>5437</v>
      </c>
      <c r="I2561" t="s">
        <v>5438</v>
      </c>
      <c r="L2561" t="s">
        <v>5326</v>
      </c>
    </row>
    <row r="2562" spans="1:12" x14ac:dyDescent="0.2">
      <c r="A2562" t="s">
        <v>1767</v>
      </c>
      <c r="B2562" t="s">
        <v>1769</v>
      </c>
      <c r="C2562" t="s">
        <v>5324</v>
      </c>
      <c r="D2562">
        <v>3</v>
      </c>
      <c r="E2562">
        <v>272</v>
      </c>
      <c r="F2562">
        <v>272</v>
      </c>
      <c r="G2562" t="s">
        <v>5325</v>
      </c>
      <c r="H2562" t="s">
        <v>5439</v>
      </c>
      <c r="I2562" t="s">
        <v>5440</v>
      </c>
      <c r="L2562" t="s">
        <v>5326</v>
      </c>
    </row>
    <row r="2563" spans="1:12" x14ac:dyDescent="0.2">
      <c r="A2563" t="s">
        <v>1767</v>
      </c>
      <c r="B2563" t="s">
        <v>1769</v>
      </c>
      <c r="C2563" t="s">
        <v>5324</v>
      </c>
      <c r="D2563">
        <v>4</v>
      </c>
      <c r="E2563">
        <v>0.17</v>
      </c>
      <c r="F2563">
        <v>0.17</v>
      </c>
      <c r="G2563" t="s">
        <v>5325</v>
      </c>
      <c r="H2563" t="s">
        <v>5441</v>
      </c>
      <c r="I2563" t="s">
        <v>5359</v>
      </c>
      <c r="J2563" t="s">
        <v>5442</v>
      </c>
      <c r="L2563" t="s">
        <v>5326</v>
      </c>
    </row>
    <row r="2564" spans="1:12" x14ac:dyDescent="0.2">
      <c r="A2564" t="s">
        <v>1767</v>
      </c>
      <c r="B2564" t="s">
        <v>1769</v>
      </c>
      <c r="C2564" t="s">
        <v>5324</v>
      </c>
      <c r="D2564">
        <v>4</v>
      </c>
      <c r="E2564">
        <v>0.33</v>
      </c>
      <c r="F2564">
        <v>0.33</v>
      </c>
      <c r="G2564" t="s">
        <v>5325</v>
      </c>
      <c r="H2564" t="s">
        <v>5443</v>
      </c>
      <c r="I2564" t="s">
        <v>5359</v>
      </c>
      <c r="J2564" t="s">
        <v>5444</v>
      </c>
      <c r="L2564" t="s">
        <v>5326</v>
      </c>
    </row>
    <row r="2565" spans="1:12" x14ac:dyDescent="0.2">
      <c r="A2565" t="s">
        <v>1767</v>
      </c>
      <c r="B2565" t="s">
        <v>1769</v>
      </c>
      <c r="C2565" t="s">
        <v>5324</v>
      </c>
      <c r="D2565">
        <v>4</v>
      </c>
      <c r="E2565">
        <v>0.72</v>
      </c>
      <c r="F2565">
        <v>0.72</v>
      </c>
      <c r="G2565" t="s">
        <v>5325</v>
      </c>
      <c r="H2565" t="s">
        <v>5445</v>
      </c>
      <c r="I2565" t="s">
        <v>5359</v>
      </c>
      <c r="J2565" t="s">
        <v>5446</v>
      </c>
      <c r="L2565" t="s">
        <v>5326</v>
      </c>
    </row>
    <row r="2566" spans="1:12" x14ac:dyDescent="0.2">
      <c r="A2566" t="s">
        <v>1767</v>
      </c>
      <c r="B2566" t="s">
        <v>1769</v>
      </c>
      <c r="C2566" t="s">
        <v>5324</v>
      </c>
      <c r="D2566">
        <v>4</v>
      </c>
      <c r="E2566">
        <v>4.2699999999999996</v>
      </c>
      <c r="F2566">
        <v>4.2699999999999996</v>
      </c>
      <c r="G2566" t="s">
        <v>5325</v>
      </c>
      <c r="H2566" t="s">
        <v>5447</v>
      </c>
      <c r="I2566" t="s">
        <v>5359</v>
      </c>
      <c r="J2566" t="s">
        <v>5448</v>
      </c>
      <c r="L2566" t="s">
        <v>5326</v>
      </c>
    </row>
    <row r="2567" spans="1:12" x14ac:dyDescent="0.2">
      <c r="A2567" t="s">
        <v>1767</v>
      </c>
      <c r="B2567" t="s">
        <v>1769</v>
      </c>
      <c r="C2567" t="s">
        <v>5324</v>
      </c>
      <c r="D2567">
        <v>4</v>
      </c>
      <c r="E2567">
        <v>11.56</v>
      </c>
      <c r="F2567">
        <v>11.56</v>
      </c>
      <c r="G2567" t="s">
        <v>5325</v>
      </c>
      <c r="H2567" t="s">
        <v>5449</v>
      </c>
      <c r="I2567" t="s">
        <v>5359</v>
      </c>
      <c r="J2567" t="s">
        <v>5450</v>
      </c>
      <c r="L2567" t="s">
        <v>5326</v>
      </c>
    </row>
    <row r="2568" spans="1:12" x14ac:dyDescent="0.2">
      <c r="A2568" t="s">
        <v>1767</v>
      </c>
      <c r="B2568" t="s">
        <v>1769</v>
      </c>
      <c r="C2568" t="s">
        <v>5324</v>
      </c>
      <c r="D2568">
        <v>4</v>
      </c>
      <c r="E2568">
        <v>3.81</v>
      </c>
      <c r="F2568">
        <v>3.81</v>
      </c>
      <c r="G2568" t="s">
        <v>5325</v>
      </c>
      <c r="H2568" t="s">
        <v>5451</v>
      </c>
      <c r="I2568" t="s">
        <v>5359</v>
      </c>
      <c r="J2568" t="s">
        <v>5452</v>
      </c>
      <c r="L2568" t="s">
        <v>5326</v>
      </c>
    </row>
    <row r="2569" spans="1:12" x14ac:dyDescent="0.2">
      <c r="A2569" t="s">
        <v>1767</v>
      </c>
      <c r="B2569" t="s">
        <v>1769</v>
      </c>
      <c r="C2569" t="s">
        <v>5324</v>
      </c>
      <c r="D2569">
        <v>4</v>
      </c>
      <c r="E2569">
        <v>2.48</v>
      </c>
      <c r="F2569">
        <v>2.48</v>
      </c>
      <c r="G2569" t="s">
        <v>5325</v>
      </c>
      <c r="H2569" t="s">
        <v>5453</v>
      </c>
      <c r="I2569" t="s">
        <v>5359</v>
      </c>
      <c r="J2569" t="s">
        <v>5454</v>
      </c>
      <c r="L2569" t="s">
        <v>5326</v>
      </c>
    </row>
    <row r="2570" spans="1:12" x14ac:dyDescent="0.2">
      <c r="A2570" t="s">
        <v>1767</v>
      </c>
      <c r="B2570" t="s">
        <v>1769</v>
      </c>
      <c r="C2570" t="s">
        <v>5324</v>
      </c>
      <c r="D2570">
        <v>4</v>
      </c>
      <c r="E2570">
        <v>0.44</v>
      </c>
      <c r="F2570">
        <v>0.44</v>
      </c>
      <c r="G2570" t="s">
        <v>5325</v>
      </c>
      <c r="H2570" t="s">
        <v>5455</v>
      </c>
      <c r="I2570" t="s">
        <v>5359</v>
      </c>
      <c r="J2570" t="s">
        <v>5456</v>
      </c>
      <c r="L2570" t="s">
        <v>5326</v>
      </c>
    </row>
    <row r="2571" spans="1:12" x14ac:dyDescent="0.2">
      <c r="A2571" t="s">
        <v>1767</v>
      </c>
      <c r="B2571" t="s">
        <v>1769</v>
      </c>
      <c r="C2571" t="s">
        <v>5324</v>
      </c>
      <c r="D2571">
        <v>4</v>
      </c>
      <c r="E2571">
        <v>27.3</v>
      </c>
      <c r="F2571">
        <v>27.3</v>
      </c>
      <c r="G2571" t="s">
        <v>5325</v>
      </c>
      <c r="H2571" t="s">
        <v>5457</v>
      </c>
      <c r="I2571" t="s">
        <v>5359</v>
      </c>
      <c r="J2571" t="s">
        <v>3319</v>
      </c>
      <c r="L2571" t="s">
        <v>5326</v>
      </c>
    </row>
    <row r="2572" spans="1:12" x14ac:dyDescent="0.2">
      <c r="A2572" t="s">
        <v>1767</v>
      </c>
      <c r="B2572" t="s">
        <v>1769</v>
      </c>
      <c r="C2572" t="s">
        <v>5324</v>
      </c>
      <c r="D2572">
        <v>4</v>
      </c>
      <c r="E2572">
        <v>8.93</v>
      </c>
      <c r="F2572">
        <v>8.93</v>
      </c>
      <c r="G2572" t="s">
        <v>5325</v>
      </c>
      <c r="H2572" t="s">
        <v>5458</v>
      </c>
      <c r="I2572" t="s">
        <v>5359</v>
      </c>
      <c r="J2572" t="s">
        <v>3174</v>
      </c>
      <c r="L2572" t="s">
        <v>5326</v>
      </c>
    </row>
    <row r="2573" spans="1:12" x14ac:dyDescent="0.2">
      <c r="A2573" t="s">
        <v>1767</v>
      </c>
      <c r="B2573" t="s">
        <v>1769</v>
      </c>
      <c r="C2573" t="s">
        <v>5324</v>
      </c>
      <c r="D2573">
        <v>4</v>
      </c>
      <c r="E2573">
        <v>14.4</v>
      </c>
      <c r="F2573">
        <v>14.4</v>
      </c>
      <c r="G2573" t="s">
        <v>5325</v>
      </c>
      <c r="H2573" t="s">
        <v>5459</v>
      </c>
      <c r="I2573" t="s">
        <v>5359</v>
      </c>
      <c r="J2573" t="s">
        <v>5460</v>
      </c>
      <c r="L2573" t="s">
        <v>5326</v>
      </c>
    </row>
    <row r="2574" spans="1:12" x14ac:dyDescent="0.2">
      <c r="A2574" t="s">
        <v>1767</v>
      </c>
      <c r="B2574" t="s">
        <v>1769</v>
      </c>
      <c r="C2574" t="s">
        <v>5324</v>
      </c>
      <c r="D2574">
        <v>4</v>
      </c>
      <c r="E2574">
        <v>0</v>
      </c>
      <c r="F2574">
        <v>0</v>
      </c>
      <c r="G2574" t="s">
        <v>5325</v>
      </c>
      <c r="H2574" t="s">
        <v>5329</v>
      </c>
      <c r="I2574" t="s">
        <v>5359</v>
      </c>
      <c r="J2574" t="s">
        <v>5461</v>
      </c>
      <c r="L2574" t="s">
        <v>5326</v>
      </c>
    </row>
    <row r="2575" spans="1:12" x14ac:dyDescent="0.2">
      <c r="A2575" t="s">
        <v>1767</v>
      </c>
      <c r="B2575" t="s">
        <v>1769</v>
      </c>
      <c r="C2575" t="s">
        <v>5324</v>
      </c>
      <c r="D2575">
        <v>4</v>
      </c>
      <c r="E2575">
        <v>165</v>
      </c>
      <c r="F2575">
        <v>165</v>
      </c>
      <c r="G2575" t="s">
        <v>5325</v>
      </c>
      <c r="H2575" t="s">
        <v>5462</v>
      </c>
      <c r="I2575" t="s">
        <v>5359</v>
      </c>
      <c r="J2575" t="s">
        <v>5463</v>
      </c>
      <c r="L2575" t="s">
        <v>5326</v>
      </c>
    </row>
    <row r="2576" spans="1:12" x14ac:dyDescent="0.2">
      <c r="A2576" t="s">
        <v>1767</v>
      </c>
      <c r="B2576" t="s">
        <v>1769</v>
      </c>
      <c r="C2576" t="s">
        <v>5324</v>
      </c>
      <c r="D2576">
        <v>4</v>
      </c>
      <c r="E2576">
        <v>9.08</v>
      </c>
      <c r="F2576">
        <v>9.08</v>
      </c>
      <c r="G2576" t="s">
        <v>5325</v>
      </c>
      <c r="H2576" t="s">
        <v>5464</v>
      </c>
      <c r="I2576" t="s">
        <v>5359</v>
      </c>
      <c r="J2576" t="s">
        <v>5465</v>
      </c>
      <c r="L2576" t="s">
        <v>5326</v>
      </c>
    </row>
    <row r="2577" spans="1:12" x14ac:dyDescent="0.2">
      <c r="A2577" t="s">
        <v>1767</v>
      </c>
      <c r="B2577" t="s">
        <v>1769</v>
      </c>
      <c r="C2577" t="s">
        <v>5324</v>
      </c>
      <c r="D2577">
        <v>4</v>
      </c>
      <c r="E2577">
        <v>5.57</v>
      </c>
      <c r="F2577">
        <v>5.57</v>
      </c>
      <c r="G2577" t="s">
        <v>5325</v>
      </c>
      <c r="H2577" t="s">
        <v>5466</v>
      </c>
      <c r="I2577" t="s">
        <v>5359</v>
      </c>
      <c r="J2577" t="s">
        <v>5467</v>
      </c>
      <c r="L2577" t="s">
        <v>5326</v>
      </c>
    </row>
    <row r="2578" spans="1:12" x14ac:dyDescent="0.2">
      <c r="A2578" t="s">
        <v>1767</v>
      </c>
      <c r="B2578" t="s">
        <v>1769</v>
      </c>
      <c r="C2578" t="s">
        <v>5324</v>
      </c>
      <c r="D2578">
        <v>4</v>
      </c>
      <c r="E2578">
        <v>12.91</v>
      </c>
      <c r="F2578">
        <v>12.91</v>
      </c>
      <c r="G2578" t="s">
        <v>5325</v>
      </c>
      <c r="H2578" t="s">
        <v>5468</v>
      </c>
      <c r="I2578" t="s">
        <v>5359</v>
      </c>
      <c r="J2578" t="s">
        <v>5469</v>
      </c>
      <c r="L2578" t="s">
        <v>5326</v>
      </c>
    </row>
    <row r="2579" spans="1:12" x14ac:dyDescent="0.2">
      <c r="A2579" t="s">
        <v>1767</v>
      </c>
      <c r="B2579" t="s">
        <v>1769</v>
      </c>
      <c r="C2579" t="s">
        <v>5324</v>
      </c>
      <c r="D2579">
        <v>4</v>
      </c>
      <c r="E2579">
        <v>0</v>
      </c>
      <c r="F2579">
        <v>0</v>
      </c>
      <c r="G2579" t="s">
        <v>5325</v>
      </c>
      <c r="H2579" t="s">
        <v>5329</v>
      </c>
      <c r="I2579" t="s">
        <v>5359</v>
      </c>
      <c r="J2579" t="s">
        <v>5470</v>
      </c>
      <c r="L2579" t="s">
        <v>5326</v>
      </c>
    </row>
    <row r="2580" spans="1:12" x14ac:dyDescent="0.2">
      <c r="A2580" t="s">
        <v>1767</v>
      </c>
      <c r="B2580" t="s">
        <v>1769</v>
      </c>
      <c r="C2580" t="s">
        <v>5324</v>
      </c>
      <c r="D2580">
        <v>4</v>
      </c>
      <c r="E2580">
        <v>396.31</v>
      </c>
      <c r="F2580">
        <v>396.31</v>
      </c>
      <c r="G2580" t="s">
        <v>5325</v>
      </c>
      <c r="H2580" t="s">
        <v>5471</v>
      </c>
      <c r="I2580" t="s">
        <v>5359</v>
      </c>
      <c r="J2580" t="s">
        <v>5472</v>
      </c>
      <c r="L2580" t="s">
        <v>5326</v>
      </c>
    </row>
    <row r="2581" spans="1:12" x14ac:dyDescent="0.2">
      <c r="A2581" t="s">
        <v>1767</v>
      </c>
      <c r="B2581" t="s">
        <v>1769</v>
      </c>
      <c r="C2581" t="s">
        <v>5324</v>
      </c>
      <c r="D2581">
        <v>4</v>
      </c>
      <c r="E2581">
        <v>6.38</v>
      </c>
      <c r="F2581">
        <v>6.38</v>
      </c>
      <c r="G2581" t="s">
        <v>5325</v>
      </c>
      <c r="H2581" t="s">
        <v>5473</v>
      </c>
      <c r="I2581" t="s">
        <v>5359</v>
      </c>
      <c r="J2581" t="s">
        <v>5474</v>
      </c>
      <c r="L2581" t="s">
        <v>5326</v>
      </c>
    </row>
    <row r="2582" spans="1:12" x14ac:dyDescent="0.2">
      <c r="A2582" t="s">
        <v>1767</v>
      </c>
      <c r="B2582" t="s">
        <v>1769</v>
      </c>
      <c r="C2582" t="s">
        <v>5324</v>
      </c>
      <c r="D2582">
        <v>4</v>
      </c>
      <c r="E2582">
        <v>1082.1600000000001</v>
      </c>
      <c r="F2582">
        <v>1082.1600000000001</v>
      </c>
      <c r="G2582" t="s">
        <v>5325</v>
      </c>
      <c r="H2582" t="s">
        <v>5475</v>
      </c>
      <c r="I2582" t="s">
        <v>5359</v>
      </c>
      <c r="J2582" t="s">
        <v>5476</v>
      </c>
      <c r="L2582" t="s">
        <v>5326</v>
      </c>
    </row>
    <row r="2583" spans="1:12" x14ac:dyDescent="0.2">
      <c r="A2583" t="s">
        <v>1767</v>
      </c>
      <c r="B2583" t="s">
        <v>1769</v>
      </c>
      <c r="C2583" t="s">
        <v>5324</v>
      </c>
      <c r="D2583">
        <v>4</v>
      </c>
      <c r="E2583">
        <v>167.58</v>
      </c>
      <c r="F2583">
        <v>167.58</v>
      </c>
      <c r="G2583" t="s">
        <v>5325</v>
      </c>
      <c r="H2583" t="s">
        <v>5477</v>
      </c>
      <c r="I2583" t="s">
        <v>5359</v>
      </c>
      <c r="J2583" t="s">
        <v>5478</v>
      </c>
      <c r="L2583" t="s">
        <v>5326</v>
      </c>
    </row>
    <row r="2584" spans="1:12" x14ac:dyDescent="0.2">
      <c r="A2584" t="s">
        <v>1767</v>
      </c>
      <c r="B2584" t="s">
        <v>1769</v>
      </c>
      <c r="C2584" t="s">
        <v>5324</v>
      </c>
      <c r="D2584">
        <v>4</v>
      </c>
      <c r="E2584">
        <v>2823.37</v>
      </c>
      <c r="F2584">
        <v>2823.37</v>
      </c>
      <c r="G2584" t="s">
        <v>5325</v>
      </c>
      <c r="H2584" t="s">
        <v>5479</v>
      </c>
      <c r="I2584" t="s">
        <v>5359</v>
      </c>
      <c r="J2584" t="s">
        <v>5480</v>
      </c>
      <c r="L2584" t="s">
        <v>5326</v>
      </c>
    </row>
    <row r="2585" spans="1:12" x14ac:dyDescent="0.2">
      <c r="A2585" t="s">
        <v>1767</v>
      </c>
      <c r="B2585" t="s">
        <v>1769</v>
      </c>
      <c r="C2585" t="s">
        <v>5324</v>
      </c>
      <c r="D2585">
        <v>4</v>
      </c>
      <c r="E2585">
        <v>1540.02</v>
      </c>
      <c r="F2585">
        <v>1540.02</v>
      </c>
      <c r="G2585" t="s">
        <v>5325</v>
      </c>
      <c r="H2585" t="s">
        <v>5481</v>
      </c>
      <c r="I2585" t="s">
        <v>5359</v>
      </c>
      <c r="J2585" t="s">
        <v>5482</v>
      </c>
      <c r="L2585" t="s">
        <v>5326</v>
      </c>
    </row>
    <row r="2586" spans="1:12" x14ac:dyDescent="0.2">
      <c r="A2586" t="s">
        <v>1767</v>
      </c>
      <c r="B2586" t="s">
        <v>1769</v>
      </c>
      <c r="C2586" t="s">
        <v>5324</v>
      </c>
      <c r="D2586">
        <v>4</v>
      </c>
      <c r="E2586">
        <v>1.85</v>
      </c>
      <c r="F2586">
        <v>1.85</v>
      </c>
      <c r="G2586" t="s">
        <v>5325</v>
      </c>
      <c r="H2586" t="s">
        <v>5483</v>
      </c>
      <c r="I2586" t="s">
        <v>5359</v>
      </c>
      <c r="J2586" t="s">
        <v>5484</v>
      </c>
      <c r="L2586" t="s">
        <v>5326</v>
      </c>
    </row>
    <row r="2587" spans="1:12" x14ac:dyDescent="0.2">
      <c r="A2587" t="s">
        <v>1767</v>
      </c>
      <c r="B2587" t="s">
        <v>1769</v>
      </c>
      <c r="C2587" t="s">
        <v>5324</v>
      </c>
      <c r="D2587">
        <v>4</v>
      </c>
      <c r="E2587">
        <v>0</v>
      </c>
      <c r="F2587">
        <v>0</v>
      </c>
      <c r="G2587" t="s">
        <v>5325</v>
      </c>
      <c r="H2587" t="s">
        <v>5329</v>
      </c>
      <c r="I2587" t="s">
        <v>5359</v>
      </c>
      <c r="J2587" t="s">
        <v>5485</v>
      </c>
      <c r="L2587" t="s">
        <v>5326</v>
      </c>
    </row>
    <row r="2588" spans="1:12" x14ac:dyDescent="0.2">
      <c r="A2588" t="s">
        <v>1767</v>
      </c>
      <c r="B2588" t="s">
        <v>1769</v>
      </c>
      <c r="C2588" t="s">
        <v>5324</v>
      </c>
      <c r="D2588">
        <v>4</v>
      </c>
      <c r="E2588">
        <v>8</v>
      </c>
      <c r="F2588">
        <v>8</v>
      </c>
      <c r="G2588" t="s">
        <v>5325</v>
      </c>
      <c r="H2588" t="s">
        <v>5486</v>
      </c>
      <c r="I2588" t="s">
        <v>5359</v>
      </c>
      <c r="J2588" t="s">
        <v>5487</v>
      </c>
      <c r="L2588" t="s">
        <v>5326</v>
      </c>
    </row>
    <row r="2589" spans="1:12" x14ac:dyDescent="0.2">
      <c r="A2589" t="s">
        <v>1767</v>
      </c>
      <c r="B2589" t="s">
        <v>1769</v>
      </c>
      <c r="C2589" t="s">
        <v>5324</v>
      </c>
      <c r="D2589">
        <v>4</v>
      </c>
      <c r="E2589">
        <v>76.400000000000006</v>
      </c>
      <c r="F2589">
        <v>76.400000000000006</v>
      </c>
      <c r="G2589" t="s">
        <v>5325</v>
      </c>
      <c r="H2589" t="s">
        <v>5488</v>
      </c>
      <c r="I2589" t="s">
        <v>5359</v>
      </c>
      <c r="J2589" t="s">
        <v>5489</v>
      </c>
      <c r="L2589" t="s">
        <v>5326</v>
      </c>
    </row>
    <row r="2590" spans="1:12" x14ac:dyDescent="0.2">
      <c r="A2590" t="s">
        <v>1767</v>
      </c>
      <c r="B2590" t="s">
        <v>1769</v>
      </c>
      <c r="C2590" t="s">
        <v>5324</v>
      </c>
      <c r="D2590">
        <v>4</v>
      </c>
      <c r="E2590">
        <v>38.1</v>
      </c>
      <c r="F2590">
        <v>38.1</v>
      </c>
      <c r="G2590" t="s">
        <v>5325</v>
      </c>
      <c r="H2590" t="s">
        <v>5490</v>
      </c>
      <c r="I2590" t="s">
        <v>5359</v>
      </c>
      <c r="J2590" t="s">
        <v>5491</v>
      </c>
      <c r="L2590" t="s">
        <v>5326</v>
      </c>
    </row>
    <row r="2591" spans="1:12" x14ac:dyDescent="0.2">
      <c r="A2591" t="s">
        <v>1767</v>
      </c>
      <c r="B2591" t="s">
        <v>1769</v>
      </c>
      <c r="C2591" t="s">
        <v>5324</v>
      </c>
      <c r="D2591">
        <v>4</v>
      </c>
      <c r="E2591">
        <v>17.510000000000002</v>
      </c>
      <c r="F2591">
        <v>17.510000000000002</v>
      </c>
      <c r="G2591" t="s">
        <v>5325</v>
      </c>
      <c r="H2591" t="s">
        <v>5492</v>
      </c>
      <c r="I2591" t="s">
        <v>5359</v>
      </c>
      <c r="J2591" t="s">
        <v>5493</v>
      </c>
      <c r="L2591" t="s">
        <v>5326</v>
      </c>
    </row>
    <row r="2592" spans="1:12" x14ac:dyDescent="0.2">
      <c r="A2592" t="s">
        <v>1767</v>
      </c>
      <c r="B2592" t="s">
        <v>1769</v>
      </c>
      <c r="C2592" t="s">
        <v>5324</v>
      </c>
      <c r="D2592">
        <v>4</v>
      </c>
      <c r="E2592">
        <v>80</v>
      </c>
      <c r="F2592">
        <v>80</v>
      </c>
      <c r="G2592" t="s">
        <v>5325</v>
      </c>
      <c r="H2592" t="s">
        <v>5494</v>
      </c>
      <c r="I2592" t="s">
        <v>5359</v>
      </c>
      <c r="J2592" t="s">
        <v>5495</v>
      </c>
      <c r="L2592" t="s">
        <v>5326</v>
      </c>
    </row>
    <row r="2593" spans="1:12" x14ac:dyDescent="0.2">
      <c r="A2593" t="s">
        <v>1767</v>
      </c>
      <c r="B2593" t="s">
        <v>1769</v>
      </c>
      <c r="C2593" t="s">
        <v>5324</v>
      </c>
      <c r="D2593">
        <v>4</v>
      </c>
      <c r="E2593">
        <v>43.65</v>
      </c>
      <c r="F2593">
        <v>43.65</v>
      </c>
      <c r="G2593" t="s">
        <v>5325</v>
      </c>
      <c r="H2593" t="s">
        <v>5496</v>
      </c>
      <c r="I2593" t="s">
        <v>5359</v>
      </c>
      <c r="J2593" t="s">
        <v>5497</v>
      </c>
      <c r="L2593" t="s">
        <v>5326</v>
      </c>
    </row>
    <row r="2594" spans="1:12" x14ac:dyDescent="0.2">
      <c r="A2594" t="s">
        <v>1767</v>
      </c>
      <c r="B2594" t="s">
        <v>1769</v>
      </c>
      <c r="C2594" t="s">
        <v>5324</v>
      </c>
      <c r="D2594">
        <v>4</v>
      </c>
      <c r="E2594">
        <v>109.08</v>
      </c>
      <c r="F2594">
        <v>109.08</v>
      </c>
      <c r="G2594" t="s">
        <v>5325</v>
      </c>
      <c r="H2594" t="s">
        <v>5498</v>
      </c>
      <c r="I2594" t="s">
        <v>5359</v>
      </c>
      <c r="J2594" t="s">
        <v>5499</v>
      </c>
      <c r="L2594" t="s">
        <v>5326</v>
      </c>
    </row>
    <row r="2595" spans="1:12" x14ac:dyDescent="0.2">
      <c r="A2595" t="s">
        <v>1767</v>
      </c>
      <c r="B2595" t="s">
        <v>1769</v>
      </c>
      <c r="C2595" t="s">
        <v>5324</v>
      </c>
      <c r="D2595">
        <v>4</v>
      </c>
      <c r="E2595">
        <v>7.76</v>
      </c>
      <c r="F2595">
        <v>7.76</v>
      </c>
      <c r="G2595" t="s">
        <v>5325</v>
      </c>
      <c r="H2595" t="s">
        <v>5500</v>
      </c>
      <c r="I2595" t="s">
        <v>5359</v>
      </c>
      <c r="J2595" t="s">
        <v>5501</v>
      </c>
      <c r="L2595" t="s">
        <v>5326</v>
      </c>
    </row>
    <row r="2596" spans="1:12" x14ac:dyDescent="0.2">
      <c r="A2596" t="s">
        <v>1767</v>
      </c>
      <c r="B2596" t="s">
        <v>1769</v>
      </c>
      <c r="C2596" t="s">
        <v>5324</v>
      </c>
      <c r="D2596">
        <v>4</v>
      </c>
      <c r="E2596">
        <v>7.28</v>
      </c>
      <c r="F2596">
        <v>7.28</v>
      </c>
      <c r="G2596" t="s">
        <v>5325</v>
      </c>
      <c r="H2596" t="s">
        <v>5502</v>
      </c>
      <c r="I2596" t="s">
        <v>5359</v>
      </c>
      <c r="J2596" t="s">
        <v>5503</v>
      </c>
      <c r="L2596" t="s">
        <v>5326</v>
      </c>
    </row>
    <row r="2597" spans="1:12" x14ac:dyDescent="0.2">
      <c r="A2597" t="s">
        <v>1767</v>
      </c>
      <c r="B2597" t="s">
        <v>1769</v>
      </c>
      <c r="C2597" t="s">
        <v>5324</v>
      </c>
      <c r="D2597">
        <v>4</v>
      </c>
      <c r="E2597">
        <v>1.93</v>
      </c>
      <c r="F2597">
        <v>1.93</v>
      </c>
      <c r="G2597" t="s">
        <v>5325</v>
      </c>
      <c r="H2597" t="s">
        <v>5504</v>
      </c>
      <c r="I2597" t="s">
        <v>5359</v>
      </c>
      <c r="J2597" t="s">
        <v>5505</v>
      </c>
      <c r="L2597" t="s">
        <v>5326</v>
      </c>
    </row>
    <row r="2598" spans="1:12" x14ac:dyDescent="0.2">
      <c r="A2598" t="s">
        <v>1767</v>
      </c>
      <c r="B2598" t="s">
        <v>1769</v>
      </c>
      <c r="C2598" t="s">
        <v>5324</v>
      </c>
      <c r="D2598">
        <v>4</v>
      </c>
      <c r="E2598">
        <v>180</v>
      </c>
      <c r="F2598">
        <v>180</v>
      </c>
      <c r="G2598" t="s">
        <v>5325</v>
      </c>
      <c r="H2598" t="s">
        <v>5506</v>
      </c>
      <c r="I2598" t="s">
        <v>5359</v>
      </c>
      <c r="J2598" t="s">
        <v>5507</v>
      </c>
      <c r="L2598" t="s">
        <v>5326</v>
      </c>
    </row>
    <row r="2599" spans="1:12" x14ac:dyDescent="0.2">
      <c r="A2599" t="s">
        <v>1767</v>
      </c>
      <c r="B2599" t="s">
        <v>1769</v>
      </c>
      <c r="C2599" t="s">
        <v>5324</v>
      </c>
      <c r="D2599">
        <v>4</v>
      </c>
      <c r="E2599">
        <v>177.45</v>
      </c>
      <c r="F2599">
        <v>177.45</v>
      </c>
      <c r="G2599" t="s">
        <v>5325</v>
      </c>
      <c r="H2599" t="s">
        <v>5508</v>
      </c>
      <c r="I2599" t="s">
        <v>5359</v>
      </c>
      <c r="J2599" t="s">
        <v>5509</v>
      </c>
      <c r="L2599" t="s">
        <v>5326</v>
      </c>
    </row>
    <row r="2600" spans="1:12" x14ac:dyDescent="0.2">
      <c r="A2600" t="s">
        <v>1767</v>
      </c>
      <c r="B2600" t="s">
        <v>1769</v>
      </c>
      <c r="C2600" t="s">
        <v>5324</v>
      </c>
      <c r="D2600">
        <v>4</v>
      </c>
      <c r="E2600">
        <v>80.849999999999994</v>
      </c>
      <c r="F2600">
        <v>80.849999999999994</v>
      </c>
      <c r="G2600" t="s">
        <v>5325</v>
      </c>
      <c r="H2600" t="s">
        <v>5510</v>
      </c>
      <c r="I2600" t="s">
        <v>5359</v>
      </c>
      <c r="J2600" t="s">
        <v>5511</v>
      </c>
      <c r="L2600" t="s">
        <v>5326</v>
      </c>
    </row>
    <row r="2601" spans="1:12" x14ac:dyDescent="0.2">
      <c r="A2601" t="s">
        <v>1767</v>
      </c>
      <c r="B2601" t="s">
        <v>1769</v>
      </c>
      <c r="C2601" t="s">
        <v>5324</v>
      </c>
      <c r="D2601">
        <v>4</v>
      </c>
      <c r="E2601">
        <v>5334.03</v>
      </c>
      <c r="F2601">
        <v>5334.03</v>
      </c>
      <c r="G2601" t="s">
        <v>5325</v>
      </c>
      <c r="H2601" t="s">
        <v>5512</v>
      </c>
      <c r="I2601" t="s">
        <v>5359</v>
      </c>
      <c r="J2601" t="s">
        <v>5513</v>
      </c>
      <c r="L2601" t="s">
        <v>5326</v>
      </c>
    </row>
    <row r="2602" spans="1:12" x14ac:dyDescent="0.2">
      <c r="A2602" t="s">
        <v>1767</v>
      </c>
      <c r="B2602" t="s">
        <v>1769</v>
      </c>
      <c r="C2602" t="s">
        <v>5324</v>
      </c>
      <c r="D2602">
        <v>4</v>
      </c>
      <c r="E2602">
        <v>313.45</v>
      </c>
      <c r="F2602">
        <v>313.45</v>
      </c>
      <c r="G2602" t="s">
        <v>5325</v>
      </c>
      <c r="H2602" t="s">
        <v>5514</v>
      </c>
      <c r="I2602" t="s">
        <v>5359</v>
      </c>
      <c r="J2602" t="s">
        <v>4722</v>
      </c>
      <c r="L2602" t="s">
        <v>5326</v>
      </c>
    </row>
    <row r="2603" spans="1:12" x14ac:dyDescent="0.2">
      <c r="A2603" t="s">
        <v>1767</v>
      </c>
      <c r="B2603" t="s">
        <v>1769</v>
      </c>
      <c r="C2603" t="s">
        <v>5324</v>
      </c>
      <c r="D2603">
        <v>4</v>
      </c>
      <c r="E2603">
        <v>2225</v>
      </c>
      <c r="F2603">
        <v>2225</v>
      </c>
      <c r="G2603" t="s">
        <v>5325</v>
      </c>
      <c r="H2603" t="s">
        <v>5515</v>
      </c>
      <c r="I2603" t="s">
        <v>5359</v>
      </c>
      <c r="J2603" t="s">
        <v>5516</v>
      </c>
      <c r="L2603" t="s">
        <v>5326</v>
      </c>
    </row>
    <row r="2604" spans="1:12" x14ac:dyDescent="0.2">
      <c r="A2604" t="s">
        <v>1767</v>
      </c>
      <c r="B2604" t="s">
        <v>1769</v>
      </c>
      <c r="C2604" t="s">
        <v>5324</v>
      </c>
      <c r="D2604">
        <v>4</v>
      </c>
      <c r="E2604">
        <v>124.83</v>
      </c>
      <c r="F2604">
        <v>124.83</v>
      </c>
      <c r="G2604" t="s">
        <v>5325</v>
      </c>
      <c r="H2604" t="s">
        <v>5517</v>
      </c>
      <c r="I2604" t="s">
        <v>5359</v>
      </c>
      <c r="J2604" t="s">
        <v>5518</v>
      </c>
      <c r="L2604" t="s">
        <v>5326</v>
      </c>
    </row>
    <row r="2605" spans="1:12" x14ac:dyDescent="0.2">
      <c r="A2605" t="s">
        <v>1767</v>
      </c>
      <c r="B2605" t="s">
        <v>1769</v>
      </c>
      <c r="C2605" t="s">
        <v>5324</v>
      </c>
      <c r="D2605">
        <v>4</v>
      </c>
      <c r="E2605">
        <v>1075</v>
      </c>
      <c r="F2605">
        <v>1075</v>
      </c>
      <c r="G2605" t="s">
        <v>5325</v>
      </c>
      <c r="H2605" t="s">
        <v>5519</v>
      </c>
      <c r="I2605" t="s">
        <v>5359</v>
      </c>
      <c r="J2605" t="s">
        <v>5520</v>
      </c>
      <c r="L2605" t="s">
        <v>5326</v>
      </c>
    </row>
    <row r="2606" spans="1:12" x14ac:dyDescent="0.2">
      <c r="A2606" t="s">
        <v>1767</v>
      </c>
      <c r="B2606" t="s">
        <v>1769</v>
      </c>
      <c r="C2606" t="s">
        <v>5324</v>
      </c>
      <c r="D2606">
        <v>4</v>
      </c>
      <c r="E2606">
        <v>2100</v>
      </c>
      <c r="F2606">
        <v>2100</v>
      </c>
      <c r="G2606" t="s">
        <v>5325</v>
      </c>
      <c r="H2606" t="s">
        <v>5521</v>
      </c>
      <c r="I2606" t="s">
        <v>5359</v>
      </c>
      <c r="J2606" t="s">
        <v>5522</v>
      </c>
      <c r="L2606" t="s">
        <v>5326</v>
      </c>
    </row>
    <row r="2607" spans="1:12" x14ac:dyDescent="0.2">
      <c r="A2607" t="s">
        <v>1767</v>
      </c>
      <c r="B2607" t="s">
        <v>1769</v>
      </c>
      <c r="C2607" t="s">
        <v>5324</v>
      </c>
      <c r="D2607">
        <v>4</v>
      </c>
      <c r="E2607">
        <v>2430</v>
      </c>
      <c r="F2607">
        <v>2430</v>
      </c>
      <c r="G2607" t="s">
        <v>5325</v>
      </c>
      <c r="H2607" t="s">
        <v>5523</v>
      </c>
      <c r="I2607" t="s">
        <v>5359</v>
      </c>
      <c r="J2607" t="s">
        <v>5524</v>
      </c>
      <c r="L2607" t="s">
        <v>5326</v>
      </c>
    </row>
    <row r="2608" spans="1:12" x14ac:dyDescent="0.2">
      <c r="A2608" t="s">
        <v>1767</v>
      </c>
      <c r="B2608" t="s">
        <v>1769</v>
      </c>
      <c r="C2608" t="s">
        <v>5324</v>
      </c>
      <c r="D2608">
        <v>4</v>
      </c>
      <c r="E2608">
        <v>2530</v>
      </c>
      <c r="F2608">
        <v>2530</v>
      </c>
      <c r="G2608" t="s">
        <v>5325</v>
      </c>
      <c r="H2608" t="s">
        <v>5525</v>
      </c>
      <c r="I2608" t="s">
        <v>5359</v>
      </c>
      <c r="J2608" t="s">
        <v>5526</v>
      </c>
      <c r="L2608" t="s">
        <v>5326</v>
      </c>
    </row>
    <row r="2609" spans="1:12" x14ac:dyDescent="0.2">
      <c r="A2609" t="s">
        <v>1767</v>
      </c>
      <c r="B2609" t="s">
        <v>1769</v>
      </c>
      <c r="C2609" t="s">
        <v>5324</v>
      </c>
      <c r="D2609">
        <v>4</v>
      </c>
      <c r="E2609">
        <v>1150</v>
      </c>
      <c r="F2609">
        <v>1150</v>
      </c>
      <c r="G2609" t="s">
        <v>5325</v>
      </c>
      <c r="H2609" t="s">
        <v>5527</v>
      </c>
      <c r="I2609" t="s">
        <v>5359</v>
      </c>
      <c r="J2609" t="s">
        <v>5528</v>
      </c>
      <c r="L2609" t="s">
        <v>5326</v>
      </c>
    </row>
    <row r="2610" spans="1:12" x14ac:dyDescent="0.2">
      <c r="A2610" t="s">
        <v>1767</v>
      </c>
      <c r="B2610" t="s">
        <v>1769</v>
      </c>
      <c r="C2610" t="s">
        <v>5324</v>
      </c>
      <c r="D2610">
        <v>4</v>
      </c>
      <c r="E2610">
        <v>568</v>
      </c>
      <c r="F2610">
        <v>568</v>
      </c>
      <c r="G2610" t="s">
        <v>5325</v>
      </c>
      <c r="H2610" t="s">
        <v>5372</v>
      </c>
      <c r="I2610" t="s">
        <v>5359</v>
      </c>
      <c r="J2610" t="s">
        <v>5529</v>
      </c>
      <c r="L2610" t="s">
        <v>5326</v>
      </c>
    </row>
    <row r="2611" spans="1:12" x14ac:dyDescent="0.2">
      <c r="A2611" t="s">
        <v>1767</v>
      </c>
      <c r="B2611" t="s">
        <v>1769</v>
      </c>
      <c r="C2611" t="s">
        <v>5324</v>
      </c>
      <c r="D2611">
        <v>4</v>
      </c>
      <c r="E2611">
        <v>695.4</v>
      </c>
      <c r="F2611">
        <v>695.4</v>
      </c>
      <c r="G2611" t="s">
        <v>5325</v>
      </c>
      <c r="H2611" t="s">
        <v>5530</v>
      </c>
      <c r="I2611" t="s">
        <v>5359</v>
      </c>
      <c r="J2611" t="s">
        <v>5531</v>
      </c>
      <c r="L2611" t="s">
        <v>5326</v>
      </c>
    </row>
    <row r="2612" spans="1:12" x14ac:dyDescent="0.2">
      <c r="A2612" t="s">
        <v>1767</v>
      </c>
      <c r="B2612" t="s">
        <v>1769</v>
      </c>
      <c r="C2612" t="s">
        <v>5324</v>
      </c>
      <c r="D2612">
        <v>4</v>
      </c>
      <c r="E2612">
        <v>1417.04</v>
      </c>
      <c r="F2612">
        <v>1417.04</v>
      </c>
      <c r="G2612" t="s">
        <v>5325</v>
      </c>
      <c r="H2612" t="s">
        <v>5532</v>
      </c>
      <c r="I2612" t="s">
        <v>5359</v>
      </c>
      <c r="J2612" t="s">
        <v>5533</v>
      </c>
      <c r="L2612" t="s">
        <v>5326</v>
      </c>
    </row>
    <row r="2613" spans="1:12" x14ac:dyDescent="0.2">
      <c r="A2613" t="s">
        <v>1767</v>
      </c>
      <c r="B2613" t="s">
        <v>1769</v>
      </c>
      <c r="C2613" t="s">
        <v>5324</v>
      </c>
      <c r="D2613">
        <v>4</v>
      </c>
      <c r="E2613">
        <v>2.6</v>
      </c>
      <c r="F2613">
        <v>2.6</v>
      </c>
      <c r="G2613" t="s">
        <v>5325</v>
      </c>
      <c r="H2613" t="s">
        <v>5534</v>
      </c>
      <c r="I2613" t="s">
        <v>5359</v>
      </c>
      <c r="J2613" t="s">
        <v>5535</v>
      </c>
      <c r="L2613" t="s">
        <v>5326</v>
      </c>
    </row>
    <row r="2614" spans="1:12" x14ac:dyDescent="0.2">
      <c r="A2614" t="s">
        <v>1767</v>
      </c>
      <c r="B2614" t="s">
        <v>1769</v>
      </c>
      <c r="C2614" t="s">
        <v>5324</v>
      </c>
      <c r="D2614">
        <v>4</v>
      </c>
      <c r="E2614">
        <v>3040</v>
      </c>
      <c r="F2614">
        <v>3040</v>
      </c>
      <c r="G2614" t="s">
        <v>5325</v>
      </c>
      <c r="H2614" t="s">
        <v>5536</v>
      </c>
      <c r="I2614" t="s">
        <v>5359</v>
      </c>
      <c r="J2614" t="s">
        <v>5537</v>
      </c>
      <c r="L2614" t="s">
        <v>5326</v>
      </c>
    </row>
    <row r="2615" spans="1:12" x14ac:dyDescent="0.2">
      <c r="A2615" t="s">
        <v>1767</v>
      </c>
      <c r="B2615" t="s">
        <v>1769</v>
      </c>
      <c r="C2615" t="s">
        <v>5324</v>
      </c>
      <c r="D2615">
        <v>4</v>
      </c>
      <c r="E2615">
        <v>5657.4</v>
      </c>
      <c r="F2615">
        <v>5657.4</v>
      </c>
      <c r="G2615" t="s">
        <v>5325</v>
      </c>
      <c r="H2615" t="s">
        <v>5538</v>
      </c>
      <c r="I2615" t="s">
        <v>5359</v>
      </c>
      <c r="J2615" t="s">
        <v>5539</v>
      </c>
      <c r="L2615" t="s">
        <v>5326</v>
      </c>
    </row>
    <row r="2616" spans="1:12" x14ac:dyDescent="0.2">
      <c r="A2616" t="s">
        <v>1767</v>
      </c>
      <c r="B2616" t="s">
        <v>1769</v>
      </c>
      <c r="C2616" t="s">
        <v>5324</v>
      </c>
      <c r="D2616">
        <v>4</v>
      </c>
      <c r="E2616">
        <v>21.39</v>
      </c>
      <c r="F2616">
        <v>21.39</v>
      </c>
      <c r="G2616" t="s">
        <v>5325</v>
      </c>
      <c r="H2616" t="s">
        <v>5540</v>
      </c>
      <c r="I2616" t="s">
        <v>5359</v>
      </c>
      <c r="J2616" t="s">
        <v>5541</v>
      </c>
      <c r="L2616" t="s">
        <v>5326</v>
      </c>
    </row>
    <row r="2617" spans="1:12" x14ac:dyDescent="0.2">
      <c r="A2617" t="s">
        <v>1767</v>
      </c>
      <c r="B2617" t="s">
        <v>1769</v>
      </c>
      <c r="C2617" t="s">
        <v>5324</v>
      </c>
      <c r="D2617">
        <v>4</v>
      </c>
      <c r="E2617">
        <v>47.5</v>
      </c>
      <c r="F2617">
        <v>47.5</v>
      </c>
      <c r="G2617" t="s">
        <v>5325</v>
      </c>
      <c r="H2617" t="s">
        <v>5542</v>
      </c>
      <c r="I2617" t="s">
        <v>5359</v>
      </c>
      <c r="J2617" t="s">
        <v>5543</v>
      </c>
      <c r="L2617" t="s">
        <v>5326</v>
      </c>
    </row>
    <row r="2618" spans="1:12" x14ac:dyDescent="0.2">
      <c r="A2618" t="s">
        <v>1767</v>
      </c>
      <c r="B2618" t="s">
        <v>1769</v>
      </c>
      <c r="C2618" t="s">
        <v>5324</v>
      </c>
      <c r="D2618">
        <v>4</v>
      </c>
      <c r="E2618">
        <v>9.3000000000000007</v>
      </c>
      <c r="F2618">
        <v>9.3000000000000007</v>
      </c>
      <c r="G2618" t="s">
        <v>5325</v>
      </c>
      <c r="H2618" t="s">
        <v>5544</v>
      </c>
      <c r="I2618" t="s">
        <v>5359</v>
      </c>
      <c r="J2618" t="s">
        <v>5545</v>
      </c>
      <c r="L2618" t="s">
        <v>5326</v>
      </c>
    </row>
    <row r="2619" spans="1:12" x14ac:dyDescent="0.2">
      <c r="A2619" t="s">
        <v>1767</v>
      </c>
      <c r="B2619" t="s">
        <v>1769</v>
      </c>
      <c r="C2619" t="s">
        <v>5324</v>
      </c>
      <c r="D2619">
        <v>4</v>
      </c>
      <c r="E2619">
        <v>3.6</v>
      </c>
      <c r="F2619">
        <v>3.6</v>
      </c>
      <c r="G2619" t="s">
        <v>5325</v>
      </c>
      <c r="H2619" t="s">
        <v>5546</v>
      </c>
      <c r="I2619" t="s">
        <v>5359</v>
      </c>
      <c r="J2619" t="s">
        <v>5547</v>
      </c>
      <c r="L2619" t="s">
        <v>5326</v>
      </c>
    </row>
    <row r="2620" spans="1:12" x14ac:dyDescent="0.2">
      <c r="A2620" t="s">
        <v>1767</v>
      </c>
      <c r="B2620" t="s">
        <v>1769</v>
      </c>
      <c r="C2620" t="s">
        <v>5324</v>
      </c>
      <c r="D2620">
        <v>4</v>
      </c>
      <c r="E2620">
        <v>6.49</v>
      </c>
      <c r="F2620">
        <v>6.49</v>
      </c>
      <c r="G2620" t="s">
        <v>5325</v>
      </c>
      <c r="H2620" t="s">
        <v>5548</v>
      </c>
      <c r="I2620" t="s">
        <v>5359</v>
      </c>
      <c r="J2620" t="s">
        <v>5549</v>
      </c>
      <c r="L2620" t="s">
        <v>5326</v>
      </c>
    </row>
    <row r="2621" spans="1:12" x14ac:dyDescent="0.2">
      <c r="A2621" t="s">
        <v>1767</v>
      </c>
      <c r="B2621" t="s">
        <v>1769</v>
      </c>
      <c r="C2621" t="s">
        <v>5324</v>
      </c>
      <c r="D2621">
        <v>4</v>
      </c>
      <c r="E2621">
        <v>0</v>
      </c>
      <c r="F2621">
        <v>0</v>
      </c>
      <c r="G2621" t="s">
        <v>5325</v>
      </c>
      <c r="H2621" t="s">
        <v>5329</v>
      </c>
      <c r="I2621" t="s">
        <v>5359</v>
      </c>
      <c r="J2621" t="s">
        <v>4663</v>
      </c>
      <c r="L2621" t="s">
        <v>5326</v>
      </c>
    </row>
    <row r="2622" spans="1:12" x14ac:dyDescent="0.2">
      <c r="A2622" t="s">
        <v>1767</v>
      </c>
      <c r="B2622" t="s">
        <v>1769</v>
      </c>
      <c r="C2622" t="s">
        <v>5324</v>
      </c>
      <c r="D2622">
        <v>4</v>
      </c>
      <c r="E2622">
        <v>18.82</v>
      </c>
      <c r="F2622">
        <v>18.82</v>
      </c>
      <c r="G2622" t="s">
        <v>5325</v>
      </c>
      <c r="H2622" t="s">
        <v>5550</v>
      </c>
      <c r="I2622" t="s">
        <v>5359</v>
      </c>
      <c r="J2622" t="s">
        <v>5551</v>
      </c>
      <c r="L2622" t="s">
        <v>5326</v>
      </c>
    </row>
    <row r="2623" spans="1:12" x14ac:dyDescent="0.2">
      <c r="A2623" t="s">
        <v>1767</v>
      </c>
      <c r="B2623" t="s">
        <v>1769</v>
      </c>
      <c r="C2623" t="s">
        <v>5324</v>
      </c>
      <c r="D2623">
        <v>4</v>
      </c>
      <c r="E2623">
        <v>0.9</v>
      </c>
      <c r="F2623">
        <v>0.9</v>
      </c>
      <c r="G2623" t="s">
        <v>5325</v>
      </c>
      <c r="H2623" t="s">
        <v>5552</v>
      </c>
      <c r="I2623" t="s">
        <v>5359</v>
      </c>
      <c r="J2623" t="s">
        <v>5553</v>
      </c>
      <c r="L2623" t="s">
        <v>5326</v>
      </c>
    </row>
    <row r="2624" spans="1:12" x14ac:dyDescent="0.2">
      <c r="A2624" t="s">
        <v>1767</v>
      </c>
      <c r="B2624" t="s">
        <v>1769</v>
      </c>
      <c r="C2624" t="s">
        <v>5324</v>
      </c>
      <c r="D2624">
        <v>4</v>
      </c>
      <c r="E2624">
        <v>173.9</v>
      </c>
      <c r="F2624">
        <v>173.9</v>
      </c>
      <c r="G2624" t="s">
        <v>5325</v>
      </c>
      <c r="H2624" t="s">
        <v>5554</v>
      </c>
      <c r="I2624" t="s">
        <v>5359</v>
      </c>
      <c r="J2624" t="s">
        <v>5555</v>
      </c>
      <c r="L2624" t="s">
        <v>5326</v>
      </c>
    </row>
    <row r="2625" spans="1:12" x14ac:dyDescent="0.2">
      <c r="A2625" t="s">
        <v>1767</v>
      </c>
      <c r="B2625" t="s">
        <v>1769</v>
      </c>
      <c r="C2625" t="s">
        <v>5324</v>
      </c>
      <c r="D2625">
        <v>4</v>
      </c>
      <c r="E2625">
        <v>3.5</v>
      </c>
      <c r="F2625">
        <v>3.5</v>
      </c>
      <c r="G2625" t="s">
        <v>5325</v>
      </c>
      <c r="H2625" t="s">
        <v>5556</v>
      </c>
      <c r="I2625" t="s">
        <v>5359</v>
      </c>
      <c r="J2625" t="s">
        <v>5557</v>
      </c>
      <c r="L2625" t="s">
        <v>5326</v>
      </c>
    </row>
    <row r="2626" spans="1:12" x14ac:dyDescent="0.2">
      <c r="A2626" t="s">
        <v>1767</v>
      </c>
      <c r="B2626" t="s">
        <v>1769</v>
      </c>
      <c r="C2626" t="s">
        <v>5324</v>
      </c>
      <c r="D2626">
        <v>4</v>
      </c>
      <c r="E2626">
        <v>4.46</v>
      </c>
      <c r="F2626">
        <v>4.46</v>
      </c>
      <c r="G2626" t="s">
        <v>5325</v>
      </c>
      <c r="H2626" t="s">
        <v>5558</v>
      </c>
      <c r="I2626" t="s">
        <v>5359</v>
      </c>
      <c r="J2626" t="s">
        <v>5559</v>
      </c>
      <c r="L2626" t="s">
        <v>5326</v>
      </c>
    </row>
    <row r="2627" spans="1:12" x14ac:dyDescent="0.2">
      <c r="A2627" t="s">
        <v>1767</v>
      </c>
      <c r="B2627" t="s">
        <v>1769</v>
      </c>
      <c r="C2627" t="s">
        <v>5324</v>
      </c>
      <c r="D2627">
        <v>4</v>
      </c>
      <c r="E2627">
        <v>2.7</v>
      </c>
      <c r="F2627">
        <v>2.7</v>
      </c>
      <c r="G2627" t="s">
        <v>5325</v>
      </c>
      <c r="H2627" t="s">
        <v>5560</v>
      </c>
      <c r="I2627" t="s">
        <v>5359</v>
      </c>
      <c r="J2627" t="s">
        <v>5561</v>
      </c>
      <c r="L2627" t="s">
        <v>5326</v>
      </c>
    </row>
    <row r="2628" spans="1:12" x14ac:dyDescent="0.2">
      <c r="A2628" t="s">
        <v>1767</v>
      </c>
      <c r="B2628" t="s">
        <v>1769</v>
      </c>
      <c r="C2628" t="s">
        <v>5324</v>
      </c>
      <c r="D2628">
        <v>4</v>
      </c>
      <c r="E2628">
        <v>7.9</v>
      </c>
      <c r="F2628">
        <v>7.9</v>
      </c>
      <c r="G2628" t="s">
        <v>5325</v>
      </c>
      <c r="H2628" t="s">
        <v>5562</v>
      </c>
      <c r="I2628" t="s">
        <v>5359</v>
      </c>
      <c r="J2628" t="s">
        <v>3176</v>
      </c>
      <c r="L2628" t="s">
        <v>5326</v>
      </c>
    </row>
    <row r="2629" spans="1:12" x14ac:dyDescent="0.2">
      <c r="A2629" t="s">
        <v>1767</v>
      </c>
      <c r="B2629" t="s">
        <v>1769</v>
      </c>
      <c r="C2629" t="s">
        <v>5324</v>
      </c>
      <c r="D2629">
        <v>4</v>
      </c>
      <c r="E2629">
        <v>1654.08</v>
      </c>
      <c r="F2629">
        <v>1654.08</v>
      </c>
      <c r="G2629" t="s">
        <v>5325</v>
      </c>
      <c r="H2629" t="s">
        <v>5563</v>
      </c>
      <c r="I2629" t="s">
        <v>5359</v>
      </c>
      <c r="J2629" t="s">
        <v>5564</v>
      </c>
      <c r="L2629" t="s">
        <v>5326</v>
      </c>
    </row>
    <row r="2630" spans="1:12" x14ac:dyDescent="0.2">
      <c r="A2630" t="s">
        <v>1767</v>
      </c>
      <c r="B2630" t="s">
        <v>1769</v>
      </c>
      <c r="C2630" t="s">
        <v>5324</v>
      </c>
      <c r="D2630">
        <v>4</v>
      </c>
      <c r="E2630">
        <v>6.2</v>
      </c>
      <c r="F2630">
        <v>6.2</v>
      </c>
      <c r="G2630" t="s">
        <v>5325</v>
      </c>
      <c r="H2630" t="s">
        <v>5565</v>
      </c>
      <c r="I2630" t="s">
        <v>5359</v>
      </c>
      <c r="J2630" t="s">
        <v>5566</v>
      </c>
      <c r="L2630" t="s">
        <v>5326</v>
      </c>
    </row>
    <row r="2631" spans="1:12" x14ac:dyDescent="0.2">
      <c r="A2631" t="s">
        <v>1767</v>
      </c>
      <c r="B2631" t="s">
        <v>1769</v>
      </c>
      <c r="C2631" t="s">
        <v>5324</v>
      </c>
      <c r="D2631">
        <v>4</v>
      </c>
      <c r="E2631">
        <v>490.86</v>
      </c>
      <c r="F2631">
        <v>490.86</v>
      </c>
      <c r="G2631" t="s">
        <v>5325</v>
      </c>
      <c r="H2631" t="s">
        <v>5567</v>
      </c>
      <c r="I2631" t="s">
        <v>5359</v>
      </c>
      <c r="J2631" t="s">
        <v>5568</v>
      </c>
      <c r="L2631" t="s">
        <v>5326</v>
      </c>
    </row>
    <row r="2632" spans="1:12" x14ac:dyDescent="0.2">
      <c r="A2632" t="s">
        <v>1767</v>
      </c>
      <c r="B2632" t="s">
        <v>1769</v>
      </c>
      <c r="C2632" t="s">
        <v>5324</v>
      </c>
      <c r="D2632">
        <v>4</v>
      </c>
      <c r="E2632">
        <v>3.6</v>
      </c>
      <c r="F2632">
        <v>3.6</v>
      </c>
      <c r="G2632" t="s">
        <v>5325</v>
      </c>
      <c r="H2632" t="s">
        <v>5546</v>
      </c>
      <c r="I2632" t="s">
        <v>5359</v>
      </c>
      <c r="J2632" t="s">
        <v>5569</v>
      </c>
      <c r="L2632" t="s">
        <v>5326</v>
      </c>
    </row>
    <row r="2633" spans="1:12" x14ac:dyDescent="0.2">
      <c r="A2633" t="s">
        <v>1767</v>
      </c>
      <c r="B2633" t="s">
        <v>1769</v>
      </c>
      <c r="C2633" t="s">
        <v>5324</v>
      </c>
      <c r="D2633">
        <v>4</v>
      </c>
      <c r="E2633">
        <v>692.55</v>
      </c>
      <c r="F2633">
        <v>692.55</v>
      </c>
      <c r="G2633" t="s">
        <v>5325</v>
      </c>
      <c r="H2633" t="s">
        <v>5570</v>
      </c>
      <c r="I2633" t="s">
        <v>5359</v>
      </c>
      <c r="J2633" t="s">
        <v>5571</v>
      </c>
      <c r="L2633" t="s">
        <v>5326</v>
      </c>
    </row>
    <row r="2634" spans="1:12" x14ac:dyDescent="0.2">
      <c r="A2634" t="s">
        <v>1767</v>
      </c>
      <c r="B2634" t="s">
        <v>1769</v>
      </c>
      <c r="C2634" t="s">
        <v>5324</v>
      </c>
      <c r="D2634">
        <v>4</v>
      </c>
      <c r="E2634">
        <v>289.23</v>
      </c>
      <c r="F2634">
        <v>289.23</v>
      </c>
      <c r="G2634" t="s">
        <v>5325</v>
      </c>
      <c r="H2634" t="s">
        <v>5572</v>
      </c>
      <c r="I2634" t="s">
        <v>5359</v>
      </c>
      <c r="J2634" t="s">
        <v>5573</v>
      </c>
      <c r="L2634" t="s">
        <v>5326</v>
      </c>
    </row>
    <row r="2635" spans="1:12" x14ac:dyDescent="0.2">
      <c r="A2635" t="s">
        <v>1767</v>
      </c>
      <c r="B2635" t="s">
        <v>1769</v>
      </c>
      <c r="C2635" t="s">
        <v>5324</v>
      </c>
      <c r="D2635">
        <v>4</v>
      </c>
      <c r="E2635">
        <v>170</v>
      </c>
      <c r="F2635">
        <v>170</v>
      </c>
      <c r="G2635" t="s">
        <v>5325</v>
      </c>
      <c r="H2635" t="s">
        <v>5424</v>
      </c>
      <c r="I2635" t="s">
        <v>5359</v>
      </c>
      <c r="J2635" t="s">
        <v>5574</v>
      </c>
      <c r="L2635" t="s">
        <v>5326</v>
      </c>
    </row>
    <row r="2636" spans="1:12" x14ac:dyDescent="0.2">
      <c r="A2636" t="s">
        <v>1767</v>
      </c>
      <c r="B2636" t="s">
        <v>1769</v>
      </c>
      <c r="C2636" t="s">
        <v>5324</v>
      </c>
      <c r="D2636">
        <v>4</v>
      </c>
      <c r="E2636">
        <v>44.31</v>
      </c>
      <c r="F2636">
        <v>44.31</v>
      </c>
      <c r="G2636" t="s">
        <v>5325</v>
      </c>
      <c r="H2636" t="s">
        <v>5575</v>
      </c>
      <c r="I2636" t="s">
        <v>5359</v>
      </c>
      <c r="J2636" t="s">
        <v>5576</v>
      </c>
      <c r="L2636" t="s">
        <v>5326</v>
      </c>
    </row>
    <row r="2637" spans="1:12" x14ac:dyDescent="0.2">
      <c r="A2637" t="s">
        <v>1767</v>
      </c>
      <c r="B2637" t="s">
        <v>1769</v>
      </c>
      <c r="C2637" t="s">
        <v>5324</v>
      </c>
      <c r="D2637">
        <v>4</v>
      </c>
      <c r="E2637">
        <v>367.92</v>
      </c>
      <c r="F2637">
        <v>367.92</v>
      </c>
      <c r="G2637" t="s">
        <v>5325</v>
      </c>
      <c r="H2637" t="s">
        <v>5577</v>
      </c>
      <c r="I2637" t="s">
        <v>5359</v>
      </c>
      <c r="J2637" t="s">
        <v>5578</v>
      </c>
      <c r="L2637" t="s">
        <v>5326</v>
      </c>
    </row>
    <row r="2638" spans="1:12" x14ac:dyDescent="0.2">
      <c r="A2638" t="s">
        <v>1767</v>
      </c>
      <c r="B2638" t="s">
        <v>1769</v>
      </c>
      <c r="C2638" t="s">
        <v>5324</v>
      </c>
      <c r="D2638">
        <v>4</v>
      </c>
      <c r="E2638">
        <v>306.8</v>
      </c>
      <c r="F2638">
        <v>306.8</v>
      </c>
      <c r="G2638" t="s">
        <v>5325</v>
      </c>
      <c r="H2638" t="s">
        <v>5579</v>
      </c>
      <c r="I2638" t="s">
        <v>5359</v>
      </c>
      <c r="J2638" t="s">
        <v>5580</v>
      </c>
      <c r="L2638" t="s">
        <v>5326</v>
      </c>
    </row>
    <row r="2639" spans="1:12" x14ac:dyDescent="0.2">
      <c r="A2639" t="s">
        <v>1767</v>
      </c>
      <c r="B2639" t="s">
        <v>1769</v>
      </c>
      <c r="C2639" t="s">
        <v>5324</v>
      </c>
      <c r="D2639">
        <v>4</v>
      </c>
      <c r="E2639">
        <v>91.87</v>
      </c>
      <c r="F2639">
        <v>91.87</v>
      </c>
      <c r="G2639" t="s">
        <v>5325</v>
      </c>
      <c r="H2639" t="s">
        <v>5581</v>
      </c>
      <c r="I2639" t="s">
        <v>5359</v>
      </c>
      <c r="J2639" t="s">
        <v>5582</v>
      </c>
      <c r="L2639" t="s">
        <v>5326</v>
      </c>
    </row>
    <row r="2640" spans="1:12" x14ac:dyDescent="0.2">
      <c r="A2640" t="s">
        <v>1767</v>
      </c>
      <c r="B2640" t="s">
        <v>1769</v>
      </c>
      <c r="C2640" t="s">
        <v>5324</v>
      </c>
      <c r="D2640">
        <v>4</v>
      </c>
      <c r="E2640">
        <v>42.72</v>
      </c>
      <c r="F2640">
        <v>42.72</v>
      </c>
      <c r="G2640" t="s">
        <v>5325</v>
      </c>
      <c r="H2640" t="s">
        <v>5583</v>
      </c>
      <c r="I2640" t="s">
        <v>5359</v>
      </c>
      <c r="J2640" t="s">
        <v>5584</v>
      </c>
      <c r="L2640" t="s">
        <v>5326</v>
      </c>
    </row>
    <row r="2641" spans="1:12" x14ac:dyDescent="0.2">
      <c r="A2641" t="s">
        <v>1767</v>
      </c>
      <c r="B2641" t="s">
        <v>1769</v>
      </c>
      <c r="C2641" t="s">
        <v>5324</v>
      </c>
      <c r="D2641">
        <v>4</v>
      </c>
      <c r="E2641">
        <v>46.5</v>
      </c>
      <c r="F2641">
        <v>46.5</v>
      </c>
      <c r="G2641" t="s">
        <v>5325</v>
      </c>
      <c r="H2641" t="s">
        <v>5585</v>
      </c>
      <c r="I2641" t="s">
        <v>5359</v>
      </c>
      <c r="J2641" t="s">
        <v>5586</v>
      </c>
      <c r="L2641" t="s">
        <v>5326</v>
      </c>
    </row>
    <row r="2642" spans="1:12" x14ac:dyDescent="0.2">
      <c r="A2642" t="s">
        <v>1767</v>
      </c>
      <c r="B2642" t="s">
        <v>1769</v>
      </c>
      <c r="C2642" t="s">
        <v>5324</v>
      </c>
      <c r="D2642">
        <v>4</v>
      </c>
      <c r="E2642">
        <v>134.4</v>
      </c>
      <c r="F2642">
        <v>134.4</v>
      </c>
      <c r="G2642" t="s">
        <v>5325</v>
      </c>
      <c r="H2642" t="s">
        <v>5587</v>
      </c>
      <c r="I2642" t="s">
        <v>5359</v>
      </c>
      <c r="J2642" t="s">
        <v>5588</v>
      </c>
      <c r="L2642" t="s">
        <v>5326</v>
      </c>
    </row>
    <row r="2643" spans="1:12" x14ac:dyDescent="0.2">
      <c r="A2643" t="s">
        <v>1767</v>
      </c>
      <c r="B2643" t="s">
        <v>1769</v>
      </c>
      <c r="C2643" t="s">
        <v>5324</v>
      </c>
      <c r="D2643">
        <v>4</v>
      </c>
      <c r="E2643">
        <v>241.8</v>
      </c>
      <c r="F2643">
        <v>241.8</v>
      </c>
      <c r="G2643" t="s">
        <v>5325</v>
      </c>
      <c r="H2643" t="s">
        <v>5589</v>
      </c>
      <c r="I2643" t="s">
        <v>5359</v>
      </c>
      <c r="J2643" t="s">
        <v>5590</v>
      </c>
      <c r="L2643" t="s">
        <v>5326</v>
      </c>
    </row>
    <row r="2644" spans="1:12" x14ac:dyDescent="0.2">
      <c r="A2644" t="s">
        <v>1767</v>
      </c>
      <c r="B2644" t="s">
        <v>1769</v>
      </c>
      <c r="C2644" t="s">
        <v>5324</v>
      </c>
      <c r="D2644">
        <v>4</v>
      </c>
      <c r="E2644">
        <v>949.62</v>
      </c>
      <c r="F2644">
        <v>949.62</v>
      </c>
      <c r="G2644" t="s">
        <v>5325</v>
      </c>
      <c r="H2644" t="s">
        <v>5591</v>
      </c>
      <c r="I2644" t="s">
        <v>5359</v>
      </c>
      <c r="J2644" t="s">
        <v>5592</v>
      </c>
      <c r="L2644" t="s">
        <v>5326</v>
      </c>
    </row>
    <row r="2645" spans="1:12" x14ac:dyDescent="0.2">
      <c r="A2645" t="s">
        <v>1767</v>
      </c>
      <c r="B2645" t="s">
        <v>1769</v>
      </c>
      <c r="C2645" t="s">
        <v>5324</v>
      </c>
      <c r="D2645">
        <v>4</v>
      </c>
      <c r="E2645">
        <v>1345.36</v>
      </c>
      <c r="F2645">
        <v>1345.36</v>
      </c>
      <c r="G2645" t="s">
        <v>5325</v>
      </c>
      <c r="H2645" t="s">
        <v>5593</v>
      </c>
      <c r="I2645" t="s">
        <v>5359</v>
      </c>
      <c r="J2645" t="s">
        <v>5594</v>
      </c>
      <c r="L2645" t="s">
        <v>5326</v>
      </c>
    </row>
    <row r="2646" spans="1:12" x14ac:dyDescent="0.2">
      <c r="A2646" t="s">
        <v>1767</v>
      </c>
      <c r="B2646" t="s">
        <v>1769</v>
      </c>
      <c r="C2646" t="s">
        <v>5324</v>
      </c>
      <c r="D2646">
        <v>4</v>
      </c>
      <c r="E2646">
        <v>182</v>
      </c>
      <c r="F2646">
        <v>182</v>
      </c>
      <c r="G2646" t="s">
        <v>5325</v>
      </c>
      <c r="H2646" t="s">
        <v>5595</v>
      </c>
      <c r="I2646" t="s">
        <v>5359</v>
      </c>
      <c r="J2646" t="s">
        <v>5596</v>
      </c>
      <c r="L2646" t="s">
        <v>5326</v>
      </c>
    </row>
    <row r="2647" spans="1:12" x14ac:dyDescent="0.2">
      <c r="A2647" t="s">
        <v>1767</v>
      </c>
      <c r="B2647" t="s">
        <v>1769</v>
      </c>
      <c r="C2647" t="s">
        <v>5324</v>
      </c>
      <c r="D2647">
        <v>4</v>
      </c>
      <c r="E2647">
        <v>1737.96</v>
      </c>
      <c r="F2647">
        <v>1737.96</v>
      </c>
      <c r="G2647" t="s">
        <v>5325</v>
      </c>
      <c r="H2647" t="s">
        <v>5597</v>
      </c>
      <c r="I2647" t="s">
        <v>5359</v>
      </c>
      <c r="J2647" t="s">
        <v>5598</v>
      </c>
      <c r="L2647" t="s">
        <v>5326</v>
      </c>
    </row>
    <row r="2648" spans="1:12" x14ac:dyDescent="0.2">
      <c r="A2648" t="s">
        <v>1767</v>
      </c>
      <c r="B2648" t="s">
        <v>1769</v>
      </c>
      <c r="C2648" t="s">
        <v>5324</v>
      </c>
      <c r="D2648">
        <v>4</v>
      </c>
      <c r="E2648">
        <v>20.399999999999999</v>
      </c>
      <c r="F2648">
        <v>20.399999999999999</v>
      </c>
      <c r="G2648" t="s">
        <v>5325</v>
      </c>
      <c r="H2648" t="s">
        <v>5599</v>
      </c>
      <c r="I2648" t="s">
        <v>5359</v>
      </c>
      <c r="J2648" t="s">
        <v>5600</v>
      </c>
      <c r="L2648" t="s">
        <v>5326</v>
      </c>
    </row>
    <row r="2649" spans="1:12" x14ac:dyDescent="0.2">
      <c r="A2649" t="s">
        <v>1767</v>
      </c>
      <c r="B2649" t="s">
        <v>1769</v>
      </c>
      <c r="C2649" t="s">
        <v>5324</v>
      </c>
      <c r="D2649">
        <v>4</v>
      </c>
      <c r="E2649">
        <v>4003.72</v>
      </c>
      <c r="F2649">
        <v>4003.72</v>
      </c>
      <c r="G2649" t="s">
        <v>5325</v>
      </c>
      <c r="H2649" t="s">
        <v>5601</v>
      </c>
      <c r="I2649" t="s">
        <v>5359</v>
      </c>
      <c r="J2649" t="s">
        <v>5602</v>
      </c>
      <c r="L2649" t="s">
        <v>5326</v>
      </c>
    </row>
    <row r="2650" spans="1:12" x14ac:dyDescent="0.2">
      <c r="A2650" t="s">
        <v>1767</v>
      </c>
      <c r="B2650" t="s">
        <v>1769</v>
      </c>
      <c r="C2650" t="s">
        <v>5324</v>
      </c>
      <c r="D2650">
        <v>4</v>
      </c>
      <c r="E2650">
        <v>50.22</v>
      </c>
      <c r="F2650">
        <v>50.22</v>
      </c>
      <c r="G2650" t="s">
        <v>5325</v>
      </c>
      <c r="H2650" t="s">
        <v>5603</v>
      </c>
      <c r="I2650" t="s">
        <v>5359</v>
      </c>
      <c r="J2650" t="s">
        <v>5604</v>
      </c>
      <c r="L2650" t="s">
        <v>5326</v>
      </c>
    </row>
    <row r="2651" spans="1:12" x14ac:dyDescent="0.2">
      <c r="A2651" t="s">
        <v>1767</v>
      </c>
      <c r="B2651" t="s">
        <v>1769</v>
      </c>
      <c r="C2651" t="s">
        <v>5324</v>
      </c>
      <c r="D2651">
        <v>4</v>
      </c>
      <c r="E2651">
        <v>8.11</v>
      </c>
      <c r="F2651">
        <v>8.11</v>
      </c>
      <c r="G2651" t="s">
        <v>5325</v>
      </c>
      <c r="H2651" t="s">
        <v>5605</v>
      </c>
      <c r="I2651" t="s">
        <v>5359</v>
      </c>
      <c r="J2651" t="s">
        <v>5606</v>
      </c>
      <c r="L2651" t="s">
        <v>5326</v>
      </c>
    </row>
    <row r="2652" spans="1:12" x14ac:dyDescent="0.2">
      <c r="A2652" t="s">
        <v>1767</v>
      </c>
      <c r="B2652" t="s">
        <v>1769</v>
      </c>
      <c r="C2652" t="s">
        <v>5324</v>
      </c>
      <c r="D2652">
        <v>4</v>
      </c>
      <c r="E2652">
        <v>4.4400000000000004</v>
      </c>
      <c r="F2652">
        <v>4.4400000000000004</v>
      </c>
      <c r="G2652" t="s">
        <v>5325</v>
      </c>
      <c r="H2652" t="s">
        <v>5607</v>
      </c>
      <c r="I2652" t="s">
        <v>5359</v>
      </c>
      <c r="J2652" t="s">
        <v>5608</v>
      </c>
      <c r="L2652" t="s">
        <v>5326</v>
      </c>
    </row>
    <row r="2653" spans="1:12" x14ac:dyDescent="0.2">
      <c r="A2653" t="s">
        <v>1767</v>
      </c>
      <c r="B2653" t="s">
        <v>1769</v>
      </c>
      <c r="C2653" t="s">
        <v>5324</v>
      </c>
      <c r="D2653">
        <v>4</v>
      </c>
      <c r="E2653">
        <v>32.89</v>
      </c>
      <c r="F2653">
        <v>32.89</v>
      </c>
      <c r="G2653" t="s">
        <v>5325</v>
      </c>
      <c r="H2653" t="s">
        <v>5609</v>
      </c>
      <c r="I2653" t="s">
        <v>5359</v>
      </c>
      <c r="J2653" t="s">
        <v>5610</v>
      </c>
      <c r="L2653" t="s">
        <v>5326</v>
      </c>
    </row>
    <row r="2654" spans="1:12" x14ac:dyDescent="0.2">
      <c r="A2654" t="s">
        <v>1767</v>
      </c>
      <c r="B2654" t="s">
        <v>1769</v>
      </c>
      <c r="C2654" t="s">
        <v>5324</v>
      </c>
      <c r="D2654">
        <v>4</v>
      </c>
      <c r="E2654">
        <v>13</v>
      </c>
      <c r="F2654">
        <v>13</v>
      </c>
      <c r="G2654" t="s">
        <v>5325</v>
      </c>
      <c r="H2654" t="s">
        <v>5611</v>
      </c>
      <c r="I2654" t="s">
        <v>5359</v>
      </c>
      <c r="J2654" t="s">
        <v>5612</v>
      </c>
      <c r="L2654" t="s">
        <v>5326</v>
      </c>
    </row>
    <row r="2655" spans="1:12" x14ac:dyDescent="0.2">
      <c r="A2655" t="s">
        <v>1767</v>
      </c>
      <c r="B2655" t="s">
        <v>1769</v>
      </c>
      <c r="C2655" t="s">
        <v>5324</v>
      </c>
      <c r="D2655">
        <v>4</v>
      </c>
      <c r="E2655">
        <v>9.9</v>
      </c>
      <c r="F2655">
        <v>9.9</v>
      </c>
      <c r="G2655" t="s">
        <v>5325</v>
      </c>
      <c r="H2655" t="s">
        <v>5613</v>
      </c>
      <c r="I2655" t="s">
        <v>5359</v>
      </c>
      <c r="J2655" t="s">
        <v>5614</v>
      </c>
      <c r="L2655" t="s">
        <v>5326</v>
      </c>
    </row>
    <row r="2656" spans="1:12" x14ac:dyDescent="0.2">
      <c r="A2656" t="s">
        <v>1767</v>
      </c>
      <c r="B2656" t="s">
        <v>1769</v>
      </c>
      <c r="C2656" t="s">
        <v>5324</v>
      </c>
      <c r="D2656">
        <v>4</v>
      </c>
      <c r="E2656">
        <v>0.55000000000000004</v>
      </c>
      <c r="F2656">
        <v>0.55000000000000004</v>
      </c>
      <c r="G2656" t="s">
        <v>5325</v>
      </c>
      <c r="H2656" t="s">
        <v>5615</v>
      </c>
      <c r="I2656" t="s">
        <v>5359</v>
      </c>
      <c r="J2656" t="s">
        <v>5616</v>
      </c>
      <c r="L2656" t="s">
        <v>5326</v>
      </c>
    </row>
    <row r="2657" spans="1:12" x14ac:dyDescent="0.2">
      <c r="A2657" t="s">
        <v>1767</v>
      </c>
      <c r="B2657" t="s">
        <v>1769</v>
      </c>
      <c r="C2657" t="s">
        <v>5324</v>
      </c>
      <c r="D2657">
        <v>4</v>
      </c>
      <c r="E2657">
        <v>4.2699999999999996</v>
      </c>
      <c r="F2657">
        <v>4.2699999999999996</v>
      </c>
      <c r="G2657" t="s">
        <v>5325</v>
      </c>
      <c r="H2657" t="s">
        <v>5447</v>
      </c>
      <c r="I2657" t="s">
        <v>5359</v>
      </c>
      <c r="J2657" t="s">
        <v>4682</v>
      </c>
      <c r="L2657" t="s">
        <v>5326</v>
      </c>
    </row>
    <row r="2658" spans="1:12" x14ac:dyDescent="0.2">
      <c r="A2658" t="s">
        <v>1767</v>
      </c>
      <c r="B2658" t="s">
        <v>1769</v>
      </c>
      <c r="C2658" t="s">
        <v>5324</v>
      </c>
      <c r="D2658">
        <v>4</v>
      </c>
      <c r="E2658">
        <v>73.680000000000007</v>
      </c>
      <c r="F2658">
        <v>73.680000000000007</v>
      </c>
      <c r="G2658" t="s">
        <v>5325</v>
      </c>
      <c r="H2658" t="s">
        <v>5617</v>
      </c>
      <c r="I2658" t="s">
        <v>5359</v>
      </c>
      <c r="J2658" t="s">
        <v>5618</v>
      </c>
      <c r="L2658" t="s">
        <v>5326</v>
      </c>
    </row>
    <row r="2659" spans="1:12" x14ac:dyDescent="0.2">
      <c r="A2659" t="s">
        <v>1767</v>
      </c>
      <c r="B2659" t="s">
        <v>1769</v>
      </c>
      <c r="C2659" t="s">
        <v>5324</v>
      </c>
      <c r="D2659">
        <v>4</v>
      </c>
      <c r="E2659">
        <v>54.54</v>
      </c>
      <c r="F2659">
        <v>54.54</v>
      </c>
      <c r="G2659" t="s">
        <v>5325</v>
      </c>
      <c r="H2659" t="s">
        <v>5619</v>
      </c>
      <c r="I2659" t="s">
        <v>5359</v>
      </c>
      <c r="J2659" t="s">
        <v>5620</v>
      </c>
      <c r="L2659" t="s">
        <v>5326</v>
      </c>
    </row>
    <row r="2660" spans="1:12" x14ac:dyDescent="0.2">
      <c r="A2660" t="s">
        <v>1767</v>
      </c>
      <c r="B2660" t="s">
        <v>1769</v>
      </c>
      <c r="C2660" t="s">
        <v>5324</v>
      </c>
      <c r="D2660">
        <v>4</v>
      </c>
      <c r="E2660">
        <v>5.6</v>
      </c>
      <c r="F2660">
        <v>5.6</v>
      </c>
      <c r="G2660" t="s">
        <v>5325</v>
      </c>
      <c r="H2660" t="s">
        <v>5621</v>
      </c>
      <c r="I2660" t="s">
        <v>5359</v>
      </c>
      <c r="J2660" t="s">
        <v>5622</v>
      </c>
      <c r="L2660" t="s">
        <v>5326</v>
      </c>
    </row>
    <row r="2661" spans="1:12" x14ac:dyDescent="0.2">
      <c r="A2661" t="s">
        <v>1767</v>
      </c>
      <c r="B2661" t="s">
        <v>1769</v>
      </c>
      <c r="C2661" t="s">
        <v>5324</v>
      </c>
      <c r="D2661">
        <v>4</v>
      </c>
      <c r="E2661">
        <v>7</v>
      </c>
      <c r="F2661">
        <v>7</v>
      </c>
      <c r="G2661" t="s">
        <v>5325</v>
      </c>
      <c r="H2661" t="s">
        <v>5623</v>
      </c>
      <c r="I2661" t="s">
        <v>5359</v>
      </c>
      <c r="J2661" t="s">
        <v>5624</v>
      </c>
      <c r="L2661" t="s">
        <v>5326</v>
      </c>
    </row>
    <row r="2662" spans="1:12" x14ac:dyDescent="0.2">
      <c r="A2662" t="s">
        <v>1767</v>
      </c>
      <c r="B2662" t="s">
        <v>1769</v>
      </c>
      <c r="C2662" t="s">
        <v>5324</v>
      </c>
      <c r="D2662">
        <v>4</v>
      </c>
      <c r="E2662">
        <v>1.4</v>
      </c>
      <c r="F2662">
        <v>1.4</v>
      </c>
      <c r="G2662" t="s">
        <v>5325</v>
      </c>
      <c r="H2662" t="s">
        <v>5625</v>
      </c>
      <c r="I2662" t="s">
        <v>5359</v>
      </c>
      <c r="J2662" t="s">
        <v>5626</v>
      </c>
      <c r="L2662" t="s">
        <v>5326</v>
      </c>
    </row>
    <row r="2663" spans="1:12" x14ac:dyDescent="0.2">
      <c r="A2663" t="s">
        <v>1767</v>
      </c>
      <c r="B2663" t="s">
        <v>1769</v>
      </c>
      <c r="C2663" t="s">
        <v>5324</v>
      </c>
      <c r="D2663">
        <v>4</v>
      </c>
      <c r="E2663">
        <v>0</v>
      </c>
      <c r="F2663">
        <v>0</v>
      </c>
      <c r="G2663" t="s">
        <v>5325</v>
      </c>
      <c r="H2663" t="s">
        <v>5329</v>
      </c>
      <c r="I2663" t="s">
        <v>5359</v>
      </c>
      <c r="J2663" t="s">
        <v>5627</v>
      </c>
      <c r="L2663" t="s">
        <v>5326</v>
      </c>
    </row>
    <row r="2664" spans="1:12" x14ac:dyDescent="0.2">
      <c r="A2664" t="s">
        <v>1767</v>
      </c>
      <c r="B2664" t="s">
        <v>1769</v>
      </c>
      <c r="C2664" t="s">
        <v>5324</v>
      </c>
      <c r="D2664">
        <v>4</v>
      </c>
      <c r="E2664">
        <v>6.6</v>
      </c>
      <c r="F2664">
        <v>6.6</v>
      </c>
      <c r="G2664" t="s">
        <v>5325</v>
      </c>
      <c r="H2664" t="s">
        <v>5628</v>
      </c>
      <c r="I2664" t="s">
        <v>5359</v>
      </c>
      <c r="J2664" t="s">
        <v>5629</v>
      </c>
      <c r="L2664" t="s">
        <v>5326</v>
      </c>
    </row>
    <row r="2665" spans="1:12" x14ac:dyDescent="0.2">
      <c r="A2665" t="s">
        <v>1767</v>
      </c>
      <c r="B2665" t="s">
        <v>1769</v>
      </c>
      <c r="C2665" t="s">
        <v>5324</v>
      </c>
      <c r="D2665">
        <v>4</v>
      </c>
      <c r="E2665">
        <v>75</v>
      </c>
      <c r="F2665">
        <v>75</v>
      </c>
      <c r="G2665" t="s">
        <v>5325</v>
      </c>
      <c r="H2665" t="s">
        <v>5630</v>
      </c>
      <c r="I2665" t="s">
        <v>5359</v>
      </c>
      <c r="J2665" t="s">
        <v>5631</v>
      </c>
      <c r="L2665" t="s">
        <v>5326</v>
      </c>
    </row>
    <row r="2666" spans="1:12" x14ac:dyDescent="0.2">
      <c r="A2666" t="s">
        <v>1767</v>
      </c>
      <c r="B2666" t="s">
        <v>1769</v>
      </c>
      <c r="C2666" t="s">
        <v>5324</v>
      </c>
      <c r="D2666">
        <v>4</v>
      </c>
      <c r="E2666">
        <v>54.54</v>
      </c>
      <c r="F2666">
        <v>54.54</v>
      </c>
      <c r="G2666" t="s">
        <v>5325</v>
      </c>
      <c r="H2666" t="s">
        <v>5619</v>
      </c>
      <c r="I2666" t="s">
        <v>5359</v>
      </c>
      <c r="J2666" t="s">
        <v>5620</v>
      </c>
      <c r="L2666" t="s">
        <v>5326</v>
      </c>
    </row>
    <row r="2667" spans="1:12" x14ac:dyDescent="0.2">
      <c r="A2667" t="s">
        <v>1767</v>
      </c>
      <c r="B2667" t="s">
        <v>1769</v>
      </c>
      <c r="C2667" t="s">
        <v>5324</v>
      </c>
      <c r="D2667">
        <v>4</v>
      </c>
      <c r="E2667">
        <v>4976.01</v>
      </c>
      <c r="F2667">
        <v>4976.01</v>
      </c>
      <c r="G2667" t="s">
        <v>5325</v>
      </c>
      <c r="H2667" t="s">
        <v>5632</v>
      </c>
      <c r="I2667" t="s">
        <v>5359</v>
      </c>
      <c r="J2667" t="s">
        <v>5633</v>
      </c>
      <c r="L2667" t="s">
        <v>5326</v>
      </c>
    </row>
    <row r="2668" spans="1:12" x14ac:dyDescent="0.2">
      <c r="A2668" t="s">
        <v>1767</v>
      </c>
      <c r="B2668" t="s">
        <v>1769</v>
      </c>
      <c r="C2668" t="s">
        <v>5324</v>
      </c>
      <c r="D2668">
        <v>4</v>
      </c>
      <c r="E2668">
        <v>3664.2</v>
      </c>
      <c r="F2668">
        <v>3664.2</v>
      </c>
      <c r="G2668" t="s">
        <v>5325</v>
      </c>
      <c r="H2668" t="s">
        <v>5634</v>
      </c>
      <c r="I2668" t="s">
        <v>5359</v>
      </c>
      <c r="J2668" t="s">
        <v>5635</v>
      </c>
      <c r="L2668" t="s">
        <v>5326</v>
      </c>
    </row>
    <row r="2669" spans="1:12" x14ac:dyDescent="0.2">
      <c r="A2669" t="s">
        <v>1767</v>
      </c>
      <c r="B2669" t="s">
        <v>1769</v>
      </c>
      <c r="C2669" t="s">
        <v>5324</v>
      </c>
      <c r="D2669">
        <v>4</v>
      </c>
      <c r="E2669">
        <v>459.9</v>
      </c>
      <c r="F2669">
        <v>459.9</v>
      </c>
      <c r="G2669" t="s">
        <v>5325</v>
      </c>
      <c r="H2669" t="s">
        <v>5636</v>
      </c>
      <c r="I2669" t="s">
        <v>5359</v>
      </c>
      <c r="J2669" t="s">
        <v>5637</v>
      </c>
      <c r="L2669" t="s">
        <v>5326</v>
      </c>
    </row>
    <row r="2670" spans="1:12" x14ac:dyDescent="0.2">
      <c r="A2670" t="s">
        <v>1767</v>
      </c>
      <c r="B2670" t="s">
        <v>1769</v>
      </c>
      <c r="C2670" t="s">
        <v>5324</v>
      </c>
      <c r="D2670">
        <v>4</v>
      </c>
      <c r="E2670">
        <v>4072.2</v>
      </c>
      <c r="F2670">
        <v>4072.2</v>
      </c>
      <c r="G2670" t="s">
        <v>5325</v>
      </c>
      <c r="H2670" t="s">
        <v>5638</v>
      </c>
      <c r="I2670" t="s">
        <v>5359</v>
      </c>
      <c r="J2670" t="s">
        <v>5639</v>
      </c>
      <c r="L2670" t="s">
        <v>5326</v>
      </c>
    </row>
    <row r="2671" spans="1:12" x14ac:dyDescent="0.2">
      <c r="A2671" t="s">
        <v>1767</v>
      </c>
      <c r="B2671" t="s">
        <v>1769</v>
      </c>
      <c r="C2671" t="s">
        <v>5324</v>
      </c>
      <c r="D2671">
        <v>4</v>
      </c>
      <c r="E2671">
        <v>905.84</v>
      </c>
      <c r="F2671">
        <v>905.84</v>
      </c>
      <c r="G2671" t="s">
        <v>5325</v>
      </c>
      <c r="H2671" t="s">
        <v>5640</v>
      </c>
      <c r="I2671" t="s">
        <v>5359</v>
      </c>
      <c r="J2671" t="s">
        <v>5641</v>
      </c>
      <c r="L2671" t="s">
        <v>5326</v>
      </c>
    </row>
    <row r="2672" spans="1:12" x14ac:dyDescent="0.2">
      <c r="A2672" t="s">
        <v>1767</v>
      </c>
      <c r="B2672" t="s">
        <v>1769</v>
      </c>
      <c r="C2672" t="s">
        <v>5324</v>
      </c>
      <c r="D2672">
        <v>4</v>
      </c>
      <c r="E2672">
        <v>136</v>
      </c>
      <c r="F2672">
        <v>136</v>
      </c>
      <c r="G2672" t="s">
        <v>5325</v>
      </c>
      <c r="H2672" t="s">
        <v>5642</v>
      </c>
      <c r="I2672" t="s">
        <v>5359</v>
      </c>
      <c r="J2672" t="s">
        <v>5643</v>
      </c>
      <c r="L2672" t="s">
        <v>5326</v>
      </c>
    </row>
    <row r="2673" spans="1:12" x14ac:dyDescent="0.2">
      <c r="A2673" t="s">
        <v>1767</v>
      </c>
      <c r="B2673" t="s">
        <v>1769</v>
      </c>
      <c r="C2673" t="s">
        <v>5324</v>
      </c>
      <c r="D2673">
        <v>4</v>
      </c>
      <c r="E2673">
        <v>124.07</v>
      </c>
      <c r="F2673">
        <v>124.07</v>
      </c>
      <c r="G2673" t="s">
        <v>5325</v>
      </c>
      <c r="H2673" t="s">
        <v>5644</v>
      </c>
      <c r="I2673" t="s">
        <v>5359</v>
      </c>
      <c r="J2673" t="s">
        <v>5645</v>
      </c>
      <c r="L2673" t="s">
        <v>5326</v>
      </c>
    </row>
    <row r="2674" spans="1:12" x14ac:dyDescent="0.2">
      <c r="A2674" t="s">
        <v>1767</v>
      </c>
      <c r="B2674" t="s">
        <v>1769</v>
      </c>
      <c r="C2674" t="s">
        <v>5324</v>
      </c>
      <c r="D2674">
        <v>4</v>
      </c>
      <c r="E2674">
        <v>875.61</v>
      </c>
      <c r="F2674">
        <v>875.61</v>
      </c>
      <c r="G2674" t="s">
        <v>5325</v>
      </c>
      <c r="H2674" t="s">
        <v>5646</v>
      </c>
      <c r="I2674" t="s">
        <v>5359</v>
      </c>
      <c r="J2674" t="s">
        <v>5647</v>
      </c>
      <c r="L2674" t="s">
        <v>5326</v>
      </c>
    </row>
    <row r="2675" spans="1:12" x14ac:dyDescent="0.2">
      <c r="A2675" t="s">
        <v>1767</v>
      </c>
      <c r="B2675" t="s">
        <v>1769</v>
      </c>
      <c r="C2675" t="s">
        <v>5324</v>
      </c>
      <c r="D2675">
        <v>4</v>
      </c>
      <c r="E2675">
        <v>161</v>
      </c>
      <c r="F2675">
        <v>161</v>
      </c>
      <c r="G2675" t="s">
        <v>5325</v>
      </c>
      <c r="H2675" t="s">
        <v>5648</v>
      </c>
      <c r="I2675" t="s">
        <v>5359</v>
      </c>
      <c r="J2675" t="s">
        <v>5649</v>
      </c>
      <c r="L2675" t="s">
        <v>5326</v>
      </c>
    </row>
    <row r="2676" spans="1:12" x14ac:dyDescent="0.2">
      <c r="A2676" t="s">
        <v>1767</v>
      </c>
      <c r="B2676" t="s">
        <v>1769</v>
      </c>
      <c r="C2676" t="s">
        <v>5324</v>
      </c>
      <c r="D2676">
        <v>4</v>
      </c>
      <c r="E2676">
        <v>194.35</v>
      </c>
      <c r="F2676">
        <v>194.35</v>
      </c>
      <c r="G2676" t="s">
        <v>5325</v>
      </c>
      <c r="H2676" t="s">
        <v>5650</v>
      </c>
      <c r="I2676" t="s">
        <v>5359</v>
      </c>
      <c r="J2676" t="s">
        <v>5651</v>
      </c>
      <c r="L2676" t="s">
        <v>5326</v>
      </c>
    </row>
    <row r="2677" spans="1:12" x14ac:dyDescent="0.2">
      <c r="A2677" t="s">
        <v>1767</v>
      </c>
      <c r="B2677" t="s">
        <v>1769</v>
      </c>
      <c r="C2677" t="s">
        <v>5324</v>
      </c>
      <c r="D2677">
        <v>4</v>
      </c>
      <c r="E2677">
        <v>318.01</v>
      </c>
      <c r="F2677">
        <v>318.01</v>
      </c>
      <c r="G2677" t="s">
        <v>5325</v>
      </c>
      <c r="H2677" t="s">
        <v>5652</v>
      </c>
      <c r="I2677" t="s">
        <v>5359</v>
      </c>
      <c r="J2677" t="s">
        <v>5653</v>
      </c>
      <c r="L2677" t="s">
        <v>5326</v>
      </c>
    </row>
    <row r="2678" spans="1:12" x14ac:dyDescent="0.2">
      <c r="A2678" t="s">
        <v>1767</v>
      </c>
      <c r="B2678" t="s">
        <v>1769</v>
      </c>
      <c r="C2678" t="s">
        <v>5324</v>
      </c>
      <c r="D2678">
        <v>4</v>
      </c>
      <c r="E2678">
        <v>3856</v>
      </c>
      <c r="F2678">
        <v>3856</v>
      </c>
      <c r="G2678" t="s">
        <v>5325</v>
      </c>
      <c r="H2678" t="s">
        <v>5654</v>
      </c>
      <c r="I2678" t="s">
        <v>5359</v>
      </c>
      <c r="J2678" t="s">
        <v>5655</v>
      </c>
      <c r="L2678" t="s">
        <v>5326</v>
      </c>
    </row>
    <row r="2679" spans="1:12" x14ac:dyDescent="0.2">
      <c r="A2679" t="s">
        <v>1767</v>
      </c>
      <c r="B2679" t="s">
        <v>1769</v>
      </c>
      <c r="C2679" t="s">
        <v>5324</v>
      </c>
      <c r="D2679">
        <v>4</v>
      </c>
      <c r="E2679">
        <v>14.4</v>
      </c>
      <c r="F2679">
        <v>14.4</v>
      </c>
      <c r="G2679" t="s">
        <v>5325</v>
      </c>
      <c r="H2679" t="s">
        <v>5459</v>
      </c>
      <c r="I2679" t="s">
        <v>5359</v>
      </c>
      <c r="J2679" t="s">
        <v>5656</v>
      </c>
      <c r="L2679" t="s">
        <v>5326</v>
      </c>
    </row>
    <row r="2680" spans="1:12" x14ac:dyDescent="0.2">
      <c r="A2680" t="s">
        <v>1767</v>
      </c>
      <c r="B2680" t="s">
        <v>1769</v>
      </c>
      <c r="C2680" t="s">
        <v>5324</v>
      </c>
      <c r="D2680">
        <v>4</v>
      </c>
      <c r="E2680">
        <v>15.45</v>
      </c>
      <c r="F2680">
        <v>15.45</v>
      </c>
      <c r="G2680" t="s">
        <v>5325</v>
      </c>
      <c r="H2680" t="s">
        <v>5657</v>
      </c>
      <c r="I2680" t="s">
        <v>5359</v>
      </c>
      <c r="J2680" t="s">
        <v>4408</v>
      </c>
      <c r="L2680" t="s">
        <v>5326</v>
      </c>
    </row>
    <row r="2681" spans="1:12" x14ac:dyDescent="0.2">
      <c r="A2681" t="s">
        <v>1767</v>
      </c>
      <c r="B2681" t="s">
        <v>1769</v>
      </c>
      <c r="C2681" t="s">
        <v>5324</v>
      </c>
      <c r="D2681">
        <v>4</v>
      </c>
      <c r="E2681">
        <v>108.15</v>
      </c>
      <c r="F2681">
        <v>108.15</v>
      </c>
      <c r="G2681" t="s">
        <v>5325</v>
      </c>
      <c r="H2681" t="s">
        <v>5658</v>
      </c>
      <c r="I2681" t="s">
        <v>5359</v>
      </c>
      <c r="J2681" t="s">
        <v>4410</v>
      </c>
      <c r="L2681" t="s">
        <v>5326</v>
      </c>
    </row>
    <row r="2682" spans="1:12" x14ac:dyDescent="0.2">
      <c r="A2682" t="s">
        <v>1767</v>
      </c>
      <c r="B2682" t="s">
        <v>1769</v>
      </c>
      <c r="C2682" t="s">
        <v>5324</v>
      </c>
      <c r="D2682">
        <v>4</v>
      </c>
      <c r="E2682">
        <v>100.5</v>
      </c>
      <c r="F2682">
        <v>100.5</v>
      </c>
      <c r="G2682" t="s">
        <v>5325</v>
      </c>
      <c r="H2682" t="s">
        <v>5336</v>
      </c>
      <c r="I2682" t="s">
        <v>5359</v>
      </c>
      <c r="J2682" t="s">
        <v>5659</v>
      </c>
      <c r="L2682" t="s">
        <v>5326</v>
      </c>
    </row>
    <row r="2683" spans="1:12" x14ac:dyDescent="0.2">
      <c r="A2683" t="s">
        <v>1767</v>
      </c>
      <c r="B2683" t="s">
        <v>1769</v>
      </c>
      <c r="C2683" t="s">
        <v>5324</v>
      </c>
      <c r="D2683">
        <v>4</v>
      </c>
      <c r="E2683">
        <v>97.2</v>
      </c>
      <c r="F2683">
        <v>97.2</v>
      </c>
      <c r="G2683" t="s">
        <v>5325</v>
      </c>
      <c r="H2683" t="s">
        <v>5660</v>
      </c>
      <c r="I2683" t="s">
        <v>5359</v>
      </c>
      <c r="J2683" t="s">
        <v>5661</v>
      </c>
      <c r="L2683" t="s">
        <v>5326</v>
      </c>
    </row>
    <row r="2684" spans="1:12" x14ac:dyDescent="0.2">
      <c r="A2684" t="s">
        <v>1767</v>
      </c>
      <c r="B2684" t="s">
        <v>1769</v>
      </c>
      <c r="C2684" t="s">
        <v>5324</v>
      </c>
      <c r="D2684">
        <v>4</v>
      </c>
      <c r="E2684">
        <v>1687</v>
      </c>
      <c r="F2684">
        <v>1687</v>
      </c>
      <c r="G2684" t="s">
        <v>5325</v>
      </c>
      <c r="H2684" t="s">
        <v>5662</v>
      </c>
      <c r="I2684" t="s">
        <v>5359</v>
      </c>
      <c r="J2684" t="s">
        <v>5663</v>
      </c>
      <c r="L2684" t="s">
        <v>5326</v>
      </c>
    </row>
    <row r="2685" spans="1:12" x14ac:dyDescent="0.2">
      <c r="A2685" t="s">
        <v>1767</v>
      </c>
      <c r="B2685" t="s">
        <v>1769</v>
      </c>
      <c r="C2685" t="s">
        <v>5324</v>
      </c>
      <c r="D2685">
        <v>4</v>
      </c>
      <c r="E2685">
        <v>57.6</v>
      </c>
      <c r="F2685">
        <v>57.6</v>
      </c>
      <c r="G2685" t="s">
        <v>5325</v>
      </c>
      <c r="H2685" t="s">
        <v>5664</v>
      </c>
      <c r="I2685" t="s">
        <v>5359</v>
      </c>
      <c r="J2685" t="s">
        <v>5665</v>
      </c>
      <c r="L2685" t="s">
        <v>5326</v>
      </c>
    </row>
    <row r="2686" spans="1:12" x14ac:dyDescent="0.2">
      <c r="A2686" t="s">
        <v>1767</v>
      </c>
      <c r="B2686" t="s">
        <v>1769</v>
      </c>
      <c r="C2686" t="s">
        <v>5324</v>
      </c>
      <c r="D2686">
        <v>4</v>
      </c>
      <c r="E2686">
        <v>571.14</v>
      </c>
      <c r="F2686">
        <v>571.14</v>
      </c>
      <c r="G2686" t="s">
        <v>5325</v>
      </c>
      <c r="H2686" t="s">
        <v>5666</v>
      </c>
      <c r="I2686" t="s">
        <v>5359</v>
      </c>
      <c r="J2686" t="s">
        <v>5667</v>
      </c>
      <c r="L2686" t="s">
        <v>5326</v>
      </c>
    </row>
    <row r="2687" spans="1:12" x14ac:dyDescent="0.2">
      <c r="A2687" t="s">
        <v>1767</v>
      </c>
      <c r="B2687" t="s">
        <v>1769</v>
      </c>
      <c r="C2687" t="s">
        <v>5324</v>
      </c>
      <c r="D2687">
        <v>4</v>
      </c>
      <c r="E2687">
        <v>4.38</v>
      </c>
      <c r="F2687">
        <v>4.38</v>
      </c>
      <c r="G2687" t="s">
        <v>5325</v>
      </c>
      <c r="H2687" t="s">
        <v>5668</v>
      </c>
      <c r="I2687" t="s">
        <v>5359</v>
      </c>
      <c r="J2687" t="s">
        <v>5669</v>
      </c>
      <c r="L2687" t="s">
        <v>5326</v>
      </c>
    </row>
    <row r="2688" spans="1:12" x14ac:dyDescent="0.2">
      <c r="A2688" t="s">
        <v>1767</v>
      </c>
      <c r="B2688" t="s">
        <v>1769</v>
      </c>
      <c r="C2688" t="s">
        <v>5324</v>
      </c>
      <c r="D2688">
        <v>4</v>
      </c>
      <c r="E2688">
        <v>139.5</v>
      </c>
      <c r="F2688">
        <v>139.5</v>
      </c>
      <c r="G2688" t="s">
        <v>5325</v>
      </c>
      <c r="H2688" t="s">
        <v>5670</v>
      </c>
      <c r="I2688" t="s">
        <v>5359</v>
      </c>
      <c r="J2688" t="s">
        <v>5671</v>
      </c>
      <c r="L2688" t="s">
        <v>5326</v>
      </c>
    </row>
    <row r="2689" spans="1:12" x14ac:dyDescent="0.2">
      <c r="A2689" t="s">
        <v>1767</v>
      </c>
      <c r="B2689" t="s">
        <v>1769</v>
      </c>
      <c r="C2689" t="s">
        <v>5324</v>
      </c>
      <c r="D2689">
        <v>4</v>
      </c>
      <c r="E2689">
        <v>1.8</v>
      </c>
      <c r="F2689">
        <v>1.8</v>
      </c>
      <c r="G2689" t="s">
        <v>5325</v>
      </c>
      <c r="H2689" t="s">
        <v>5672</v>
      </c>
      <c r="I2689" t="s">
        <v>5359</v>
      </c>
      <c r="J2689" t="s">
        <v>3484</v>
      </c>
      <c r="L2689" t="s">
        <v>5326</v>
      </c>
    </row>
    <row r="2690" spans="1:12" x14ac:dyDescent="0.2">
      <c r="A2690" t="s">
        <v>1767</v>
      </c>
      <c r="B2690" t="s">
        <v>1769</v>
      </c>
      <c r="C2690" t="s">
        <v>5324</v>
      </c>
      <c r="D2690">
        <v>4</v>
      </c>
      <c r="E2690">
        <v>1.1000000000000001</v>
      </c>
      <c r="F2690">
        <v>1.1000000000000001</v>
      </c>
      <c r="G2690" t="s">
        <v>5325</v>
      </c>
      <c r="H2690" t="s">
        <v>5673</v>
      </c>
      <c r="I2690" t="s">
        <v>5359</v>
      </c>
      <c r="J2690" t="s">
        <v>5674</v>
      </c>
      <c r="L2690" t="s">
        <v>5326</v>
      </c>
    </row>
    <row r="2691" spans="1:12" x14ac:dyDescent="0.2">
      <c r="A2691" t="s">
        <v>1767</v>
      </c>
      <c r="B2691" t="s">
        <v>1769</v>
      </c>
      <c r="C2691" t="s">
        <v>5324</v>
      </c>
      <c r="D2691">
        <v>4</v>
      </c>
      <c r="E2691">
        <v>17.53</v>
      </c>
      <c r="F2691">
        <v>17.53</v>
      </c>
      <c r="G2691" t="s">
        <v>5325</v>
      </c>
      <c r="H2691" t="s">
        <v>5675</v>
      </c>
      <c r="I2691" t="s">
        <v>5359</v>
      </c>
      <c r="J2691" t="s">
        <v>5676</v>
      </c>
      <c r="L2691" t="s">
        <v>5326</v>
      </c>
    </row>
    <row r="2692" spans="1:12" x14ac:dyDescent="0.2">
      <c r="A2692" t="s">
        <v>1767</v>
      </c>
      <c r="B2692" t="s">
        <v>1769</v>
      </c>
      <c r="C2692" t="s">
        <v>5324</v>
      </c>
      <c r="D2692">
        <v>4</v>
      </c>
      <c r="E2692">
        <v>2.72</v>
      </c>
      <c r="F2692">
        <v>2.72</v>
      </c>
      <c r="G2692" t="s">
        <v>5325</v>
      </c>
      <c r="H2692" t="s">
        <v>5677</v>
      </c>
      <c r="I2692" t="s">
        <v>5359</v>
      </c>
      <c r="J2692" t="s">
        <v>5678</v>
      </c>
      <c r="L2692" t="s">
        <v>5326</v>
      </c>
    </row>
    <row r="2693" spans="1:12" x14ac:dyDescent="0.2">
      <c r="A2693" t="s">
        <v>1767</v>
      </c>
      <c r="B2693" t="s">
        <v>1769</v>
      </c>
      <c r="C2693" t="s">
        <v>5324</v>
      </c>
      <c r="D2693">
        <v>4</v>
      </c>
      <c r="E2693">
        <v>35.57</v>
      </c>
      <c r="F2693">
        <v>35.57</v>
      </c>
      <c r="G2693" t="s">
        <v>5325</v>
      </c>
      <c r="H2693" t="s">
        <v>5679</v>
      </c>
      <c r="I2693" t="s">
        <v>5359</v>
      </c>
      <c r="J2693" t="s">
        <v>5680</v>
      </c>
      <c r="L2693" t="s">
        <v>5326</v>
      </c>
    </row>
    <row r="2694" spans="1:12" x14ac:dyDescent="0.2">
      <c r="A2694" t="s">
        <v>1767</v>
      </c>
      <c r="B2694" t="s">
        <v>1769</v>
      </c>
      <c r="C2694" t="s">
        <v>5324</v>
      </c>
      <c r="D2694">
        <v>4</v>
      </c>
      <c r="E2694">
        <v>48</v>
      </c>
      <c r="F2694">
        <v>48</v>
      </c>
      <c r="G2694" t="s">
        <v>5325</v>
      </c>
      <c r="H2694" t="s">
        <v>5681</v>
      </c>
      <c r="I2694" t="s">
        <v>5359</v>
      </c>
      <c r="J2694" t="s">
        <v>5682</v>
      </c>
      <c r="L2694" t="s">
        <v>5326</v>
      </c>
    </row>
    <row r="2695" spans="1:12" x14ac:dyDescent="0.2">
      <c r="A2695" t="s">
        <v>1767</v>
      </c>
      <c r="B2695" t="s">
        <v>1769</v>
      </c>
      <c r="C2695" t="s">
        <v>5324</v>
      </c>
      <c r="D2695">
        <v>4</v>
      </c>
      <c r="E2695">
        <v>1.98</v>
      </c>
      <c r="F2695">
        <v>1.98</v>
      </c>
      <c r="G2695" t="s">
        <v>5325</v>
      </c>
      <c r="H2695" t="s">
        <v>5683</v>
      </c>
      <c r="I2695" t="s">
        <v>5359</v>
      </c>
      <c r="J2695" t="s">
        <v>5684</v>
      </c>
      <c r="L2695" t="s">
        <v>5326</v>
      </c>
    </row>
    <row r="2696" spans="1:12" x14ac:dyDescent="0.2">
      <c r="A2696" t="s">
        <v>1767</v>
      </c>
      <c r="B2696" t="s">
        <v>1769</v>
      </c>
      <c r="C2696" t="s">
        <v>5324</v>
      </c>
      <c r="D2696">
        <v>4</v>
      </c>
      <c r="E2696">
        <v>1.86</v>
      </c>
      <c r="F2696">
        <v>1.86</v>
      </c>
      <c r="G2696" t="s">
        <v>5325</v>
      </c>
      <c r="H2696" t="s">
        <v>5685</v>
      </c>
      <c r="I2696" t="s">
        <v>5359</v>
      </c>
      <c r="J2696" t="s">
        <v>5686</v>
      </c>
      <c r="L2696" t="s">
        <v>5326</v>
      </c>
    </row>
    <row r="2697" spans="1:12" x14ac:dyDescent="0.2">
      <c r="A2697" t="s">
        <v>1767</v>
      </c>
      <c r="B2697" t="s">
        <v>1769</v>
      </c>
      <c r="C2697" t="s">
        <v>5324</v>
      </c>
      <c r="D2697">
        <v>4</v>
      </c>
      <c r="E2697">
        <v>1.1200000000000001</v>
      </c>
      <c r="F2697">
        <v>1.1200000000000001</v>
      </c>
      <c r="G2697" t="s">
        <v>5325</v>
      </c>
      <c r="H2697" t="s">
        <v>5687</v>
      </c>
      <c r="I2697" t="s">
        <v>5359</v>
      </c>
      <c r="J2697" t="s">
        <v>5688</v>
      </c>
      <c r="L2697" t="s">
        <v>5326</v>
      </c>
    </row>
    <row r="2698" spans="1:12" x14ac:dyDescent="0.2">
      <c r="A2698" t="s">
        <v>1767</v>
      </c>
      <c r="B2698" t="s">
        <v>1769</v>
      </c>
      <c r="C2698" t="s">
        <v>5324</v>
      </c>
      <c r="D2698">
        <v>4</v>
      </c>
      <c r="E2698">
        <v>1.4</v>
      </c>
      <c r="F2698">
        <v>1.4</v>
      </c>
      <c r="G2698" t="s">
        <v>5325</v>
      </c>
      <c r="H2698" t="s">
        <v>5625</v>
      </c>
      <c r="I2698" t="s">
        <v>5359</v>
      </c>
      <c r="J2698" t="s">
        <v>5689</v>
      </c>
      <c r="L2698" t="s">
        <v>5326</v>
      </c>
    </row>
    <row r="2699" spans="1:12" x14ac:dyDescent="0.2">
      <c r="A2699" t="s">
        <v>1767</v>
      </c>
      <c r="B2699" t="s">
        <v>1769</v>
      </c>
      <c r="C2699" t="s">
        <v>5324</v>
      </c>
      <c r="D2699">
        <v>4</v>
      </c>
      <c r="E2699">
        <v>0.36</v>
      </c>
      <c r="F2699">
        <v>0.36</v>
      </c>
      <c r="G2699" t="s">
        <v>5325</v>
      </c>
      <c r="H2699" t="s">
        <v>5690</v>
      </c>
      <c r="I2699" t="s">
        <v>5359</v>
      </c>
      <c r="J2699" t="s">
        <v>5691</v>
      </c>
      <c r="L2699" t="s">
        <v>5326</v>
      </c>
    </row>
    <row r="2700" spans="1:12" x14ac:dyDescent="0.2">
      <c r="A2700" t="s">
        <v>1767</v>
      </c>
      <c r="B2700" t="s">
        <v>1769</v>
      </c>
      <c r="C2700" t="s">
        <v>5324</v>
      </c>
      <c r="D2700">
        <v>4</v>
      </c>
      <c r="E2700">
        <v>4.2699999999999996</v>
      </c>
      <c r="F2700">
        <v>4.2699999999999996</v>
      </c>
      <c r="G2700" t="s">
        <v>5325</v>
      </c>
      <c r="H2700" t="s">
        <v>5447</v>
      </c>
      <c r="I2700" t="s">
        <v>5359</v>
      </c>
      <c r="J2700" t="s">
        <v>4682</v>
      </c>
      <c r="L2700" t="s">
        <v>5326</v>
      </c>
    </row>
    <row r="2701" spans="1:12" x14ac:dyDescent="0.2">
      <c r="A2701" t="s">
        <v>1767</v>
      </c>
      <c r="B2701" t="s">
        <v>1769</v>
      </c>
      <c r="C2701" t="s">
        <v>5324</v>
      </c>
      <c r="D2701">
        <v>4</v>
      </c>
      <c r="E2701">
        <v>11.27</v>
      </c>
      <c r="F2701">
        <v>11.27</v>
      </c>
      <c r="G2701" t="s">
        <v>5325</v>
      </c>
      <c r="H2701" t="s">
        <v>5692</v>
      </c>
      <c r="I2701" t="s">
        <v>5359</v>
      </c>
      <c r="J2701" t="s">
        <v>5693</v>
      </c>
      <c r="L2701" t="s">
        <v>5326</v>
      </c>
    </row>
    <row r="2702" spans="1:12" x14ac:dyDescent="0.2">
      <c r="A2702" t="s">
        <v>1767</v>
      </c>
      <c r="B2702" t="s">
        <v>1769</v>
      </c>
      <c r="C2702" t="s">
        <v>5324</v>
      </c>
      <c r="D2702">
        <v>4</v>
      </c>
      <c r="E2702">
        <v>13.6</v>
      </c>
      <c r="F2702">
        <v>13.6</v>
      </c>
      <c r="G2702" t="s">
        <v>5325</v>
      </c>
      <c r="H2702" t="s">
        <v>5694</v>
      </c>
      <c r="I2702" t="s">
        <v>5359</v>
      </c>
      <c r="J2702" t="s">
        <v>5695</v>
      </c>
      <c r="L2702" t="s">
        <v>5326</v>
      </c>
    </row>
    <row r="2703" spans="1:12" x14ac:dyDescent="0.2">
      <c r="A2703" t="s">
        <v>1767</v>
      </c>
      <c r="B2703" t="s">
        <v>1769</v>
      </c>
      <c r="C2703" t="s">
        <v>5324</v>
      </c>
      <c r="D2703">
        <v>4</v>
      </c>
      <c r="E2703">
        <v>203</v>
      </c>
      <c r="F2703">
        <v>203</v>
      </c>
      <c r="G2703" t="s">
        <v>5325</v>
      </c>
      <c r="H2703" t="s">
        <v>5696</v>
      </c>
      <c r="I2703" t="s">
        <v>5359</v>
      </c>
      <c r="J2703" t="s">
        <v>5697</v>
      </c>
      <c r="L2703" t="s">
        <v>5326</v>
      </c>
    </row>
    <row r="2704" spans="1:12" x14ac:dyDescent="0.2">
      <c r="A2704" t="s">
        <v>1767</v>
      </c>
      <c r="B2704" t="s">
        <v>1769</v>
      </c>
      <c r="C2704" t="s">
        <v>5324</v>
      </c>
      <c r="D2704">
        <v>4</v>
      </c>
      <c r="E2704">
        <v>589.5</v>
      </c>
      <c r="F2704">
        <v>589.5</v>
      </c>
      <c r="G2704" t="s">
        <v>5325</v>
      </c>
      <c r="H2704" t="s">
        <v>5698</v>
      </c>
      <c r="I2704" t="s">
        <v>5359</v>
      </c>
      <c r="J2704" t="s">
        <v>5699</v>
      </c>
      <c r="L2704" t="s">
        <v>5326</v>
      </c>
    </row>
    <row r="2705" spans="1:12" x14ac:dyDescent="0.2">
      <c r="A2705" t="s">
        <v>1767</v>
      </c>
      <c r="B2705" t="s">
        <v>1769</v>
      </c>
      <c r="C2705" t="s">
        <v>5324</v>
      </c>
      <c r="D2705">
        <v>4</v>
      </c>
      <c r="E2705">
        <v>8</v>
      </c>
      <c r="F2705">
        <v>8</v>
      </c>
      <c r="G2705" t="s">
        <v>5325</v>
      </c>
      <c r="H2705" t="s">
        <v>5486</v>
      </c>
      <c r="I2705" t="s">
        <v>5359</v>
      </c>
      <c r="J2705" t="s">
        <v>5700</v>
      </c>
      <c r="L2705" t="s">
        <v>5326</v>
      </c>
    </row>
    <row r="2706" spans="1:12" x14ac:dyDescent="0.2">
      <c r="A2706" t="s">
        <v>1767</v>
      </c>
      <c r="B2706" t="s">
        <v>1769</v>
      </c>
      <c r="C2706" t="s">
        <v>5324</v>
      </c>
      <c r="D2706">
        <v>4</v>
      </c>
      <c r="E2706">
        <v>122.75</v>
      </c>
      <c r="F2706">
        <v>122.75</v>
      </c>
      <c r="G2706" t="s">
        <v>5325</v>
      </c>
      <c r="H2706" t="s">
        <v>5701</v>
      </c>
      <c r="I2706" t="s">
        <v>5359</v>
      </c>
      <c r="J2706" t="s">
        <v>5702</v>
      </c>
      <c r="L2706" t="s">
        <v>5326</v>
      </c>
    </row>
    <row r="2707" spans="1:12" x14ac:dyDescent="0.2">
      <c r="A2707" t="s">
        <v>1767</v>
      </c>
      <c r="B2707" t="s">
        <v>1769</v>
      </c>
      <c r="C2707" t="s">
        <v>5324</v>
      </c>
      <c r="D2707">
        <v>4</v>
      </c>
      <c r="E2707">
        <v>45.34</v>
      </c>
      <c r="F2707">
        <v>45.34</v>
      </c>
      <c r="G2707" t="s">
        <v>5325</v>
      </c>
      <c r="H2707" t="s">
        <v>5703</v>
      </c>
      <c r="I2707" t="s">
        <v>5359</v>
      </c>
      <c r="J2707" t="s">
        <v>4580</v>
      </c>
      <c r="L2707" t="s">
        <v>5326</v>
      </c>
    </row>
    <row r="2708" spans="1:12" x14ac:dyDescent="0.2">
      <c r="A2708" t="s">
        <v>1767</v>
      </c>
      <c r="B2708" t="s">
        <v>1769</v>
      </c>
      <c r="C2708" t="s">
        <v>5324</v>
      </c>
      <c r="D2708">
        <v>4</v>
      </c>
      <c r="E2708">
        <v>320</v>
      </c>
      <c r="F2708">
        <v>320</v>
      </c>
      <c r="G2708" t="s">
        <v>5325</v>
      </c>
      <c r="H2708" t="s">
        <v>5704</v>
      </c>
      <c r="I2708" t="s">
        <v>5359</v>
      </c>
      <c r="J2708" t="s">
        <v>5705</v>
      </c>
      <c r="L2708" t="s">
        <v>5326</v>
      </c>
    </row>
    <row r="2709" spans="1:12" x14ac:dyDescent="0.2">
      <c r="A2709" t="s">
        <v>1767</v>
      </c>
      <c r="B2709" t="s">
        <v>1769</v>
      </c>
      <c r="C2709" t="s">
        <v>5324</v>
      </c>
      <c r="D2709">
        <v>4</v>
      </c>
      <c r="E2709">
        <v>30.22</v>
      </c>
      <c r="F2709">
        <v>30.22</v>
      </c>
      <c r="G2709" t="s">
        <v>5325</v>
      </c>
      <c r="H2709" t="s">
        <v>5706</v>
      </c>
      <c r="I2709" t="s">
        <v>5359</v>
      </c>
      <c r="J2709" t="s">
        <v>5707</v>
      </c>
      <c r="L2709" t="s">
        <v>5326</v>
      </c>
    </row>
    <row r="2710" spans="1:12" x14ac:dyDescent="0.2">
      <c r="A2710" t="s">
        <v>1767</v>
      </c>
      <c r="B2710" t="s">
        <v>1769</v>
      </c>
      <c r="C2710" t="s">
        <v>5324</v>
      </c>
      <c r="D2710">
        <v>4</v>
      </c>
      <c r="E2710">
        <v>1403.28</v>
      </c>
      <c r="F2710">
        <v>1403.28</v>
      </c>
      <c r="G2710" t="s">
        <v>5325</v>
      </c>
      <c r="H2710" t="s">
        <v>5708</v>
      </c>
      <c r="I2710" t="s">
        <v>5359</v>
      </c>
      <c r="J2710" t="s">
        <v>5709</v>
      </c>
      <c r="L2710" t="s">
        <v>5326</v>
      </c>
    </row>
    <row r="2711" spans="1:12" x14ac:dyDescent="0.2">
      <c r="A2711" t="s">
        <v>1767</v>
      </c>
      <c r="B2711" t="s">
        <v>1769</v>
      </c>
      <c r="C2711" t="s">
        <v>5324</v>
      </c>
      <c r="D2711">
        <v>4</v>
      </c>
      <c r="E2711">
        <v>35</v>
      </c>
      <c r="F2711">
        <v>35</v>
      </c>
      <c r="G2711" t="s">
        <v>5325</v>
      </c>
      <c r="H2711" t="s">
        <v>5710</v>
      </c>
      <c r="I2711" t="s">
        <v>5359</v>
      </c>
      <c r="J2711" t="s">
        <v>4470</v>
      </c>
      <c r="L2711" t="s">
        <v>5326</v>
      </c>
    </row>
    <row r="2712" spans="1:12" x14ac:dyDescent="0.2">
      <c r="A2712" t="s">
        <v>1767</v>
      </c>
      <c r="B2712" t="s">
        <v>1769</v>
      </c>
      <c r="C2712" t="s">
        <v>5324</v>
      </c>
      <c r="D2712">
        <v>4</v>
      </c>
      <c r="E2712">
        <v>45</v>
      </c>
      <c r="F2712">
        <v>45</v>
      </c>
      <c r="G2712" t="s">
        <v>5325</v>
      </c>
      <c r="H2712" t="s">
        <v>5711</v>
      </c>
      <c r="I2712" t="s">
        <v>5359</v>
      </c>
      <c r="J2712" t="s">
        <v>4473</v>
      </c>
      <c r="L2712" t="s">
        <v>5326</v>
      </c>
    </row>
    <row r="2713" spans="1:12" x14ac:dyDescent="0.2">
      <c r="A2713" t="s">
        <v>1767</v>
      </c>
      <c r="B2713" t="s">
        <v>1769</v>
      </c>
      <c r="C2713" t="s">
        <v>5324</v>
      </c>
      <c r="D2713">
        <v>4</v>
      </c>
      <c r="E2713">
        <v>124.67</v>
      </c>
      <c r="F2713">
        <v>124.67</v>
      </c>
      <c r="G2713" t="s">
        <v>5325</v>
      </c>
      <c r="H2713" t="s">
        <v>5712</v>
      </c>
      <c r="I2713" t="s">
        <v>5359</v>
      </c>
      <c r="J2713" t="s">
        <v>5713</v>
      </c>
      <c r="L2713" t="s">
        <v>5326</v>
      </c>
    </row>
    <row r="2714" spans="1:12" x14ac:dyDescent="0.2">
      <c r="A2714" t="s">
        <v>1767</v>
      </c>
      <c r="B2714" t="s">
        <v>1769</v>
      </c>
      <c r="C2714" t="s">
        <v>5324</v>
      </c>
      <c r="D2714">
        <v>4</v>
      </c>
      <c r="E2714">
        <v>1018.5</v>
      </c>
      <c r="F2714">
        <v>1018.5</v>
      </c>
      <c r="G2714" t="s">
        <v>5325</v>
      </c>
      <c r="H2714" t="s">
        <v>5714</v>
      </c>
      <c r="I2714" t="s">
        <v>5359</v>
      </c>
      <c r="J2714" t="s">
        <v>5715</v>
      </c>
      <c r="L2714" t="s">
        <v>5326</v>
      </c>
    </row>
    <row r="2715" spans="1:12" x14ac:dyDescent="0.2">
      <c r="A2715" t="s">
        <v>1767</v>
      </c>
      <c r="B2715" t="s">
        <v>1769</v>
      </c>
      <c r="C2715" t="s">
        <v>5324</v>
      </c>
      <c r="D2715">
        <v>4</v>
      </c>
      <c r="E2715">
        <v>38.049999999999997</v>
      </c>
      <c r="F2715">
        <v>38.049999999999997</v>
      </c>
      <c r="G2715" t="s">
        <v>5325</v>
      </c>
      <c r="H2715" t="s">
        <v>5716</v>
      </c>
      <c r="I2715" t="s">
        <v>5359</v>
      </c>
      <c r="J2715" t="s">
        <v>3367</v>
      </c>
      <c r="L2715" t="s">
        <v>5326</v>
      </c>
    </row>
    <row r="2716" spans="1:12" x14ac:dyDescent="0.2">
      <c r="A2716" t="s">
        <v>1767</v>
      </c>
      <c r="B2716" t="s">
        <v>1769</v>
      </c>
      <c r="C2716" t="s">
        <v>5324</v>
      </c>
      <c r="D2716">
        <v>4</v>
      </c>
      <c r="E2716">
        <v>378.22</v>
      </c>
      <c r="F2716">
        <v>378.22</v>
      </c>
      <c r="G2716" t="s">
        <v>5325</v>
      </c>
      <c r="H2716" t="s">
        <v>5717</v>
      </c>
      <c r="I2716" t="s">
        <v>5359</v>
      </c>
      <c r="J2716" t="s">
        <v>3369</v>
      </c>
      <c r="L2716" t="s">
        <v>5326</v>
      </c>
    </row>
    <row r="2717" spans="1:12" x14ac:dyDescent="0.2">
      <c r="A2717" t="s">
        <v>1767</v>
      </c>
      <c r="B2717" t="s">
        <v>1769</v>
      </c>
      <c r="C2717" t="s">
        <v>5324</v>
      </c>
      <c r="D2717">
        <v>4</v>
      </c>
      <c r="E2717">
        <v>47.28</v>
      </c>
      <c r="F2717">
        <v>47.28</v>
      </c>
      <c r="G2717" t="s">
        <v>5325</v>
      </c>
      <c r="H2717" t="s">
        <v>5718</v>
      </c>
      <c r="I2717" t="s">
        <v>5359</v>
      </c>
      <c r="J2717" t="s">
        <v>5719</v>
      </c>
      <c r="L2717" t="s">
        <v>5326</v>
      </c>
    </row>
    <row r="2718" spans="1:12" x14ac:dyDescent="0.2">
      <c r="A2718" t="s">
        <v>1767</v>
      </c>
      <c r="B2718" t="s">
        <v>1769</v>
      </c>
      <c r="C2718" t="s">
        <v>5324</v>
      </c>
      <c r="D2718">
        <v>4</v>
      </c>
      <c r="E2718">
        <v>772.2</v>
      </c>
      <c r="F2718">
        <v>772.2</v>
      </c>
      <c r="G2718" t="s">
        <v>5325</v>
      </c>
      <c r="H2718" t="s">
        <v>5720</v>
      </c>
      <c r="I2718" t="s">
        <v>5359</v>
      </c>
      <c r="J2718" t="s">
        <v>5721</v>
      </c>
      <c r="L2718" t="s">
        <v>5326</v>
      </c>
    </row>
    <row r="2719" spans="1:12" x14ac:dyDescent="0.2">
      <c r="A2719" t="s">
        <v>1767</v>
      </c>
      <c r="B2719" t="s">
        <v>1769</v>
      </c>
      <c r="C2719" t="s">
        <v>5324</v>
      </c>
      <c r="D2719">
        <v>4</v>
      </c>
      <c r="E2719">
        <v>772.2</v>
      </c>
      <c r="F2719">
        <v>772.2</v>
      </c>
      <c r="G2719" t="s">
        <v>5325</v>
      </c>
      <c r="H2719" t="s">
        <v>5720</v>
      </c>
      <c r="I2719" t="s">
        <v>5359</v>
      </c>
      <c r="J2719" t="s">
        <v>5721</v>
      </c>
      <c r="L2719" t="s">
        <v>5326</v>
      </c>
    </row>
    <row r="2720" spans="1:12" x14ac:dyDescent="0.2">
      <c r="A2720" t="s">
        <v>1767</v>
      </c>
      <c r="B2720" t="s">
        <v>1769</v>
      </c>
      <c r="C2720" t="s">
        <v>5324</v>
      </c>
      <c r="D2720">
        <v>4</v>
      </c>
      <c r="E2720">
        <v>200.62</v>
      </c>
      <c r="F2720">
        <v>200.62</v>
      </c>
      <c r="G2720" t="s">
        <v>5325</v>
      </c>
      <c r="H2720" t="s">
        <v>5722</v>
      </c>
      <c r="I2720" t="s">
        <v>5359</v>
      </c>
      <c r="J2720" t="s">
        <v>5723</v>
      </c>
      <c r="L2720" t="s">
        <v>5326</v>
      </c>
    </row>
    <row r="2721" spans="1:12" x14ac:dyDescent="0.2">
      <c r="A2721" t="s">
        <v>1767</v>
      </c>
      <c r="B2721" t="s">
        <v>1769</v>
      </c>
      <c r="C2721" t="s">
        <v>5324</v>
      </c>
      <c r="D2721">
        <v>4</v>
      </c>
      <c r="E2721">
        <v>339.5</v>
      </c>
      <c r="F2721">
        <v>339.5</v>
      </c>
      <c r="G2721" t="s">
        <v>5325</v>
      </c>
      <c r="H2721" t="s">
        <v>5724</v>
      </c>
      <c r="I2721" t="s">
        <v>5359</v>
      </c>
      <c r="J2721" t="s">
        <v>5725</v>
      </c>
      <c r="L2721" t="s">
        <v>5326</v>
      </c>
    </row>
    <row r="2722" spans="1:12" x14ac:dyDescent="0.2">
      <c r="A2722" t="s">
        <v>1767</v>
      </c>
      <c r="B2722" t="s">
        <v>1769</v>
      </c>
      <c r="C2722" t="s">
        <v>5324</v>
      </c>
      <c r="D2722">
        <v>4</v>
      </c>
      <c r="E2722">
        <v>16.600000000000001</v>
      </c>
      <c r="F2722">
        <v>16.600000000000001</v>
      </c>
      <c r="G2722" t="s">
        <v>5325</v>
      </c>
      <c r="H2722" t="s">
        <v>5726</v>
      </c>
      <c r="I2722" t="s">
        <v>5359</v>
      </c>
      <c r="J2722" t="s">
        <v>5727</v>
      </c>
      <c r="L2722" t="s">
        <v>5326</v>
      </c>
    </row>
    <row r="2723" spans="1:12" x14ac:dyDescent="0.2">
      <c r="A2723" t="s">
        <v>1767</v>
      </c>
      <c r="B2723" t="s">
        <v>1769</v>
      </c>
      <c r="C2723" t="s">
        <v>5324</v>
      </c>
      <c r="D2723">
        <v>4</v>
      </c>
      <c r="E2723">
        <v>14.58</v>
      </c>
      <c r="F2723">
        <v>14.58</v>
      </c>
      <c r="G2723" t="s">
        <v>5325</v>
      </c>
      <c r="H2723" t="s">
        <v>5728</v>
      </c>
      <c r="I2723" t="s">
        <v>5359</v>
      </c>
      <c r="J2723" t="s">
        <v>3466</v>
      </c>
      <c r="L2723" t="s">
        <v>5326</v>
      </c>
    </row>
    <row r="2724" spans="1:12" x14ac:dyDescent="0.2">
      <c r="A2724" t="s">
        <v>1767</v>
      </c>
      <c r="B2724" t="s">
        <v>1769</v>
      </c>
      <c r="C2724" t="s">
        <v>5324</v>
      </c>
      <c r="D2724">
        <v>4</v>
      </c>
      <c r="E2724">
        <v>5195.53</v>
      </c>
      <c r="F2724">
        <v>5195.53</v>
      </c>
      <c r="G2724" t="s">
        <v>5325</v>
      </c>
      <c r="H2724" t="s">
        <v>5729</v>
      </c>
      <c r="I2724" t="s">
        <v>5359</v>
      </c>
      <c r="J2724" t="s">
        <v>5730</v>
      </c>
      <c r="L2724" t="s">
        <v>5326</v>
      </c>
    </row>
    <row r="2725" spans="1:12" x14ac:dyDescent="0.2">
      <c r="A2725" t="s">
        <v>1767</v>
      </c>
      <c r="B2725" t="s">
        <v>1769</v>
      </c>
      <c r="C2725" t="s">
        <v>5324</v>
      </c>
      <c r="D2725">
        <v>4</v>
      </c>
      <c r="E2725">
        <v>130</v>
      </c>
      <c r="F2725">
        <v>130</v>
      </c>
      <c r="G2725" t="s">
        <v>5325</v>
      </c>
      <c r="H2725" t="s">
        <v>5731</v>
      </c>
      <c r="I2725" t="s">
        <v>5359</v>
      </c>
      <c r="J2725" t="s">
        <v>5732</v>
      </c>
      <c r="L2725" t="s">
        <v>5326</v>
      </c>
    </row>
    <row r="2726" spans="1:12" x14ac:dyDescent="0.2">
      <c r="A2726" t="s">
        <v>1767</v>
      </c>
      <c r="B2726" t="s">
        <v>1769</v>
      </c>
      <c r="C2726" t="s">
        <v>5324</v>
      </c>
      <c r="D2726">
        <v>4</v>
      </c>
      <c r="E2726">
        <v>20.47</v>
      </c>
      <c r="F2726">
        <v>20.47</v>
      </c>
      <c r="G2726" t="s">
        <v>5325</v>
      </c>
      <c r="H2726" t="s">
        <v>5733</v>
      </c>
      <c r="I2726" t="s">
        <v>5359</v>
      </c>
      <c r="J2726" t="s">
        <v>4459</v>
      </c>
      <c r="L2726" t="s">
        <v>5326</v>
      </c>
    </row>
    <row r="2727" spans="1:12" x14ac:dyDescent="0.2">
      <c r="A2727" t="s">
        <v>1767</v>
      </c>
      <c r="B2727" t="s">
        <v>1769</v>
      </c>
      <c r="C2727" t="s">
        <v>5324</v>
      </c>
      <c r="D2727">
        <v>4</v>
      </c>
      <c r="E2727">
        <v>-20.47</v>
      </c>
      <c r="F2727">
        <v>-20.47</v>
      </c>
      <c r="G2727" t="s">
        <v>5325</v>
      </c>
      <c r="H2727" t="s">
        <v>5734</v>
      </c>
      <c r="I2727" t="s">
        <v>5359</v>
      </c>
      <c r="J2727" t="s">
        <v>4551</v>
      </c>
      <c r="L2727" t="s">
        <v>5326</v>
      </c>
    </row>
    <row r="2728" spans="1:12" x14ac:dyDescent="0.2">
      <c r="A2728" t="s">
        <v>1767</v>
      </c>
      <c r="B2728" t="s">
        <v>1769</v>
      </c>
      <c r="C2728" t="s">
        <v>5324</v>
      </c>
      <c r="D2728">
        <v>4</v>
      </c>
      <c r="E2728">
        <v>20.47</v>
      </c>
      <c r="F2728">
        <v>20.47</v>
      </c>
      <c r="G2728" t="s">
        <v>5325</v>
      </c>
      <c r="H2728" t="s">
        <v>5733</v>
      </c>
      <c r="I2728" t="s">
        <v>5359</v>
      </c>
      <c r="J2728" t="s">
        <v>4459</v>
      </c>
      <c r="L2728" t="s">
        <v>5326</v>
      </c>
    </row>
    <row r="2729" spans="1:12" x14ac:dyDescent="0.2">
      <c r="A2729" t="s">
        <v>1767</v>
      </c>
      <c r="B2729" t="s">
        <v>1769</v>
      </c>
      <c r="C2729" t="s">
        <v>5324</v>
      </c>
      <c r="D2729">
        <v>4</v>
      </c>
      <c r="E2729">
        <v>62.65</v>
      </c>
      <c r="F2729">
        <v>62.65</v>
      </c>
      <c r="G2729" t="s">
        <v>5325</v>
      </c>
      <c r="H2729" t="s">
        <v>5735</v>
      </c>
      <c r="I2729" t="s">
        <v>5359</v>
      </c>
      <c r="J2729" t="s">
        <v>5736</v>
      </c>
      <c r="L2729" t="s">
        <v>5326</v>
      </c>
    </row>
    <row r="2730" spans="1:12" x14ac:dyDescent="0.2">
      <c r="A2730" t="s">
        <v>1767</v>
      </c>
      <c r="B2730" t="s">
        <v>1769</v>
      </c>
      <c r="C2730" t="s">
        <v>5324</v>
      </c>
      <c r="D2730">
        <v>4</v>
      </c>
      <c r="E2730">
        <v>58.38</v>
      </c>
      <c r="F2730">
        <v>58.38</v>
      </c>
      <c r="G2730" t="s">
        <v>5325</v>
      </c>
      <c r="H2730" t="s">
        <v>5737</v>
      </c>
      <c r="I2730" t="s">
        <v>5359</v>
      </c>
      <c r="J2730" t="s">
        <v>5738</v>
      </c>
      <c r="L2730" t="s">
        <v>5326</v>
      </c>
    </row>
    <row r="2731" spans="1:12" x14ac:dyDescent="0.2">
      <c r="A2731" t="s">
        <v>1767</v>
      </c>
      <c r="B2731" t="s">
        <v>1769</v>
      </c>
      <c r="C2731" t="s">
        <v>5324</v>
      </c>
      <c r="D2731">
        <v>4</v>
      </c>
      <c r="E2731">
        <v>133.03</v>
      </c>
      <c r="F2731">
        <v>133.03</v>
      </c>
      <c r="G2731" t="s">
        <v>5325</v>
      </c>
      <c r="H2731" t="s">
        <v>5739</v>
      </c>
      <c r="I2731" t="s">
        <v>5359</v>
      </c>
      <c r="J2731" t="s">
        <v>5740</v>
      </c>
      <c r="L2731" t="s">
        <v>5326</v>
      </c>
    </row>
    <row r="2732" spans="1:12" x14ac:dyDescent="0.2">
      <c r="A2732" t="s">
        <v>1767</v>
      </c>
      <c r="B2732" t="s">
        <v>1769</v>
      </c>
      <c r="C2732" t="s">
        <v>5324</v>
      </c>
      <c r="D2732">
        <v>4</v>
      </c>
      <c r="E2732">
        <v>-58.38</v>
      </c>
      <c r="F2732">
        <v>-58.38</v>
      </c>
      <c r="G2732" t="s">
        <v>5325</v>
      </c>
      <c r="H2732" t="s">
        <v>5741</v>
      </c>
      <c r="I2732" t="s">
        <v>5359</v>
      </c>
      <c r="J2732" t="s">
        <v>5742</v>
      </c>
      <c r="L2732" t="s">
        <v>5326</v>
      </c>
    </row>
    <row r="2733" spans="1:12" x14ac:dyDescent="0.2">
      <c r="A2733" t="s">
        <v>1767</v>
      </c>
      <c r="B2733" t="s">
        <v>1769</v>
      </c>
      <c r="C2733" t="s">
        <v>5324</v>
      </c>
      <c r="D2733">
        <v>4</v>
      </c>
      <c r="E2733">
        <v>52.36</v>
      </c>
      <c r="F2733">
        <v>52.36</v>
      </c>
      <c r="G2733" t="s">
        <v>5325</v>
      </c>
      <c r="H2733" t="s">
        <v>5743</v>
      </c>
      <c r="I2733" t="s">
        <v>5359</v>
      </c>
      <c r="J2733" t="s">
        <v>5744</v>
      </c>
      <c r="L2733" t="s">
        <v>5326</v>
      </c>
    </row>
    <row r="2734" spans="1:12" x14ac:dyDescent="0.2">
      <c r="A2734" t="s">
        <v>1767</v>
      </c>
      <c r="B2734" t="s">
        <v>1769</v>
      </c>
      <c r="C2734" t="s">
        <v>5324</v>
      </c>
      <c r="D2734">
        <v>4</v>
      </c>
      <c r="E2734">
        <v>9.09</v>
      </c>
      <c r="F2734">
        <v>9.09</v>
      </c>
      <c r="G2734" t="s">
        <v>5325</v>
      </c>
      <c r="H2734" t="s">
        <v>5745</v>
      </c>
      <c r="I2734" t="s">
        <v>5359</v>
      </c>
      <c r="J2734" t="s">
        <v>5746</v>
      </c>
      <c r="L2734" t="s">
        <v>5326</v>
      </c>
    </row>
    <row r="2735" spans="1:12" x14ac:dyDescent="0.2">
      <c r="A2735" t="s">
        <v>1767</v>
      </c>
      <c r="B2735" t="s">
        <v>1769</v>
      </c>
      <c r="C2735" t="s">
        <v>5324</v>
      </c>
      <c r="D2735">
        <v>4</v>
      </c>
      <c r="E2735">
        <v>99.97</v>
      </c>
      <c r="F2735">
        <v>99.97</v>
      </c>
      <c r="G2735" t="s">
        <v>5325</v>
      </c>
      <c r="H2735" t="s">
        <v>5747</v>
      </c>
      <c r="I2735" t="s">
        <v>5359</v>
      </c>
      <c r="J2735" t="s">
        <v>5748</v>
      </c>
      <c r="L2735" t="s">
        <v>5326</v>
      </c>
    </row>
    <row r="2736" spans="1:12" x14ac:dyDescent="0.2">
      <c r="A2736" t="s">
        <v>1767</v>
      </c>
      <c r="B2736" t="s">
        <v>1769</v>
      </c>
      <c r="C2736" t="s">
        <v>5324</v>
      </c>
      <c r="D2736">
        <v>4</v>
      </c>
      <c r="E2736">
        <v>343.71</v>
      </c>
      <c r="F2736">
        <v>343.71</v>
      </c>
      <c r="G2736" t="s">
        <v>5325</v>
      </c>
      <c r="H2736" t="s">
        <v>5749</v>
      </c>
      <c r="I2736" t="s">
        <v>5359</v>
      </c>
      <c r="J2736" t="s">
        <v>5750</v>
      </c>
      <c r="L2736" t="s">
        <v>5326</v>
      </c>
    </row>
    <row r="2737" spans="1:12" x14ac:dyDescent="0.2">
      <c r="A2737" t="s">
        <v>1767</v>
      </c>
      <c r="B2737" t="s">
        <v>1769</v>
      </c>
      <c r="C2737" t="s">
        <v>5324</v>
      </c>
      <c r="D2737">
        <v>4</v>
      </c>
      <c r="E2737">
        <v>3463.69</v>
      </c>
      <c r="F2737">
        <v>3463.69</v>
      </c>
      <c r="G2737" t="s">
        <v>5325</v>
      </c>
      <c r="H2737" t="s">
        <v>5751</v>
      </c>
      <c r="I2737" t="s">
        <v>5359</v>
      </c>
      <c r="J2737" t="s">
        <v>5752</v>
      </c>
      <c r="L2737" t="s">
        <v>5326</v>
      </c>
    </row>
    <row r="2738" spans="1:12" x14ac:dyDescent="0.2">
      <c r="A2738" t="s">
        <v>1767</v>
      </c>
      <c r="B2738" t="s">
        <v>1769</v>
      </c>
      <c r="C2738" t="s">
        <v>5324</v>
      </c>
      <c r="D2738">
        <v>4</v>
      </c>
      <c r="E2738">
        <v>-3463.69</v>
      </c>
      <c r="F2738">
        <v>-3463.69</v>
      </c>
      <c r="G2738" t="s">
        <v>5325</v>
      </c>
      <c r="H2738" t="s">
        <v>5753</v>
      </c>
      <c r="I2738" t="s">
        <v>5359</v>
      </c>
      <c r="J2738" t="s">
        <v>5754</v>
      </c>
      <c r="L2738" t="s">
        <v>5326</v>
      </c>
    </row>
    <row r="2739" spans="1:12" x14ac:dyDescent="0.2">
      <c r="A2739" t="s">
        <v>1767</v>
      </c>
      <c r="B2739" t="s">
        <v>1769</v>
      </c>
      <c r="C2739" t="s">
        <v>5324</v>
      </c>
      <c r="D2739">
        <v>4</v>
      </c>
      <c r="E2739">
        <v>58.38</v>
      </c>
      <c r="F2739">
        <v>58.38</v>
      </c>
      <c r="G2739" t="s">
        <v>5325</v>
      </c>
      <c r="H2739" t="s">
        <v>5737</v>
      </c>
      <c r="I2739" t="s">
        <v>5359</v>
      </c>
      <c r="J2739" t="s">
        <v>5738</v>
      </c>
      <c r="L2739" t="s">
        <v>5326</v>
      </c>
    </row>
    <row r="2740" spans="1:12" x14ac:dyDescent="0.2">
      <c r="A2740" t="s">
        <v>1767</v>
      </c>
      <c r="B2740" t="s">
        <v>1769</v>
      </c>
      <c r="C2740" t="s">
        <v>5324</v>
      </c>
      <c r="D2740">
        <v>4</v>
      </c>
      <c r="E2740">
        <v>1224.48</v>
      </c>
      <c r="F2740">
        <v>1224.48</v>
      </c>
      <c r="G2740" t="s">
        <v>5325</v>
      </c>
      <c r="H2740" t="s">
        <v>5755</v>
      </c>
      <c r="I2740" t="s">
        <v>5359</v>
      </c>
      <c r="J2740" t="s">
        <v>5756</v>
      </c>
      <c r="L2740" t="s">
        <v>5326</v>
      </c>
    </row>
    <row r="2741" spans="1:12" x14ac:dyDescent="0.2">
      <c r="A2741" t="s">
        <v>1767</v>
      </c>
      <c r="B2741" t="s">
        <v>1769</v>
      </c>
      <c r="C2741" t="s">
        <v>5324</v>
      </c>
      <c r="D2741">
        <v>4</v>
      </c>
      <c r="E2741">
        <v>8.86</v>
      </c>
      <c r="F2741">
        <v>8.86</v>
      </c>
      <c r="G2741" t="s">
        <v>5325</v>
      </c>
      <c r="H2741" t="s">
        <v>5757</v>
      </c>
      <c r="I2741" t="s">
        <v>5359</v>
      </c>
      <c r="J2741" t="s">
        <v>5758</v>
      </c>
      <c r="L2741" t="s">
        <v>5326</v>
      </c>
    </row>
    <row r="2742" spans="1:12" x14ac:dyDescent="0.2">
      <c r="A2742" t="s">
        <v>1767</v>
      </c>
      <c r="B2742" t="s">
        <v>1769</v>
      </c>
      <c r="C2742" t="s">
        <v>5324</v>
      </c>
      <c r="D2742">
        <v>4</v>
      </c>
      <c r="E2742">
        <v>90.18</v>
      </c>
      <c r="F2742">
        <v>90.18</v>
      </c>
      <c r="G2742" t="s">
        <v>5325</v>
      </c>
      <c r="H2742" t="s">
        <v>5759</v>
      </c>
      <c r="I2742" t="s">
        <v>5359</v>
      </c>
      <c r="J2742" t="s">
        <v>5760</v>
      </c>
      <c r="L2742" t="s">
        <v>5326</v>
      </c>
    </row>
    <row r="2743" spans="1:12" x14ac:dyDescent="0.2">
      <c r="A2743" t="s">
        <v>1767</v>
      </c>
      <c r="B2743" t="s">
        <v>1769</v>
      </c>
      <c r="C2743" t="s">
        <v>5324</v>
      </c>
      <c r="D2743">
        <v>4</v>
      </c>
      <c r="E2743">
        <v>907.41</v>
      </c>
      <c r="F2743">
        <v>907.41</v>
      </c>
      <c r="G2743" t="s">
        <v>5325</v>
      </c>
      <c r="H2743" t="s">
        <v>5761</v>
      </c>
      <c r="I2743" t="s">
        <v>5359</v>
      </c>
      <c r="J2743" t="s">
        <v>5762</v>
      </c>
      <c r="L2743" t="s">
        <v>5326</v>
      </c>
    </row>
    <row r="2744" spans="1:12" x14ac:dyDescent="0.2">
      <c r="A2744" t="s">
        <v>1767</v>
      </c>
      <c r="B2744" t="s">
        <v>1769</v>
      </c>
      <c r="C2744" t="s">
        <v>5324</v>
      </c>
      <c r="D2744">
        <v>4</v>
      </c>
      <c r="E2744">
        <v>33.18</v>
      </c>
      <c r="F2744">
        <v>33.18</v>
      </c>
      <c r="G2744" t="s">
        <v>5325</v>
      </c>
      <c r="H2744" t="s">
        <v>5763</v>
      </c>
      <c r="I2744" t="s">
        <v>5359</v>
      </c>
      <c r="J2744" t="s">
        <v>5764</v>
      </c>
      <c r="L2744" t="s">
        <v>5326</v>
      </c>
    </row>
    <row r="2745" spans="1:12" x14ac:dyDescent="0.2">
      <c r="A2745" t="s">
        <v>1767</v>
      </c>
      <c r="B2745" t="s">
        <v>1769</v>
      </c>
      <c r="C2745" t="s">
        <v>5324</v>
      </c>
      <c r="D2745">
        <v>4</v>
      </c>
      <c r="E2745">
        <v>26</v>
      </c>
      <c r="F2745">
        <v>26</v>
      </c>
      <c r="G2745" t="s">
        <v>5325</v>
      </c>
      <c r="H2745" t="s">
        <v>5765</v>
      </c>
      <c r="I2745" t="s">
        <v>5359</v>
      </c>
      <c r="J2745" t="s">
        <v>5766</v>
      </c>
      <c r="L2745" t="s">
        <v>5326</v>
      </c>
    </row>
    <row r="2746" spans="1:12" x14ac:dyDescent="0.2">
      <c r="A2746" t="s">
        <v>1767</v>
      </c>
      <c r="B2746" t="s">
        <v>1769</v>
      </c>
      <c r="C2746" t="s">
        <v>5324</v>
      </c>
      <c r="D2746">
        <v>4</v>
      </c>
      <c r="E2746">
        <v>56.2</v>
      </c>
      <c r="F2746">
        <v>56.2</v>
      </c>
      <c r="G2746" t="s">
        <v>5325</v>
      </c>
      <c r="H2746" t="s">
        <v>5767</v>
      </c>
      <c r="I2746" t="s">
        <v>5359</v>
      </c>
      <c r="J2746" t="s">
        <v>5768</v>
      </c>
      <c r="L2746" t="s">
        <v>5326</v>
      </c>
    </row>
    <row r="2747" spans="1:12" x14ac:dyDescent="0.2">
      <c r="A2747" t="s">
        <v>1767</v>
      </c>
      <c r="B2747" t="s">
        <v>1769</v>
      </c>
      <c r="C2747" t="s">
        <v>5324</v>
      </c>
      <c r="D2747">
        <v>4</v>
      </c>
      <c r="E2747">
        <v>83.4</v>
      </c>
      <c r="F2747">
        <v>83.4</v>
      </c>
      <c r="G2747" t="s">
        <v>5325</v>
      </c>
      <c r="H2747" t="s">
        <v>5769</v>
      </c>
      <c r="I2747" t="s">
        <v>5359</v>
      </c>
      <c r="J2747" t="s">
        <v>5770</v>
      </c>
      <c r="L2747" t="s">
        <v>5326</v>
      </c>
    </row>
    <row r="2748" spans="1:12" x14ac:dyDescent="0.2">
      <c r="A2748" t="s">
        <v>1767</v>
      </c>
      <c r="B2748" t="s">
        <v>1769</v>
      </c>
      <c r="C2748" t="s">
        <v>5324</v>
      </c>
      <c r="D2748">
        <v>4</v>
      </c>
      <c r="E2748">
        <v>218.34</v>
      </c>
      <c r="F2748">
        <v>218.34</v>
      </c>
      <c r="G2748" t="s">
        <v>5325</v>
      </c>
      <c r="H2748" t="s">
        <v>5771</v>
      </c>
      <c r="I2748" t="s">
        <v>5359</v>
      </c>
      <c r="J2748" t="s">
        <v>5772</v>
      </c>
      <c r="L2748" t="s">
        <v>5326</v>
      </c>
    </row>
    <row r="2749" spans="1:12" x14ac:dyDescent="0.2">
      <c r="A2749" t="s">
        <v>1767</v>
      </c>
      <c r="B2749" t="s">
        <v>1769</v>
      </c>
      <c r="C2749" t="s">
        <v>5324</v>
      </c>
      <c r="D2749">
        <v>4</v>
      </c>
      <c r="E2749">
        <v>172.8</v>
      </c>
      <c r="F2749">
        <v>172.8</v>
      </c>
      <c r="G2749" t="s">
        <v>5325</v>
      </c>
      <c r="H2749" t="s">
        <v>5773</v>
      </c>
      <c r="I2749" t="s">
        <v>5359</v>
      </c>
      <c r="J2749" t="s">
        <v>2555</v>
      </c>
      <c r="L2749" t="s">
        <v>5326</v>
      </c>
    </row>
    <row r="2750" spans="1:12" x14ac:dyDescent="0.2">
      <c r="A2750" t="s">
        <v>1767</v>
      </c>
      <c r="B2750" t="s">
        <v>1769</v>
      </c>
      <c r="C2750" t="s">
        <v>5324</v>
      </c>
      <c r="D2750">
        <v>4</v>
      </c>
      <c r="E2750">
        <v>26.21</v>
      </c>
      <c r="F2750">
        <v>26.21</v>
      </c>
      <c r="G2750" t="s">
        <v>5325</v>
      </c>
      <c r="H2750" t="s">
        <v>5774</v>
      </c>
      <c r="I2750" t="s">
        <v>5359</v>
      </c>
      <c r="J2750" t="s">
        <v>5775</v>
      </c>
      <c r="L2750" t="s">
        <v>5326</v>
      </c>
    </row>
    <row r="2751" spans="1:12" x14ac:dyDescent="0.2">
      <c r="A2751" t="s">
        <v>1767</v>
      </c>
      <c r="B2751" t="s">
        <v>1769</v>
      </c>
      <c r="C2751" t="s">
        <v>5324</v>
      </c>
      <c r="D2751">
        <v>4</v>
      </c>
      <c r="E2751">
        <v>1696.75</v>
      </c>
      <c r="F2751">
        <v>1696.75</v>
      </c>
      <c r="G2751" t="s">
        <v>5325</v>
      </c>
      <c r="H2751" t="s">
        <v>5776</v>
      </c>
      <c r="I2751" t="s">
        <v>5359</v>
      </c>
      <c r="J2751" t="s">
        <v>5777</v>
      </c>
      <c r="L2751" t="s">
        <v>5326</v>
      </c>
    </row>
    <row r="2752" spans="1:12" x14ac:dyDescent="0.2">
      <c r="A2752" t="s">
        <v>1767</v>
      </c>
      <c r="B2752" t="s">
        <v>1769</v>
      </c>
      <c r="C2752" t="s">
        <v>5324</v>
      </c>
      <c r="D2752">
        <v>4</v>
      </c>
      <c r="E2752">
        <v>925.76</v>
      </c>
      <c r="F2752">
        <v>925.76</v>
      </c>
      <c r="G2752" t="s">
        <v>5325</v>
      </c>
      <c r="H2752" t="s">
        <v>5778</v>
      </c>
      <c r="I2752" t="s">
        <v>5359</v>
      </c>
      <c r="J2752" t="s">
        <v>5779</v>
      </c>
      <c r="L2752" t="s">
        <v>5326</v>
      </c>
    </row>
    <row r="2753" spans="1:12" x14ac:dyDescent="0.2">
      <c r="A2753" t="s">
        <v>1767</v>
      </c>
      <c r="B2753" t="s">
        <v>1769</v>
      </c>
      <c r="C2753" t="s">
        <v>5324</v>
      </c>
      <c r="D2753">
        <v>4</v>
      </c>
      <c r="E2753">
        <v>427.5</v>
      </c>
      <c r="F2753">
        <v>427.5</v>
      </c>
      <c r="G2753" t="s">
        <v>5325</v>
      </c>
      <c r="H2753" t="s">
        <v>5780</v>
      </c>
      <c r="I2753" t="s">
        <v>5359</v>
      </c>
      <c r="J2753" t="s">
        <v>5781</v>
      </c>
      <c r="L2753" t="s">
        <v>5326</v>
      </c>
    </row>
    <row r="2754" spans="1:12" x14ac:dyDescent="0.2">
      <c r="A2754" t="s">
        <v>1767</v>
      </c>
      <c r="B2754" t="s">
        <v>1769</v>
      </c>
      <c r="C2754" t="s">
        <v>5324</v>
      </c>
      <c r="D2754">
        <v>4</v>
      </c>
      <c r="E2754">
        <v>316.95999999999998</v>
      </c>
      <c r="F2754">
        <v>316.95999999999998</v>
      </c>
      <c r="G2754" t="s">
        <v>5325</v>
      </c>
      <c r="H2754" t="s">
        <v>5782</v>
      </c>
      <c r="I2754" t="s">
        <v>5359</v>
      </c>
      <c r="J2754" t="s">
        <v>5783</v>
      </c>
      <c r="L2754" t="s">
        <v>5326</v>
      </c>
    </row>
    <row r="2755" spans="1:12" x14ac:dyDescent="0.2">
      <c r="A2755" t="s">
        <v>1767</v>
      </c>
      <c r="B2755" t="s">
        <v>1769</v>
      </c>
      <c r="C2755" t="s">
        <v>5324</v>
      </c>
      <c r="D2755">
        <v>4</v>
      </c>
      <c r="E2755">
        <v>94.32</v>
      </c>
      <c r="F2755">
        <v>94.32</v>
      </c>
      <c r="G2755" t="s">
        <v>5325</v>
      </c>
      <c r="H2755" t="s">
        <v>5784</v>
      </c>
      <c r="I2755" t="s">
        <v>5359</v>
      </c>
      <c r="J2755" t="s">
        <v>5785</v>
      </c>
      <c r="L2755" t="s">
        <v>5326</v>
      </c>
    </row>
    <row r="2756" spans="1:12" x14ac:dyDescent="0.2">
      <c r="A2756" t="s">
        <v>1767</v>
      </c>
      <c r="B2756" t="s">
        <v>1769</v>
      </c>
      <c r="C2756" t="s">
        <v>5324</v>
      </c>
      <c r="D2756">
        <v>4</v>
      </c>
      <c r="E2756">
        <v>8.2799999999999994</v>
      </c>
      <c r="F2756">
        <v>8.2799999999999994</v>
      </c>
      <c r="G2756" t="s">
        <v>5325</v>
      </c>
      <c r="H2756" t="s">
        <v>5786</v>
      </c>
      <c r="I2756" t="s">
        <v>5359</v>
      </c>
      <c r="J2756" t="s">
        <v>5787</v>
      </c>
      <c r="L2756" t="s">
        <v>5326</v>
      </c>
    </row>
    <row r="2757" spans="1:12" x14ac:dyDescent="0.2">
      <c r="A2757" t="s">
        <v>1767</v>
      </c>
      <c r="B2757" t="s">
        <v>1769</v>
      </c>
      <c r="C2757" t="s">
        <v>5324</v>
      </c>
      <c r="D2757">
        <v>4</v>
      </c>
      <c r="E2757">
        <v>90.18</v>
      </c>
      <c r="F2757">
        <v>90.18</v>
      </c>
      <c r="G2757" t="s">
        <v>5325</v>
      </c>
      <c r="H2757" t="s">
        <v>5759</v>
      </c>
      <c r="I2757" t="s">
        <v>5359</v>
      </c>
      <c r="J2757" t="s">
        <v>5760</v>
      </c>
      <c r="L2757" t="s">
        <v>5326</v>
      </c>
    </row>
    <row r="2758" spans="1:12" x14ac:dyDescent="0.2">
      <c r="A2758" t="s">
        <v>1767</v>
      </c>
      <c r="B2758" t="s">
        <v>1769</v>
      </c>
      <c r="C2758" t="s">
        <v>5324</v>
      </c>
      <c r="D2758">
        <v>4</v>
      </c>
      <c r="E2758">
        <v>52.56</v>
      </c>
      <c r="F2758">
        <v>52.56</v>
      </c>
      <c r="G2758" t="s">
        <v>5325</v>
      </c>
      <c r="H2758" t="s">
        <v>5788</v>
      </c>
      <c r="I2758" t="s">
        <v>5359</v>
      </c>
      <c r="J2758" t="s">
        <v>5789</v>
      </c>
      <c r="L2758" t="s">
        <v>5326</v>
      </c>
    </row>
    <row r="2759" spans="1:12" x14ac:dyDescent="0.2">
      <c r="A2759" t="s">
        <v>1767</v>
      </c>
      <c r="B2759" t="s">
        <v>1769</v>
      </c>
      <c r="C2759" t="s">
        <v>5324</v>
      </c>
      <c r="D2759">
        <v>4</v>
      </c>
      <c r="E2759">
        <v>259.2</v>
      </c>
      <c r="F2759">
        <v>259.2</v>
      </c>
      <c r="G2759" t="s">
        <v>5325</v>
      </c>
      <c r="H2759" t="s">
        <v>5790</v>
      </c>
      <c r="I2759" t="s">
        <v>5359</v>
      </c>
      <c r="J2759" t="s">
        <v>5791</v>
      </c>
      <c r="L2759" t="s">
        <v>5326</v>
      </c>
    </row>
    <row r="2760" spans="1:12" x14ac:dyDescent="0.2">
      <c r="A2760" t="s">
        <v>1767</v>
      </c>
      <c r="B2760" t="s">
        <v>1769</v>
      </c>
      <c r="C2760" t="s">
        <v>5324</v>
      </c>
      <c r="D2760">
        <v>4</v>
      </c>
      <c r="E2760">
        <v>184.84</v>
      </c>
      <c r="F2760">
        <v>184.84</v>
      </c>
      <c r="G2760" t="s">
        <v>5325</v>
      </c>
      <c r="H2760" t="s">
        <v>5792</v>
      </c>
      <c r="I2760" t="s">
        <v>5359</v>
      </c>
      <c r="J2760" t="s">
        <v>5793</v>
      </c>
      <c r="L2760" t="s">
        <v>5326</v>
      </c>
    </row>
    <row r="2761" spans="1:12" x14ac:dyDescent="0.2">
      <c r="A2761" t="s">
        <v>1767</v>
      </c>
      <c r="B2761" t="s">
        <v>1769</v>
      </c>
      <c r="C2761" t="s">
        <v>5324</v>
      </c>
      <c r="D2761">
        <v>4</v>
      </c>
      <c r="E2761">
        <v>1061.3399999999999</v>
      </c>
      <c r="F2761">
        <v>1061.3399999999999</v>
      </c>
      <c r="G2761" t="s">
        <v>5325</v>
      </c>
      <c r="H2761" t="s">
        <v>5794</v>
      </c>
      <c r="I2761" t="s">
        <v>5359</v>
      </c>
      <c r="J2761" t="s">
        <v>5795</v>
      </c>
      <c r="L2761" t="s">
        <v>5326</v>
      </c>
    </row>
    <row r="2762" spans="1:12" x14ac:dyDescent="0.2">
      <c r="A2762" t="s">
        <v>1767</v>
      </c>
      <c r="B2762" t="s">
        <v>1769</v>
      </c>
      <c r="C2762" t="s">
        <v>5324</v>
      </c>
      <c r="D2762">
        <v>4</v>
      </c>
      <c r="E2762">
        <v>336.34</v>
      </c>
      <c r="F2762">
        <v>336.34</v>
      </c>
      <c r="G2762" t="s">
        <v>5325</v>
      </c>
      <c r="H2762" t="s">
        <v>5796</v>
      </c>
      <c r="I2762" t="s">
        <v>5359</v>
      </c>
      <c r="J2762" t="s">
        <v>5797</v>
      </c>
      <c r="L2762" t="s">
        <v>5326</v>
      </c>
    </row>
    <row r="2763" spans="1:12" x14ac:dyDescent="0.2">
      <c r="A2763" t="s">
        <v>1767</v>
      </c>
      <c r="B2763" t="s">
        <v>1769</v>
      </c>
      <c r="C2763" t="s">
        <v>5324</v>
      </c>
      <c r="D2763">
        <v>4</v>
      </c>
      <c r="E2763">
        <v>45.5</v>
      </c>
      <c r="F2763">
        <v>45.5</v>
      </c>
      <c r="G2763" t="s">
        <v>5325</v>
      </c>
      <c r="H2763" t="s">
        <v>5798</v>
      </c>
      <c r="I2763" t="s">
        <v>5359</v>
      </c>
      <c r="J2763" t="s">
        <v>5799</v>
      </c>
      <c r="L2763" t="s">
        <v>5326</v>
      </c>
    </row>
    <row r="2764" spans="1:12" x14ac:dyDescent="0.2">
      <c r="A2764" t="s">
        <v>1767</v>
      </c>
      <c r="B2764" t="s">
        <v>1769</v>
      </c>
      <c r="C2764" t="s">
        <v>5324</v>
      </c>
      <c r="D2764">
        <v>4</v>
      </c>
      <c r="E2764">
        <v>434.49</v>
      </c>
      <c r="F2764">
        <v>434.49</v>
      </c>
      <c r="G2764" t="s">
        <v>5325</v>
      </c>
      <c r="H2764" t="s">
        <v>5800</v>
      </c>
      <c r="I2764" t="s">
        <v>5359</v>
      </c>
      <c r="J2764" t="s">
        <v>5801</v>
      </c>
      <c r="L2764" t="s">
        <v>5326</v>
      </c>
    </row>
    <row r="2765" spans="1:12" x14ac:dyDescent="0.2">
      <c r="A2765" t="s">
        <v>1767</v>
      </c>
      <c r="B2765" t="s">
        <v>1769</v>
      </c>
      <c r="C2765" t="s">
        <v>5324</v>
      </c>
      <c r="D2765">
        <v>4</v>
      </c>
      <c r="E2765">
        <v>571.96</v>
      </c>
      <c r="F2765">
        <v>571.96</v>
      </c>
      <c r="G2765" t="s">
        <v>5325</v>
      </c>
      <c r="H2765" t="s">
        <v>5802</v>
      </c>
      <c r="I2765" t="s">
        <v>5359</v>
      </c>
      <c r="J2765" t="s">
        <v>5803</v>
      </c>
      <c r="L2765" t="s">
        <v>5326</v>
      </c>
    </row>
    <row r="2766" spans="1:12" x14ac:dyDescent="0.2">
      <c r="A2766" t="s">
        <v>1767</v>
      </c>
      <c r="B2766" t="s">
        <v>1769</v>
      </c>
      <c r="C2766" t="s">
        <v>5324</v>
      </c>
      <c r="D2766">
        <v>4</v>
      </c>
      <c r="E2766">
        <v>1319.72</v>
      </c>
      <c r="F2766">
        <v>1319.72</v>
      </c>
      <c r="G2766" t="s">
        <v>5325</v>
      </c>
      <c r="H2766" t="s">
        <v>5804</v>
      </c>
      <c r="I2766" t="s">
        <v>5359</v>
      </c>
      <c r="J2766" t="s">
        <v>5805</v>
      </c>
      <c r="L2766" t="s">
        <v>5326</v>
      </c>
    </row>
    <row r="2767" spans="1:12" x14ac:dyDescent="0.2">
      <c r="A2767" t="s">
        <v>1767</v>
      </c>
      <c r="B2767" t="s">
        <v>1769</v>
      </c>
      <c r="C2767" t="s">
        <v>5324</v>
      </c>
      <c r="D2767">
        <v>4</v>
      </c>
      <c r="E2767">
        <v>440</v>
      </c>
      <c r="F2767">
        <v>440</v>
      </c>
      <c r="G2767" t="s">
        <v>5325</v>
      </c>
      <c r="H2767" t="s">
        <v>5354</v>
      </c>
      <c r="I2767" t="s">
        <v>5359</v>
      </c>
      <c r="J2767" t="s">
        <v>5806</v>
      </c>
      <c r="L2767" t="s">
        <v>5326</v>
      </c>
    </row>
    <row r="2768" spans="1:12" x14ac:dyDescent="0.2">
      <c r="A2768" t="s">
        <v>1767</v>
      </c>
      <c r="B2768" t="s">
        <v>1769</v>
      </c>
      <c r="C2768" t="s">
        <v>5324</v>
      </c>
      <c r="D2768">
        <v>4</v>
      </c>
      <c r="E2768">
        <v>1319.72</v>
      </c>
      <c r="F2768">
        <v>1319.72</v>
      </c>
      <c r="G2768" t="s">
        <v>5325</v>
      </c>
      <c r="H2768" t="s">
        <v>5804</v>
      </c>
      <c r="I2768" t="s">
        <v>5359</v>
      </c>
      <c r="J2768" t="s">
        <v>5805</v>
      </c>
      <c r="L2768" t="s">
        <v>5326</v>
      </c>
    </row>
    <row r="2769" spans="1:12" x14ac:dyDescent="0.2">
      <c r="A2769" t="s">
        <v>1767</v>
      </c>
      <c r="B2769" t="s">
        <v>1769</v>
      </c>
      <c r="C2769" t="s">
        <v>5324</v>
      </c>
      <c r="D2769">
        <v>4</v>
      </c>
      <c r="E2769">
        <v>52.42</v>
      </c>
      <c r="F2769">
        <v>52.42</v>
      </c>
      <c r="G2769" t="s">
        <v>5325</v>
      </c>
      <c r="H2769" t="s">
        <v>5807</v>
      </c>
      <c r="I2769" t="s">
        <v>5359</v>
      </c>
      <c r="J2769" t="s">
        <v>5808</v>
      </c>
      <c r="L2769" t="s">
        <v>5326</v>
      </c>
    </row>
    <row r="2770" spans="1:12" x14ac:dyDescent="0.2">
      <c r="A2770" t="s">
        <v>1767</v>
      </c>
      <c r="B2770" t="s">
        <v>1769</v>
      </c>
      <c r="C2770" t="s">
        <v>5324</v>
      </c>
      <c r="D2770">
        <v>4</v>
      </c>
      <c r="E2770">
        <v>1319.72</v>
      </c>
      <c r="F2770">
        <v>1319.72</v>
      </c>
      <c r="G2770" t="s">
        <v>5325</v>
      </c>
      <c r="H2770" t="s">
        <v>5804</v>
      </c>
      <c r="I2770" t="s">
        <v>5359</v>
      </c>
      <c r="J2770" t="s">
        <v>5805</v>
      </c>
      <c r="L2770" t="s">
        <v>5326</v>
      </c>
    </row>
    <row r="2771" spans="1:12" x14ac:dyDescent="0.2">
      <c r="A2771" t="s">
        <v>1767</v>
      </c>
      <c r="B2771" t="s">
        <v>1769</v>
      </c>
      <c r="C2771" t="s">
        <v>5324</v>
      </c>
      <c r="D2771">
        <v>4</v>
      </c>
      <c r="E2771">
        <v>1319.72</v>
      </c>
      <c r="F2771">
        <v>1319.72</v>
      </c>
      <c r="G2771" t="s">
        <v>5325</v>
      </c>
      <c r="H2771" t="s">
        <v>5804</v>
      </c>
      <c r="I2771" t="s">
        <v>5359</v>
      </c>
      <c r="J2771" t="s">
        <v>5805</v>
      </c>
      <c r="L2771" t="s">
        <v>5326</v>
      </c>
    </row>
    <row r="2772" spans="1:12" x14ac:dyDescent="0.2">
      <c r="A2772" t="s">
        <v>1767</v>
      </c>
      <c r="B2772" t="s">
        <v>1769</v>
      </c>
      <c r="C2772" t="s">
        <v>5324</v>
      </c>
      <c r="D2772">
        <v>4</v>
      </c>
      <c r="E2772">
        <v>484.34</v>
      </c>
      <c r="F2772">
        <v>484.34</v>
      </c>
      <c r="G2772" t="s">
        <v>5325</v>
      </c>
      <c r="H2772" t="s">
        <v>5809</v>
      </c>
      <c r="I2772" t="s">
        <v>5359</v>
      </c>
      <c r="J2772" t="s">
        <v>5810</v>
      </c>
      <c r="L2772" t="s">
        <v>5326</v>
      </c>
    </row>
    <row r="2773" spans="1:12" x14ac:dyDescent="0.2">
      <c r="A2773" t="s">
        <v>1767</v>
      </c>
      <c r="B2773" t="s">
        <v>1769</v>
      </c>
      <c r="C2773" t="s">
        <v>5324</v>
      </c>
      <c r="D2773">
        <v>4</v>
      </c>
      <c r="E2773">
        <v>2392.08</v>
      </c>
      <c r="F2773">
        <v>2392.08</v>
      </c>
      <c r="G2773" t="s">
        <v>5325</v>
      </c>
      <c r="H2773" t="s">
        <v>5811</v>
      </c>
      <c r="I2773" t="s">
        <v>5359</v>
      </c>
      <c r="J2773" t="s">
        <v>5812</v>
      </c>
      <c r="L2773" t="s">
        <v>5326</v>
      </c>
    </row>
    <row r="2774" spans="1:12" x14ac:dyDescent="0.2">
      <c r="A2774" t="s">
        <v>1767</v>
      </c>
      <c r="B2774" t="s">
        <v>1769</v>
      </c>
      <c r="C2774" t="s">
        <v>5324</v>
      </c>
      <c r="D2774">
        <v>4</v>
      </c>
      <c r="E2774">
        <v>82.2</v>
      </c>
      <c r="F2774">
        <v>82.2</v>
      </c>
      <c r="G2774" t="s">
        <v>5325</v>
      </c>
      <c r="H2774" t="s">
        <v>5813</v>
      </c>
      <c r="I2774" t="s">
        <v>5359</v>
      </c>
      <c r="J2774" t="s">
        <v>5814</v>
      </c>
      <c r="L2774" t="s">
        <v>5326</v>
      </c>
    </row>
    <row r="2775" spans="1:12" x14ac:dyDescent="0.2">
      <c r="A2775" t="s">
        <v>1767</v>
      </c>
      <c r="B2775" t="s">
        <v>1769</v>
      </c>
      <c r="C2775" t="s">
        <v>5324</v>
      </c>
      <c r="D2775">
        <v>4</v>
      </c>
      <c r="E2775">
        <v>546.32000000000005</v>
      </c>
      <c r="F2775">
        <v>546.32000000000005</v>
      </c>
      <c r="G2775" t="s">
        <v>5325</v>
      </c>
      <c r="H2775" t="s">
        <v>5815</v>
      </c>
      <c r="I2775" t="s">
        <v>5359</v>
      </c>
      <c r="J2775" t="s">
        <v>5816</v>
      </c>
      <c r="L2775" t="s">
        <v>5326</v>
      </c>
    </row>
    <row r="2776" spans="1:12" x14ac:dyDescent="0.2">
      <c r="A2776" t="s">
        <v>1767</v>
      </c>
      <c r="B2776" t="s">
        <v>1769</v>
      </c>
      <c r="C2776" t="s">
        <v>5324</v>
      </c>
      <c r="D2776">
        <v>4</v>
      </c>
      <c r="E2776">
        <v>1216</v>
      </c>
      <c r="F2776">
        <v>1216</v>
      </c>
      <c r="G2776" t="s">
        <v>5325</v>
      </c>
      <c r="H2776" t="s">
        <v>5817</v>
      </c>
      <c r="I2776" t="s">
        <v>5359</v>
      </c>
      <c r="J2776" t="s">
        <v>5818</v>
      </c>
      <c r="L2776" t="s">
        <v>5326</v>
      </c>
    </row>
    <row r="2777" spans="1:12" x14ac:dyDescent="0.2">
      <c r="A2777" t="s">
        <v>1767</v>
      </c>
      <c r="B2777" t="s">
        <v>1769</v>
      </c>
      <c r="C2777" t="s">
        <v>5324</v>
      </c>
      <c r="D2777">
        <v>4</v>
      </c>
      <c r="E2777">
        <v>39</v>
      </c>
      <c r="F2777">
        <v>39</v>
      </c>
      <c r="G2777" t="s">
        <v>5325</v>
      </c>
      <c r="H2777" t="s">
        <v>5819</v>
      </c>
      <c r="I2777" t="s">
        <v>5359</v>
      </c>
      <c r="J2777" t="s">
        <v>5820</v>
      </c>
      <c r="L2777" t="s">
        <v>5326</v>
      </c>
    </row>
    <row r="2778" spans="1:12" x14ac:dyDescent="0.2">
      <c r="A2778" t="s">
        <v>1767</v>
      </c>
      <c r="B2778" t="s">
        <v>1769</v>
      </c>
      <c r="C2778" t="s">
        <v>5324</v>
      </c>
      <c r="D2778">
        <v>4</v>
      </c>
      <c r="E2778">
        <v>3.6</v>
      </c>
      <c r="F2778">
        <v>3.6</v>
      </c>
      <c r="G2778" t="s">
        <v>5325</v>
      </c>
      <c r="H2778" t="s">
        <v>5546</v>
      </c>
      <c r="I2778" t="s">
        <v>5359</v>
      </c>
      <c r="J2778" t="s">
        <v>4549</v>
      </c>
      <c r="L2778" t="s">
        <v>5326</v>
      </c>
    </row>
    <row r="2779" spans="1:12" x14ac:dyDescent="0.2">
      <c r="A2779" t="s">
        <v>1767</v>
      </c>
      <c r="B2779" t="s">
        <v>1769</v>
      </c>
      <c r="C2779" t="s">
        <v>5324</v>
      </c>
      <c r="D2779">
        <v>4</v>
      </c>
      <c r="E2779">
        <v>9</v>
      </c>
      <c r="F2779">
        <v>9</v>
      </c>
      <c r="G2779" t="s">
        <v>5325</v>
      </c>
      <c r="H2779" t="s">
        <v>5821</v>
      </c>
      <c r="I2779" t="s">
        <v>5359</v>
      </c>
      <c r="J2779" t="s">
        <v>5822</v>
      </c>
      <c r="L2779" t="s">
        <v>5326</v>
      </c>
    </row>
    <row r="2780" spans="1:12" x14ac:dyDescent="0.2">
      <c r="A2780" t="s">
        <v>1767</v>
      </c>
      <c r="B2780" t="s">
        <v>1769</v>
      </c>
      <c r="C2780" t="s">
        <v>5324</v>
      </c>
      <c r="D2780">
        <v>4</v>
      </c>
      <c r="E2780">
        <v>8.58</v>
      </c>
      <c r="F2780">
        <v>8.58</v>
      </c>
      <c r="G2780" t="s">
        <v>5325</v>
      </c>
      <c r="H2780" t="s">
        <v>5823</v>
      </c>
      <c r="I2780" t="s">
        <v>5359</v>
      </c>
      <c r="J2780" t="s">
        <v>5824</v>
      </c>
      <c r="L2780" t="s">
        <v>5326</v>
      </c>
    </row>
    <row r="2781" spans="1:12" x14ac:dyDescent="0.2">
      <c r="A2781" t="s">
        <v>1767</v>
      </c>
      <c r="B2781" t="s">
        <v>1769</v>
      </c>
      <c r="C2781" t="s">
        <v>5324</v>
      </c>
      <c r="D2781">
        <v>4</v>
      </c>
      <c r="E2781">
        <v>0</v>
      </c>
      <c r="F2781">
        <v>0</v>
      </c>
      <c r="G2781" t="s">
        <v>5325</v>
      </c>
      <c r="H2781" t="s">
        <v>5329</v>
      </c>
      <c r="I2781" t="s">
        <v>5359</v>
      </c>
      <c r="J2781" t="s">
        <v>2471</v>
      </c>
      <c r="L2781" t="s">
        <v>5326</v>
      </c>
    </row>
    <row r="2782" spans="1:12" x14ac:dyDescent="0.2">
      <c r="A2782" t="s">
        <v>1767</v>
      </c>
      <c r="B2782" t="s">
        <v>1769</v>
      </c>
      <c r="C2782" t="s">
        <v>5324</v>
      </c>
      <c r="D2782">
        <v>4</v>
      </c>
      <c r="E2782">
        <v>104.8</v>
      </c>
      <c r="F2782">
        <v>104.8</v>
      </c>
      <c r="G2782" t="s">
        <v>5325</v>
      </c>
      <c r="H2782" t="s">
        <v>5825</v>
      </c>
      <c r="I2782" t="s">
        <v>5359</v>
      </c>
      <c r="J2782" t="s">
        <v>5826</v>
      </c>
      <c r="L2782" t="s">
        <v>5326</v>
      </c>
    </row>
    <row r="2783" spans="1:12" x14ac:dyDescent="0.2">
      <c r="A2783" t="s">
        <v>1767</v>
      </c>
      <c r="B2783" t="s">
        <v>1769</v>
      </c>
      <c r="C2783" t="s">
        <v>5324</v>
      </c>
      <c r="D2783">
        <v>4</v>
      </c>
      <c r="E2783">
        <v>1.1000000000000001</v>
      </c>
      <c r="F2783">
        <v>1.1000000000000001</v>
      </c>
      <c r="G2783" t="s">
        <v>5325</v>
      </c>
      <c r="H2783" t="s">
        <v>5673</v>
      </c>
      <c r="I2783" t="s">
        <v>5359</v>
      </c>
      <c r="J2783" t="s">
        <v>2468</v>
      </c>
      <c r="L2783" t="s">
        <v>5326</v>
      </c>
    </row>
    <row r="2784" spans="1:12" x14ac:dyDescent="0.2">
      <c r="A2784" t="s">
        <v>1767</v>
      </c>
      <c r="B2784" t="s">
        <v>1769</v>
      </c>
      <c r="C2784" t="s">
        <v>5324</v>
      </c>
      <c r="D2784">
        <v>4</v>
      </c>
      <c r="E2784">
        <v>22.1</v>
      </c>
      <c r="F2784">
        <v>22.1</v>
      </c>
      <c r="G2784" t="s">
        <v>5325</v>
      </c>
      <c r="H2784" t="s">
        <v>5827</v>
      </c>
      <c r="I2784" t="s">
        <v>5359</v>
      </c>
      <c r="J2784" t="s">
        <v>5828</v>
      </c>
      <c r="L2784" t="s">
        <v>5326</v>
      </c>
    </row>
    <row r="2785" spans="1:12" x14ac:dyDescent="0.2">
      <c r="A2785" t="s">
        <v>1767</v>
      </c>
      <c r="B2785" t="s">
        <v>1769</v>
      </c>
      <c r="C2785" t="s">
        <v>5324</v>
      </c>
      <c r="D2785">
        <v>4</v>
      </c>
      <c r="E2785">
        <v>1.1200000000000001</v>
      </c>
      <c r="F2785">
        <v>1.1200000000000001</v>
      </c>
      <c r="G2785" t="s">
        <v>5325</v>
      </c>
      <c r="H2785" t="s">
        <v>5687</v>
      </c>
      <c r="I2785" t="s">
        <v>5359</v>
      </c>
      <c r="J2785" t="s">
        <v>5829</v>
      </c>
      <c r="L2785" t="s">
        <v>5326</v>
      </c>
    </row>
    <row r="2786" spans="1:12" x14ac:dyDescent="0.2">
      <c r="A2786" t="s">
        <v>1767</v>
      </c>
      <c r="B2786" t="s">
        <v>1769</v>
      </c>
      <c r="C2786" t="s">
        <v>5324</v>
      </c>
      <c r="D2786">
        <v>4</v>
      </c>
      <c r="E2786">
        <v>2.7</v>
      </c>
      <c r="F2786">
        <v>2.7</v>
      </c>
      <c r="G2786" t="s">
        <v>5325</v>
      </c>
      <c r="H2786" t="s">
        <v>5560</v>
      </c>
      <c r="I2786" t="s">
        <v>5359</v>
      </c>
      <c r="J2786" t="s">
        <v>5830</v>
      </c>
      <c r="L2786" t="s">
        <v>5326</v>
      </c>
    </row>
    <row r="2787" spans="1:12" x14ac:dyDescent="0.2">
      <c r="A2787" t="s">
        <v>1767</v>
      </c>
      <c r="B2787" t="s">
        <v>1769</v>
      </c>
      <c r="C2787" t="s">
        <v>5324</v>
      </c>
      <c r="D2787">
        <v>4</v>
      </c>
      <c r="E2787">
        <v>1018.05</v>
      </c>
      <c r="F2787">
        <v>1018.05</v>
      </c>
      <c r="G2787" t="s">
        <v>5325</v>
      </c>
      <c r="H2787" t="s">
        <v>5831</v>
      </c>
      <c r="I2787" t="s">
        <v>5359</v>
      </c>
      <c r="J2787" t="s">
        <v>5832</v>
      </c>
      <c r="L2787" t="s">
        <v>5326</v>
      </c>
    </row>
    <row r="2788" spans="1:12" x14ac:dyDescent="0.2">
      <c r="A2788" t="s">
        <v>1767</v>
      </c>
      <c r="B2788" t="s">
        <v>1769</v>
      </c>
      <c r="C2788" t="s">
        <v>5324</v>
      </c>
      <c r="D2788">
        <v>4</v>
      </c>
      <c r="E2788">
        <v>7.56</v>
      </c>
      <c r="F2788">
        <v>7.56</v>
      </c>
      <c r="G2788" t="s">
        <v>5325</v>
      </c>
      <c r="H2788" t="s">
        <v>5833</v>
      </c>
      <c r="I2788" t="s">
        <v>5359</v>
      </c>
      <c r="J2788" t="s">
        <v>5834</v>
      </c>
      <c r="L2788" t="s">
        <v>5326</v>
      </c>
    </row>
    <row r="2789" spans="1:12" x14ac:dyDescent="0.2">
      <c r="A2789" t="s">
        <v>1767</v>
      </c>
      <c r="B2789" t="s">
        <v>1769</v>
      </c>
      <c r="C2789" t="s">
        <v>5324</v>
      </c>
      <c r="D2789">
        <v>4</v>
      </c>
      <c r="E2789">
        <v>115</v>
      </c>
      <c r="F2789">
        <v>115</v>
      </c>
      <c r="G2789" t="s">
        <v>5325</v>
      </c>
      <c r="H2789" t="s">
        <v>5835</v>
      </c>
      <c r="I2789" t="s">
        <v>5359</v>
      </c>
      <c r="J2789" t="s">
        <v>5836</v>
      </c>
      <c r="L2789" t="s">
        <v>5326</v>
      </c>
    </row>
    <row r="2790" spans="1:12" x14ac:dyDescent="0.2">
      <c r="A2790" t="s">
        <v>1767</v>
      </c>
      <c r="B2790" t="s">
        <v>1769</v>
      </c>
      <c r="C2790" t="s">
        <v>5324</v>
      </c>
      <c r="D2790">
        <v>4</v>
      </c>
      <c r="E2790">
        <v>45.43</v>
      </c>
      <c r="F2790">
        <v>45.43</v>
      </c>
      <c r="G2790" t="s">
        <v>5325</v>
      </c>
      <c r="H2790" t="s">
        <v>5837</v>
      </c>
      <c r="I2790" t="s">
        <v>5359</v>
      </c>
      <c r="J2790" t="s">
        <v>5838</v>
      </c>
      <c r="L2790" t="s">
        <v>5326</v>
      </c>
    </row>
    <row r="2791" spans="1:12" x14ac:dyDescent="0.2">
      <c r="A2791" t="s">
        <v>1767</v>
      </c>
      <c r="B2791" t="s">
        <v>1769</v>
      </c>
      <c r="C2791" t="s">
        <v>5324</v>
      </c>
      <c r="D2791">
        <v>4</v>
      </c>
      <c r="E2791">
        <v>1687</v>
      </c>
      <c r="F2791">
        <v>1687</v>
      </c>
      <c r="G2791" t="s">
        <v>5325</v>
      </c>
      <c r="H2791" t="s">
        <v>5662</v>
      </c>
      <c r="I2791" t="s">
        <v>5359</v>
      </c>
      <c r="J2791" t="s">
        <v>5663</v>
      </c>
      <c r="L2791" t="s">
        <v>5326</v>
      </c>
    </row>
    <row r="2792" spans="1:12" x14ac:dyDescent="0.2">
      <c r="A2792" t="s">
        <v>1767</v>
      </c>
      <c r="B2792" t="s">
        <v>1769</v>
      </c>
      <c r="C2792" t="s">
        <v>5324</v>
      </c>
      <c r="D2792">
        <v>4</v>
      </c>
      <c r="E2792">
        <v>2169</v>
      </c>
      <c r="F2792">
        <v>2169</v>
      </c>
      <c r="G2792" t="s">
        <v>5325</v>
      </c>
      <c r="H2792" t="s">
        <v>5839</v>
      </c>
      <c r="I2792" t="s">
        <v>5359</v>
      </c>
      <c r="J2792" t="s">
        <v>5840</v>
      </c>
      <c r="L2792" t="s">
        <v>5326</v>
      </c>
    </row>
    <row r="2793" spans="1:12" x14ac:dyDescent="0.2">
      <c r="A2793" t="s">
        <v>1767</v>
      </c>
      <c r="B2793" t="s">
        <v>1769</v>
      </c>
      <c r="C2793" t="s">
        <v>5324</v>
      </c>
      <c r="D2793">
        <v>4</v>
      </c>
      <c r="E2793">
        <v>319.5</v>
      </c>
      <c r="F2793">
        <v>319.5</v>
      </c>
      <c r="G2793" t="s">
        <v>5325</v>
      </c>
      <c r="H2793" t="s">
        <v>5841</v>
      </c>
      <c r="I2793" t="s">
        <v>5359</v>
      </c>
      <c r="J2793" t="s">
        <v>5842</v>
      </c>
      <c r="L2793" t="s">
        <v>5326</v>
      </c>
    </row>
    <row r="2794" spans="1:12" x14ac:dyDescent="0.2">
      <c r="A2794" t="s">
        <v>1767</v>
      </c>
      <c r="B2794" t="s">
        <v>1769</v>
      </c>
      <c r="C2794" t="s">
        <v>5324</v>
      </c>
      <c r="D2794">
        <v>4</v>
      </c>
      <c r="E2794">
        <v>15.45</v>
      </c>
      <c r="F2794">
        <v>15.45</v>
      </c>
      <c r="G2794" t="s">
        <v>5325</v>
      </c>
      <c r="H2794" t="s">
        <v>5657</v>
      </c>
      <c r="I2794" t="s">
        <v>5359</v>
      </c>
      <c r="J2794" t="s">
        <v>4408</v>
      </c>
      <c r="L2794" t="s">
        <v>5326</v>
      </c>
    </row>
    <row r="2795" spans="1:12" x14ac:dyDescent="0.2">
      <c r="A2795" t="s">
        <v>1767</v>
      </c>
      <c r="B2795" t="s">
        <v>1769</v>
      </c>
      <c r="C2795" t="s">
        <v>5324</v>
      </c>
      <c r="D2795">
        <v>4</v>
      </c>
      <c r="E2795">
        <v>0</v>
      </c>
      <c r="F2795">
        <v>0</v>
      </c>
      <c r="G2795" t="s">
        <v>5325</v>
      </c>
      <c r="H2795" t="s">
        <v>5329</v>
      </c>
      <c r="I2795" t="s">
        <v>5359</v>
      </c>
      <c r="J2795" t="s">
        <v>5843</v>
      </c>
      <c r="L2795" t="s">
        <v>5326</v>
      </c>
    </row>
    <row r="2796" spans="1:12" x14ac:dyDescent="0.2">
      <c r="A2796" t="s">
        <v>1767</v>
      </c>
      <c r="B2796" t="s">
        <v>1769</v>
      </c>
      <c r="C2796" t="s">
        <v>5324</v>
      </c>
      <c r="D2796">
        <v>4</v>
      </c>
      <c r="E2796">
        <v>44.2</v>
      </c>
      <c r="F2796">
        <v>44.2</v>
      </c>
      <c r="G2796" t="s">
        <v>5325</v>
      </c>
      <c r="H2796" t="s">
        <v>5844</v>
      </c>
      <c r="I2796" t="s">
        <v>5359</v>
      </c>
      <c r="J2796" t="s">
        <v>5845</v>
      </c>
      <c r="L2796" t="s">
        <v>5326</v>
      </c>
    </row>
    <row r="2797" spans="1:12" x14ac:dyDescent="0.2">
      <c r="A2797" t="s">
        <v>1767</v>
      </c>
      <c r="B2797" t="s">
        <v>1769</v>
      </c>
      <c r="C2797" t="s">
        <v>5324</v>
      </c>
      <c r="D2797">
        <v>4</v>
      </c>
      <c r="E2797">
        <v>800</v>
      </c>
      <c r="F2797">
        <v>800</v>
      </c>
      <c r="G2797" t="s">
        <v>5325</v>
      </c>
      <c r="H2797" t="s">
        <v>5846</v>
      </c>
      <c r="I2797" t="s">
        <v>5359</v>
      </c>
      <c r="J2797" t="s">
        <v>5847</v>
      </c>
      <c r="L2797" t="s">
        <v>5326</v>
      </c>
    </row>
    <row r="2798" spans="1:12" x14ac:dyDescent="0.2">
      <c r="A2798" t="s">
        <v>1767</v>
      </c>
      <c r="B2798" t="s">
        <v>1769</v>
      </c>
      <c r="C2798" t="s">
        <v>5324</v>
      </c>
      <c r="D2798">
        <v>4</v>
      </c>
      <c r="E2798">
        <v>470</v>
      </c>
      <c r="F2798">
        <v>470</v>
      </c>
      <c r="G2798" t="s">
        <v>5325</v>
      </c>
      <c r="H2798" t="s">
        <v>5848</v>
      </c>
      <c r="I2798" t="s">
        <v>5359</v>
      </c>
      <c r="J2798" t="s">
        <v>5849</v>
      </c>
      <c r="L2798" t="s">
        <v>5326</v>
      </c>
    </row>
    <row r="2799" spans="1:12" x14ac:dyDescent="0.2">
      <c r="A2799" t="s">
        <v>1767</v>
      </c>
      <c r="B2799" t="s">
        <v>1769</v>
      </c>
      <c r="C2799" t="s">
        <v>5324</v>
      </c>
      <c r="D2799">
        <v>4</v>
      </c>
      <c r="E2799">
        <v>0.17</v>
      </c>
      <c r="F2799">
        <v>0.17</v>
      </c>
      <c r="G2799" t="s">
        <v>5325</v>
      </c>
      <c r="H2799" t="s">
        <v>5441</v>
      </c>
      <c r="I2799" t="s">
        <v>5359</v>
      </c>
      <c r="J2799" t="s">
        <v>5850</v>
      </c>
      <c r="L2799" t="s">
        <v>5326</v>
      </c>
    </row>
    <row r="2800" spans="1:12" x14ac:dyDescent="0.2">
      <c r="A2800" t="s">
        <v>1767</v>
      </c>
      <c r="B2800" t="s">
        <v>1769</v>
      </c>
      <c r="C2800" t="s">
        <v>5324</v>
      </c>
      <c r="D2800">
        <v>4</v>
      </c>
      <c r="E2800">
        <v>1.4</v>
      </c>
      <c r="F2800">
        <v>1.4</v>
      </c>
      <c r="G2800" t="s">
        <v>5325</v>
      </c>
      <c r="H2800" t="s">
        <v>5625</v>
      </c>
      <c r="I2800" t="s">
        <v>5359</v>
      </c>
      <c r="J2800" t="s">
        <v>5626</v>
      </c>
      <c r="L2800" t="s">
        <v>5326</v>
      </c>
    </row>
    <row r="2801" spans="1:12" x14ac:dyDescent="0.2">
      <c r="A2801" t="s">
        <v>1767</v>
      </c>
      <c r="B2801" t="s">
        <v>1769</v>
      </c>
      <c r="C2801" t="s">
        <v>5324</v>
      </c>
      <c r="D2801">
        <v>4</v>
      </c>
      <c r="E2801">
        <v>4.4000000000000004</v>
      </c>
      <c r="F2801">
        <v>4.4000000000000004</v>
      </c>
      <c r="G2801" t="s">
        <v>5325</v>
      </c>
      <c r="H2801" t="s">
        <v>5851</v>
      </c>
      <c r="I2801" t="s">
        <v>5359</v>
      </c>
      <c r="J2801" t="s">
        <v>5852</v>
      </c>
      <c r="L2801" t="s">
        <v>5326</v>
      </c>
    </row>
    <row r="2802" spans="1:12" x14ac:dyDescent="0.2">
      <c r="A2802" t="s">
        <v>1767</v>
      </c>
      <c r="B2802" t="s">
        <v>1769</v>
      </c>
      <c r="C2802" t="s">
        <v>5324</v>
      </c>
      <c r="D2802">
        <v>4</v>
      </c>
      <c r="E2802">
        <v>0.44</v>
      </c>
      <c r="F2802">
        <v>0.44</v>
      </c>
      <c r="G2802" t="s">
        <v>5325</v>
      </c>
      <c r="H2802" t="s">
        <v>5455</v>
      </c>
      <c r="I2802" t="s">
        <v>5359</v>
      </c>
      <c r="J2802" t="s">
        <v>5853</v>
      </c>
      <c r="L2802" t="s">
        <v>5326</v>
      </c>
    </row>
    <row r="2803" spans="1:12" x14ac:dyDescent="0.2">
      <c r="A2803" t="s">
        <v>1767</v>
      </c>
      <c r="B2803" t="s">
        <v>1769</v>
      </c>
      <c r="C2803" t="s">
        <v>5324</v>
      </c>
      <c r="D2803">
        <v>4</v>
      </c>
      <c r="E2803">
        <v>7.29</v>
      </c>
      <c r="F2803">
        <v>7.29</v>
      </c>
      <c r="G2803" t="s">
        <v>5325</v>
      </c>
      <c r="H2803" t="s">
        <v>5854</v>
      </c>
      <c r="I2803" t="s">
        <v>5359</v>
      </c>
      <c r="J2803" t="s">
        <v>5855</v>
      </c>
      <c r="L2803" t="s">
        <v>5326</v>
      </c>
    </row>
    <row r="2804" spans="1:12" x14ac:dyDescent="0.2">
      <c r="A2804" t="s">
        <v>1767</v>
      </c>
      <c r="B2804" t="s">
        <v>1769</v>
      </c>
      <c r="C2804" t="s">
        <v>5324</v>
      </c>
      <c r="D2804">
        <v>4</v>
      </c>
      <c r="E2804">
        <v>13.92</v>
      </c>
      <c r="F2804">
        <v>13.92</v>
      </c>
      <c r="G2804" t="s">
        <v>5325</v>
      </c>
      <c r="H2804" t="s">
        <v>5856</v>
      </c>
      <c r="I2804" t="s">
        <v>5359</v>
      </c>
      <c r="J2804" t="s">
        <v>5857</v>
      </c>
      <c r="L2804" t="s">
        <v>5326</v>
      </c>
    </row>
    <row r="2805" spans="1:12" x14ac:dyDescent="0.2">
      <c r="A2805" t="s">
        <v>1767</v>
      </c>
      <c r="B2805" t="s">
        <v>1769</v>
      </c>
      <c r="C2805" t="s">
        <v>5324</v>
      </c>
      <c r="D2805">
        <v>4</v>
      </c>
      <c r="E2805">
        <v>47.5</v>
      </c>
      <c r="F2805">
        <v>47.5</v>
      </c>
      <c r="G2805" t="s">
        <v>5325</v>
      </c>
      <c r="H2805" t="s">
        <v>5542</v>
      </c>
      <c r="I2805" t="s">
        <v>5359</v>
      </c>
      <c r="J2805" t="s">
        <v>5543</v>
      </c>
      <c r="L2805" t="s">
        <v>5326</v>
      </c>
    </row>
    <row r="2806" spans="1:12" x14ac:dyDescent="0.2">
      <c r="A2806" t="s">
        <v>1767</v>
      </c>
      <c r="B2806" t="s">
        <v>1769</v>
      </c>
      <c r="C2806" t="s">
        <v>5324</v>
      </c>
      <c r="D2806">
        <v>4</v>
      </c>
      <c r="E2806">
        <v>54.55</v>
      </c>
      <c r="F2806">
        <v>54.55</v>
      </c>
      <c r="G2806" t="s">
        <v>5325</v>
      </c>
      <c r="H2806" t="s">
        <v>5858</v>
      </c>
      <c r="I2806" t="s">
        <v>5359</v>
      </c>
      <c r="J2806" t="s">
        <v>5859</v>
      </c>
      <c r="L2806" t="s">
        <v>5326</v>
      </c>
    </row>
    <row r="2807" spans="1:12" x14ac:dyDescent="0.2">
      <c r="A2807" t="s">
        <v>1767</v>
      </c>
      <c r="B2807" t="s">
        <v>1769</v>
      </c>
      <c r="C2807" t="s">
        <v>5324</v>
      </c>
      <c r="D2807">
        <v>4</v>
      </c>
      <c r="E2807">
        <v>0</v>
      </c>
      <c r="F2807">
        <v>0</v>
      </c>
      <c r="G2807" t="s">
        <v>5325</v>
      </c>
      <c r="H2807" t="s">
        <v>5329</v>
      </c>
      <c r="I2807" t="s">
        <v>5359</v>
      </c>
      <c r="J2807" t="s">
        <v>2471</v>
      </c>
      <c r="L2807" t="s">
        <v>5326</v>
      </c>
    </row>
    <row r="2808" spans="1:12" x14ac:dyDescent="0.2">
      <c r="A2808" t="s">
        <v>1767</v>
      </c>
      <c r="B2808" t="s">
        <v>1769</v>
      </c>
      <c r="C2808" t="s">
        <v>5324</v>
      </c>
      <c r="D2808">
        <v>4</v>
      </c>
      <c r="E2808">
        <v>43.64</v>
      </c>
      <c r="F2808">
        <v>43.64</v>
      </c>
      <c r="G2808" t="s">
        <v>5325</v>
      </c>
      <c r="H2808" t="s">
        <v>5860</v>
      </c>
      <c r="I2808" t="s">
        <v>5359</v>
      </c>
      <c r="J2808" t="s">
        <v>5861</v>
      </c>
      <c r="L2808" t="s">
        <v>5326</v>
      </c>
    </row>
    <row r="2809" spans="1:12" x14ac:dyDescent="0.2">
      <c r="A2809" t="s">
        <v>1767</v>
      </c>
      <c r="B2809" t="s">
        <v>1769</v>
      </c>
      <c r="C2809" t="s">
        <v>5324</v>
      </c>
      <c r="D2809">
        <v>4</v>
      </c>
      <c r="E2809">
        <v>3.3</v>
      </c>
      <c r="F2809">
        <v>3.3</v>
      </c>
      <c r="G2809" t="s">
        <v>5325</v>
      </c>
      <c r="H2809" t="s">
        <v>5862</v>
      </c>
      <c r="I2809" t="s">
        <v>5359</v>
      </c>
      <c r="J2809" t="s">
        <v>5863</v>
      </c>
      <c r="L2809" t="s">
        <v>5326</v>
      </c>
    </row>
    <row r="2810" spans="1:12" x14ac:dyDescent="0.2">
      <c r="A2810" t="s">
        <v>1767</v>
      </c>
      <c r="B2810" t="s">
        <v>1769</v>
      </c>
      <c r="C2810" t="s">
        <v>5324</v>
      </c>
      <c r="D2810">
        <v>4</v>
      </c>
      <c r="E2810">
        <v>26</v>
      </c>
      <c r="F2810">
        <v>26</v>
      </c>
      <c r="G2810" t="s">
        <v>5325</v>
      </c>
      <c r="H2810" t="s">
        <v>5765</v>
      </c>
      <c r="I2810" t="s">
        <v>5359</v>
      </c>
      <c r="J2810" t="s">
        <v>5864</v>
      </c>
      <c r="L2810" t="s">
        <v>5326</v>
      </c>
    </row>
    <row r="2811" spans="1:12" x14ac:dyDescent="0.2">
      <c r="A2811" t="s">
        <v>1767</v>
      </c>
      <c r="B2811" t="s">
        <v>1769</v>
      </c>
      <c r="C2811" t="s">
        <v>5324</v>
      </c>
      <c r="D2811">
        <v>4</v>
      </c>
      <c r="E2811">
        <v>0</v>
      </c>
      <c r="F2811">
        <v>0</v>
      </c>
      <c r="G2811" t="s">
        <v>5325</v>
      </c>
      <c r="H2811" t="s">
        <v>5329</v>
      </c>
      <c r="I2811" t="s">
        <v>5359</v>
      </c>
      <c r="J2811" t="s">
        <v>5865</v>
      </c>
      <c r="L2811" t="s">
        <v>5326</v>
      </c>
    </row>
    <row r="2812" spans="1:12" x14ac:dyDescent="0.2">
      <c r="A2812" t="s">
        <v>1767</v>
      </c>
      <c r="B2812" t="s">
        <v>1769</v>
      </c>
      <c r="C2812" t="s">
        <v>5324</v>
      </c>
      <c r="D2812">
        <v>4</v>
      </c>
      <c r="E2812">
        <v>61.8</v>
      </c>
      <c r="F2812">
        <v>61.8</v>
      </c>
      <c r="G2812" t="s">
        <v>5325</v>
      </c>
      <c r="H2812" t="s">
        <v>5866</v>
      </c>
      <c r="I2812" t="s">
        <v>5359</v>
      </c>
      <c r="J2812" t="s">
        <v>5867</v>
      </c>
      <c r="L2812" t="s">
        <v>5326</v>
      </c>
    </row>
    <row r="2813" spans="1:12" x14ac:dyDescent="0.2">
      <c r="A2813" t="s">
        <v>1767</v>
      </c>
      <c r="B2813" t="s">
        <v>1769</v>
      </c>
      <c r="C2813" t="s">
        <v>5324</v>
      </c>
      <c r="D2813">
        <v>4</v>
      </c>
      <c r="E2813">
        <v>26.3</v>
      </c>
      <c r="F2813">
        <v>26.3</v>
      </c>
      <c r="G2813" t="s">
        <v>5325</v>
      </c>
      <c r="H2813" t="s">
        <v>5868</v>
      </c>
      <c r="I2813" t="s">
        <v>5359</v>
      </c>
      <c r="J2813" t="s">
        <v>5869</v>
      </c>
      <c r="L2813" t="s">
        <v>5326</v>
      </c>
    </row>
    <row r="2814" spans="1:12" x14ac:dyDescent="0.2">
      <c r="A2814" t="s">
        <v>1767</v>
      </c>
      <c r="B2814" t="s">
        <v>1769</v>
      </c>
      <c r="C2814" t="s">
        <v>5324</v>
      </c>
      <c r="D2814">
        <v>4</v>
      </c>
      <c r="E2814">
        <v>105.2</v>
      </c>
      <c r="F2814">
        <v>105.2</v>
      </c>
      <c r="G2814" t="s">
        <v>5325</v>
      </c>
      <c r="H2814" t="s">
        <v>5870</v>
      </c>
      <c r="I2814" t="s">
        <v>5359</v>
      </c>
      <c r="J2814" t="s">
        <v>5871</v>
      </c>
      <c r="L2814" t="s">
        <v>5326</v>
      </c>
    </row>
    <row r="2815" spans="1:12" x14ac:dyDescent="0.2">
      <c r="A2815" t="s">
        <v>1767</v>
      </c>
      <c r="B2815" t="s">
        <v>1769</v>
      </c>
      <c r="C2815" t="s">
        <v>5324</v>
      </c>
      <c r="D2815">
        <v>4</v>
      </c>
      <c r="E2815">
        <v>479.9</v>
      </c>
      <c r="F2815">
        <v>479.9</v>
      </c>
      <c r="G2815" t="s">
        <v>5325</v>
      </c>
      <c r="H2815" t="s">
        <v>5872</v>
      </c>
      <c r="I2815" t="s">
        <v>5359</v>
      </c>
      <c r="J2815" t="s">
        <v>5873</v>
      </c>
      <c r="L2815" t="s">
        <v>5326</v>
      </c>
    </row>
    <row r="2816" spans="1:12" x14ac:dyDescent="0.2">
      <c r="A2816" t="s">
        <v>1767</v>
      </c>
      <c r="B2816" t="s">
        <v>1769</v>
      </c>
      <c r="C2816" t="s">
        <v>5324</v>
      </c>
      <c r="D2816">
        <v>4</v>
      </c>
      <c r="E2816">
        <v>959.8</v>
      </c>
      <c r="F2816">
        <v>959.8</v>
      </c>
      <c r="G2816" t="s">
        <v>5325</v>
      </c>
      <c r="H2816" t="s">
        <v>5874</v>
      </c>
      <c r="I2816" t="s">
        <v>5359</v>
      </c>
      <c r="J2816" t="s">
        <v>5875</v>
      </c>
      <c r="L2816" t="s">
        <v>5326</v>
      </c>
    </row>
    <row r="2817" spans="1:12" x14ac:dyDescent="0.2">
      <c r="A2817" t="s">
        <v>1767</v>
      </c>
      <c r="B2817" t="s">
        <v>1769</v>
      </c>
      <c r="C2817" t="s">
        <v>5324</v>
      </c>
      <c r="D2817">
        <v>4</v>
      </c>
      <c r="E2817">
        <v>711.71</v>
      </c>
      <c r="F2817">
        <v>711.71</v>
      </c>
      <c r="G2817" t="s">
        <v>5325</v>
      </c>
      <c r="H2817" t="s">
        <v>5876</v>
      </c>
      <c r="I2817" t="s">
        <v>5359</v>
      </c>
      <c r="J2817" t="s">
        <v>5877</v>
      </c>
      <c r="L2817" t="s">
        <v>5326</v>
      </c>
    </row>
    <row r="2818" spans="1:12" x14ac:dyDescent="0.2">
      <c r="A2818" t="s">
        <v>1767</v>
      </c>
      <c r="B2818" t="s">
        <v>1769</v>
      </c>
      <c r="C2818" t="s">
        <v>5324</v>
      </c>
      <c r="D2818">
        <v>4</v>
      </c>
      <c r="E2818">
        <v>215.56</v>
      </c>
      <c r="F2818">
        <v>215.56</v>
      </c>
      <c r="G2818" t="s">
        <v>5325</v>
      </c>
      <c r="H2818" t="s">
        <v>5878</v>
      </c>
      <c r="I2818" t="s">
        <v>5359</v>
      </c>
      <c r="J2818" t="s">
        <v>5879</v>
      </c>
      <c r="L2818" t="s">
        <v>5326</v>
      </c>
    </row>
    <row r="2819" spans="1:12" x14ac:dyDescent="0.2">
      <c r="A2819" t="s">
        <v>1767</v>
      </c>
      <c r="B2819" t="s">
        <v>1769</v>
      </c>
      <c r="C2819" t="s">
        <v>5324</v>
      </c>
      <c r="D2819">
        <v>4</v>
      </c>
      <c r="E2819">
        <v>1163.52</v>
      </c>
      <c r="F2819">
        <v>1163.52</v>
      </c>
      <c r="G2819" t="s">
        <v>5325</v>
      </c>
      <c r="H2819" t="s">
        <v>5880</v>
      </c>
      <c r="I2819" t="s">
        <v>5359</v>
      </c>
      <c r="J2819" t="s">
        <v>5881</v>
      </c>
      <c r="L2819" t="s">
        <v>5326</v>
      </c>
    </row>
    <row r="2820" spans="1:12" x14ac:dyDescent="0.2">
      <c r="A2820" t="s">
        <v>1767</v>
      </c>
      <c r="B2820" t="s">
        <v>1769</v>
      </c>
      <c r="C2820" t="s">
        <v>5324</v>
      </c>
      <c r="D2820">
        <v>4</v>
      </c>
      <c r="E2820">
        <v>1023.84</v>
      </c>
      <c r="F2820">
        <v>1023.84</v>
      </c>
      <c r="G2820" t="s">
        <v>5325</v>
      </c>
      <c r="H2820" t="s">
        <v>5882</v>
      </c>
      <c r="I2820" t="s">
        <v>5359</v>
      </c>
      <c r="J2820" t="s">
        <v>5883</v>
      </c>
      <c r="L2820" t="s">
        <v>5326</v>
      </c>
    </row>
    <row r="2821" spans="1:12" x14ac:dyDescent="0.2">
      <c r="A2821" t="s">
        <v>1767</v>
      </c>
      <c r="B2821" t="s">
        <v>1769</v>
      </c>
      <c r="C2821" t="s">
        <v>5324</v>
      </c>
      <c r="D2821">
        <v>4</v>
      </c>
      <c r="E2821">
        <v>1199.76</v>
      </c>
      <c r="F2821">
        <v>1199.76</v>
      </c>
      <c r="G2821" t="s">
        <v>5325</v>
      </c>
      <c r="H2821" t="s">
        <v>5884</v>
      </c>
      <c r="I2821" t="s">
        <v>5359</v>
      </c>
      <c r="J2821" t="s">
        <v>5885</v>
      </c>
      <c r="L2821" t="s">
        <v>5326</v>
      </c>
    </row>
    <row r="2822" spans="1:12" x14ac:dyDescent="0.2">
      <c r="A2822" t="s">
        <v>1767</v>
      </c>
      <c r="B2822" t="s">
        <v>1769</v>
      </c>
      <c r="C2822" t="s">
        <v>5324</v>
      </c>
      <c r="D2822">
        <v>4</v>
      </c>
      <c r="E2822">
        <v>325.08</v>
      </c>
      <c r="F2822">
        <v>325.08</v>
      </c>
      <c r="G2822" t="s">
        <v>5325</v>
      </c>
      <c r="H2822" t="s">
        <v>5886</v>
      </c>
      <c r="I2822" t="s">
        <v>5359</v>
      </c>
      <c r="J2822" t="s">
        <v>5887</v>
      </c>
      <c r="L2822" t="s">
        <v>5326</v>
      </c>
    </row>
    <row r="2823" spans="1:12" x14ac:dyDescent="0.2">
      <c r="A2823" t="s">
        <v>1767</v>
      </c>
      <c r="B2823" t="s">
        <v>1769</v>
      </c>
      <c r="C2823" t="s">
        <v>5324</v>
      </c>
      <c r="D2823">
        <v>4</v>
      </c>
      <c r="E2823">
        <v>971.88</v>
      </c>
      <c r="F2823">
        <v>971.88</v>
      </c>
      <c r="G2823" t="s">
        <v>5325</v>
      </c>
      <c r="H2823" t="s">
        <v>5888</v>
      </c>
      <c r="I2823" t="s">
        <v>5359</v>
      </c>
      <c r="J2823" t="s">
        <v>5889</v>
      </c>
      <c r="L2823" t="s">
        <v>5326</v>
      </c>
    </row>
    <row r="2824" spans="1:12" x14ac:dyDescent="0.2">
      <c r="A2824" t="s">
        <v>1767</v>
      </c>
      <c r="B2824" t="s">
        <v>1769</v>
      </c>
      <c r="C2824" t="s">
        <v>5324</v>
      </c>
      <c r="D2824">
        <v>4</v>
      </c>
      <c r="E2824">
        <v>41.6</v>
      </c>
      <c r="F2824">
        <v>41.6</v>
      </c>
      <c r="G2824" t="s">
        <v>5325</v>
      </c>
      <c r="H2824" t="s">
        <v>5890</v>
      </c>
      <c r="I2824" t="s">
        <v>5359</v>
      </c>
      <c r="J2824" t="s">
        <v>5891</v>
      </c>
      <c r="L2824" t="s">
        <v>5326</v>
      </c>
    </row>
    <row r="2825" spans="1:12" x14ac:dyDescent="0.2">
      <c r="A2825" t="s">
        <v>1767</v>
      </c>
      <c r="B2825" t="s">
        <v>1769</v>
      </c>
      <c r="C2825" t="s">
        <v>5324</v>
      </c>
      <c r="D2825">
        <v>4</v>
      </c>
      <c r="E2825">
        <v>62</v>
      </c>
      <c r="F2825">
        <v>62</v>
      </c>
      <c r="G2825" t="s">
        <v>5325</v>
      </c>
      <c r="H2825" t="s">
        <v>5892</v>
      </c>
      <c r="I2825" t="s">
        <v>5359</v>
      </c>
      <c r="J2825" t="s">
        <v>5893</v>
      </c>
      <c r="L2825" t="s">
        <v>5326</v>
      </c>
    </row>
    <row r="2826" spans="1:12" x14ac:dyDescent="0.2">
      <c r="A2826" t="s">
        <v>1767</v>
      </c>
      <c r="B2826" t="s">
        <v>1769</v>
      </c>
      <c r="C2826" t="s">
        <v>5324</v>
      </c>
      <c r="D2826">
        <v>4</v>
      </c>
      <c r="E2826">
        <v>46.2</v>
      </c>
      <c r="F2826">
        <v>46.2</v>
      </c>
      <c r="G2826" t="s">
        <v>5325</v>
      </c>
      <c r="H2826" t="s">
        <v>5894</v>
      </c>
      <c r="I2826" t="s">
        <v>5359</v>
      </c>
      <c r="J2826" t="s">
        <v>5895</v>
      </c>
      <c r="L2826" t="s">
        <v>5326</v>
      </c>
    </row>
    <row r="2827" spans="1:12" x14ac:dyDescent="0.2">
      <c r="A2827" t="s">
        <v>1767</v>
      </c>
      <c r="B2827" t="s">
        <v>1769</v>
      </c>
      <c r="C2827" t="s">
        <v>5324</v>
      </c>
      <c r="D2827">
        <v>4</v>
      </c>
      <c r="E2827">
        <v>33</v>
      </c>
      <c r="F2827">
        <v>33</v>
      </c>
      <c r="G2827" t="s">
        <v>5325</v>
      </c>
      <c r="H2827" t="s">
        <v>5896</v>
      </c>
      <c r="I2827" t="s">
        <v>5359</v>
      </c>
      <c r="J2827" t="s">
        <v>5897</v>
      </c>
      <c r="L2827" t="s">
        <v>5326</v>
      </c>
    </row>
    <row r="2828" spans="1:12" x14ac:dyDescent="0.2">
      <c r="A2828" t="s">
        <v>1767</v>
      </c>
      <c r="B2828" t="s">
        <v>1769</v>
      </c>
      <c r="C2828" t="s">
        <v>5324</v>
      </c>
      <c r="D2828">
        <v>4</v>
      </c>
      <c r="E2828">
        <v>43.2</v>
      </c>
      <c r="F2828">
        <v>43.2</v>
      </c>
      <c r="G2828" t="s">
        <v>5325</v>
      </c>
      <c r="H2828" t="s">
        <v>5898</v>
      </c>
      <c r="I2828" t="s">
        <v>5359</v>
      </c>
      <c r="J2828" t="s">
        <v>4547</v>
      </c>
      <c r="L2828" t="s">
        <v>5326</v>
      </c>
    </row>
    <row r="2829" spans="1:12" x14ac:dyDescent="0.2">
      <c r="A2829" t="s">
        <v>1767</v>
      </c>
      <c r="B2829" t="s">
        <v>1769</v>
      </c>
      <c r="C2829" t="s">
        <v>5324</v>
      </c>
      <c r="D2829">
        <v>4</v>
      </c>
      <c r="E2829">
        <v>975.24</v>
      </c>
      <c r="F2829">
        <v>975.24</v>
      </c>
      <c r="G2829" t="s">
        <v>5325</v>
      </c>
      <c r="H2829" t="s">
        <v>5899</v>
      </c>
      <c r="I2829" t="s">
        <v>5359</v>
      </c>
      <c r="J2829" t="s">
        <v>5900</v>
      </c>
      <c r="L2829" t="s">
        <v>5326</v>
      </c>
    </row>
    <row r="2830" spans="1:12" x14ac:dyDescent="0.2">
      <c r="A2830" t="s">
        <v>1767</v>
      </c>
      <c r="B2830" t="s">
        <v>1769</v>
      </c>
      <c r="C2830" t="s">
        <v>5324</v>
      </c>
      <c r="D2830">
        <v>4</v>
      </c>
      <c r="E2830">
        <v>1199.76</v>
      </c>
      <c r="F2830">
        <v>1199.76</v>
      </c>
      <c r="G2830" t="s">
        <v>5325</v>
      </c>
      <c r="H2830" t="s">
        <v>5884</v>
      </c>
      <c r="I2830" t="s">
        <v>5359</v>
      </c>
      <c r="J2830" t="s">
        <v>5901</v>
      </c>
      <c r="L2830" t="s">
        <v>5326</v>
      </c>
    </row>
    <row r="2831" spans="1:12" x14ac:dyDescent="0.2">
      <c r="A2831" t="s">
        <v>1767</v>
      </c>
      <c r="B2831" t="s">
        <v>1769</v>
      </c>
      <c r="C2831" t="s">
        <v>5324</v>
      </c>
      <c r="D2831">
        <v>4</v>
      </c>
      <c r="E2831">
        <v>496.92</v>
      </c>
      <c r="F2831">
        <v>496.92</v>
      </c>
      <c r="G2831" t="s">
        <v>5325</v>
      </c>
      <c r="H2831" t="s">
        <v>5902</v>
      </c>
      <c r="I2831" t="s">
        <v>5359</v>
      </c>
      <c r="J2831" t="s">
        <v>5903</v>
      </c>
      <c r="L2831" t="s">
        <v>5326</v>
      </c>
    </row>
    <row r="2832" spans="1:12" x14ac:dyDescent="0.2">
      <c r="A2832" t="s">
        <v>1767</v>
      </c>
      <c r="B2832" t="s">
        <v>1769</v>
      </c>
      <c r="C2832" t="s">
        <v>5324</v>
      </c>
      <c r="D2832">
        <v>4</v>
      </c>
      <c r="E2832">
        <v>1439.7</v>
      </c>
      <c r="F2832">
        <v>1439.7</v>
      </c>
      <c r="G2832" t="s">
        <v>5325</v>
      </c>
      <c r="H2832" t="s">
        <v>5904</v>
      </c>
      <c r="I2832" t="s">
        <v>5359</v>
      </c>
      <c r="J2832" t="s">
        <v>5905</v>
      </c>
      <c r="L2832" t="s">
        <v>5326</v>
      </c>
    </row>
    <row r="2833" spans="1:12" x14ac:dyDescent="0.2">
      <c r="A2833" t="s">
        <v>1767</v>
      </c>
      <c r="B2833" t="s">
        <v>1769</v>
      </c>
      <c r="C2833" t="s">
        <v>5324</v>
      </c>
      <c r="D2833">
        <v>4</v>
      </c>
      <c r="E2833">
        <v>608</v>
      </c>
      <c r="F2833">
        <v>608</v>
      </c>
      <c r="G2833" t="s">
        <v>5325</v>
      </c>
      <c r="H2833" t="s">
        <v>5906</v>
      </c>
      <c r="I2833" t="s">
        <v>5359</v>
      </c>
      <c r="J2833" t="s">
        <v>5907</v>
      </c>
      <c r="L2833" t="s">
        <v>5326</v>
      </c>
    </row>
    <row r="2834" spans="1:12" x14ac:dyDescent="0.2">
      <c r="A2834" t="s">
        <v>1767</v>
      </c>
      <c r="B2834" t="s">
        <v>1769</v>
      </c>
      <c r="C2834" t="s">
        <v>5324</v>
      </c>
      <c r="D2834">
        <v>4</v>
      </c>
      <c r="E2834">
        <v>259.2</v>
      </c>
      <c r="F2834">
        <v>259.2</v>
      </c>
      <c r="G2834" t="s">
        <v>5325</v>
      </c>
      <c r="H2834" t="s">
        <v>5790</v>
      </c>
      <c r="I2834" t="s">
        <v>5359</v>
      </c>
      <c r="J2834" t="s">
        <v>5791</v>
      </c>
      <c r="L2834" t="s">
        <v>5326</v>
      </c>
    </row>
    <row r="2835" spans="1:12" x14ac:dyDescent="0.2">
      <c r="A2835" t="s">
        <v>1767</v>
      </c>
      <c r="B2835" t="s">
        <v>1769</v>
      </c>
      <c r="C2835" t="s">
        <v>5324</v>
      </c>
      <c r="D2835">
        <v>4</v>
      </c>
      <c r="E2835">
        <v>233.6</v>
      </c>
      <c r="F2835">
        <v>233.6</v>
      </c>
      <c r="G2835" t="s">
        <v>5325</v>
      </c>
      <c r="H2835" t="s">
        <v>5908</v>
      </c>
      <c r="I2835" t="s">
        <v>5359</v>
      </c>
      <c r="J2835" t="s">
        <v>5909</v>
      </c>
      <c r="L2835" t="s">
        <v>5326</v>
      </c>
    </row>
    <row r="2836" spans="1:12" x14ac:dyDescent="0.2">
      <c r="A2836" t="s">
        <v>1767</v>
      </c>
      <c r="B2836" t="s">
        <v>1769</v>
      </c>
      <c r="C2836" t="s">
        <v>5324</v>
      </c>
      <c r="D2836">
        <v>4</v>
      </c>
      <c r="E2836">
        <v>46.72</v>
      </c>
      <c r="F2836">
        <v>46.72</v>
      </c>
      <c r="G2836" t="s">
        <v>5325</v>
      </c>
      <c r="H2836" t="s">
        <v>5910</v>
      </c>
      <c r="I2836" t="s">
        <v>5359</v>
      </c>
      <c r="J2836" t="s">
        <v>5911</v>
      </c>
      <c r="L2836" t="s">
        <v>5326</v>
      </c>
    </row>
    <row r="2837" spans="1:12" x14ac:dyDescent="0.2">
      <c r="A2837" t="s">
        <v>1767</v>
      </c>
      <c r="B2837" t="s">
        <v>1769</v>
      </c>
      <c r="C2837" t="s">
        <v>5324</v>
      </c>
      <c r="D2837">
        <v>4</v>
      </c>
      <c r="E2837">
        <v>93.44</v>
      </c>
      <c r="F2837">
        <v>93.44</v>
      </c>
      <c r="G2837" t="s">
        <v>5325</v>
      </c>
      <c r="H2837" t="s">
        <v>5912</v>
      </c>
      <c r="I2837" t="s">
        <v>5359</v>
      </c>
      <c r="J2837" t="s">
        <v>5913</v>
      </c>
      <c r="L2837" t="s">
        <v>5326</v>
      </c>
    </row>
    <row r="2838" spans="1:12" x14ac:dyDescent="0.2">
      <c r="A2838" t="s">
        <v>1767</v>
      </c>
      <c r="B2838" t="s">
        <v>1769</v>
      </c>
      <c r="C2838" t="s">
        <v>5324</v>
      </c>
      <c r="D2838">
        <v>4</v>
      </c>
      <c r="E2838">
        <v>324.54000000000002</v>
      </c>
      <c r="F2838">
        <v>324.54000000000002</v>
      </c>
      <c r="G2838" t="s">
        <v>5325</v>
      </c>
      <c r="H2838" t="s">
        <v>5914</v>
      </c>
      <c r="I2838" t="s">
        <v>5359</v>
      </c>
      <c r="J2838" t="s">
        <v>5915</v>
      </c>
      <c r="L2838" t="s">
        <v>5326</v>
      </c>
    </row>
    <row r="2839" spans="1:12" x14ac:dyDescent="0.2">
      <c r="A2839" t="s">
        <v>1767</v>
      </c>
      <c r="B2839" t="s">
        <v>1769</v>
      </c>
      <c r="C2839" t="s">
        <v>5324</v>
      </c>
      <c r="D2839">
        <v>4</v>
      </c>
      <c r="E2839">
        <v>135.27000000000001</v>
      </c>
      <c r="F2839">
        <v>135.27000000000001</v>
      </c>
      <c r="G2839" t="s">
        <v>5325</v>
      </c>
      <c r="H2839" t="s">
        <v>5916</v>
      </c>
      <c r="I2839" t="s">
        <v>5359</v>
      </c>
      <c r="J2839" t="s">
        <v>2563</v>
      </c>
      <c r="L2839" t="s">
        <v>5326</v>
      </c>
    </row>
    <row r="2840" spans="1:12" x14ac:dyDescent="0.2">
      <c r="A2840" t="s">
        <v>1767</v>
      </c>
      <c r="B2840" t="s">
        <v>1769</v>
      </c>
      <c r="C2840" t="s">
        <v>5324</v>
      </c>
      <c r="D2840">
        <v>4</v>
      </c>
      <c r="E2840">
        <v>770.01</v>
      </c>
      <c r="F2840">
        <v>770.01</v>
      </c>
      <c r="G2840" t="s">
        <v>5325</v>
      </c>
      <c r="H2840" t="s">
        <v>5917</v>
      </c>
      <c r="I2840" t="s">
        <v>5359</v>
      </c>
      <c r="J2840" t="s">
        <v>5918</v>
      </c>
      <c r="L2840" t="s">
        <v>5326</v>
      </c>
    </row>
    <row r="2841" spans="1:12" x14ac:dyDescent="0.2">
      <c r="A2841" t="s">
        <v>1767</v>
      </c>
      <c r="B2841" t="s">
        <v>1769</v>
      </c>
      <c r="C2841" t="s">
        <v>5324</v>
      </c>
      <c r="D2841">
        <v>4</v>
      </c>
      <c r="E2841">
        <v>1473.76</v>
      </c>
      <c r="F2841">
        <v>1473.76</v>
      </c>
      <c r="G2841" t="s">
        <v>5325</v>
      </c>
      <c r="H2841" t="s">
        <v>5919</v>
      </c>
      <c r="I2841" t="s">
        <v>5359</v>
      </c>
      <c r="J2841" t="s">
        <v>5920</v>
      </c>
      <c r="L2841" t="s">
        <v>5326</v>
      </c>
    </row>
    <row r="2842" spans="1:12" x14ac:dyDescent="0.2">
      <c r="A2842" t="s">
        <v>1767</v>
      </c>
      <c r="B2842" t="s">
        <v>1769</v>
      </c>
      <c r="C2842" t="s">
        <v>5324</v>
      </c>
      <c r="D2842">
        <v>4</v>
      </c>
      <c r="E2842">
        <v>1713.72</v>
      </c>
      <c r="F2842">
        <v>1713.72</v>
      </c>
      <c r="G2842" t="s">
        <v>5325</v>
      </c>
      <c r="H2842" t="s">
        <v>5921</v>
      </c>
      <c r="I2842" t="s">
        <v>5359</v>
      </c>
      <c r="J2842" t="s">
        <v>5922</v>
      </c>
      <c r="L2842" t="s">
        <v>5326</v>
      </c>
    </row>
    <row r="2843" spans="1:12" x14ac:dyDescent="0.2">
      <c r="A2843" t="s">
        <v>1767</v>
      </c>
      <c r="B2843" t="s">
        <v>1769</v>
      </c>
      <c r="C2843" t="s">
        <v>5324</v>
      </c>
      <c r="D2843">
        <v>4</v>
      </c>
      <c r="E2843">
        <v>1353.78</v>
      </c>
      <c r="F2843">
        <v>1353.78</v>
      </c>
      <c r="G2843" t="s">
        <v>5325</v>
      </c>
      <c r="H2843" t="s">
        <v>5923</v>
      </c>
      <c r="I2843" t="s">
        <v>5359</v>
      </c>
      <c r="J2843" t="s">
        <v>5924</v>
      </c>
      <c r="L2843" t="s">
        <v>5326</v>
      </c>
    </row>
    <row r="2844" spans="1:12" x14ac:dyDescent="0.2">
      <c r="A2844" t="s">
        <v>1767</v>
      </c>
      <c r="B2844" t="s">
        <v>1769</v>
      </c>
      <c r="C2844" t="s">
        <v>5324</v>
      </c>
      <c r="D2844">
        <v>4</v>
      </c>
      <c r="E2844">
        <v>1319.72</v>
      </c>
      <c r="F2844">
        <v>1319.72</v>
      </c>
      <c r="G2844" t="s">
        <v>5325</v>
      </c>
      <c r="H2844" t="s">
        <v>5804</v>
      </c>
      <c r="I2844" t="s">
        <v>5359</v>
      </c>
      <c r="J2844" t="s">
        <v>5805</v>
      </c>
      <c r="L2844" t="s">
        <v>5326</v>
      </c>
    </row>
    <row r="2845" spans="1:12" x14ac:dyDescent="0.2">
      <c r="A2845" t="s">
        <v>1767</v>
      </c>
      <c r="B2845" t="s">
        <v>1769</v>
      </c>
      <c r="C2845" t="s">
        <v>5324</v>
      </c>
      <c r="D2845">
        <v>4</v>
      </c>
      <c r="E2845">
        <v>1199.76</v>
      </c>
      <c r="F2845">
        <v>1199.76</v>
      </c>
      <c r="G2845" t="s">
        <v>5325</v>
      </c>
      <c r="H2845" t="s">
        <v>5884</v>
      </c>
      <c r="I2845" t="s">
        <v>5359</v>
      </c>
      <c r="J2845" t="s">
        <v>5925</v>
      </c>
      <c r="L2845" t="s">
        <v>5326</v>
      </c>
    </row>
    <row r="2846" spans="1:12" x14ac:dyDescent="0.2">
      <c r="A2846" t="s">
        <v>1767</v>
      </c>
      <c r="B2846" t="s">
        <v>1769</v>
      </c>
      <c r="C2846" t="s">
        <v>5324</v>
      </c>
      <c r="D2846">
        <v>4</v>
      </c>
      <c r="E2846">
        <v>1113.82</v>
      </c>
      <c r="F2846">
        <v>1113.82</v>
      </c>
      <c r="G2846" t="s">
        <v>5325</v>
      </c>
      <c r="H2846" t="s">
        <v>5926</v>
      </c>
      <c r="I2846" t="s">
        <v>5359</v>
      </c>
      <c r="J2846" t="s">
        <v>5927</v>
      </c>
      <c r="L2846" t="s">
        <v>5326</v>
      </c>
    </row>
    <row r="2847" spans="1:12" x14ac:dyDescent="0.2">
      <c r="A2847" t="s">
        <v>1767</v>
      </c>
      <c r="B2847" t="s">
        <v>1769</v>
      </c>
      <c r="C2847" t="s">
        <v>5324</v>
      </c>
      <c r="D2847">
        <v>4</v>
      </c>
      <c r="E2847">
        <v>1319.72</v>
      </c>
      <c r="F2847">
        <v>1319.72</v>
      </c>
      <c r="G2847" t="s">
        <v>5325</v>
      </c>
      <c r="H2847" t="s">
        <v>5804</v>
      </c>
      <c r="I2847" t="s">
        <v>5359</v>
      </c>
      <c r="J2847" t="s">
        <v>5928</v>
      </c>
      <c r="L2847" t="s">
        <v>5326</v>
      </c>
    </row>
    <row r="2848" spans="1:12" x14ac:dyDescent="0.2">
      <c r="A2848" t="s">
        <v>1767</v>
      </c>
      <c r="B2848" t="s">
        <v>1769</v>
      </c>
      <c r="C2848" t="s">
        <v>5324</v>
      </c>
      <c r="D2848">
        <v>4</v>
      </c>
      <c r="E2848">
        <v>1202.5</v>
      </c>
      <c r="F2848">
        <v>1202.5</v>
      </c>
      <c r="G2848" t="s">
        <v>5325</v>
      </c>
      <c r="H2848" t="s">
        <v>5929</v>
      </c>
      <c r="I2848" t="s">
        <v>5359</v>
      </c>
      <c r="J2848" t="s">
        <v>5930</v>
      </c>
      <c r="L2848" t="s">
        <v>5326</v>
      </c>
    </row>
    <row r="2849" spans="1:12" x14ac:dyDescent="0.2">
      <c r="A2849" t="s">
        <v>1767</v>
      </c>
      <c r="B2849" t="s">
        <v>1769</v>
      </c>
      <c r="C2849" t="s">
        <v>5324</v>
      </c>
      <c r="D2849">
        <v>4</v>
      </c>
      <c r="E2849">
        <v>46</v>
      </c>
      <c r="F2849">
        <v>46</v>
      </c>
      <c r="G2849" t="s">
        <v>5325</v>
      </c>
      <c r="H2849" t="s">
        <v>5931</v>
      </c>
      <c r="I2849" t="s">
        <v>5359</v>
      </c>
      <c r="J2849" t="s">
        <v>5932</v>
      </c>
      <c r="L2849" t="s">
        <v>5326</v>
      </c>
    </row>
    <row r="2850" spans="1:12" x14ac:dyDescent="0.2">
      <c r="A2850" t="s">
        <v>1767</v>
      </c>
      <c r="B2850" t="s">
        <v>1769</v>
      </c>
      <c r="C2850" t="s">
        <v>5324</v>
      </c>
      <c r="D2850">
        <v>4</v>
      </c>
      <c r="E2850">
        <v>29.55</v>
      </c>
      <c r="F2850">
        <v>29.55</v>
      </c>
      <c r="G2850" t="s">
        <v>5325</v>
      </c>
      <c r="H2850" t="s">
        <v>5933</v>
      </c>
      <c r="I2850" t="s">
        <v>5359</v>
      </c>
      <c r="J2850" t="s">
        <v>5934</v>
      </c>
      <c r="L2850" t="s">
        <v>5326</v>
      </c>
    </row>
    <row r="2851" spans="1:12" x14ac:dyDescent="0.2">
      <c r="A2851" t="s">
        <v>1767</v>
      </c>
      <c r="B2851" t="s">
        <v>1769</v>
      </c>
      <c r="C2851" t="s">
        <v>5324</v>
      </c>
      <c r="D2851">
        <v>4</v>
      </c>
      <c r="E2851">
        <v>60</v>
      </c>
      <c r="F2851">
        <v>60</v>
      </c>
      <c r="G2851" t="s">
        <v>5325</v>
      </c>
      <c r="H2851" t="s">
        <v>5935</v>
      </c>
      <c r="I2851" t="s">
        <v>5359</v>
      </c>
      <c r="J2851" t="s">
        <v>5936</v>
      </c>
      <c r="L2851" t="s">
        <v>5326</v>
      </c>
    </row>
    <row r="2852" spans="1:12" x14ac:dyDescent="0.2">
      <c r="A2852" t="s">
        <v>1767</v>
      </c>
      <c r="B2852" t="s">
        <v>1769</v>
      </c>
      <c r="C2852" t="s">
        <v>5324</v>
      </c>
      <c r="D2852">
        <v>4</v>
      </c>
      <c r="E2852">
        <v>31.68</v>
      </c>
      <c r="F2852">
        <v>31.68</v>
      </c>
      <c r="G2852" t="s">
        <v>5325</v>
      </c>
      <c r="H2852" t="s">
        <v>5937</v>
      </c>
      <c r="I2852" t="s">
        <v>5359</v>
      </c>
      <c r="J2852" t="s">
        <v>5938</v>
      </c>
      <c r="L2852" t="s">
        <v>5326</v>
      </c>
    </row>
    <row r="2853" spans="1:12" x14ac:dyDescent="0.2">
      <c r="A2853" t="s">
        <v>1767</v>
      </c>
      <c r="B2853" t="s">
        <v>1769</v>
      </c>
      <c r="C2853" t="s">
        <v>5324</v>
      </c>
      <c r="D2853">
        <v>4</v>
      </c>
      <c r="E2853">
        <v>4.3499999999999996</v>
      </c>
      <c r="F2853">
        <v>4.3499999999999996</v>
      </c>
      <c r="G2853" t="s">
        <v>5325</v>
      </c>
      <c r="H2853" t="s">
        <v>5939</v>
      </c>
      <c r="I2853" t="s">
        <v>5359</v>
      </c>
      <c r="J2853" t="s">
        <v>5940</v>
      </c>
      <c r="L2853" t="s">
        <v>5326</v>
      </c>
    </row>
    <row r="2854" spans="1:12" x14ac:dyDescent="0.2">
      <c r="A2854" t="s">
        <v>1767</v>
      </c>
      <c r="B2854" t="s">
        <v>1769</v>
      </c>
      <c r="C2854" t="s">
        <v>5324</v>
      </c>
      <c r="D2854">
        <v>4</v>
      </c>
      <c r="E2854">
        <v>9.4</v>
      </c>
      <c r="F2854">
        <v>9.4</v>
      </c>
      <c r="G2854" t="s">
        <v>5325</v>
      </c>
      <c r="H2854" t="s">
        <v>5941</v>
      </c>
      <c r="I2854" t="s">
        <v>5359</v>
      </c>
      <c r="J2854" t="s">
        <v>4712</v>
      </c>
      <c r="L2854" t="s">
        <v>5326</v>
      </c>
    </row>
    <row r="2855" spans="1:12" x14ac:dyDescent="0.2">
      <c r="A2855" t="s">
        <v>1767</v>
      </c>
      <c r="B2855" t="s">
        <v>1769</v>
      </c>
      <c r="C2855" t="s">
        <v>5324</v>
      </c>
      <c r="D2855">
        <v>4</v>
      </c>
      <c r="E2855">
        <v>0</v>
      </c>
      <c r="F2855">
        <v>0</v>
      </c>
      <c r="G2855" t="s">
        <v>5325</v>
      </c>
      <c r="H2855" t="s">
        <v>5329</v>
      </c>
      <c r="I2855" t="s">
        <v>5359</v>
      </c>
      <c r="J2855" t="s">
        <v>5942</v>
      </c>
      <c r="L2855" t="s">
        <v>5326</v>
      </c>
    </row>
    <row r="2856" spans="1:12" x14ac:dyDescent="0.2">
      <c r="A2856" t="s">
        <v>1767</v>
      </c>
      <c r="B2856" t="s">
        <v>1769</v>
      </c>
      <c r="C2856" t="s">
        <v>5324</v>
      </c>
      <c r="D2856">
        <v>4</v>
      </c>
      <c r="E2856">
        <v>3.3</v>
      </c>
      <c r="F2856">
        <v>3.3</v>
      </c>
      <c r="G2856" t="s">
        <v>5325</v>
      </c>
      <c r="H2856" t="s">
        <v>5862</v>
      </c>
      <c r="I2856" t="s">
        <v>5359</v>
      </c>
      <c r="J2856" t="s">
        <v>5943</v>
      </c>
      <c r="L2856" t="s">
        <v>5326</v>
      </c>
    </row>
    <row r="2857" spans="1:12" x14ac:dyDescent="0.2">
      <c r="A2857" t="s">
        <v>1767</v>
      </c>
      <c r="B2857" t="s">
        <v>1769</v>
      </c>
      <c r="C2857" t="s">
        <v>5324</v>
      </c>
      <c r="D2857">
        <v>4</v>
      </c>
      <c r="E2857">
        <v>0.57999999999999996</v>
      </c>
      <c r="F2857">
        <v>0.57999999999999996</v>
      </c>
      <c r="G2857" t="s">
        <v>5325</v>
      </c>
      <c r="H2857" t="s">
        <v>5944</v>
      </c>
      <c r="I2857" t="s">
        <v>5359</v>
      </c>
      <c r="J2857" t="s">
        <v>5945</v>
      </c>
      <c r="L2857" t="s">
        <v>5326</v>
      </c>
    </row>
    <row r="2858" spans="1:12" x14ac:dyDescent="0.2">
      <c r="A2858" t="s">
        <v>1767</v>
      </c>
      <c r="B2858" t="s">
        <v>1769</v>
      </c>
      <c r="C2858" t="s">
        <v>5324</v>
      </c>
      <c r="D2858">
        <v>4</v>
      </c>
      <c r="E2858">
        <v>33.090000000000003</v>
      </c>
      <c r="F2858">
        <v>33.090000000000003</v>
      </c>
      <c r="G2858" t="s">
        <v>5325</v>
      </c>
      <c r="H2858" t="s">
        <v>5946</v>
      </c>
      <c r="I2858" t="s">
        <v>5359</v>
      </c>
      <c r="J2858" t="s">
        <v>5947</v>
      </c>
      <c r="L2858" t="s">
        <v>5326</v>
      </c>
    </row>
    <row r="2859" spans="1:12" x14ac:dyDescent="0.2">
      <c r="A2859" t="s">
        <v>1767</v>
      </c>
      <c r="B2859" t="s">
        <v>1769</v>
      </c>
      <c r="C2859" t="s">
        <v>5324</v>
      </c>
      <c r="D2859">
        <v>4</v>
      </c>
      <c r="E2859">
        <v>3.05</v>
      </c>
      <c r="F2859">
        <v>3.05</v>
      </c>
      <c r="G2859" t="s">
        <v>5325</v>
      </c>
      <c r="H2859" t="s">
        <v>5948</v>
      </c>
      <c r="I2859" t="s">
        <v>5359</v>
      </c>
      <c r="J2859" t="s">
        <v>5949</v>
      </c>
      <c r="L2859" t="s">
        <v>5326</v>
      </c>
    </row>
    <row r="2860" spans="1:12" x14ac:dyDescent="0.2">
      <c r="A2860" t="s">
        <v>1767</v>
      </c>
      <c r="B2860" t="s">
        <v>1769</v>
      </c>
      <c r="C2860" t="s">
        <v>5324</v>
      </c>
      <c r="D2860">
        <v>4</v>
      </c>
      <c r="E2860">
        <v>4.5</v>
      </c>
      <c r="F2860">
        <v>4.5</v>
      </c>
      <c r="G2860" t="s">
        <v>5325</v>
      </c>
      <c r="H2860" t="s">
        <v>5950</v>
      </c>
      <c r="I2860" t="s">
        <v>5359</v>
      </c>
      <c r="J2860" t="s">
        <v>5951</v>
      </c>
      <c r="L2860" t="s">
        <v>5326</v>
      </c>
    </row>
    <row r="2861" spans="1:12" x14ac:dyDescent="0.2">
      <c r="A2861" t="s">
        <v>1767</v>
      </c>
      <c r="B2861" t="s">
        <v>1769</v>
      </c>
      <c r="C2861" t="s">
        <v>5324</v>
      </c>
      <c r="D2861">
        <v>4</v>
      </c>
      <c r="E2861">
        <v>1.85</v>
      </c>
      <c r="F2861">
        <v>1.85</v>
      </c>
      <c r="G2861" t="s">
        <v>5325</v>
      </c>
      <c r="H2861" t="s">
        <v>5483</v>
      </c>
      <c r="I2861" t="s">
        <v>5359</v>
      </c>
      <c r="J2861" t="s">
        <v>5952</v>
      </c>
      <c r="L2861" t="s">
        <v>5326</v>
      </c>
    </row>
    <row r="2862" spans="1:12" x14ac:dyDescent="0.2">
      <c r="A2862" t="s">
        <v>1767</v>
      </c>
      <c r="B2862" t="s">
        <v>1769</v>
      </c>
      <c r="C2862" t="s">
        <v>5324</v>
      </c>
      <c r="D2862">
        <v>4</v>
      </c>
      <c r="E2862">
        <v>7.25</v>
      </c>
      <c r="F2862">
        <v>7.25</v>
      </c>
      <c r="G2862" t="s">
        <v>5325</v>
      </c>
      <c r="H2862" t="s">
        <v>5953</v>
      </c>
      <c r="I2862" t="s">
        <v>5359</v>
      </c>
      <c r="J2862" t="s">
        <v>5954</v>
      </c>
      <c r="L2862" t="s">
        <v>5326</v>
      </c>
    </row>
    <row r="2863" spans="1:12" x14ac:dyDescent="0.2">
      <c r="A2863" t="s">
        <v>1767</v>
      </c>
      <c r="B2863" t="s">
        <v>1769</v>
      </c>
      <c r="C2863" t="s">
        <v>5324</v>
      </c>
      <c r="D2863">
        <v>4</v>
      </c>
      <c r="E2863">
        <v>5.15</v>
      </c>
      <c r="F2863">
        <v>5.15</v>
      </c>
      <c r="G2863" t="s">
        <v>5325</v>
      </c>
      <c r="H2863" t="s">
        <v>5955</v>
      </c>
      <c r="I2863" t="s">
        <v>5359</v>
      </c>
      <c r="J2863" t="s">
        <v>5956</v>
      </c>
      <c r="L2863" t="s">
        <v>5326</v>
      </c>
    </row>
    <row r="2864" spans="1:12" x14ac:dyDescent="0.2">
      <c r="A2864" t="s">
        <v>1767</v>
      </c>
      <c r="B2864" t="s">
        <v>1769</v>
      </c>
      <c r="C2864" t="s">
        <v>5324</v>
      </c>
      <c r="D2864">
        <v>4</v>
      </c>
      <c r="E2864">
        <v>3.6</v>
      </c>
      <c r="F2864">
        <v>3.6</v>
      </c>
      <c r="G2864" t="s">
        <v>5325</v>
      </c>
      <c r="H2864" t="s">
        <v>5546</v>
      </c>
      <c r="I2864" t="s">
        <v>5359</v>
      </c>
      <c r="J2864" t="s">
        <v>5957</v>
      </c>
      <c r="L2864" t="s">
        <v>5326</v>
      </c>
    </row>
    <row r="2865" spans="1:12" x14ac:dyDescent="0.2">
      <c r="A2865" t="s">
        <v>1767</v>
      </c>
      <c r="B2865" t="s">
        <v>1769</v>
      </c>
      <c r="C2865" t="s">
        <v>5324</v>
      </c>
      <c r="D2865">
        <v>4</v>
      </c>
      <c r="E2865">
        <v>0.88</v>
      </c>
      <c r="F2865">
        <v>0.88</v>
      </c>
      <c r="G2865" t="s">
        <v>5325</v>
      </c>
      <c r="H2865" t="s">
        <v>5958</v>
      </c>
      <c r="I2865" t="s">
        <v>5359</v>
      </c>
      <c r="J2865" t="s">
        <v>5959</v>
      </c>
      <c r="L2865" t="s">
        <v>5326</v>
      </c>
    </row>
    <row r="2866" spans="1:12" x14ac:dyDescent="0.2">
      <c r="A2866" t="s">
        <v>1767</v>
      </c>
      <c r="B2866" t="s">
        <v>1769</v>
      </c>
      <c r="C2866" t="s">
        <v>5324</v>
      </c>
      <c r="D2866">
        <v>4</v>
      </c>
      <c r="E2866">
        <v>0.6</v>
      </c>
      <c r="F2866">
        <v>0.6</v>
      </c>
      <c r="G2866" t="s">
        <v>5325</v>
      </c>
      <c r="H2866" t="s">
        <v>5960</v>
      </c>
      <c r="I2866" t="s">
        <v>5359</v>
      </c>
      <c r="J2866" t="s">
        <v>4666</v>
      </c>
      <c r="L2866" t="s">
        <v>5326</v>
      </c>
    </row>
    <row r="2867" spans="1:12" x14ac:dyDescent="0.2">
      <c r="A2867" t="s">
        <v>1767</v>
      </c>
      <c r="B2867" t="s">
        <v>1769</v>
      </c>
      <c r="C2867" t="s">
        <v>5324</v>
      </c>
      <c r="D2867">
        <v>4</v>
      </c>
      <c r="E2867">
        <v>1.4</v>
      </c>
      <c r="F2867">
        <v>1.4</v>
      </c>
      <c r="G2867" t="s">
        <v>5325</v>
      </c>
      <c r="H2867" t="s">
        <v>5625</v>
      </c>
      <c r="I2867" t="s">
        <v>5359</v>
      </c>
      <c r="J2867" t="s">
        <v>5961</v>
      </c>
      <c r="L2867" t="s">
        <v>5326</v>
      </c>
    </row>
    <row r="2868" spans="1:12" x14ac:dyDescent="0.2">
      <c r="A2868" t="s">
        <v>1767</v>
      </c>
      <c r="B2868" t="s">
        <v>1769</v>
      </c>
      <c r="C2868" t="s">
        <v>5324</v>
      </c>
      <c r="D2868">
        <v>4</v>
      </c>
      <c r="E2868">
        <v>0</v>
      </c>
      <c r="F2868">
        <v>0</v>
      </c>
      <c r="G2868" t="s">
        <v>5325</v>
      </c>
      <c r="H2868" t="s">
        <v>5329</v>
      </c>
      <c r="I2868" t="s">
        <v>5359</v>
      </c>
      <c r="J2868" t="s">
        <v>5962</v>
      </c>
      <c r="L2868" t="s">
        <v>5326</v>
      </c>
    </row>
    <row r="2869" spans="1:12" x14ac:dyDescent="0.2">
      <c r="A2869" t="s">
        <v>1767</v>
      </c>
      <c r="B2869" t="s">
        <v>1769</v>
      </c>
      <c r="C2869" t="s">
        <v>5324</v>
      </c>
      <c r="D2869">
        <v>4</v>
      </c>
      <c r="E2869">
        <v>6.68</v>
      </c>
      <c r="F2869">
        <v>6.68</v>
      </c>
      <c r="G2869" t="s">
        <v>5325</v>
      </c>
      <c r="H2869" t="s">
        <v>5963</v>
      </c>
      <c r="I2869" t="s">
        <v>5359</v>
      </c>
      <c r="J2869" t="s">
        <v>5964</v>
      </c>
      <c r="L2869" t="s">
        <v>5326</v>
      </c>
    </row>
    <row r="2870" spans="1:12" x14ac:dyDescent="0.2">
      <c r="A2870" t="s">
        <v>1767</v>
      </c>
      <c r="B2870" t="s">
        <v>1769</v>
      </c>
      <c r="C2870" t="s">
        <v>5324</v>
      </c>
      <c r="D2870">
        <v>4</v>
      </c>
      <c r="E2870">
        <v>629.51</v>
      </c>
      <c r="F2870">
        <v>629.51</v>
      </c>
      <c r="G2870" t="s">
        <v>5325</v>
      </c>
      <c r="H2870" t="s">
        <v>5965</v>
      </c>
      <c r="I2870" t="s">
        <v>5359</v>
      </c>
      <c r="J2870" t="s">
        <v>5966</v>
      </c>
      <c r="L2870" t="s">
        <v>5326</v>
      </c>
    </row>
    <row r="2871" spans="1:12" x14ac:dyDescent="0.2">
      <c r="A2871" t="s">
        <v>1767</v>
      </c>
      <c r="B2871" t="s">
        <v>1769</v>
      </c>
      <c r="C2871" t="s">
        <v>5324</v>
      </c>
      <c r="D2871">
        <v>4</v>
      </c>
      <c r="E2871">
        <v>2125</v>
      </c>
      <c r="F2871">
        <v>2125</v>
      </c>
      <c r="G2871" t="s">
        <v>5325</v>
      </c>
      <c r="H2871" t="s">
        <v>5967</v>
      </c>
      <c r="I2871" t="s">
        <v>5359</v>
      </c>
      <c r="J2871" t="s">
        <v>5968</v>
      </c>
      <c r="L2871" t="s">
        <v>5326</v>
      </c>
    </row>
    <row r="2872" spans="1:12" x14ac:dyDescent="0.2">
      <c r="A2872" t="s">
        <v>1767</v>
      </c>
      <c r="B2872" t="s">
        <v>1769</v>
      </c>
      <c r="C2872" t="s">
        <v>5324</v>
      </c>
      <c r="D2872">
        <v>4</v>
      </c>
      <c r="E2872">
        <v>1738.2</v>
      </c>
      <c r="F2872">
        <v>1738.2</v>
      </c>
      <c r="G2872" t="s">
        <v>5325</v>
      </c>
      <c r="H2872" t="s">
        <v>5969</v>
      </c>
      <c r="I2872" t="s">
        <v>5359</v>
      </c>
      <c r="J2872" t="s">
        <v>5970</v>
      </c>
      <c r="L2872" t="s">
        <v>5326</v>
      </c>
    </row>
    <row r="2873" spans="1:12" x14ac:dyDescent="0.2">
      <c r="A2873" t="s">
        <v>1767</v>
      </c>
      <c r="B2873" t="s">
        <v>1769</v>
      </c>
      <c r="C2873" t="s">
        <v>5324</v>
      </c>
      <c r="D2873">
        <v>4</v>
      </c>
      <c r="E2873">
        <v>304.66000000000003</v>
      </c>
      <c r="F2873">
        <v>304.66000000000003</v>
      </c>
      <c r="G2873" t="s">
        <v>5325</v>
      </c>
      <c r="H2873" t="s">
        <v>5971</v>
      </c>
      <c r="I2873" t="s">
        <v>5359</v>
      </c>
      <c r="J2873" t="s">
        <v>5972</v>
      </c>
      <c r="L2873" t="s">
        <v>5326</v>
      </c>
    </row>
    <row r="2874" spans="1:12" x14ac:dyDescent="0.2">
      <c r="A2874" t="s">
        <v>1767</v>
      </c>
      <c r="B2874" t="s">
        <v>1769</v>
      </c>
      <c r="C2874" t="s">
        <v>5324</v>
      </c>
      <c r="D2874">
        <v>4</v>
      </c>
      <c r="E2874">
        <v>515.22</v>
      </c>
      <c r="F2874">
        <v>515.22</v>
      </c>
      <c r="G2874" t="s">
        <v>5325</v>
      </c>
      <c r="H2874" t="s">
        <v>5973</v>
      </c>
      <c r="I2874" t="s">
        <v>5359</v>
      </c>
      <c r="J2874" t="s">
        <v>5974</v>
      </c>
      <c r="L2874" t="s">
        <v>5326</v>
      </c>
    </row>
    <row r="2875" spans="1:12" x14ac:dyDescent="0.2">
      <c r="A2875" t="s">
        <v>1767</v>
      </c>
      <c r="B2875" t="s">
        <v>1769</v>
      </c>
      <c r="C2875" t="s">
        <v>5324</v>
      </c>
      <c r="D2875">
        <v>4</v>
      </c>
      <c r="E2875">
        <v>121.7</v>
      </c>
      <c r="F2875">
        <v>121.7</v>
      </c>
      <c r="G2875" t="s">
        <v>5325</v>
      </c>
      <c r="H2875" t="s">
        <v>5975</v>
      </c>
      <c r="I2875" t="s">
        <v>5359</v>
      </c>
      <c r="J2875" t="s">
        <v>5976</v>
      </c>
      <c r="L2875" t="s">
        <v>5326</v>
      </c>
    </row>
    <row r="2876" spans="1:12" x14ac:dyDescent="0.2">
      <c r="A2876" t="s">
        <v>1767</v>
      </c>
      <c r="B2876" t="s">
        <v>1769</v>
      </c>
      <c r="C2876" t="s">
        <v>5324</v>
      </c>
      <c r="D2876">
        <v>4</v>
      </c>
      <c r="E2876">
        <v>15.3</v>
      </c>
      <c r="F2876">
        <v>15.3</v>
      </c>
      <c r="G2876" t="s">
        <v>5325</v>
      </c>
      <c r="H2876" t="s">
        <v>5977</v>
      </c>
      <c r="I2876" t="s">
        <v>5359</v>
      </c>
      <c r="J2876" t="s">
        <v>5978</v>
      </c>
      <c r="L2876" t="s">
        <v>5326</v>
      </c>
    </row>
    <row r="2877" spans="1:12" x14ac:dyDescent="0.2">
      <c r="A2877" t="s">
        <v>1767</v>
      </c>
      <c r="B2877" t="s">
        <v>1769</v>
      </c>
      <c r="C2877" t="s">
        <v>5324</v>
      </c>
      <c r="D2877">
        <v>4</v>
      </c>
      <c r="E2877">
        <v>3.39</v>
      </c>
      <c r="F2877">
        <v>3.39</v>
      </c>
      <c r="G2877" t="s">
        <v>5325</v>
      </c>
      <c r="H2877" t="s">
        <v>5979</v>
      </c>
      <c r="I2877" t="s">
        <v>5359</v>
      </c>
      <c r="J2877" t="s">
        <v>5980</v>
      </c>
      <c r="L2877" t="s">
        <v>5326</v>
      </c>
    </row>
    <row r="2878" spans="1:12" x14ac:dyDescent="0.2">
      <c r="A2878" t="s">
        <v>1767</v>
      </c>
      <c r="B2878" t="s">
        <v>1769</v>
      </c>
      <c r="C2878" t="s">
        <v>5324</v>
      </c>
      <c r="D2878">
        <v>4</v>
      </c>
      <c r="E2878">
        <v>14.9</v>
      </c>
      <c r="F2878">
        <v>14.9</v>
      </c>
      <c r="G2878" t="s">
        <v>5325</v>
      </c>
      <c r="H2878" t="s">
        <v>5981</v>
      </c>
      <c r="I2878" t="s">
        <v>5359</v>
      </c>
      <c r="J2878" t="s">
        <v>5982</v>
      </c>
      <c r="L2878" t="s">
        <v>5326</v>
      </c>
    </row>
    <row r="2879" spans="1:12" x14ac:dyDescent="0.2">
      <c r="A2879" t="s">
        <v>1767</v>
      </c>
      <c r="B2879" t="s">
        <v>1769</v>
      </c>
      <c r="C2879" t="s">
        <v>5324</v>
      </c>
      <c r="D2879">
        <v>4</v>
      </c>
      <c r="E2879">
        <v>9.23</v>
      </c>
      <c r="F2879">
        <v>9.23</v>
      </c>
      <c r="G2879" t="s">
        <v>5325</v>
      </c>
      <c r="H2879" t="s">
        <v>5983</v>
      </c>
      <c r="I2879" t="s">
        <v>5359</v>
      </c>
      <c r="J2879" t="s">
        <v>5984</v>
      </c>
      <c r="L2879" t="s">
        <v>5326</v>
      </c>
    </row>
    <row r="2880" spans="1:12" x14ac:dyDescent="0.2">
      <c r="A2880" t="s">
        <v>1767</v>
      </c>
      <c r="B2880" t="s">
        <v>1769</v>
      </c>
      <c r="C2880" t="s">
        <v>5324</v>
      </c>
      <c r="D2880">
        <v>4</v>
      </c>
      <c r="E2880">
        <v>24.51</v>
      </c>
      <c r="F2880">
        <v>24.51</v>
      </c>
      <c r="G2880" t="s">
        <v>5325</v>
      </c>
      <c r="H2880" t="s">
        <v>5985</v>
      </c>
      <c r="I2880" t="s">
        <v>5359</v>
      </c>
      <c r="J2880" t="s">
        <v>5986</v>
      </c>
      <c r="L2880" t="s">
        <v>5326</v>
      </c>
    </row>
    <row r="2881" spans="1:12" x14ac:dyDescent="0.2">
      <c r="A2881" t="s">
        <v>1767</v>
      </c>
      <c r="B2881" t="s">
        <v>1769</v>
      </c>
      <c r="C2881" t="s">
        <v>5324</v>
      </c>
      <c r="D2881">
        <v>4</v>
      </c>
      <c r="E2881">
        <v>26.4</v>
      </c>
      <c r="F2881">
        <v>26.4</v>
      </c>
      <c r="G2881" t="s">
        <v>5325</v>
      </c>
      <c r="H2881" t="s">
        <v>5987</v>
      </c>
      <c r="I2881" t="s">
        <v>5359</v>
      </c>
      <c r="J2881" t="s">
        <v>5988</v>
      </c>
      <c r="L2881" t="s">
        <v>5326</v>
      </c>
    </row>
    <row r="2882" spans="1:12" x14ac:dyDescent="0.2">
      <c r="A2882" t="s">
        <v>1767</v>
      </c>
      <c r="B2882" t="s">
        <v>1769</v>
      </c>
      <c r="C2882" t="s">
        <v>5324</v>
      </c>
      <c r="D2882">
        <v>4</v>
      </c>
      <c r="E2882">
        <v>22</v>
      </c>
      <c r="F2882">
        <v>22</v>
      </c>
      <c r="G2882" t="s">
        <v>5325</v>
      </c>
      <c r="H2882" t="s">
        <v>5989</v>
      </c>
      <c r="I2882" t="s">
        <v>5359</v>
      </c>
      <c r="J2882" t="s">
        <v>5990</v>
      </c>
      <c r="L2882" t="s">
        <v>5326</v>
      </c>
    </row>
    <row r="2883" spans="1:12" x14ac:dyDescent="0.2">
      <c r="A2883" t="s">
        <v>1767</v>
      </c>
      <c r="B2883" t="s">
        <v>1769</v>
      </c>
      <c r="C2883" t="s">
        <v>5324</v>
      </c>
      <c r="D2883">
        <v>4</v>
      </c>
      <c r="E2883">
        <v>9.1</v>
      </c>
      <c r="F2883">
        <v>9.1</v>
      </c>
      <c r="G2883" t="s">
        <v>5325</v>
      </c>
      <c r="H2883" t="s">
        <v>5991</v>
      </c>
      <c r="I2883" t="s">
        <v>5359</v>
      </c>
      <c r="J2883" t="s">
        <v>5992</v>
      </c>
      <c r="L2883" t="s">
        <v>5326</v>
      </c>
    </row>
    <row r="2884" spans="1:12" x14ac:dyDescent="0.2">
      <c r="A2884" t="s">
        <v>1767</v>
      </c>
      <c r="B2884" t="s">
        <v>1769</v>
      </c>
      <c r="C2884" t="s">
        <v>5324</v>
      </c>
      <c r="D2884">
        <v>4</v>
      </c>
      <c r="E2884">
        <v>0</v>
      </c>
      <c r="F2884">
        <v>0</v>
      </c>
      <c r="G2884" t="s">
        <v>5325</v>
      </c>
      <c r="H2884" t="s">
        <v>5329</v>
      </c>
      <c r="I2884" t="s">
        <v>5359</v>
      </c>
      <c r="J2884" t="s">
        <v>5993</v>
      </c>
      <c r="L2884" t="s">
        <v>5326</v>
      </c>
    </row>
    <row r="2885" spans="1:12" x14ac:dyDescent="0.2">
      <c r="A2885" t="s">
        <v>1767</v>
      </c>
      <c r="B2885" t="s">
        <v>1769</v>
      </c>
      <c r="C2885" t="s">
        <v>5324</v>
      </c>
      <c r="D2885">
        <v>4</v>
      </c>
      <c r="E2885">
        <v>0.14000000000000001</v>
      </c>
      <c r="F2885">
        <v>0.14000000000000001</v>
      </c>
      <c r="G2885" t="s">
        <v>5325</v>
      </c>
      <c r="H2885" t="s">
        <v>5994</v>
      </c>
      <c r="I2885" t="s">
        <v>5359</v>
      </c>
      <c r="J2885" t="s">
        <v>5995</v>
      </c>
      <c r="L2885" t="s">
        <v>5326</v>
      </c>
    </row>
    <row r="2886" spans="1:12" x14ac:dyDescent="0.2">
      <c r="A2886" t="s">
        <v>1767</v>
      </c>
      <c r="B2886" t="s">
        <v>1769</v>
      </c>
      <c r="C2886" t="s">
        <v>5324</v>
      </c>
      <c r="D2886">
        <v>4</v>
      </c>
      <c r="E2886">
        <v>0.77</v>
      </c>
      <c r="F2886">
        <v>0.77</v>
      </c>
      <c r="G2886" t="s">
        <v>5325</v>
      </c>
      <c r="H2886" t="s">
        <v>5996</v>
      </c>
      <c r="I2886" t="s">
        <v>5359</v>
      </c>
      <c r="J2886" t="s">
        <v>4462</v>
      </c>
      <c r="L2886" t="s">
        <v>5326</v>
      </c>
    </row>
    <row r="2887" spans="1:12" x14ac:dyDescent="0.2">
      <c r="A2887" t="s">
        <v>1767</v>
      </c>
      <c r="B2887" t="s">
        <v>1769</v>
      </c>
      <c r="C2887" t="s">
        <v>5324</v>
      </c>
      <c r="D2887">
        <v>4</v>
      </c>
      <c r="E2887">
        <v>21.6</v>
      </c>
      <c r="F2887">
        <v>21.6</v>
      </c>
      <c r="G2887" t="s">
        <v>5325</v>
      </c>
      <c r="H2887" t="s">
        <v>5997</v>
      </c>
      <c r="I2887" t="s">
        <v>5359</v>
      </c>
      <c r="J2887" t="s">
        <v>5998</v>
      </c>
      <c r="L2887" t="s">
        <v>5326</v>
      </c>
    </row>
    <row r="2888" spans="1:12" x14ac:dyDescent="0.2">
      <c r="A2888" t="s">
        <v>1767</v>
      </c>
      <c r="B2888" t="s">
        <v>1769</v>
      </c>
      <c r="C2888" t="s">
        <v>5324</v>
      </c>
      <c r="D2888">
        <v>4</v>
      </c>
      <c r="E2888">
        <v>0</v>
      </c>
      <c r="F2888">
        <v>0</v>
      </c>
      <c r="G2888" t="s">
        <v>5325</v>
      </c>
      <c r="H2888" t="s">
        <v>5329</v>
      </c>
      <c r="I2888" t="s">
        <v>5359</v>
      </c>
      <c r="J2888" t="s">
        <v>5999</v>
      </c>
      <c r="L2888" t="s">
        <v>5326</v>
      </c>
    </row>
    <row r="2889" spans="1:12" x14ac:dyDescent="0.2">
      <c r="A2889" t="s">
        <v>1767</v>
      </c>
      <c r="B2889" t="s">
        <v>1769</v>
      </c>
      <c r="C2889" t="s">
        <v>5324</v>
      </c>
      <c r="D2889">
        <v>4</v>
      </c>
      <c r="E2889">
        <v>1.89</v>
      </c>
      <c r="F2889">
        <v>1.89</v>
      </c>
      <c r="G2889" t="s">
        <v>5325</v>
      </c>
      <c r="H2889" t="s">
        <v>6000</v>
      </c>
      <c r="I2889" t="s">
        <v>5359</v>
      </c>
      <c r="J2889" t="s">
        <v>6001</v>
      </c>
      <c r="L2889" t="s">
        <v>5326</v>
      </c>
    </row>
    <row r="2890" spans="1:12" x14ac:dyDescent="0.2">
      <c r="A2890" t="s">
        <v>1767</v>
      </c>
      <c r="B2890" t="s">
        <v>1769</v>
      </c>
      <c r="C2890" t="s">
        <v>5324</v>
      </c>
      <c r="D2890">
        <v>4</v>
      </c>
      <c r="E2890">
        <v>10.5</v>
      </c>
      <c r="F2890">
        <v>10.5</v>
      </c>
      <c r="G2890" t="s">
        <v>5325</v>
      </c>
      <c r="H2890" t="s">
        <v>6002</v>
      </c>
      <c r="I2890" t="s">
        <v>5359</v>
      </c>
      <c r="J2890" t="s">
        <v>6003</v>
      </c>
      <c r="L2890" t="s">
        <v>5326</v>
      </c>
    </row>
    <row r="2891" spans="1:12" x14ac:dyDescent="0.2">
      <c r="A2891" t="s">
        <v>1767</v>
      </c>
      <c r="B2891" t="s">
        <v>1769</v>
      </c>
      <c r="C2891" t="s">
        <v>5324</v>
      </c>
      <c r="D2891">
        <v>4</v>
      </c>
      <c r="E2891">
        <v>3.64</v>
      </c>
      <c r="F2891">
        <v>3.64</v>
      </c>
      <c r="G2891" t="s">
        <v>5325</v>
      </c>
      <c r="H2891" t="s">
        <v>6004</v>
      </c>
      <c r="I2891" t="s">
        <v>5359</v>
      </c>
      <c r="J2891" t="s">
        <v>6005</v>
      </c>
      <c r="L2891" t="s">
        <v>5326</v>
      </c>
    </row>
    <row r="2892" spans="1:12" x14ac:dyDescent="0.2">
      <c r="A2892" t="s">
        <v>1767</v>
      </c>
      <c r="B2892" t="s">
        <v>1769</v>
      </c>
      <c r="C2892" t="s">
        <v>5324</v>
      </c>
      <c r="D2892">
        <v>4</v>
      </c>
      <c r="E2892">
        <v>3.22</v>
      </c>
      <c r="F2892">
        <v>3.22</v>
      </c>
      <c r="G2892" t="s">
        <v>5325</v>
      </c>
      <c r="H2892" t="s">
        <v>6006</v>
      </c>
      <c r="I2892" t="s">
        <v>5359</v>
      </c>
      <c r="J2892" t="s">
        <v>6007</v>
      </c>
      <c r="L2892" t="s">
        <v>5326</v>
      </c>
    </row>
    <row r="2893" spans="1:12" x14ac:dyDescent="0.2">
      <c r="A2893" t="s">
        <v>1767</v>
      </c>
      <c r="B2893" t="s">
        <v>1769</v>
      </c>
      <c r="C2893" t="s">
        <v>5324</v>
      </c>
      <c r="D2893">
        <v>4</v>
      </c>
      <c r="E2893">
        <v>33.14</v>
      </c>
      <c r="F2893">
        <v>33.14</v>
      </c>
      <c r="G2893" t="s">
        <v>5325</v>
      </c>
      <c r="H2893" t="s">
        <v>6008</v>
      </c>
      <c r="I2893" t="s">
        <v>5359</v>
      </c>
      <c r="J2893" t="s">
        <v>6009</v>
      </c>
      <c r="L2893" t="s">
        <v>5326</v>
      </c>
    </row>
    <row r="2894" spans="1:12" x14ac:dyDescent="0.2">
      <c r="A2894" t="s">
        <v>1767</v>
      </c>
      <c r="B2894" t="s">
        <v>1769</v>
      </c>
      <c r="C2894" t="s">
        <v>5324</v>
      </c>
      <c r="D2894">
        <v>4</v>
      </c>
      <c r="E2894">
        <v>1.35</v>
      </c>
      <c r="F2894">
        <v>1.35</v>
      </c>
      <c r="G2894" t="s">
        <v>5325</v>
      </c>
      <c r="H2894" t="s">
        <v>6010</v>
      </c>
      <c r="I2894" t="s">
        <v>5359</v>
      </c>
      <c r="J2894" t="s">
        <v>6011</v>
      </c>
      <c r="L2894" t="s">
        <v>5326</v>
      </c>
    </row>
    <row r="2895" spans="1:12" x14ac:dyDescent="0.2">
      <c r="A2895" t="s">
        <v>1767</v>
      </c>
      <c r="B2895" t="s">
        <v>1769</v>
      </c>
      <c r="C2895" t="s">
        <v>5324</v>
      </c>
      <c r="D2895">
        <v>4</v>
      </c>
      <c r="E2895">
        <v>13.26</v>
      </c>
      <c r="F2895">
        <v>13.26</v>
      </c>
      <c r="G2895" t="s">
        <v>5325</v>
      </c>
      <c r="H2895" t="s">
        <v>6012</v>
      </c>
      <c r="I2895" t="s">
        <v>5359</v>
      </c>
      <c r="J2895" t="s">
        <v>6013</v>
      </c>
      <c r="L2895" t="s">
        <v>5326</v>
      </c>
    </row>
    <row r="2896" spans="1:12" x14ac:dyDescent="0.2">
      <c r="A2896" t="s">
        <v>1767</v>
      </c>
      <c r="B2896" t="s">
        <v>1769</v>
      </c>
      <c r="C2896" t="s">
        <v>5324</v>
      </c>
      <c r="D2896">
        <v>4</v>
      </c>
      <c r="E2896">
        <v>31.6</v>
      </c>
      <c r="F2896">
        <v>31.6</v>
      </c>
      <c r="G2896" t="s">
        <v>5325</v>
      </c>
      <c r="H2896" t="s">
        <v>6014</v>
      </c>
      <c r="I2896" t="s">
        <v>5359</v>
      </c>
      <c r="J2896" t="s">
        <v>6015</v>
      </c>
      <c r="L2896" t="s">
        <v>5326</v>
      </c>
    </row>
    <row r="2897" spans="1:12" x14ac:dyDescent="0.2">
      <c r="A2897" t="s">
        <v>1767</v>
      </c>
      <c r="B2897" t="s">
        <v>1769</v>
      </c>
      <c r="C2897" t="s">
        <v>5324</v>
      </c>
      <c r="D2897">
        <v>4</v>
      </c>
      <c r="E2897">
        <v>4.4000000000000004</v>
      </c>
      <c r="F2897">
        <v>4.4000000000000004</v>
      </c>
      <c r="G2897" t="s">
        <v>5325</v>
      </c>
      <c r="H2897" t="s">
        <v>5851</v>
      </c>
      <c r="I2897" t="s">
        <v>5359</v>
      </c>
      <c r="J2897" t="s">
        <v>4617</v>
      </c>
      <c r="L2897" t="s">
        <v>5326</v>
      </c>
    </row>
    <row r="2898" spans="1:12" x14ac:dyDescent="0.2">
      <c r="A2898" t="s">
        <v>1767</v>
      </c>
      <c r="B2898" t="s">
        <v>1769</v>
      </c>
      <c r="C2898" t="s">
        <v>5324</v>
      </c>
      <c r="D2898">
        <v>4</v>
      </c>
      <c r="E2898">
        <v>6.6</v>
      </c>
      <c r="F2898">
        <v>6.6</v>
      </c>
      <c r="G2898" t="s">
        <v>5325</v>
      </c>
      <c r="H2898" t="s">
        <v>5628</v>
      </c>
      <c r="I2898" t="s">
        <v>5359</v>
      </c>
      <c r="J2898" t="s">
        <v>6016</v>
      </c>
      <c r="L2898" t="s">
        <v>5326</v>
      </c>
    </row>
    <row r="2899" spans="1:12" x14ac:dyDescent="0.2">
      <c r="A2899" t="s">
        <v>1767</v>
      </c>
      <c r="B2899" t="s">
        <v>1769</v>
      </c>
      <c r="C2899" t="s">
        <v>5324</v>
      </c>
      <c r="D2899">
        <v>4</v>
      </c>
      <c r="E2899">
        <v>3.06</v>
      </c>
      <c r="F2899">
        <v>3.06</v>
      </c>
      <c r="G2899" t="s">
        <v>5325</v>
      </c>
      <c r="H2899" t="s">
        <v>6017</v>
      </c>
      <c r="I2899" t="s">
        <v>5359</v>
      </c>
      <c r="J2899" t="s">
        <v>6018</v>
      </c>
      <c r="L2899" t="s">
        <v>5326</v>
      </c>
    </row>
    <row r="2900" spans="1:12" x14ac:dyDescent="0.2">
      <c r="A2900" t="s">
        <v>1767</v>
      </c>
      <c r="B2900" t="s">
        <v>1769</v>
      </c>
      <c r="C2900" t="s">
        <v>5324</v>
      </c>
      <c r="D2900">
        <v>4</v>
      </c>
      <c r="E2900">
        <v>3.34</v>
      </c>
      <c r="F2900">
        <v>3.34</v>
      </c>
      <c r="G2900" t="s">
        <v>5325</v>
      </c>
      <c r="H2900" t="s">
        <v>6019</v>
      </c>
      <c r="I2900" t="s">
        <v>5359</v>
      </c>
      <c r="J2900" t="s">
        <v>6020</v>
      </c>
      <c r="L2900" t="s">
        <v>5326</v>
      </c>
    </row>
    <row r="2901" spans="1:12" x14ac:dyDescent="0.2">
      <c r="A2901" t="s">
        <v>1767</v>
      </c>
      <c r="B2901" t="s">
        <v>1769</v>
      </c>
      <c r="C2901" t="s">
        <v>5324</v>
      </c>
      <c r="D2901">
        <v>4</v>
      </c>
      <c r="E2901">
        <v>6.28</v>
      </c>
      <c r="F2901">
        <v>6.28</v>
      </c>
      <c r="G2901" t="s">
        <v>5325</v>
      </c>
      <c r="H2901" t="s">
        <v>6021</v>
      </c>
      <c r="I2901" t="s">
        <v>5359</v>
      </c>
      <c r="J2901" t="s">
        <v>6022</v>
      </c>
      <c r="L2901" t="s">
        <v>5326</v>
      </c>
    </row>
    <row r="2902" spans="1:12" x14ac:dyDescent="0.2">
      <c r="A2902" t="s">
        <v>1767</v>
      </c>
      <c r="B2902" t="s">
        <v>1769</v>
      </c>
      <c r="C2902" t="s">
        <v>5324</v>
      </c>
      <c r="D2902">
        <v>4</v>
      </c>
      <c r="E2902">
        <v>4.08</v>
      </c>
      <c r="F2902">
        <v>4.08</v>
      </c>
      <c r="G2902" t="s">
        <v>5325</v>
      </c>
      <c r="H2902" t="s">
        <v>6023</v>
      </c>
      <c r="I2902" t="s">
        <v>5359</v>
      </c>
      <c r="J2902" t="s">
        <v>6024</v>
      </c>
      <c r="L2902" t="s">
        <v>5326</v>
      </c>
    </row>
    <row r="2903" spans="1:12" x14ac:dyDescent="0.2">
      <c r="A2903" t="s">
        <v>1767</v>
      </c>
      <c r="B2903" t="s">
        <v>1769</v>
      </c>
      <c r="C2903" t="s">
        <v>5324</v>
      </c>
      <c r="D2903">
        <v>4</v>
      </c>
      <c r="E2903">
        <v>3.78</v>
      </c>
      <c r="F2903">
        <v>3.78</v>
      </c>
      <c r="G2903" t="s">
        <v>5325</v>
      </c>
      <c r="H2903" t="s">
        <v>6025</v>
      </c>
      <c r="I2903" t="s">
        <v>5359</v>
      </c>
      <c r="J2903" t="s">
        <v>6026</v>
      </c>
      <c r="L2903" t="s">
        <v>5326</v>
      </c>
    </row>
    <row r="2904" spans="1:12" x14ac:dyDescent="0.2">
      <c r="A2904" t="s">
        <v>1767</v>
      </c>
      <c r="B2904" t="s">
        <v>1769</v>
      </c>
      <c r="C2904" t="s">
        <v>5324</v>
      </c>
      <c r="D2904">
        <v>4</v>
      </c>
      <c r="E2904">
        <v>5.65</v>
      </c>
      <c r="F2904">
        <v>5.65</v>
      </c>
      <c r="G2904" t="s">
        <v>5325</v>
      </c>
      <c r="H2904" t="s">
        <v>6027</v>
      </c>
      <c r="I2904" t="s">
        <v>5359</v>
      </c>
      <c r="J2904" t="s">
        <v>6028</v>
      </c>
      <c r="L2904" t="s">
        <v>5326</v>
      </c>
    </row>
    <row r="2905" spans="1:12" x14ac:dyDescent="0.2">
      <c r="A2905" t="s">
        <v>1767</v>
      </c>
      <c r="B2905" t="s">
        <v>1769</v>
      </c>
      <c r="C2905" t="s">
        <v>5324</v>
      </c>
      <c r="D2905">
        <v>4</v>
      </c>
      <c r="E2905">
        <v>6.4</v>
      </c>
      <c r="F2905">
        <v>6.4</v>
      </c>
      <c r="G2905" t="s">
        <v>5325</v>
      </c>
      <c r="H2905" t="s">
        <v>6029</v>
      </c>
      <c r="I2905" t="s">
        <v>5359</v>
      </c>
      <c r="J2905" t="s">
        <v>6030</v>
      </c>
      <c r="L2905" t="s">
        <v>5326</v>
      </c>
    </row>
    <row r="2906" spans="1:12" x14ac:dyDescent="0.2">
      <c r="A2906" t="s">
        <v>1767</v>
      </c>
      <c r="B2906" t="s">
        <v>1769</v>
      </c>
      <c r="C2906" t="s">
        <v>5324</v>
      </c>
      <c r="D2906">
        <v>4</v>
      </c>
      <c r="E2906">
        <v>0</v>
      </c>
      <c r="F2906">
        <v>0</v>
      </c>
      <c r="G2906" t="s">
        <v>5325</v>
      </c>
      <c r="H2906" t="s">
        <v>5329</v>
      </c>
      <c r="I2906" t="s">
        <v>5359</v>
      </c>
      <c r="J2906" t="s">
        <v>6031</v>
      </c>
      <c r="L2906" t="s">
        <v>5326</v>
      </c>
    </row>
    <row r="2907" spans="1:12" x14ac:dyDescent="0.2">
      <c r="A2907" t="s">
        <v>1767</v>
      </c>
      <c r="B2907" t="s">
        <v>1769</v>
      </c>
      <c r="C2907" t="s">
        <v>5324</v>
      </c>
      <c r="D2907">
        <v>4</v>
      </c>
      <c r="E2907">
        <v>9.5</v>
      </c>
      <c r="F2907">
        <v>9.5</v>
      </c>
      <c r="G2907" t="s">
        <v>5325</v>
      </c>
      <c r="H2907" t="s">
        <v>6032</v>
      </c>
      <c r="I2907" t="s">
        <v>5359</v>
      </c>
      <c r="J2907" t="s">
        <v>6033</v>
      </c>
      <c r="L2907" t="s">
        <v>5326</v>
      </c>
    </row>
    <row r="2908" spans="1:12" x14ac:dyDescent="0.2">
      <c r="A2908" t="s">
        <v>1767</v>
      </c>
      <c r="B2908" t="s">
        <v>1769</v>
      </c>
      <c r="C2908" t="s">
        <v>5324</v>
      </c>
      <c r="D2908">
        <v>4</v>
      </c>
      <c r="E2908">
        <v>18.64</v>
      </c>
      <c r="F2908">
        <v>18.64</v>
      </c>
      <c r="G2908" t="s">
        <v>5325</v>
      </c>
      <c r="H2908" t="s">
        <v>6034</v>
      </c>
      <c r="I2908" t="s">
        <v>5359</v>
      </c>
      <c r="J2908" t="s">
        <v>6035</v>
      </c>
      <c r="L2908" t="s">
        <v>5326</v>
      </c>
    </row>
    <row r="2909" spans="1:12" x14ac:dyDescent="0.2">
      <c r="A2909" t="s">
        <v>1767</v>
      </c>
      <c r="B2909" t="s">
        <v>1769</v>
      </c>
      <c r="C2909" t="s">
        <v>5324</v>
      </c>
      <c r="D2909">
        <v>4</v>
      </c>
      <c r="E2909">
        <v>11.7</v>
      </c>
      <c r="F2909">
        <v>11.7</v>
      </c>
      <c r="G2909" t="s">
        <v>5325</v>
      </c>
      <c r="H2909" t="s">
        <v>6036</v>
      </c>
      <c r="I2909" t="s">
        <v>5359</v>
      </c>
      <c r="J2909" t="s">
        <v>6037</v>
      </c>
      <c r="L2909" t="s">
        <v>5326</v>
      </c>
    </row>
    <row r="2910" spans="1:12" x14ac:dyDescent="0.2">
      <c r="A2910" t="s">
        <v>1767</v>
      </c>
      <c r="B2910" t="s">
        <v>1769</v>
      </c>
      <c r="C2910" t="s">
        <v>5324</v>
      </c>
      <c r="D2910">
        <v>4</v>
      </c>
      <c r="E2910">
        <v>0</v>
      </c>
      <c r="F2910">
        <v>0</v>
      </c>
      <c r="G2910" t="s">
        <v>5325</v>
      </c>
      <c r="H2910" t="s">
        <v>5329</v>
      </c>
      <c r="I2910" t="s">
        <v>5359</v>
      </c>
      <c r="J2910" t="s">
        <v>6038</v>
      </c>
      <c r="L2910" t="s">
        <v>5326</v>
      </c>
    </row>
    <row r="2911" spans="1:12" x14ac:dyDescent="0.2">
      <c r="A2911" t="s">
        <v>1767</v>
      </c>
      <c r="B2911" t="s">
        <v>1769</v>
      </c>
      <c r="C2911" t="s">
        <v>5324</v>
      </c>
      <c r="D2911">
        <v>4</v>
      </c>
      <c r="E2911">
        <v>1.2</v>
      </c>
      <c r="F2911">
        <v>1.2</v>
      </c>
      <c r="G2911" t="s">
        <v>5325</v>
      </c>
      <c r="H2911" t="s">
        <v>6039</v>
      </c>
      <c r="I2911" t="s">
        <v>5359</v>
      </c>
      <c r="J2911" t="s">
        <v>6040</v>
      </c>
      <c r="L2911" t="s">
        <v>5326</v>
      </c>
    </row>
    <row r="2912" spans="1:12" x14ac:dyDescent="0.2">
      <c r="A2912" t="s">
        <v>1767</v>
      </c>
      <c r="B2912" t="s">
        <v>1769</v>
      </c>
      <c r="C2912" t="s">
        <v>5324</v>
      </c>
      <c r="D2912">
        <v>4</v>
      </c>
      <c r="E2912">
        <v>0.47</v>
      </c>
      <c r="F2912">
        <v>0.47</v>
      </c>
      <c r="G2912" t="s">
        <v>5325</v>
      </c>
      <c r="H2912" t="s">
        <v>6041</v>
      </c>
      <c r="I2912" t="s">
        <v>5359</v>
      </c>
      <c r="J2912" t="s">
        <v>6042</v>
      </c>
      <c r="L2912" t="s">
        <v>5326</v>
      </c>
    </row>
    <row r="2913" spans="1:12" x14ac:dyDescent="0.2">
      <c r="A2913" t="s">
        <v>1767</v>
      </c>
      <c r="B2913" t="s">
        <v>1769</v>
      </c>
      <c r="C2913" t="s">
        <v>5324</v>
      </c>
      <c r="D2913">
        <v>4</v>
      </c>
      <c r="E2913">
        <v>10.5</v>
      </c>
      <c r="F2913">
        <v>10.5</v>
      </c>
      <c r="G2913" t="s">
        <v>5325</v>
      </c>
      <c r="H2913" t="s">
        <v>6002</v>
      </c>
      <c r="I2913" t="s">
        <v>5359</v>
      </c>
      <c r="J2913" t="s">
        <v>6003</v>
      </c>
      <c r="L2913" t="s">
        <v>5326</v>
      </c>
    </row>
    <row r="2914" spans="1:12" x14ac:dyDescent="0.2">
      <c r="A2914" t="s">
        <v>1767</v>
      </c>
      <c r="B2914" t="s">
        <v>1769</v>
      </c>
      <c r="C2914" t="s">
        <v>5324</v>
      </c>
      <c r="D2914">
        <v>4</v>
      </c>
      <c r="E2914">
        <v>3.64</v>
      </c>
      <c r="F2914">
        <v>3.64</v>
      </c>
      <c r="G2914" t="s">
        <v>5325</v>
      </c>
      <c r="H2914" t="s">
        <v>6004</v>
      </c>
      <c r="I2914" t="s">
        <v>5359</v>
      </c>
      <c r="J2914" t="s">
        <v>6005</v>
      </c>
      <c r="L2914" t="s">
        <v>5326</v>
      </c>
    </row>
    <row r="2915" spans="1:12" x14ac:dyDescent="0.2">
      <c r="A2915" t="s">
        <v>1767</v>
      </c>
      <c r="B2915" t="s">
        <v>1769</v>
      </c>
      <c r="C2915" t="s">
        <v>5324</v>
      </c>
      <c r="D2915">
        <v>4</v>
      </c>
      <c r="E2915">
        <v>0</v>
      </c>
      <c r="F2915">
        <v>0</v>
      </c>
      <c r="G2915" t="s">
        <v>5325</v>
      </c>
      <c r="H2915" t="s">
        <v>5329</v>
      </c>
      <c r="I2915" t="s">
        <v>5359</v>
      </c>
      <c r="J2915" t="s">
        <v>6038</v>
      </c>
      <c r="L2915" t="s">
        <v>5326</v>
      </c>
    </row>
    <row r="2916" spans="1:12" x14ac:dyDescent="0.2">
      <c r="A2916" t="s">
        <v>1767</v>
      </c>
      <c r="B2916" t="s">
        <v>1769</v>
      </c>
      <c r="C2916" t="s">
        <v>5324</v>
      </c>
      <c r="D2916">
        <v>4</v>
      </c>
      <c r="E2916">
        <v>14.58</v>
      </c>
      <c r="F2916">
        <v>14.58</v>
      </c>
      <c r="G2916" t="s">
        <v>5325</v>
      </c>
      <c r="H2916" t="s">
        <v>5728</v>
      </c>
      <c r="I2916" t="s">
        <v>5359</v>
      </c>
      <c r="J2916" t="s">
        <v>6043</v>
      </c>
      <c r="L2916" t="s">
        <v>5326</v>
      </c>
    </row>
    <row r="2917" spans="1:12" x14ac:dyDescent="0.2">
      <c r="A2917" t="s">
        <v>1767</v>
      </c>
      <c r="B2917" t="s">
        <v>1769</v>
      </c>
      <c r="C2917" t="s">
        <v>5324</v>
      </c>
      <c r="D2917">
        <v>4</v>
      </c>
      <c r="E2917">
        <v>17.649999999999999</v>
      </c>
      <c r="F2917">
        <v>17.649999999999999</v>
      </c>
      <c r="G2917" t="s">
        <v>5325</v>
      </c>
      <c r="H2917" t="s">
        <v>6044</v>
      </c>
      <c r="I2917" t="s">
        <v>5359</v>
      </c>
      <c r="J2917" t="s">
        <v>6045</v>
      </c>
      <c r="L2917" t="s">
        <v>5326</v>
      </c>
    </row>
    <row r="2918" spans="1:12" x14ac:dyDescent="0.2">
      <c r="A2918" t="s">
        <v>1767</v>
      </c>
      <c r="B2918" t="s">
        <v>1769</v>
      </c>
      <c r="C2918" t="s">
        <v>5324</v>
      </c>
      <c r="D2918">
        <v>4</v>
      </c>
      <c r="E2918">
        <v>12.52</v>
      </c>
      <c r="F2918">
        <v>12.52</v>
      </c>
      <c r="G2918" t="s">
        <v>5325</v>
      </c>
      <c r="H2918" t="s">
        <v>6046</v>
      </c>
      <c r="I2918" t="s">
        <v>5359</v>
      </c>
      <c r="J2918" t="s">
        <v>6047</v>
      </c>
      <c r="L2918" t="s">
        <v>5326</v>
      </c>
    </row>
    <row r="2919" spans="1:12" x14ac:dyDescent="0.2">
      <c r="A2919" t="s">
        <v>1767</v>
      </c>
      <c r="B2919" t="s">
        <v>1769</v>
      </c>
      <c r="C2919" t="s">
        <v>5324</v>
      </c>
      <c r="D2919">
        <v>4</v>
      </c>
      <c r="E2919">
        <v>14.9</v>
      </c>
      <c r="F2919">
        <v>14.9</v>
      </c>
      <c r="G2919" t="s">
        <v>5325</v>
      </c>
      <c r="H2919" t="s">
        <v>5981</v>
      </c>
      <c r="I2919" t="s">
        <v>5359</v>
      </c>
      <c r="J2919" t="s">
        <v>5982</v>
      </c>
      <c r="L2919" t="s">
        <v>5326</v>
      </c>
    </row>
    <row r="2920" spans="1:12" x14ac:dyDescent="0.2">
      <c r="A2920" t="s">
        <v>1767</v>
      </c>
      <c r="B2920" t="s">
        <v>1769</v>
      </c>
      <c r="C2920" t="s">
        <v>5324</v>
      </c>
      <c r="D2920">
        <v>4</v>
      </c>
      <c r="E2920">
        <v>10</v>
      </c>
      <c r="F2920">
        <v>10</v>
      </c>
      <c r="G2920" t="s">
        <v>5325</v>
      </c>
      <c r="H2920" t="s">
        <v>6048</v>
      </c>
      <c r="I2920" t="s">
        <v>5359</v>
      </c>
      <c r="J2920" t="s">
        <v>6049</v>
      </c>
      <c r="L2920" t="s">
        <v>5326</v>
      </c>
    </row>
    <row r="2921" spans="1:12" x14ac:dyDescent="0.2">
      <c r="A2921" t="s">
        <v>1767</v>
      </c>
      <c r="B2921" t="s">
        <v>1769</v>
      </c>
      <c r="C2921" t="s">
        <v>5324</v>
      </c>
      <c r="D2921">
        <v>4</v>
      </c>
      <c r="E2921">
        <v>323.66000000000003</v>
      </c>
      <c r="F2921">
        <v>323.66000000000003</v>
      </c>
      <c r="G2921" t="s">
        <v>5325</v>
      </c>
      <c r="H2921" t="s">
        <v>6050</v>
      </c>
      <c r="I2921" t="s">
        <v>5359</v>
      </c>
      <c r="J2921" t="s">
        <v>6051</v>
      </c>
      <c r="L2921" t="s">
        <v>5326</v>
      </c>
    </row>
    <row r="2922" spans="1:12" x14ac:dyDescent="0.2">
      <c r="A2922" t="s">
        <v>1767</v>
      </c>
      <c r="B2922" t="s">
        <v>1769</v>
      </c>
      <c r="C2922" t="s">
        <v>5324</v>
      </c>
      <c r="D2922">
        <v>4</v>
      </c>
      <c r="E2922">
        <v>400</v>
      </c>
      <c r="F2922">
        <v>400</v>
      </c>
      <c r="G2922" t="s">
        <v>5325</v>
      </c>
      <c r="H2922" t="s">
        <v>6052</v>
      </c>
      <c r="I2922" t="s">
        <v>5359</v>
      </c>
      <c r="J2922" t="s">
        <v>6053</v>
      </c>
      <c r="L2922" t="s">
        <v>5326</v>
      </c>
    </row>
    <row r="2923" spans="1:12" x14ac:dyDescent="0.2">
      <c r="A2923" t="s">
        <v>1767</v>
      </c>
      <c r="B2923" t="s">
        <v>1769</v>
      </c>
      <c r="C2923" t="s">
        <v>5324</v>
      </c>
      <c r="D2923">
        <v>4</v>
      </c>
      <c r="E2923">
        <v>926.2</v>
      </c>
      <c r="F2923">
        <v>926.2</v>
      </c>
      <c r="G2923" t="s">
        <v>5325</v>
      </c>
      <c r="H2923" t="s">
        <v>6054</v>
      </c>
      <c r="I2923" t="s">
        <v>5359</v>
      </c>
      <c r="J2923" t="s">
        <v>6055</v>
      </c>
      <c r="L2923" t="s">
        <v>5326</v>
      </c>
    </row>
    <row r="2924" spans="1:12" x14ac:dyDescent="0.2">
      <c r="A2924" t="s">
        <v>1767</v>
      </c>
      <c r="B2924" t="s">
        <v>1769</v>
      </c>
      <c r="C2924" t="s">
        <v>5324</v>
      </c>
      <c r="D2924">
        <v>4</v>
      </c>
      <c r="E2924">
        <v>930</v>
      </c>
      <c r="F2924">
        <v>930</v>
      </c>
      <c r="G2924" t="s">
        <v>5325</v>
      </c>
      <c r="H2924" t="s">
        <v>6056</v>
      </c>
      <c r="I2924" t="s">
        <v>5359</v>
      </c>
      <c r="J2924" t="s">
        <v>6057</v>
      </c>
      <c r="L2924" t="s">
        <v>5326</v>
      </c>
    </row>
    <row r="2925" spans="1:12" x14ac:dyDescent="0.2">
      <c r="A2925" t="s">
        <v>1767</v>
      </c>
      <c r="B2925" t="s">
        <v>1769</v>
      </c>
      <c r="C2925" t="s">
        <v>5324</v>
      </c>
      <c r="D2925">
        <v>4</v>
      </c>
      <c r="E2925">
        <v>61.2</v>
      </c>
      <c r="F2925">
        <v>61.2</v>
      </c>
      <c r="G2925" t="s">
        <v>5325</v>
      </c>
      <c r="H2925" t="s">
        <v>6058</v>
      </c>
      <c r="I2925" t="s">
        <v>5359</v>
      </c>
      <c r="J2925" t="s">
        <v>6059</v>
      </c>
      <c r="L2925" t="s">
        <v>5326</v>
      </c>
    </row>
    <row r="2926" spans="1:12" x14ac:dyDescent="0.2">
      <c r="A2926" t="s">
        <v>1767</v>
      </c>
      <c r="B2926" t="s">
        <v>1769</v>
      </c>
      <c r="C2926" t="s">
        <v>5324</v>
      </c>
      <c r="D2926">
        <v>4</v>
      </c>
      <c r="E2926">
        <v>167.41</v>
      </c>
      <c r="F2926">
        <v>167.41</v>
      </c>
      <c r="G2926" t="s">
        <v>5325</v>
      </c>
      <c r="H2926" t="s">
        <v>6060</v>
      </c>
      <c r="I2926" t="s">
        <v>5359</v>
      </c>
      <c r="J2926" t="s">
        <v>6061</v>
      </c>
      <c r="L2926" t="s">
        <v>5326</v>
      </c>
    </row>
    <row r="2927" spans="1:12" x14ac:dyDescent="0.2">
      <c r="A2927" t="s">
        <v>1767</v>
      </c>
      <c r="B2927" t="s">
        <v>1769</v>
      </c>
      <c r="C2927" t="s">
        <v>5324</v>
      </c>
      <c r="D2927">
        <v>4</v>
      </c>
      <c r="E2927">
        <v>46.94</v>
      </c>
      <c r="F2927">
        <v>46.94</v>
      </c>
      <c r="G2927" t="s">
        <v>5325</v>
      </c>
      <c r="H2927" t="s">
        <v>6062</v>
      </c>
      <c r="I2927" t="s">
        <v>5359</v>
      </c>
      <c r="J2927" t="s">
        <v>6063</v>
      </c>
      <c r="L2927" t="s">
        <v>5326</v>
      </c>
    </row>
    <row r="2928" spans="1:12" x14ac:dyDescent="0.2">
      <c r="A2928" t="s">
        <v>1767</v>
      </c>
      <c r="B2928" t="s">
        <v>1769</v>
      </c>
      <c r="C2928" t="s">
        <v>5324</v>
      </c>
      <c r="D2928">
        <v>4</v>
      </c>
      <c r="E2928">
        <v>39.1</v>
      </c>
      <c r="F2928">
        <v>39.1</v>
      </c>
      <c r="G2928" t="s">
        <v>5325</v>
      </c>
      <c r="H2928" t="s">
        <v>6064</v>
      </c>
      <c r="I2928" t="s">
        <v>5359</v>
      </c>
      <c r="J2928" t="s">
        <v>6065</v>
      </c>
      <c r="L2928" t="s">
        <v>5326</v>
      </c>
    </row>
    <row r="2929" spans="1:12" x14ac:dyDescent="0.2">
      <c r="A2929" t="s">
        <v>1767</v>
      </c>
      <c r="B2929" t="s">
        <v>1769</v>
      </c>
      <c r="C2929" t="s">
        <v>5324</v>
      </c>
      <c r="D2929">
        <v>4</v>
      </c>
      <c r="E2929">
        <v>706.91</v>
      </c>
      <c r="F2929">
        <v>706.91</v>
      </c>
      <c r="G2929" t="s">
        <v>5325</v>
      </c>
      <c r="H2929" t="s">
        <v>6066</v>
      </c>
      <c r="I2929" t="s">
        <v>5359</v>
      </c>
      <c r="J2929" t="s">
        <v>6067</v>
      </c>
      <c r="L2929" t="s">
        <v>5326</v>
      </c>
    </row>
    <row r="2930" spans="1:12" x14ac:dyDescent="0.2">
      <c r="A2930" t="s">
        <v>1767</v>
      </c>
      <c r="B2930" t="s">
        <v>1769</v>
      </c>
      <c r="C2930" t="s">
        <v>5324</v>
      </c>
      <c r="D2930">
        <v>4</v>
      </c>
      <c r="E2930">
        <v>363.82</v>
      </c>
      <c r="F2930">
        <v>363.82</v>
      </c>
      <c r="G2930" t="s">
        <v>5325</v>
      </c>
      <c r="H2930" t="s">
        <v>6068</v>
      </c>
      <c r="I2930" t="s">
        <v>5359</v>
      </c>
      <c r="J2930" t="s">
        <v>6069</v>
      </c>
      <c r="L2930" t="s">
        <v>5326</v>
      </c>
    </row>
    <row r="2931" spans="1:12" x14ac:dyDescent="0.2">
      <c r="A2931" t="s">
        <v>1767</v>
      </c>
      <c r="B2931" t="s">
        <v>1769</v>
      </c>
      <c r="C2931" t="s">
        <v>5324</v>
      </c>
      <c r="D2931">
        <v>4</v>
      </c>
      <c r="E2931">
        <v>256.89</v>
      </c>
      <c r="F2931">
        <v>256.89</v>
      </c>
      <c r="G2931" t="s">
        <v>5325</v>
      </c>
      <c r="H2931" t="s">
        <v>6070</v>
      </c>
      <c r="I2931" t="s">
        <v>5359</v>
      </c>
      <c r="J2931" t="s">
        <v>6071</v>
      </c>
      <c r="L2931" t="s">
        <v>5326</v>
      </c>
    </row>
    <row r="2932" spans="1:12" x14ac:dyDescent="0.2">
      <c r="A2932" t="s">
        <v>1767</v>
      </c>
      <c r="B2932" t="s">
        <v>1769</v>
      </c>
      <c r="C2932" t="s">
        <v>5324</v>
      </c>
      <c r="D2932">
        <v>4</v>
      </c>
      <c r="E2932">
        <v>81.69</v>
      </c>
      <c r="F2932">
        <v>81.69</v>
      </c>
      <c r="G2932" t="s">
        <v>5325</v>
      </c>
      <c r="H2932" t="s">
        <v>6072</v>
      </c>
      <c r="I2932" t="s">
        <v>5359</v>
      </c>
      <c r="J2932" t="s">
        <v>6073</v>
      </c>
      <c r="L2932" t="s">
        <v>5326</v>
      </c>
    </row>
    <row r="2933" spans="1:12" x14ac:dyDescent="0.2">
      <c r="A2933" t="s">
        <v>1767</v>
      </c>
      <c r="B2933" t="s">
        <v>1769</v>
      </c>
      <c r="C2933" t="s">
        <v>5324</v>
      </c>
      <c r="D2933">
        <v>4</v>
      </c>
      <c r="E2933">
        <v>242.65</v>
      </c>
      <c r="F2933">
        <v>242.65</v>
      </c>
      <c r="G2933" t="s">
        <v>5325</v>
      </c>
      <c r="H2933" t="s">
        <v>6074</v>
      </c>
      <c r="I2933" t="s">
        <v>5359</v>
      </c>
      <c r="J2933" t="s">
        <v>6075</v>
      </c>
      <c r="L2933" t="s">
        <v>5326</v>
      </c>
    </row>
    <row r="2934" spans="1:12" x14ac:dyDescent="0.2">
      <c r="A2934" t="s">
        <v>1767</v>
      </c>
      <c r="B2934" t="s">
        <v>1769</v>
      </c>
      <c r="C2934" t="s">
        <v>5324</v>
      </c>
      <c r="D2934">
        <v>4</v>
      </c>
      <c r="E2934">
        <v>121.33</v>
      </c>
      <c r="F2934">
        <v>121.33</v>
      </c>
      <c r="G2934" t="s">
        <v>5325</v>
      </c>
      <c r="H2934" t="s">
        <v>6076</v>
      </c>
      <c r="I2934" t="s">
        <v>5359</v>
      </c>
      <c r="J2934" t="s">
        <v>6077</v>
      </c>
      <c r="L2934" t="s">
        <v>5326</v>
      </c>
    </row>
    <row r="2935" spans="1:12" x14ac:dyDescent="0.2">
      <c r="A2935" t="s">
        <v>1767</v>
      </c>
      <c r="B2935" t="s">
        <v>1769</v>
      </c>
      <c r="C2935" t="s">
        <v>5324</v>
      </c>
      <c r="D2935">
        <v>4</v>
      </c>
      <c r="E2935">
        <v>67.27</v>
      </c>
      <c r="F2935">
        <v>67.27</v>
      </c>
      <c r="G2935" t="s">
        <v>5325</v>
      </c>
      <c r="H2935" t="s">
        <v>6078</v>
      </c>
      <c r="I2935" t="s">
        <v>5359</v>
      </c>
      <c r="J2935" t="s">
        <v>6079</v>
      </c>
      <c r="L2935" t="s">
        <v>5326</v>
      </c>
    </row>
    <row r="2936" spans="1:12" x14ac:dyDescent="0.2">
      <c r="A2936" t="s">
        <v>1767</v>
      </c>
      <c r="B2936" t="s">
        <v>1769</v>
      </c>
      <c r="C2936" t="s">
        <v>5324</v>
      </c>
      <c r="D2936">
        <v>4</v>
      </c>
      <c r="E2936">
        <v>51.38</v>
      </c>
      <c r="F2936">
        <v>51.38</v>
      </c>
      <c r="G2936" t="s">
        <v>5325</v>
      </c>
      <c r="H2936" t="s">
        <v>6080</v>
      </c>
      <c r="I2936" t="s">
        <v>5359</v>
      </c>
      <c r="J2936" t="s">
        <v>3333</v>
      </c>
      <c r="L2936" t="s">
        <v>5326</v>
      </c>
    </row>
    <row r="2937" spans="1:12" x14ac:dyDescent="0.2">
      <c r="A2937" t="s">
        <v>1767</v>
      </c>
      <c r="B2937" t="s">
        <v>1769</v>
      </c>
      <c r="C2937" t="s">
        <v>5324</v>
      </c>
      <c r="D2937">
        <v>4</v>
      </c>
      <c r="E2937">
        <v>12.85</v>
      </c>
      <c r="F2937">
        <v>12.85</v>
      </c>
      <c r="G2937" t="s">
        <v>5325</v>
      </c>
      <c r="H2937" t="s">
        <v>6081</v>
      </c>
      <c r="I2937" t="s">
        <v>5359</v>
      </c>
      <c r="J2937" t="s">
        <v>6082</v>
      </c>
      <c r="L2937" t="s">
        <v>5326</v>
      </c>
    </row>
    <row r="2938" spans="1:12" x14ac:dyDescent="0.2">
      <c r="A2938" t="s">
        <v>1767</v>
      </c>
      <c r="B2938" t="s">
        <v>1769</v>
      </c>
      <c r="C2938" t="s">
        <v>5324</v>
      </c>
      <c r="D2938">
        <v>4</v>
      </c>
      <c r="E2938">
        <v>716.78</v>
      </c>
      <c r="F2938">
        <v>716.78</v>
      </c>
      <c r="G2938" t="s">
        <v>5325</v>
      </c>
      <c r="H2938" t="s">
        <v>6083</v>
      </c>
      <c r="I2938" t="s">
        <v>5359</v>
      </c>
      <c r="J2938" t="s">
        <v>6084</v>
      </c>
      <c r="L2938" t="s">
        <v>5326</v>
      </c>
    </row>
    <row r="2939" spans="1:12" x14ac:dyDescent="0.2">
      <c r="A2939" t="s">
        <v>1767</v>
      </c>
      <c r="B2939" t="s">
        <v>1769</v>
      </c>
      <c r="C2939" t="s">
        <v>5324</v>
      </c>
      <c r="D2939">
        <v>4</v>
      </c>
      <c r="E2939">
        <v>134.55000000000001</v>
      </c>
      <c r="F2939">
        <v>134.55000000000001</v>
      </c>
      <c r="G2939" t="s">
        <v>5325</v>
      </c>
      <c r="H2939" t="s">
        <v>6085</v>
      </c>
      <c r="I2939" t="s">
        <v>5359</v>
      </c>
      <c r="J2939" t="s">
        <v>6086</v>
      </c>
      <c r="L2939" t="s">
        <v>5326</v>
      </c>
    </row>
    <row r="2940" spans="1:12" x14ac:dyDescent="0.2">
      <c r="A2940" t="s">
        <v>1767</v>
      </c>
      <c r="B2940" t="s">
        <v>1769</v>
      </c>
      <c r="C2940" t="s">
        <v>5324</v>
      </c>
      <c r="D2940">
        <v>4</v>
      </c>
      <c r="E2940">
        <v>12.76</v>
      </c>
      <c r="F2940">
        <v>12.76</v>
      </c>
      <c r="G2940" t="s">
        <v>5325</v>
      </c>
      <c r="H2940" t="s">
        <v>6087</v>
      </c>
      <c r="I2940" t="s">
        <v>5359</v>
      </c>
      <c r="J2940" t="s">
        <v>6088</v>
      </c>
      <c r="L2940" t="s">
        <v>5326</v>
      </c>
    </row>
    <row r="2941" spans="1:12" x14ac:dyDescent="0.2">
      <c r="A2941" t="s">
        <v>1767</v>
      </c>
      <c r="B2941" t="s">
        <v>1769</v>
      </c>
      <c r="C2941" t="s">
        <v>5324</v>
      </c>
      <c r="D2941">
        <v>4</v>
      </c>
      <c r="E2941">
        <v>86.88</v>
      </c>
      <c r="F2941">
        <v>86.88</v>
      </c>
      <c r="G2941" t="s">
        <v>5325</v>
      </c>
      <c r="H2941" t="s">
        <v>6089</v>
      </c>
      <c r="I2941" t="s">
        <v>5359</v>
      </c>
      <c r="J2941" t="s">
        <v>6090</v>
      </c>
      <c r="L2941" t="s">
        <v>5326</v>
      </c>
    </row>
    <row r="2942" spans="1:12" x14ac:dyDescent="0.2">
      <c r="A2942" t="s">
        <v>1767</v>
      </c>
      <c r="B2942" t="s">
        <v>1769</v>
      </c>
      <c r="C2942" t="s">
        <v>5324</v>
      </c>
      <c r="D2942">
        <v>4</v>
      </c>
      <c r="E2942">
        <v>54.13</v>
      </c>
      <c r="F2942">
        <v>54.13</v>
      </c>
      <c r="G2942" t="s">
        <v>5325</v>
      </c>
      <c r="H2942" t="s">
        <v>6091</v>
      </c>
      <c r="I2942" t="s">
        <v>5359</v>
      </c>
      <c r="J2942" t="s">
        <v>4687</v>
      </c>
      <c r="L2942" t="s">
        <v>5326</v>
      </c>
    </row>
    <row r="2943" spans="1:12" x14ac:dyDescent="0.2">
      <c r="A2943" t="s">
        <v>1767</v>
      </c>
      <c r="B2943" t="s">
        <v>1769</v>
      </c>
      <c r="C2943" t="s">
        <v>5324</v>
      </c>
      <c r="D2943">
        <v>4</v>
      </c>
      <c r="E2943">
        <v>118.24</v>
      </c>
      <c r="F2943">
        <v>118.24</v>
      </c>
      <c r="G2943" t="s">
        <v>5325</v>
      </c>
      <c r="H2943" t="s">
        <v>6092</v>
      </c>
      <c r="I2943" t="s">
        <v>5359</v>
      </c>
      <c r="J2943" t="s">
        <v>4523</v>
      </c>
      <c r="L2943" t="s">
        <v>5326</v>
      </c>
    </row>
    <row r="2944" spans="1:12" x14ac:dyDescent="0.2">
      <c r="A2944" t="s">
        <v>1767</v>
      </c>
      <c r="B2944" t="s">
        <v>1769</v>
      </c>
      <c r="C2944" t="s">
        <v>5324</v>
      </c>
      <c r="D2944">
        <v>4</v>
      </c>
      <c r="E2944">
        <v>118.24</v>
      </c>
      <c r="F2944">
        <v>118.24</v>
      </c>
      <c r="G2944" t="s">
        <v>5325</v>
      </c>
      <c r="H2944" t="s">
        <v>6092</v>
      </c>
      <c r="I2944" t="s">
        <v>5359</v>
      </c>
      <c r="J2944" t="s">
        <v>6093</v>
      </c>
      <c r="L2944" t="s">
        <v>5326</v>
      </c>
    </row>
    <row r="2945" spans="1:12" x14ac:dyDescent="0.2">
      <c r="A2945" t="s">
        <v>1767</v>
      </c>
      <c r="B2945" t="s">
        <v>1769</v>
      </c>
      <c r="C2945" t="s">
        <v>5324</v>
      </c>
      <c r="D2945">
        <v>4</v>
      </c>
      <c r="E2945">
        <v>8208</v>
      </c>
      <c r="F2945">
        <v>8208</v>
      </c>
      <c r="G2945" t="s">
        <v>5325</v>
      </c>
      <c r="H2945" t="s">
        <v>6094</v>
      </c>
      <c r="I2945" t="s">
        <v>5359</v>
      </c>
      <c r="J2945" t="s">
        <v>6095</v>
      </c>
      <c r="L2945" t="s">
        <v>5326</v>
      </c>
    </row>
    <row r="2946" spans="1:12" x14ac:dyDescent="0.2">
      <c r="A2946" t="s">
        <v>1767</v>
      </c>
      <c r="B2946" t="s">
        <v>1769</v>
      </c>
      <c r="C2946" t="s">
        <v>5324</v>
      </c>
      <c r="D2946">
        <v>4</v>
      </c>
      <c r="E2946">
        <v>582</v>
      </c>
      <c r="F2946">
        <v>582</v>
      </c>
      <c r="G2946" t="s">
        <v>5325</v>
      </c>
      <c r="H2946" t="s">
        <v>6096</v>
      </c>
      <c r="I2946" t="s">
        <v>5359</v>
      </c>
      <c r="J2946" t="s">
        <v>6097</v>
      </c>
      <c r="L2946" t="s">
        <v>5326</v>
      </c>
    </row>
    <row r="2947" spans="1:12" x14ac:dyDescent="0.2">
      <c r="A2947" t="s">
        <v>1767</v>
      </c>
      <c r="B2947" t="s">
        <v>1769</v>
      </c>
      <c r="C2947" t="s">
        <v>5324</v>
      </c>
      <c r="D2947">
        <v>4</v>
      </c>
      <c r="E2947">
        <v>410</v>
      </c>
      <c r="F2947">
        <v>410</v>
      </c>
      <c r="G2947" t="s">
        <v>5325</v>
      </c>
      <c r="H2947" t="s">
        <v>6098</v>
      </c>
      <c r="I2947" t="s">
        <v>5359</v>
      </c>
      <c r="J2947" t="s">
        <v>6099</v>
      </c>
      <c r="L2947" t="s">
        <v>5326</v>
      </c>
    </row>
    <row r="2948" spans="1:12" x14ac:dyDescent="0.2">
      <c r="A2948" t="s">
        <v>1767</v>
      </c>
      <c r="B2948" t="s">
        <v>1769</v>
      </c>
      <c r="C2948" t="s">
        <v>5324</v>
      </c>
      <c r="D2948">
        <v>4</v>
      </c>
      <c r="E2948">
        <v>14.4</v>
      </c>
      <c r="F2948">
        <v>14.4</v>
      </c>
      <c r="G2948" t="s">
        <v>5325</v>
      </c>
      <c r="H2948" t="s">
        <v>5459</v>
      </c>
      <c r="I2948" t="s">
        <v>5359</v>
      </c>
      <c r="J2948" t="s">
        <v>5460</v>
      </c>
      <c r="L2948" t="s">
        <v>5326</v>
      </c>
    </row>
    <row r="2949" spans="1:12" x14ac:dyDescent="0.2">
      <c r="A2949" t="s">
        <v>1767</v>
      </c>
      <c r="B2949" t="s">
        <v>1769</v>
      </c>
      <c r="C2949" t="s">
        <v>5324</v>
      </c>
      <c r="D2949">
        <v>4</v>
      </c>
      <c r="E2949">
        <v>5.2</v>
      </c>
      <c r="F2949">
        <v>5.2</v>
      </c>
      <c r="G2949" t="s">
        <v>5325</v>
      </c>
      <c r="H2949" t="s">
        <v>6100</v>
      </c>
      <c r="I2949" t="s">
        <v>5359</v>
      </c>
      <c r="J2949" t="s">
        <v>6101</v>
      </c>
      <c r="L2949" t="s">
        <v>5326</v>
      </c>
    </row>
    <row r="2950" spans="1:12" x14ac:dyDescent="0.2">
      <c r="A2950" t="s">
        <v>1767</v>
      </c>
      <c r="B2950" t="s">
        <v>1769</v>
      </c>
      <c r="C2950" t="s">
        <v>5324</v>
      </c>
      <c r="D2950">
        <v>4</v>
      </c>
      <c r="E2950">
        <v>42.9</v>
      </c>
      <c r="F2950">
        <v>42.9</v>
      </c>
      <c r="G2950" t="s">
        <v>5325</v>
      </c>
      <c r="H2950" t="s">
        <v>6102</v>
      </c>
      <c r="I2950" t="s">
        <v>5359</v>
      </c>
      <c r="J2950" t="s">
        <v>6103</v>
      </c>
      <c r="L2950" t="s">
        <v>5326</v>
      </c>
    </row>
    <row r="2951" spans="1:12" x14ac:dyDescent="0.2">
      <c r="A2951" t="s">
        <v>1767</v>
      </c>
      <c r="B2951" t="s">
        <v>1769</v>
      </c>
      <c r="C2951" t="s">
        <v>5324</v>
      </c>
      <c r="D2951">
        <v>4</v>
      </c>
      <c r="E2951">
        <v>49.32</v>
      </c>
      <c r="F2951">
        <v>49.32</v>
      </c>
      <c r="G2951" t="s">
        <v>5325</v>
      </c>
      <c r="H2951" t="s">
        <v>6104</v>
      </c>
      <c r="I2951" t="s">
        <v>5359</v>
      </c>
      <c r="J2951" t="s">
        <v>6105</v>
      </c>
      <c r="L2951" t="s">
        <v>5326</v>
      </c>
    </row>
    <row r="2952" spans="1:12" x14ac:dyDescent="0.2">
      <c r="A2952" t="s">
        <v>1767</v>
      </c>
      <c r="B2952" t="s">
        <v>1769</v>
      </c>
      <c r="C2952" t="s">
        <v>5324</v>
      </c>
      <c r="D2952">
        <v>4</v>
      </c>
      <c r="E2952">
        <v>7.62</v>
      </c>
      <c r="F2952">
        <v>7.62</v>
      </c>
      <c r="G2952" t="s">
        <v>5325</v>
      </c>
      <c r="H2952" t="s">
        <v>6106</v>
      </c>
      <c r="I2952" t="s">
        <v>5359</v>
      </c>
      <c r="J2952" t="s">
        <v>6107</v>
      </c>
      <c r="L2952" t="s">
        <v>5326</v>
      </c>
    </row>
    <row r="2953" spans="1:12" x14ac:dyDescent="0.2">
      <c r="A2953" t="s">
        <v>1767</v>
      </c>
      <c r="B2953" t="s">
        <v>1769</v>
      </c>
      <c r="C2953" t="s">
        <v>5324</v>
      </c>
      <c r="D2953">
        <v>4</v>
      </c>
      <c r="E2953">
        <v>0.88</v>
      </c>
      <c r="F2953">
        <v>0.88</v>
      </c>
      <c r="G2953" t="s">
        <v>5325</v>
      </c>
      <c r="H2953" t="s">
        <v>5958</v>
      </c>
      <c r="I2953" t="s">
        <v>5359</v>
      </c>
      <c r="J2953" t="s">
        <v>6108</v>
      </c>
      <c r="L2953" t="s">
        <v>5326</v>
      </c>
    </row>
    <row r="2954" spans="1:12" x14ac:dyDescent="0.2">
      <c r="A2954" t="s">
        <v>1767</v>
      </c>
      <c r="B2954" t="s">
        <v>1769</v>
      </c>
      <c r="C2954" t="s">
        <v>5324</v>
      </c>
      <c r="D2954">
        <v>4</v>
      </c>
      <c r="E2954">
        <v>5.12</v>
      </c>
      <c r="F2954">
        <v>5.12</v>
      </c>
      <c r="G2954" t="s">
        <v>5325</v>
      </c>
      <c r="H2954" t="s">
        <v>6109</v>
      </c>
      <c r="I2954" t="s">
        <v>5359</v>
      </c>
      <c r="J2954" t="s">
        <v>6110</v>
      </c>
      <c r="L2954" t="s">
        <v>5326</v>
      </c>
    </row>
    <row r="2955" spans="1:12" x14ac:dyDescent="0.2">
      <c r="A2955" t="s">
        <v>1767</v>
      </c>
      <c r="B2955" t="s">
        <v>1769</v>
      </c>
      <c r="C2955" t="s">
        <v>5324</v>
      </c>
      <c r="D2955">
        <v>4</v>
      </c>
      <c r="E2955">
        <v>20.5</v>
      </c>
      <c r="F2955">
        <v>20.5</v>
      </c>
      <c r="G2955" t="s">
        <v>5325</v>
      </c>
      <c r="H2955" t="s">
        <v>6111</v>
      </c>
      <c r="I2955" t="s">
        <v>5359</v>
      </c>
      <c r="J2955" t="s">
        <v>6112</v>
      </c>
      <c r="L2955" t="s">
        <v>5326</v>
      </c>
    </row>
    <row r="2956" spans="1:12" x14ac:dyDescent="0.2">
      <c r="A2956" t="s">
        <v>1767</v>
      </c>
      <c r="B2956" t="s">
        <v>1769</v>
      </c>
      <c r="C2956" t="s">
        <v>5324</v>
      </c>
      <c r="D2956">
        <v>4</v>
      </c>
      <c r="E2956">
        <v>6.29</v>
      </c>
      <c r="F2956">
        <v>6.29</v>
      </c>
      <c r="G2956" t="s">
        <v>5325</v>
      </c>
      <c r="H2956" t="s">
        <v>6113</v>
      </c>
      <c r="I2956" t="s">
        <v>5359</v>
      </c>
      <c r="J2956" t="s">
        <v>6114</v>
      </c>
      <c r="L2956" t="s">
        <v>5326</v>
      </c>
    </row>
    <row r="2957" spans="1:12" x14ac:dyDescent="0.2">
      <c r="A2957" t="s">
        <v>1767</v>
      </c>
      <c r="B2957" t="s">
        <v>1769</v>
      </c>
      <c r="C2957" t="s">
        <v>5324</v>
      </c>
      <c r="D2957">
        <v>4</v>
      </c>
      <c r="E2957">
        <v>57.75</v>
      </c>
      <c r="F2957">
        <v>57.75</v>
      </c>
      <c r="G2957" t="s">
        <v>5325</v>
      </c>
      <c r="H2957" t="s">
        <v>6115</v>
      </c>
      <c r="I2957" t="s">
        <v>5359</v>
      </c>
      <c r="J2957" t="s">
        <v>4602</v>
      </c>
      <c r="L2957" t="s">
        <v>5326</v>
      </c>
    </row>
    <row r="2958" spans="1:12" x14ac:dyDescent="0.2">
      <c r="A2958" t="s">
        <v>1767</v>
      </c>
      <c r="B2958" t="s">
        <v>1769</v>
      </c>
      <c r="C2958" t="s">
        <v>5324</v>
      </c>
      <c r="D2958">
        <v>4</v>
      </c>
      <c r="E2958">
        <v>55.13</v>
      </c>
      <c r="F2958">
        <v>55.13</v>
      </c>
      <c r="G2958" t="s">
        <v>5325</v>
      </c>
      <c r="H2958" t="s">
        <v>6116</v>
      </c>
      <c r="I2958" t="s">
        <v>5359</v>
      </c>
      <c r="J2958" t="s">
        <v>4695</v>
      </c>
      <c r="L2958" t="s">
        <v>5326</v>
      </c>
    </row>
    <row r="2959" spans="1:12" x14ac:dyDescent="0.2">
      <c r="A2959" t="s">
        <v>1767</v>
      </c>
      <c r="B2959" t="s">
        <v>1769</v>
      </c>
      <c r="C2959" t="s">
        <v>5324</v>
      </c>
      <c r="D2959">
        <v>4</v>
      </c>
      <c r="E2959">
        <v>0.51</v>
      </c>
      <c r="F2959">
        <v>0.51</v>
      </c>
      <c r="G2959" t="s">
        <v>5325</v>
      </c>
      <c r="H2959" t="s">
        <v>6117</v>
      </c>
      <c r="I2959" t="s">
        <v>5359</v>
      </c>
      <c r="J2959" t="s">
        <v>6118</v>
      </c>
      <c r="L2959" t="s">
        <v>5326</v>
      </c>
    </row>
    <row r="2960" spans="1:12" x14ac:dyDescent="0.2">
      <c r="A2960" t="s">
        <v>1767</v>
      </c>
      <c r="B2960" t="s">
        <v>1769</v>
      </c>
      <c r="C2960" t="s">
        <v>5324</v>
      </c>
      <c r="D2960">
        <v>4</v>
      </c>
      <c r="E2960">
        <v>321.83</v>
      </c>
      <c r="F2960">
        <v>321.83</v>
      </c>
      <c r="G2960" t="s">
        <v>5325</v>
      </c>
      <c r="H2960" t="s">
        <v>6119</v>
      </c>
      <c r="I2960" t="s">
        <v>5359</v>
      </c>
      <c r="J2960" t="s">
        <v>6120</v>
      </c>
      <c r="L2960" t="s">
        <v>5326</v>
      </c>
    </row>
    <row r="2961" spans="1:12" x14ac:dyDescent="0.2">
      <c r="A2961" t="s">
        <v>1767</v>
      </c>
      <c r="B2961" t="s">
        <v>1769</v>
      </c>
      <c r="C2961" t="s">
        <v>5324</v>
      </c>
      <c r="D2961">
        <v>4</v>
      </c>
      <c r="E2961">
        <v>1151.0999999999999</v>
      </c>
      <c r="F2961">
        <v>1151.0999999999999</v>
      </c>
      <c r="G2961" t="s">
        <v>5325</v>
      </c>
      <c r="H2961" t="s">
        <v>6121</v>
      </c>
      <c r="I2961" t="s">
        <v>5359</v>
      </c>
      <c r="J2961" t="s">
        <v>6122</v>
      </c>
      <c r="L2961" t="s">
        <v>5326</v>
      </c>
    </row>
    <row r="2962" spans="1:12" x14ac:dyDescent="0.2">
      <c r="A2962" t="s">
        <v>1767</v>
      </c>
      <c r="B2962" t="s">
        <v>1769</v>
      </c>
      <c r="C2962" t="s">
        <v>5324</v>
      </c>
      <c r="D2962">
        <v>4</v>
      </c>
      <c r="E2962">
        <v>55.13</v>
      </c>
      <c r="F2962">
        <v>55.13</v>
      </c>
      <c r="G2962" t="s">
        <v>5325</v>
      </c>
      <c r="H2962" t="s">
        <v>6116</v>
      </c>
      <c r="I2962" t="s">
        <v>5359</v>
      </c>
      <c r="J2962" t="s">
        <v>4695</v>
      </c>
      <c r="L2962" t="s">
        <v>5326</v>
      </c>
    </row>
    <row r="2963" spans="1:12" x14ac:dyDescent="0.2">
      <c r="A2963" t="s">
        <v>1767</v>
      </c>
      <c r="B2963" t="s">
        <v>1769</v>
      </c>
      <c r="C2963" t="s">
        <v>5324</v>
      </c>
      <c r="D2963">
        <v>4</v>
      </c>
      <c r="E2963">
        <v>-55.13</v>
      </c>
      <c r="F2963">
        <v>-55.13</v>
      </c>
      <c r="G2963" t="s">
        <v>5325</v>
      </c>
      <c r="H2963" t="s">
        <v>6123</v>
      </c>
      <c r="I2963" t="s">
        <v>5359</v>
      </c>
      <c r="J2963" t="s">
        <v>4697</v>
      </c>
      <c r="L2963" t="s">
        <v>5326</v>
      </c>
    </row>
    <row r="2964" spans="1:12" x14ac:dyDescent="0.2">
      <c r="A2964" t="s">
        <v>1767</v>
      </c>
      <c r="B2964" t="s">
        <v>1769</v>
      </c>
      <c r="C2964" t="s">
        <v>5324</v>
      </c>
      <c r="D2964">
        <v>4</v>
      </c>
      <c r="E2964">
        <v>55.13</v>
      </c>
      <c r="F2964">
        <v>55.13</v>
      </c>
      <c r="G2964" t="s">
        <v>5325</v>
      </c>
      <c r="H2964" t="s">
        <v>6116</v>
      </c>
      <c r="I2964" t="s">
        <v>5359</v>
      </c>
      <c r="J2964" t="s">
        <v>4695</v>
      </c>
      <c r="L2964" t="s">
        <v>5326</v>
      </c>
    </row>
    <row r="2965" spans="1:12" x14ac:dyDescent="0.2">
      <c r="A2965" t="s">
        <v>1767</v>
      </c>
      <c r="B2965" t="s">
        <v>1769</v>
      </c>
      <c r="C2965" t="s">
        <v>5324</v>
      </c>
      <c r="D2965">
        <v>4</v>
      </c>
      <c r="E2965">
        <v>418.99</v>
      </c>
      <c r="F2965">
        <v>418.99</v>
      </c>
      <c r="G2965" t="s">
        <v>5325</v>
      </c>
      <c r="H2965" t="s">
        <v>6124</v>
      </c>
      <c r="I2965" t="s">
        <v>5359</v>
      </c>
      <c r="J2965" t="s">
        <v>6125</v>
      </c>
      <c r="L2965" t="s">
        <v>5326</v>
      </c>
    </row>
    <row r="2966" spans="1:12" x14ac:dyDescent="0.2">
      <c r="A2966" t="s">
        <v>1767</v>
      </c>
      <c r="B2966" t="s">
        <v>1769</v>
      </c>
      <c r="C2966" t="s">
        <v>5324</v>
      </c>
      <c r="D2966">
        <v>4</v>
      </c>
      <c r="E2966">
        <v>3739.35</v>
      </c>
      <c r="F2966">
        <v>3739.35</v>
      </c>
      <c r="G2966" t="s">
        <v>5325</v>
      </c>
      <c r="H2966" t="s">
        <v>6126</v>
      </c>
      <c r="I2966" t="s">
        <v>5359</v>
      </c>
      <c r="J2966" t="s">
        <v>6127</v>
      </c>
      <c r="L2966" t="s">
        <v>5326</v>
      </c>
    </row>
    <row r="2967" spans="1:12" x14ac:dyDescent="0.2">
      <c r="A2967" t="s">
        <v>1767</v>
      </c>
      <c r="B2967" t="s">
        <v>1769</v>
      </c>
      <c r="C2967" t="s">
        <v>5324</v>
      </c>
      <c r="D2967">
        <v>4</v>
      </c>
      <c r="E2967">
        <v>659.44</v>
      </c>
      <c r="F2967">
        <v>659.44</v>
      </c>
      <c r="G2967" t="s">
        <v>5325</v>
      </c>
      <c r="H2967" t="s">
        <v>6128</v>
      </c>
      <c r="I2967" t="s">
        <v>5359</v>
      </c>
      <c r="J2967" t="s">
        <v>6129</v>
      </c>
      <c r="L2967" t="s">
        <v>5326</v>
      </c>
    </row>
    <row r="2968" spans="1:12" x14ac:dyDescent="0.2">
      <c r="A2968" t="s">
        <v>1767</v>
      </c>
      <c r="B2968" t="s">
        <v>1769</v>
      </c>
      <c r="C2968" t="s">
        <v>5324</v>
      </c>
      <c r="D2968">
        <v>4</v>
      </c>
      <c r="E2968">
        <v>438.4</v>
      </c>
      <c r="F2968">
        <v>438.4</v>
      </c>
      <c r="G2968" t="s">
        <v>5325</v>
      </c>
      <c r="H2968" t="s">
        <v>6130</v>
      </c>
      <c r="I2968" t="s">
        <v>5359</v>
      </c>
      <c r="J2968" t="s">
        <v>6131</v>
      </c>
      <c r="L2968" t="s">
        <v>5326</v>
      </c>
    </row>
    <row r="2969" spans="1:12" x14ac:dyDescent="0.2">
      <c r="A2969" t="s">
        <v>1767</v>
      </c>
      <c r="B2969" t="s">
        <v>1769</v>
      </c>
      <c r="C2969" t="s">
        <v>5324</v>
      </c>
      <c r="D2969">
        <v>4</v>
      </c>
      <c r="E2969">
        <v>407.6</v>
      </c>
      <c r="F2969">
        <v>407.6</v>
      </c>
      <c r="G2969" t="s">
        <v>5325</v>
      </c>
      <c r="H2969" t="s">
        <v>6132</v>
      </c>
      <c r="I2969" t="s">
        <v>5359</v>
      </c>
      <c r="J2969" t="s">
        <v>6133</v>
      </c>
      <c r="L2969" t="s">
        <v>5326</v>
      </c>
    </row>
    <row r="2970" spans="1:12" x14ac:dyDescent="0.2">
      <c r="A2970" t="s">
        <v>1767</v>
      </c>
      <c r="B2970" t="s">
        <v>1769</v>
      </c>
      <c r="C2970" t="s">
        <v>5324</v>
      </c>
      <c r="D2970">
        <v>4</v>
      </c>
      <c r="E2970">
        <v>575.71</v>
      </c>
      <c r="F2970">
        <v>575.71</v>
      </c>
      <c r="G2970" t="s">
        <v>5325</v>
      </c>
      <c r="H2970" t="s">
        <v>6134</v>
      </c>
      <c r="I2970" t="s">
        <v>5359</v>
      </c>
      <c r="J2970" t="s">
        <v>6135</v>
      </c>
      <c r="L2970" t="s">
        <v>5326</v>
      </c>
    </row>
    <row r="2971" spans="1:12" x14ac:dyDescent="0.2">
      <c r="A2971" t="s">
        <v>1767</v>
      </c>
      <c r="B2971" t="s">
        <v>1769</v>
      </c>
      <c r="C2971" t="s">
        <v>5324</v>
      </c>
      <c r="D2971">
        <v>4</v>
      </c>
      <c r="E2971">
        <v>418.8</v>
      </c>
      <c r="F2971">
        <v>418.8</v>
      </c>
      <c r="G2971" t="s">
        <v>5325</v>
      </c>
      <c r="H2971" t="s">
        <v>6136</v>
      </c>
      <c r="I2971" t="s">
        <v>5359</v>
      </c>
      <c r="J2971" t="s">
        <v>6137</v>
      </c>
      <c r="L2971" t="s">
        <v>5326</v>
      </c>
    </row>
    <row r="2972" spans="1:12" x14ac:dyDescent="0.2">
      <c r="A2972" t="s">
        <v>1767</v>
      </c>
      <c r="B2972" t="s">
        <v>1769</v>
      </c>
      <c r="C2972" t="s">
        <v>5324</v>
      </c>
      <c r="D2972">
        <v>4</v>
      </c>
      <c r="E2972">
        <v>216</v>
      </c>
      <c r="F2972">
        <v>216</v>
      </c>
      <c r="G2972" t="s">
        <v>5325</v>
      </c>
      <c r="H2972" t="s">
        <v>6138</v>
      </c>
      <c r="I2972" t="s">
        <v>5359</v>
      </c>
      <c r="J2972" t="s">
        <v>6139</v>
      </c>
      <c r="L2972" t="s">
        <v>5326</v>
      </c>
    </row>
    <row r="2973" spans="1:12" x14ac:dyDescent="0.2">
      <c r="A2973" t="s">
        <v>1767</v>
      </c>
      <c r="B2973" t="s">
        <v>1769</v>
      </c>
      <c r="C2973" t="s">
        <v>5324</v>
      </c>
      <c r="D2973">
        <v>4</v>
      </c>
      <c r="E2973">
        <v>67.599999999999994</v>
      </c>
      <c r="F2973">
        <v>67.599999999999994</v>
      </c>
      <c r="G2973" t="s">
        <v>5325</v>
      </c>
      <c r="H2973" t="s">
        <v>6140</v>
      </c>
      <c r="I2973" t="s">
        <v>5359</v>
      </c>
      <c r="J2973" t="s">
        <v>4703</v>
      </c>
      <c r="L2973" t="s">
        <v>5326</v>
      </c>
    </row>
    <row r="2974" spans="1:12" x14ac:dyDescent="0.2">
      <c r="A2974" t="s">
        <v>1767</v>
      </c>
      <c r="B2974" t="s">
        <v>1769</v>
      </c>
      <c r="C2974" t="s">
        <v>5324</v>
      </c>
      <c r="D2974">
        <v>4</v>
      </c>
      <c r="E2974">
        <v>97.6</v>
      </c>
      <c r="F2974">
        <v>97.6</v>
      </c>
      <c r="G2974" t="s">
        <v>5325</v>
      </c>
      <c r="H2974" t="s">
        <v>6141</v>
      </c>
      <c r="I2974" t="s">
        <v>5359</v>
      </c>
      <c r="J2974" t="s">
        <v>4705</v>
      </c>
      <c r="L2974" t="s">
        <v>5326</v>
      </c>
    </row>
    <row r="2975" spans="1:12" x14ac:dyDescent="0.2">
      <c r="A2975" t="s">
        <v>1767</v>
      </c>
      <c r="B2975" t="s">
        <v>1769</v>
      </c>
      <c r="C2975" t="s">
        <v>5324</v>
      </c>
      <c r="D2975">
        <v>4</v>
      </c>
      <c r="E2975">
        <v>630.45000000000005</v>
      </c>
      <c r="F2975">
        <v>630.45000000000005</v>
      </c>
      <c r="G2975" t="s">
        <v>5325</v>
      </c>
      <c r="H2975" t="s">
        <v>6142</v>
      </c>
      <c r="I2975" t="s">
        <v>5359</v>
      </c>
      <c r="J2975" t="s">
        <v>6143</v>
      </c>
      <c r="L2975" t="s">
        <v>5326</v>
      </c>
    </row>
    <row r="2976" spans="1:12" x14ac:dyDescent="0.2">
      <c r="A2976" t="s">
        <v>1767</v>
      </c>
      <c r="B2976" t="s">
        <v>1769</v>
      </c>
      <c r="C2976" t="s">
        <v>5324</v>
      </c>
      <c r="D2976">
        <v>4</v>
      </c>
      <c r="E2976">
        <v>870.9</v>
      </c>
      <c r="F2976">
        <v>870.9</v>
      </c>
      <c r="G2976" t="s">
        <v>5325</v>
      </c>
      <c r="H2976" t="s">
        <v>6144</v>
      </c>
      <c r="I2976" t="s">
        <v>5359</v>
      </c>
      <c r="J2976" t="s">
        <v>6145</v>
      </c>
      <c r="L2976" t="s">
        <v>5326</v>
      </c>
    </row>
    <row r="2977" spans="1:12" x14ac:dyDescent="0.2">
      <c r="A2977" t="s">
        <v>1767</v>
      </c>
      <c r="B2977" t="s">
        <v>1769</v>
      </c>
      <c r="C2977" t="s">
        <v>5324</v>
      </c>
      <c r="D2977">
        <v>4</v>
      </c>
      <c r="E2977">
        <v>155.93</v>
      </c>
      <c r="F2977">
        <v>155.93</v>
      </c>
      <c r="G2977" t="s">
        <v>5325</v>
      </c>
      <c r="H2977" t="s">
        <v>6146</v>
      </c>
      <c r="I2977" t="s">
        <v>5359</v>
      </c>
      <c r="J2977" t="s">
        <v>4707</v>
      </c>
      <c r="L2977" t="s">
        <v>5326</v>
      </c>
    </row>
    <row r="2978" spans="1:12" x14ac:dyDescent="0.2">
      <c r="A2978" t="s">
        <v>1767</v>
      </c>
      <c r="B2978" t="s">
        <v>1769</v>
      </c>
      <c r="C2978" t="s">
        <v>5324</v>
      </c>
      <c r="D2978">
        <v>4</v>
      </c>
      <c r="E2978">
        <v>282.10000000000002</v>
      </c>
      <c r="F2978">
        <v>282.10000000000002</v>
      </c>
      <c r="G2978" t="s">
        <v>5325</v>
      </c>
      <c r="H2978" t="s">
        <v>6147</v>
      </c>
      <c r="I2978" t="s">
        <v>5359</v>
      </c>
      <c r="J2978" t="s">
        <v>6148</v>
      </c>
      <c r="L2978" t="s">
        <v>5326</v>
      </c>
    </row>
    <row r="2979" spans="1:12" x14ac:dyDescent="0.2">
      <c r="A2979" t="s">
        <v>1767</v>
      </c>
      <c r="B2979" t="s">
        <v>1769</v>
      </c>
      <c r="C2979" t="s">
        <v>5324</v>
      </c>
      <c r="D2979">
        <v>4</v>
      </c>
      <c r="E2979">
        <v>458.69</v>
      </c>
      <c r="F2979">
        <v>458.69</v>
      </c>
      <c r="G2979" t="s">
        <v>5325</v>
      </c>
      <c r="H2979" t="s">
        <v>6149</v>
      </c>
      <c r="I2979" t="s">
        <v>5359</v>
      </c>
      <c r="J2979" t="s">
        <v>6150</v>
      </c>
      <c r="L2979" t="s">
        <v>5326</v>
      </c>
    </row>
    <row r="2980" spans="1:12" x14ac:dyDescent="0.2">
      <c r="A2980" t="s">
        <v>1767</v>
      </c>
      <c r="B2980" t="s">
        <v>1769</v>
      </c>
      <c r="C2980" t="s">
        <v>5324</v>
      </c>
      <c r="D2980">
        <v>4</v>
      </c>
      <c r="E2980">
        <v>204.77</v>
      </c>
      <c r="F2980">
        <v>204.77</v>
      </c>
      <c r="G2980" t="s">
        <v>5325</v>
      </c>
      <c r="H2980" t="s">
        <v>6151</v>
      </c>
      <c r="I2980" t="s">
        <v>5359</v>
      </c>
      <c r="J2980" t="s">
        <v>4376</v>
      </c>
      <c r="L2980" t="s">
        <v>5326</v>
      </c>
    </row>
    <row r="2981" spans="1:12" x14ac:dyDescent="0.2">
      <c r="A2981" t="s">
        <v>1767</v>
      </c>
      <c r="B2981" t="s">
        <v>1769</v>
      </c>
      <c r="C2981" t="s">
        <v>5324</v>
      </c>
      <c r="D2981">
        <v>4</v>
      </c>
      <c r="E2981">
        <v>614.29999999999995</v>
      </c>
      <c r="F2981">
        <v>614.29999999999995</v>
      </c>
      <c r="G2981" t="s">
        <v>5325</v>
      </c>
      <c r="H2981" t="s">
        <v>6152</v>
      </c>
      <c r="I2981" t="s">
        <v>5359</v>
      </c>
      <c r="J2981" t="s">
        <v>6153</v>
      </c>
      <c r="L2981" t="s">
        <v>5326</v>
      </c>
    </row>
    <row r="2982" spans="1:12" x14ac:dyDescent="0.2">
      <c r="A2982" t="s">
        <v>1767</v>
      </c>
      <c r="B2982" t="s">
        <v>1769</v>
      </c>
      <c r="C2982" t="s">
        <v>5324</v>
      </c>
      <c r="D2982">
        <v>4</v>
      </c>
      <c r="E2982">
        <v>1523.13</v>
      </c>
      <c r="F2982">
        <v>1523.13</v>
      </c>
      <c r="G2982" t="s">
        <v>5325</v>
      </c>
      <c r="H2982" t="s">
        <v>6154</v>
      </c>
      <c r="I2982" t="s">
        <v>5359</v>
      </c>
      <c r="J2982" t="s">
        <v>6155</v>
      </c>
      <c r="L2982" t="s">
        <v>5326</v>
      </c>
    </row>
    <row r="2983" spans="1:12" x14ac:dyDescent="0.2">
      <c r="A2983" t="s">
        <v>1767</v>
      </c>
      <c r="B2983" t="s">
        <v>1769</v>
      </c>
      <c r="C2983" t="s">
        <v>5324</v>
      </c>
      <c r="D2983">
        <v>4</v>
      </c>
      <c r="E2983">
        <v>190.35</v>
      </c>
      <c r="F2983">
        <v>190.35</v>
      </c>
      <c r="G2983" t="s">
        <v>5325</v>
      </c>
      <c r="H2983" t="s">
        <v>6156</v>
      </c>
      <c r="I2983" t="s">
        <v>5359</v>
      </c>
      <c r="J2983" t="s">
        <v>4594</v>
      </c>
      <c r="L2983" t="s">
        <v>5326</v>
      </c>
    </row>
    <row r="2984" spans="1:12" x14ac:dyDescent="0.2">
      <c r="A2984" t="s">
        <v>1767</v>
      </c>
      <c r="B2984" t="s">
        <v>1769</v>
      </c>
      <c r="C2984" t="s">
        <v>5324</v>
      </c>
      <c r="D2984">
        <v>4</v>
      </c>
      <c r="E2984">
        <v>93.28</v>
      </c>
      <c r="F2984">
        <v>93.28</v>
      </c>
      <c r="G2984" t="s">
        <v>5325</v>
      </c>
      <c r="H2984" t="s">
        <v>6157</v>
      </c>
      <c r="I2984" t="s">
        <v>5359</v>
      </c>
      <c r="J2984" t="s">
        <v>3305</v>
      </c>
      <c r="L2984" t="s">
        <v>5326</v>
      </c>
    </row>
    <row r="2985" spans="1:12" x14ac:dyDescent="0.2">
      <c r="A2985" t="s">
        <v>1767</v>
      </c>
      <c r="B2985" t="s">
        <v>1769</v>
      </c>
      <c r="C2985" t="s">
        <v>5324</v>
      </c>
      <c r="D2985">
        <v>4</v>
      </c>
      <c r="E2985">
        <v>7.18</v>
      </c>
      <c r="F2985">
        <v>7.18</v>
      </c>
      <c r="G2985" t="s">
        <v>5325</v>
      </c>
      <c r="H2985" t="s">
        <v>6158</v>
      </c>
      <c r="I2985" t="s">
        <v>5359</v>
      </c>
      <c r="J2985" t="s">
        <v>6159</v>
      </c>
      <c r="L2985" t="s">
        <v>5326</v>
      </c>
    </row>
    <row r="2986" spans="1:12" x14ac:dyDescent="0.2">
      <c r="A2986" t="s">
        <v>1767</v>
      </c>
      <c r="B2986" t="s">
        <v>1769</v>
      </c>
      <c r="C2986" t="s">
        <v>5324</v>
      </c>
      <c r="D2986">
        <v>4</v>
      </c>
      <c r="E2986">
        <v>57.75</v>
      </c>
      <c r="F2986">
        <v>57.75</v>
      </c>
      <c r="G2986" t="s">
        <v>5325</v>
      </c>
      <c r="H2986" t="s">
        <v>6115</v>
      </c>
      <c r="I2986" t="s">
        <v>5359</v>
      </c>
      <c r="J2986" t="s">
        <v>4602</v>
      </c>
      <c r="L2986" t="s">
        <v>5326</v>
      </c>
    </row>
    <row r="2987" spans="1:12" x14ac:dyDescent="0.2">
      <c r="A2987" t="s">
        <v>1767</v>
      </c>
      <c r="B2987" t="s">
        <v>1769</v>
      </c>
      <c r="C2987" t="s">
        <v>5324</v>
      </c>
      <c r="D2987">
        <v>4</v>
      </c>
      <c r="E2987">
        <v>-57.75</v>
      </c>
      <c r="F2987">
        <v>-57.75</v>
      </c>
      <c r="G2987" t="s">
        <v>5325</v>
      </c>
      <c r="H2987" t="s">
        <v>6160</v>
      </c>
      <c r="I2987" t="s">
        <v>5359</v>
      </c>
      <c r="J2987" t="s">
        <v>4649</v>
      </c>
      <c r="L2987" t="s">
        <v>5326</v>
      </c>
    </row>
    <row r="2988" spans="1:12" x14ac:dyDescent="0.2">
      <c r="A2988" t="s">
        <v>1767</v>
      </c>
      <c r="B2988" t="s">
        <v>1769</v>
      </c>
      <c r="C2988" t="s">
        <v>5324</v>
      </c>
      <c r="D2988">
        <v>4</v>
      </c>
      <c r="E2988">
        <v>57.75</v>
      </c>
      <c r="F2988">
        <v>57.75</v>
      </c>
      <c r="G2988" t="s">
        <v>5325</v>
      </c>
      <c r="H2988" t="s">
        <v>6115</v>
      </c>
      <c r="I2988" t="s">
        <v>5359</v>
      </c>
      <c r="J2988" t="s">
        <v>4602</v>
      </c>
      <c r="L2988" t="s">
        <v>5326</v>
      </c>
    </row>
    <row r="2989" spans="1:12" x14ac:dyDescent="0.2">
      <c r="A2989" t="s">
        <v>1767</v>
      </c>
      <c r="B2989" t="s">
        <v>1769</v>
      </c>
      <c r="C2989" t="s">
        <v>5324</v>
      </c>
      <c r="D2989">
        <v>4</v>
      </c>
      <c r="E2989">
        <v>438.9</v>
      </c>
      <c r="F2989">
        <v>438.9</v>
      </c>
      <c r="G2989" t="s">
        <v>5325</v>
      </c>
      <c r="H2989" t="s">
        <v>6161</v>
      </c>
      <c r="I2989" t="s">
        <v>5359</v>
      </c>
      <c r="J2989" t="s">
        <v>6162</v>
      </c>
      <c r="L2989" t="s">
        <v>5326</v>
      </c>
    </row>
    <row r="2990" spans="1:12" x14ac:dyDescent="0.2">
      <c r="A2990" t="s">
        <v>1767</v>
      </c>
      <c r="B2990" t="s">
        <v>1769</v>
      </c>
      <c r="C2990" t="s">
        <v>5324</v>
      </c>
      <c r="D2990">
        <v>4</v>
      </c>
      <c r="E2990">
        <v>216.52</v>
      </c>
      <c r="F2990">
        <v>216.52</v>
      </c>
      <c r="G2990" t="s">
        <v>5325</v>
      </c>
      <c r="H2990" t="s">
        <v>6163</v>
      </c>
      <c r="I2990" t="s">
        <v>5359</v>
      </c>
      <c r="J2990" t="s">
        <v>6164</v>
      </c>
      <c r="L2990" t="s">
        <v>5326</v>
      </c>
    </row>
    <row r="2991" spans="1:12" x14ac:dyDescent="0.2">
      <c r="A2991" t="s">
        <v>1767</v>
      </c>
      <c r="B2991" t="s">
        <v>1769</v>
      </c>
      <c r="C2991" t="s">
        <v>5324</v>
      </c>
      <c r="D2991">
        <v>4</v>
      </c>
      <c r="E2991">
        <v>570.42999999999995</v>
      </c>
      <c r="F2991">
        <v>570.42999999999995</v>
      </c>
      <c r="G2991" t="s">
        <v>5325</v>
      </c>
      <c r="H2991" t="s">
        <v>6165</v>
      </c>
      <c r="I2991" t="s">
        <v>5359</v>
      </c>
      <c r="J2991" t="s">
        <v>6166</v>
      </c>
      <c r="L2991" t="s">
        <v>5326</v>
      </c>
    </row>
    <row r="2992" spans="1:12" x14ac:dyDescent="0.2">
      <c r="A2992" t="s">
        <v>1767</v>
      </c>
      <c r="B2992" t="s">
        <v>1769</v>
      </c>
      <c r="C2992" t="s">
        <v>5324</v>
      </c>
      <c r="D2992">
        <v>4</v>
      </c>
      <c r="E2992">
        <v>301.22000000000003</v>
      </c>
      <c r="F2992">
        <v>301.22000000000003</v>
      </c>
      <c r="G2992" t="s">
        <v>5325</v>
      </c>
      <c r="H2992" t="s">
        <v>6167</v>
      </c>
      <c r="I2992" t="s">
        <v>5359</v>
      </c>
      <c r="J2992" t="s">
        <v>3416</v>
      </c>
      <c r="L2992" t="s">
        <v>5326</v>
      </c>
    </row>
    <row r="2993" spans="1:12" x14ac:dyDescent="0.2">
      <c r="A2993" t="s">
        <v>1767</v>
      </c>
      <c r="B2993" t="s">
        <v>1769</v>
      </c>
      <c r="C2993" t="s">
        <v>5324</v>
      </c>
      <c r="D2993">
        <v>4</v>
      </c>
      <c r="E2993">
        <v>285.61</v>
      </c>
      <c r="F2993">
        <v>285.61</v>
      </c>
      <c r="G2993" t="s">
        <v>5325</v>
      </c>
      <c r="H2993" t="s">
        <v>6168</v>
      </c>
      <c r="I2993" t="s">
        <v>5359</v>
      </c>
      <c r="J2993" t="s">
        <v>6169</v>
      </c>
      <c r="L2993" t="s">
        <v>5326</v>
      </c>
    </row>
    <row r="2994" spans="1:12" x14ac:dyDescent="0.2">
      <c r="A2994" t="s">
        <v>1767</v>
      </c>
      <c r="B2994" t="s">
        <v>1769</v>
      </c>
      <c r="C2994" t="s">
        <v>5324</v>
      </c>
      <c r="D2994">
        <v>4</v>
      </c>
      <c r="E2994">
        <v>811.06</v>
      </c>
      <c r="F2994">
        <v>811.06</v>
      </c>
      <c r="G2994" t="s">
        <v>5325</v>
      </c>
      <c r="H2994" t="s">
        <v>6170</v>
      </c>
      <c r="I2994" t="s">
        <v>5359</v>
      </c>
      <c r="J2994" t="s">
        <v>6171</v>
      </c>
      <c r="L2994" t="s">
        <v>5326</v>
      </c>
    </row>
    <row r="2995" spans="1:12" x14ac:dyDescent="0.2">
      <c r="A2995" t="s">
        <v>1767</v>
      </c>
      <c r="B2995" t="s">
        <v>1769</v>
      </c>
      <c r="C2995" t="s">
        <v>5324</v>
      </c>
      <c r="D2995">
        <v>4</v>
      </c>
      <c r="E2995">
        <v>342.9</v>
      </c>
      <c r="F2995">
        <v>342.9</v>
      </c>
      <c r="G2995" t="s">
        <v>5325</v>
      </c>
      <c r="H2995" t="s">
        <v>6172</v>
      </c>
      <c r="I2995" t="s">
        <v>5359</v>
      </c>
      <c r="J2995" t="s">
        <v>6173</v>
      </c>
      <c r="L2995" t="s">
        <v>5326</v>
      </c>
    </row>
    <row r="2996" spans="1:12" x14ac:dyDescent="0.2">
      <c r="A2996" t="s">
        <v>1767</v>
      </c>
      <c r="B2996" t="s">
        <v>1769</v>
      </c>
      <c r="C2996" t="s">
        <v>5324</v>
      </c>
      <c r="D2996">
        <v>4</v>
      </c>
      <c r="E2996">
        <v>0.62</v>
      </c>
      <c r="F2996">
        <v>0.62</v>
      </c>
      <c r="G2996" t="s">
        <v>5325</v>
      </c>
      <c r="H2996" t="s">
        <v>6174</v>
      </c>
      <c r="I2996" t="s">
        <v>5359</v>
      </c>
      <c r="J2996" t="s">
        <v>6175</v>
      </c>
      <c r="L2996" t="s">
        <v>5326</v>
      </c>
    </row>
    <row r="2997" spans="1:12" x14ac:dyDescent="0.2">
      <c r="A2997" t="s">
        <v>1767</v>
      </c>
      <c r="B2997" t="s">
        <v>1769</v>
      </c>
      <c r="C2997" t="s">
        <v>5324</v>
      </c>
      <c r="D2997">
        <v>4</v>
      </c>
      <c r="E2997">
        <v>9.23</v>
      </c>
      <c r="F2997">
        <v>9.23</v>
      </c>
      <c r="G2997" t="s">
        <v>5325</v>
      </c>
      <c r="H2997" t="s">
        <v>5983</v>
      </c>
      <c r="I2997" t="s">
        <v>5359</v>
      </c>
      <c r="J2997" t="s">
        <v>5984</v>
      </c>
      <c r="L2997" t="s">
        <v>5326</v>
      </c>
    </row>
    <row r="2998" spans="1:12" x14ac:dyDescent="0.2">
      <c r="A2998" t="s">
        <v>1767</v>
      </c>
      <c r="B2998" t="s">
        <v>1769</v>
      </c>
      <c r="C2998" t="s">
        <v>5324</v>
      </c>
      <c r="D2998">
        <v>4</v>
      </c>
      <c r="E2998">
        <v>0</v>
      </c>
      <c r="F2998">
        <v>0</v>
      </c>
      <c r="G2998" t="s">
        <v>5325</v>
      </c>
      <c r="H2998" t="s">
        <v>5329</v>
      </c>
      <c r="I2998" t="s">
        <v>5359</v>
      </c>
      <c r="J2998" t="s">
        <v>6176</v>
      </c>
      <c r="L2998" t="s">
        <v>5326</v>
      </c>
    </row>
    <row r="2999" spans="1:12" x14ac:dyDescent="0.2">
      <c r="A2999" t="s">
        <v>1767</v>
      </c>
      <c r="B2999" t="s">
        <v>1769</v>
      </c>
      <c r="C2999" t="s">
        <v>5324</v>
      </c>
      <c r="D2999">
        <v>4</v>
      </c>
      <c r="E2999">
        <v>121.33</v>
      </c>
      <c r="F2999">
        <v>121.33</v>
      </c>
      <c r="G2999" t="s">
        <v>5325</v>
      </c>
      <c r="H2999" t="s">
        <v>6076</v>
      </c>
      <c r="I2999" t="s">
        <v>5359</v>
      </c>
      <c r="J2999" t="s">
        <v>6177</v>
      </c>
      <c r="L2999" t="s">
        <v>5326</v>
      </c>
    </row>
    <row r="3000" spans="1:12" x14ac:dyDescent="0.2">
      <c r="A3000" t="s">
        <v>1767</v>
      </c>
      <c r="B3000" t="s">
        <v>1769</v>
      </c>
      <c r="C3000" t="s">
        <v>5324</v>
      </c>
      <c r="D3000">
        <v>4</v>
      </c>
      <c r="E3000">
        <v>121.33</v>
      </c>
      <c r="F3000">
        <v>121.33</v>
      </c>
      <c r="G3000" t="s">
        <v>5325</v>
      </c>
      <c r="H3000" t="s">
        <v>6076</v>
      </c>
      <c r="I3000" t="s">
        <v>5359</v>
      </c>
      <c r="J3000" t="s">
        <v>6077</v>
      </c>
      <c r="L3000" t="s">
        <v>5326</v>
      </c>
    </row>
    <row r="3001" spans="1:12" x14ac:dyDescent="0.2">
      <c r="A3001" t="s">
        <v>1767</v>
      </c>
      <c r="B3001" t="s">
        <v>1769</v>
      </c>
      <c r="C3001" t="s">
        <v>5324</v>
      </c>
      <c r="D3001">
        <v>4</v>
      </c>
      <c r="E3001">
        <v>133.46</v>
      </c>
      <c r="F3001">
        <v>133.46</v>
      </c>
      <c r="G3001" t="s">
        <v>5325</v>
      </c>
      <c r="H3001" t="s">
        <v>6178</v>
      </c>
      <c r="I3001" t="s">
        <v>5359</v>
      </c>
      <c r="J3001" t="s">
        <v>6179</v>
      </c>
      <c r="L3001" t="s">
        <v>5326</v>
      </c>
    </row>
    <row r="3002" spans="1:12" x14ac:dyDescent="0.2">
      <c r="A3002" t="s">
        <v>1767</v>
      </c>
      <c r="B3002" t="s">
        <v>1769</v>
      </c>
      <c r="C3002" t="s">
        <v>5324</v>
      </c>
      <c r="D3002">
        <v>4</v>
      </c>
      <c r="E3002">
        <v>100.91</v>
      </c>
      <c r="F3002">
        <v>100.91</v>
      </c>
      <c r="G3002" t="s">
        <v>5325</v>
      </c>
      <c r="H3002" t="s">
        <v>6180</v>
      </c>
      <c r="I3002" t="s">
        <v>5359</v>
      </c>
      <c r="J3002" t="s">
        <v>6181</v>
      </c>
      <c r="L3002" t="s">
        <v>5326</v>
      </c>
    </row>
    <row r="3003" spans="1:12" x14ac:dyDescent="0.2">
      <c r="A3003" t="s">
        <v>1767</v>
      </c>
      <c r="B3003" t="s">
        <v>1769</v>
      </c>
      <c r="C3003" t="s">
        <v>5324</v>
      </c>
      <c r="D3003">
        <v>4</v>
      </c>
      <c r="E3003">
        <v>67.27</v>
      </c>
      <c r="F3003">
        <v>67.27</v>
      </c>
      <c r="G3003" t="s">
        <v>5325</v>
      </c>
      <c r="H3003" t="s">
        <v>6078</v>
      </c>
      <c r="I3003" t="s">
        <v>5359</v>
      </c>
      <c r="J3003" t="s">
        <v>6079</v>
      </c>
      <c r="L3003" t="s">
        <v>5326</v>
      </c>
    </row>
    <row r="3004" spans="1:12" x14ac:dyDescent="0.2">
      <c r="A3004" t="s">
        <v>1767</v>
      </c>
      <c r="B3004" t="s">
        <v>1769</v>
      </c>
      <c r="C3004" t="s">
        <v>5324</v>
      </c>
      <c r="D3004">
        <v>4</v>
      </c>
      <c r="E3004">
        <v>74</v>
      </c>
      <c r="F3004">
        <v>74</v>
      </c>
      <c r="G3004" t="s">
        <v>5325</v>
      </c>
      <c r="H3004" t="s">
        <v>6182</v>
      </c>
      <c r="I3004" t="s">
        <v>5359</v>
      </c>
      <c r="J3004" t="s">
        <v>6183</v>
      </c>
      <c r="L3004" t="s">
        <v>5326</v>
      </c>
    </row>
    <row r="3005" spans="1:12" x14ac:dyDescent="0.2">
      <c r="A3005" t="s">
        <v>1767</v>
      </c>
      <c r="B3005" t="s">
        <v>1769</v>
      </c>
      <c r="C3005" t="s">
        <v>5324</v>
      </c>
      <c r="D3005">
        <v>4</v>
      </c>
      <c r="E3005">
        <v>3</v>
      </c>
      <c r="F3005">
        <v>3</v>
      </c>
      <c r="G3005" t="s">
        <v>5325</v>
      </c>
      <c r="H3005" t="s">
        <v>6184</v>
      </c>
      <c r="I3005" t="s">
        <v>5359</v>
      </c>
      <c r="J3005" t="s">
        <v>2512</v>
      </c>
      <c r="L3005" t="s">
        <v>5326</v>
      </c>
    </row>
    <row r="3006" spans="1:12" x14ac:dyDescent="0.2">
      <c r="A3006" t="s">
        <v>1767</v>
      </c>
      <c r="B3006" t="s">
        <v>1769</v>
      </c>
      <c r="C3006" t="s">
        <v>5324</v>
      </c>
      <c r="D3006">
        <v>4</v>
      </c>
      <c r="E3006">
        <v>51.38</v>
      </c>
      <c r="F3006">
        <v>51.38</v>
      </c>
      <c r="G3006" t="s">
        <v>5325</v>
      </c>
      <c r="H3006" t="s">
        <v>6080</v>
      </c>
      <c r="I3006" t="s">
        <v>5359</v>
      </c>
      <c r="J3006" t="s">
        <v>3333</v>
      </c>
      <c r="L3006" t="s">
        <v>5326</v>
      </c>
    </row>
    <row r="3007" spans="1:12" x14ac:dyDescent="0.2">
      <c r="A3007" t="s">
        <v>1767</v>
      </c>
      <c r="B3007" t="s">
        <v>1769</v>
      </c>
      <c r="C3007" t="s">
        <v>5324</v>
      </c>
      <c r="D3007">
        <v>4</v>
      </c>
      <c r="E3007">
        <v>12.85</v>
      </c>
      <c r="F3007">
        <v>12.85</v>
      </c>
      <c r="G3007" t="s">
        <v>5325</v>
      </c>
      <c r="H3007" t="s">
        <v>6081</v>
      </c>
      <c r="I3007" t="s">
        <v>5359</v>
      </c>
      <c r="J3007" t="s">
        <v>6082</v>
      </c>
      <c r="L3007" t="s">
        <v>5326</v>
      </c>
    </row>
    <row r="3008" spans="1:12" x14ac:dyDescent="0.2">
      <c r="A3008" t="s">
        <v>1767</v>
      </c>
      <c r="B3008" t="s">
        <v>1769</v>
      </c>
      <c r="C3008" t="s">
        <v>5324</v>
      </c>
      <c r="D3008">
        <v>4</v>
      </c>
      <c r="E3008">
        <v>55.13</v>
      </c>
      <c r="F3008">
        <v>55.13</v>
      </c>
      <c r="G3008" t="s">
        <v>5325</v>
      </c>
      <c r="H3008" t="s">
        <v>6116</v>
      </c>
      <c r="I3008" t="s">
        <v>5359</v>
      </c>
      <c r="J3008" t="s">
        <v>4695</v>
      </c>
      <c r="L3008" t="s">
        <v>5326</v>
      </c>
    </row>
    <row r="3009" spans="1:12" x14ac:dyDescent="0.2">
      <c r="A3009" t="s">
        <v>1767</v>
      </c>
      <c r="B3009" t="s">
        <v>1769</v>
      </c>
      <c r="C3009" t="s">
        <v>5324</v>
      </c>
      <c r="D3009">
        <v>4</v>
      </c>
      <c r="E3009">
        <v>-55.13</v>
      </c>
      <c r="F3009">
        <v>-55.13</v>
      </c>
      <c r="G3009" t="s">
        <v>5325</v>
      </c>
      <c r="H3009" t="s">
        <v>6123</v>
      </c>
      <c r="I3009" t="s">
        <v>5359</v>
      </c>
      <c r="J3009" t="s">
        <v>4697</v>
      </c>
      <c r="L3009" t="s">
        <v>5326</v>
      </c>
    </row>
    <row r="3010" spans="1:12" x14ac:dyDescent="0.2">
      <c r="A3010" t="s">
        <v>1767</v>
      </c>
      <c r="B3010" t="s">
        <v>1769</v>
      </c>
      <c r="C3010" t="s">
        <v>5324</v>
      </c>
      <c r="D3010">
        <v>4</v>
      </c>
      <c r="E3010">
        <v>55.13</v>
      </c>
      <c r="F3010">
        <v>55.13</v>
      </c>
      <c r="G3010" t="s">
        <v>5325</v>
      </c>
      <c r="H3010" t="s">
        <v>6116</v>
      </c>
      <c r="I3010" t="s">
        <v>5359</v>
      </c>
      <c r="J3010" t="s">
        <v>4695</v>
      </c>
      <c r="L3010" t="s">
        <v>5326</v>
      </c>
    </row>
    <row r="3011" spans="1:12" x14ac:dyDescent="0.2">
      <c r="A3011" t="s">
        <v>1767</v>
      </c>
      <c r="B3011" t="s">
        <v>1769</v>
      </c>
      <c r="C3011" t="s">
        <v>5324</v>
      </c>
      <c r="D3011">
        <v>4</v>
      </c>
      <c r="E3011">
        <v>27.56</v>
      </c>
      <c r="F3011">
        <v>27.56</v>
      </c>
      <c r="G3011" t="s">
        <v>5325</v>
      </c>
      <c r="H3011" t="s">
        <v>6185</v>
      </c>
      <c r="I3011" t="s">
        <v>5359</v>
      </c>
      <c r="J3011" t="s">
        <v>6186</v>
      </c>
      <c r="L3011" t="s">
        <v>5326</v>
      </c>
    </row>
    <row r="3012" spans="1:12" x14ac:dyDescent="0.2">
      <c r="A3012" t="s">
        <v>1767</v>
      </c>
      <c r="B3012" t="s">
        <v>1769</v>
      </c>
      <c r="C3012" t="s">
        <v>5324</v>
      </c>
      <c r="D3012">
        <v>4</v>
      </c>
      <c r="E3012">
        <v>824.85</v>
      </c>
      <c r="F3012">
        <v>824.85</v>
      </c>
      <c r="G3012" t="s">
        <v>5325</v>
      </c>
      <c r="H3012" t="s">
        <v>6187</v>
      </c>
      <c r="I3012" t="s">
        <v>5359</v>
      </c>
      <c r="J3012" t="s">
        <v>6188</v>
      </c>
      <c r="L3012" t="s">
        <v>5326</v>
      </c>
    </row>
    <row r="3013" spans="1:12" x14ac:dyDescent="0.2">
      <c r="A3013" t="s">
        <v>1767</v>
      </c>
      <c r="B3013" t="s">
        <v>1769</v>
      </c>
      <c r="C3013" t="s">
        <v>5324</v>
      </c>
      <c r="D3013">
        <v>4</v>
      </c>
      <c r="E3013">
        <v>12.85</v>
      </c>
      <c r="F3013">
        <v>12.85</v>
      </c>
      <c r="G3013" t="s">
        <v>5325</v>
      </c>
      <c r="H3013" t="s">
        <v>6081</v>
      </c>
      <c r="I3013" t="s">
        <v>5359</v>
      </c>
      <c r="J3013" t="s">
        <v>6082</v>
      </c>
      <c r="L3013" t="s">
        <v>5326</v>
      </c>
    </row>
    <row r="3014" spans="1:12" x14ac:dyDescent="0.2">
      <c r="A3014" t="s">
        <v>1767</v>
      </c>
      <c r="B3014" t="s">
        <v>1769</v>
      </c>
      <c r="C3014" t="s">
        <v>5324</v>
      </c>
      <c r="D3014">
        <v>4</v>
      </c>
      <c r="E3014">
        <v>181.99</v>
      </c>
      <c r="F3014">
        <v>181.99</v>
      </c>
      <c r="G3014" t="s">
        <v>5325</v>
      </c>
      <c r="H3014" t="s">
        <v>6189</v>
      </c>
      <c r="I3014" t="s">
        <v>5359</v>
      </c>
      <c r="J3014" t="s">
        <v>6190</v>
      </c>
      <c r="L3014" t="s">
        <v>5326</v>
      </c>
    </row>
    <row r="3015" spans="1:12" x14ac:dyDescent="0.2">
      <c r="A3015" t="s">
        <v>1767</v>
      </c>
      <c r="B3015" t="s">
        <v>1769</v>
      </c>
      <c r="C3015" t="s">
        <v>5324</v>
      </c>
      <c r="D3015">
        <v>4</v>
      </c>
      <c r="E3015">
        <v>49.3</v>
      </c>
      <c r="F3015">
        <v>49.3</v>
      </c>
      <c r="G3015" t="s">
        <v>5325</v>
      </c>
      <c r="H3015" t="s">
        <v>6191</v>
      </c>
      <c r="I3015" t="s">
        <v>5359</v>
      </c>
      <c r="J3015" t="s">
        <v>6192</v>
      </c>
      <c r="L3015" t="s">
        <v>5326</v>
      </c>
    </row>
    <row r="3016" spans="1:12" x14ac:dyDescent="0.2">
      <c r="A3016" t="s">
        <v>1767</v>
      </c>
      <c r="B3016" t="s">
        <v>1769</v>
      </c>
      <c r="C3016" t="s">
        <v>5324</v>
      </c>
      <c r="D3016">
        <v>4</v>
      </c>
      <c r="E3016">
        <v>88.36</v>
      </c>
      <c r="F3016">
        <v>88.36</v>
      </c>
      <c r="G3016" t="s">
        <v>5325</v>
      </c>
      <c r="H3016" t="s">
        <v>6193</v>
      </c>
      <c r="I3016" t="s">
        <v>5359</v>
      </c>
      <c r="J3016" t="s">
        <v>6194</v>
      </c>
      <c r="L3016" t="s">
        <v>5326</v>
      </c>
    </row>
    <row r="3017" spans="1:12" x14ac:dyDescent="0.2">
      <c r="A3017" t="s">
        <v>1767</v>
      </c>
      <c r="B3017" t="s">
        <v>1769</v>
      </c>
      <c r="C3017" t="s">
        <v>5324</v>
      </c>
      <c r="D3017">
        <v>4</v>
      </c>
      <c r="E3017">
        <v>46.94</v>
      </c>
      <c r="F3017">
        <v>46.94</v>
      </c>
      <c r="G3017" t="s">
        <v>5325</v>
      </c>
      <c r="H3017" t="s">
        <v>6062</v>
      </c>
      <c r="I3017" t="s">
        <v>5359</v>
      </c>
      <c r="J3017" t="s">
        <v>6063</v>
      </c>
      <c r="L3017" t="s">
        <v>5326</v>
      </c>
    </row>
    <row r="3018" spans="1:12" x14ac:dyDescent="0.2">
      <c r="A3018" t="s">
        <v>1767</v>
      </c>
      <c r="B3018" t="s">
        <v>1769</v>
      </c>
      <c r="C3018" t="s">
        <v>5324</v>
      </c>
      <c r="D3018">
        <v>4</v>
      </c>
      <c r="E3018">
        <v>14.08</v>
      </c>
      <c r="F3018">
        <v>14.08</v>
      </c>
      <c r="G3018" t="s">
        <v>5325</v>
      </c>
      <c r="H3018" t="s">
        <v>6195</v>
      </c>
      <c r="I3018" t="s">
        <v>5359</v>
      </c>
      <c r="J3018" t="s">
        <v>6196</v>
      </c>
      <c r="L3018" t="s">
        <v>5326</v>
      </c>
    </row>
    <row r="3019" spans="1:12" x14ac:dyDescent="0.2">
      <c r="A3019" t="s">
        <v>1767</v>
      </c>
      <c r="B3019" t="s">
        <v>1769</v>
      </c>
      <c r="C3019" t="s">
        <v>5324</v>
      </c>
      <c r="D3019">
        <v>4</v>
      </c>
      <c r="E3019">
        <v>9.39</v>
      </c>
      <c r="F3019">
        <v>9.39</v>
      </c>
      <c r="G3019" t="s">
        <v>5325</v>
      </c>
      <c r="H3019" t="s">
        <v>6197</v>
      </c>
      <c r="I3019" t="s">
        <v>5359</v>
      </c>
      <c r="J3019" t="s">
        <v>6198</v>
      </c>
      <c r="L3019" t="s">
        <v>5326</v>
      </c>
    </row>
    <row r="3020" spans="1:12" x14ac:dyDescent="0.2">
      <c r="A3020" t="s">
        <v>1767</v>
      </c>
      <c r="B3020" t="s">
        <v>1769</v>
      </c>
      <c r="C3020" t="s">
        <v>5324</v>
      </c>
      <c r="D3020">
        <v>4</v>
      </c>
      <c r="E3020">
        <v>14.08</v>
      </c>
      <c r="F3020">
        <v>14.08</v>
      </c>
      <c r="G3020" t="s">
        <v>5325</v>
      </c>
      <c r="H3020" t="s">
        <v>6195</v>
      </c>
      <c r="I3020" t="s">
        <v>5359</v>
      </c>
      <c r="J3020" t="s">
        <v>6196</v>
      </c>
      <c r="L3020" t="s">
        <v>5326</v>
      </c>
    </row>
    <row r="3021" spans="1:12" x14ac:dyDescent="0.2">
      <c r="A3021" t="s">
        <v>1767</v>
      </c>
      <c r="B3021" t="s">
        <v>1769</v>
      </c>
      <c r="C3021" t="s">
        <v>5324</v>
      </c>
      <c r="D3021">
        <v>4</v>
      </c>
      <c r="E3021">
        <v>11.73</v>
      </c>
      <c r="F3021">
        <v>11.73</v>
      </c>
      <c r="G3021" t="s">
        <v>5325</v>
      </c>
      <c r="H3021" t="s">
        <v>6199</v>
      </c>
      <c r="I3021" t="s">
        <v>5359</v>
      </c>
      <c r="J3021" t="s">
        <v>6200</v>
      </c>
      <c r="L3021" t="s">
        <v>5326</v>
      </c>
    </row>
    <row r="3022" spans="1:12" x14ac:dyDescent="0.2">
      <c r="A3022" t="s">
        <v>1767</v>
      </c>
      <c r="B3022" t="s">
        <v>1769</v>
      </c>
      <c r="C3022" t="s">
        <v>5324</v>
      </c>
      <c r="D3022">
        <v>4</v>
      </c>
      <c r="E3022">
        <v>70.650000000000006</v>
      </c>
      <c r="F3022">
        <v>70.650000000000006</v>
      </c>
      <c r="G3022" t="s">
        <v>5325</v>
      </c>
      <c r="H3022" t="s">
        <v>6201</v>
      </c>
      <c r="I3022" t="s">
        <v>5359</v>
      </c>
      <c r="J3022" t="s">
        <v>6202</v>
      </c>
      <c r="L3022" t="s">
        <v>5326</v>
      </c>
    </row>
    <row r="3023" spans="1:12" x14ac:dyDescent="0.2">
      <c r="A3023" t="s">
        <v>1767</v>
      </c>
      <c r="B3023" t="s">
        <v>1769</v>
      </c>
      <c r="C3023" t="s">
        <v>5324</v>
      </c>
      <c r="D3023">
        <v>4</v>
      </c>
      <c r="E3023">
        <v>70.02</v>
      </c>
      <c r="F3023">
        <v>70.02</v>
      </c>
      <c r="G3023" t="s">
        <v>5325</v>
      </c>
      <c r="H3023" t="s">
        <v>6203</v>
      </c>
      <c r="I3023" t="s">
        <v>5359</v>
      </c>
      <c r="J3023" t="s">
        <v>6204</v>
      </c>
      <c r="L3023" t="s">
        <v>5326</v>
      </c>
    </row>
    <row r="3024" spans="1:12" x14ac:dyDescent="0.2">
      <c r="A3024" t="s">
        <v>1767</v>
      </c>
      <c r="B3024" t="s">
        <v>1769</v>
      </c>
      <c r="C3024" t="s">
        <v>5324</v>
      </c>
      <c r="D3024">
        <v>4</v>
      </c>
      <c r="E3024">
        <v>48.26</v>
      </c>
      <c r="F3024">
        <v>48.26</v>
      </c>
      <c r="G3024" t="s">
        <v>5325</v>
      </c>
      <c r="H3024" t="s">
        <v>6205</v>
      </c>
      <c r="I3024" t="s">
        <v>5359</v>
      </c>
      <c r="J3024" t="s">
        <v>6206</v>
      </c>
      <c r="L3024" t="s">
        <v>5326</v>
      </c>
    </row>
    <row r="3025" spans="1:12" x14ac:dyDescent="0.2">
      <c r="A3025" t="s">
        <v>1767</v>
      </c>
      <c r="B3025" t="s">
        <v>1769</v>
      </c>
      <c r="C3025" t="s">
        <v>5324</v>
      </c>
      <c r="D3025">
        <v>4</v>
      </c>
      <c r="E3025">
        <v>418.53</v>
      </c>
      <c r="F3025">
        <v>418.53</v>
      </c>
      <c r="G3025" t="s">
        <v>5325</v>
      </c>
      <c r="H3025" t="s">
        <v>6207</v>
      </c>
      <c r="I3025" t="s">
        <v>5359</v>
      </c>
      <c r="J3025" t="s">
        <v>6208</v>
      </c>
      <c r="L3025" t="s">
        <v>5326</v>
      </c>
    </row>
    <row r="3026" spans="1:12" x14ac:dyDescent="0.2">
      <c r="A3026" t="s">
        <v>1767</v>
      </c>
      <c r="B3026" t="s">
        <v>1769</v>
      </c>
      <c r="C3026" t="s">
        <v>5324</v>
      </c>
      <c r="D3026">
        <v>4</v>
      </c>
      <c r="E3026">
        <v>134.55000000000001</v>
      </c>
      <c r="F3026">
        <v>134.55000000000001</v>
      </c>
      <c r="G3026" t="s">
        <v>5325</v>
      </c>
      <c r="H3026" t="s">
        <v>6085</v>
      </c>
      <c r="I3026" t="s">
        <v>5359</v>
      </c>
      <c r="J3026" t="s">
        <v>6086</v>
      </c>
      <c r="L3026" t="s">
        <v>5326</v>
      </c>
    </row>
    <row r="3027" spans="1:12" x14ac:dyDescent="0.2">
      <c r="A3027" t="s">
        <v>1767</v>
      </c>
      <c r="B3027" t="s">
        <v>1769</v>
      </c>
      <c r="C3027" t="s">
        <v>5324</v>
      </c>
      <c r="D3027">
        <v>4</v>
      </c>
      <c r="E3027">
        <v>67.27</v>
      </c>
      <c r="F3027">
        <v>67.27</v>
      </c>
      <c r="G3027" t="s">
        <v>5325</v>
      </c>
      <c r="H3027" t="s">
        <v>6078</v>
      </c>
      <c r="I3027" t="s">
        <v>5359</v>
      </c>
      <c r="J3027" t="s">
        <v>6209</v>
      </c>
      <c r="L3027" t="s">
        <v>5326</v>
      </c>
    </row>
    <row r="3028" spans="1:12" x14ac:dyDescent="0.2">
      <c r="A3028" t="s">
        <v>1767</v>
      </c>
      <c r="B3028" t="s">
        <v>1769</v>
      </c>
      <c r="C3028" t="s">
        <v>5324</v>
      </c>
      <c r="D3028">
        <v>4</v>
      </c>
      <c r="E3028">
        <v>218.12</v>
      </c>
      <c r="F3028">
        <v>218.12</v>
      </c>
      <c r="G3028" t="s">
        <v>5325</v>
      </c>
      <c r="H3028" t="s">
        <v>6210</v>
      </c>
      <c r="I3028" t="s">
        <v>5359</v>
      </c>
      <c r="J3028" t="s">
        <v>6211</v>
      </c>
      <c r="L3028" t="s">
        <v>5326</v>
      </c>
    </row>
    <row r="3029" spans="1:12" x14ac:dyDescent="0.2">
      <c r="A3029" t="s">
        <v>1767</v>
      </c>
      <c r="B3029" t="s">
        <v>1769</v>
      </c>
      <c r="C3029" t="s">
        <v>5324</v>
      </c>
      <c r="D3029">
        <v>4</v>
      </c>
      <c r="E3029">
        <v>207.65</v>
      </c>
      <c r="F3029">
        <v>207.65</v>
      </c>
      <c r="G3029" t="s">
        <v>5325</v>
      </c>
      <c r="H3029" t="s">
        <v>6212</v>
      </c>
      <c r="I3029" t="s">
        <v>5359</v>
      </c>
      <c r="J3029" t="s">
        <v>6213</v>
      </c>
      <c r="L3029" t="s">
        <v>5326</v>
      </c>
    </row>
    <row r="3030" spans="1:12" x14ac:dyDescent="0.2">
      <c r="A3030" t="s">
        <v>1767</v>
      </c>
      <c r="B3030" t="s">
        <v>1769</v>
      </c>
      <c r="C3030" t="s">
        <v>5324</v>
      </c>
      <c r="D3030">
        <v>4</v>
      </c>
      <c r="E3030">
        <v>6.78</v>
      </c>
      <c r="F3030">
        <v>6.78</v>
      </c>
      <c r="G3030" t="s">
        <v>5325</v>
      </c>
      <c r="H3030" t="s">
        <v>6214</v>
      </c>
      <c r="I3030" t="s">
        <v>5359</v>
      </c>
      <c r="J3030" t="s">
        <v>6215</v>
      </c>
      <c r="L3030" t="s">
        <v>5326</v>
      </c>
    </row>
    <row r="3031" spans="1:12" x14ac:dyDescent="0.2">
      <c r="A3031" t="s">
        <v>1767</v>
      </c>
      <c r="B3031" t="s">
        <v>1769</v>
      </c>
      <c r="C3031" t="s">
        <v>5324</v>
      </c>
      <c r="D3031">
        <v>4</v>
      </c>
      <c r="E3031">
        <v>77.900000000000006</v>
      </c>
      <c r="F3031">
        <v>77.900000000000006</v>
      </c>
      <c r="G3031" t="s">
        <v>5325</v>
      </c>
      <c r="H3031" t="s">
        <v>6216</v>
      </c>
      <c r="I3031" t="s">
        <v>5359</v>
      </c>
      <c r="J3031" t="s">
        <v>6217</v>
      </c>
      <c r="L3031" t="s">
        <v>5326</v>
      </c>
    </row>
    <row r="3032" spans="1:12" x14ac:dyDescent="0.2">
      <c r="A3032" t="s">
        <v>1767</v>
      </c>
      <c r="B3032" t="s">
        <v>1769</v>
      </c>
      <c r="C3032" t="s">
        <v>5324</v>
      </c>
      <c r="D3032">
        <v>4</v>
      </c>
      <c r="E3032">
        <v>5.68</v>
      </c>
      <c r="F3032">
        <v>5.68</v>
      </c>
      <c r="G3032" t="s">
        <v>5325</v>
      </c>
      <c r="H3032" t="s">
        <v>6218</v>
      </c>
      <c r="I3032" t="s">
        <v>5359</v>
      </c>
      <c r="J3032" t="s">
        <v>6219</v>
      </c>
      <c r="L3032" t="s">
        <v>5326</v>
      </c>
    </row>
    <row r="3033" spans="1:12" x14ac:dyDescent="0.2">
      <c r="A3033" t="s">
        <v>1767</v>
      </c>
      <c r="B3033" t="s">
        <v>1769</v>
      </c>
      <c r="C3033" t="s">
        <v>5324</v>
      </c>
      <c r="D3033">
        <v>4</v>
      </c>
      <c r="E3033">
        <v>0</v>
      </c>
      <c r="F3033">
        <v>0</v>
      </c>
      <c r="G3033" t="s">
        <v>5325</v>
      </c>
      <c r="H3033" t="s">
        <v>5329</v>
      </c>
      <c r="I3033" t="s">
        <v>5359</v>
      </c>
      <c r="J3033" t="s">
        <v>6220</v>
      </c>
      <c r="L3033" t="s">
        <v>5326</v>
      </c>
    </row>
    <row r="3034" spans="1:12" x14ac:dyDescent="0.2">
      <c r="A3034" t="s">
        <v>1767</v>
      </c>
      <c r="B3034" t="s">
        <v>1769</v>
      </c>
      <c r="C3034" t="s">
        <v>5324</v>
      </c>
      <c r="D3034">
        <v>4</v>
      </c>
      <c r="E3034">
        <v>30.69</v>
      </c>
      <c r="F3034">
        <v>30.69</v>
      </c>
      <c r="G3034" t="s">
        <v>5325</v>
      </c>
      <c r="H3034" t="s">
        <v>6221</v>
      </c>
      <c r="I3034" t="s">
        <v>5359</v>
      </c>
      <c r="J3034" t="s">
        <v>6222</v>
      </c>
      <c r="L3034" t="s">
        <v>5326</v>
      </c>
    </row>
    <row r="3035" spans="1:12" x14ac:dyDescent="0.2">
      <c r="A3035" t="s">
        <v>1767</v>
      </c>
      <c r="B3035" t="s">
        <v>1769</v>
      </c>
      <c r="C3035" t="s">
        <v>5324</v>
      </c>
      <c r="D3035">
        <v>4</v>
      </c>
      <c r="E3035">
        <v>1218.1500000000001</v>
      </c>
      <c r="F3035">
        <v>1218.1500000000001</v>
      </c>
      <c r="G3035" t="s">
        <v>5325</v>
      </c>
      <c r="H3035" t="s">
        <v>6223</v>
      </c>
      <c r="I3035" t="s">
        <v>5359</v>
      </c>
      <c r="J3035" t="s">
        <v>6224</v>
      </c>
      <c r="L3035" t="s">
        <v>5326</v>
      </c>
    </row>
    <row r="3036" spans="1:12" x14ac:dyDescent="0.2">
      <c r="A3036" t="s">
        <v>1767</v>
      </c>
      <c r="B3036" t="s">
        <v>1769</v>
      </c>
      <c r="C3036" t="s">
        <v>5324</v>
      </c>
      <c r="D3036">
        <v>4</v>
      </c>
      <c r="E3036">
        <v>12.83</v>
      </c>
      <c r="F3036">
        <v>12.83</v>
      </c>
      <c r="G3036" t="s">
        <v>5325</v>
      </c>
      <c r="H3036" t="s">
        <v>6225</v>
      </c>
      <c r="I3036" t="s">
        <v>5359</v>
      </c>
      <c r="J3036" t="s">
        <v>6226</v>
      </c>
      <c r="L3036" t="s">
        <v>5326</v>
      </c>
    </row>
    <row r="3037" spans="1:12" x14ac:dyDescent="0.2">
      <c r="A3037" t="s">
        <v>1767</v>
      </c>
      <c r="B3037" t="s">
        <v>1769</v>
      </c>
      <c r="C3037" t="s">
        <v>5324</v>
      </c>
      <c r="D3037">
        <v>4</v>
      </c>
      <c r="E3037">
        <v>3.63</v>
      </c>
      <c r="F3037">
        <v>3.63</v>
      </c>
      <c r="G3037" t="s">
        <v>5325</v>
      </c>
      <c r="H3037" t="s">
        <v>6227</v>
      </c>
      <c r="I3037" t="s">
        <v>5359</v>
      </c>
      <c r="J3037" t="s">
        <v>6228</v>
      </c>
      <c r="L3037" t="s">
        <v>5326</v>
      </c>
    </row>
    <row r="3038" spans="1:12" x14ac:dyDescent="0.2">
      <c r="A3038" t="s">
        <v>1767</v>
      </c>
      <c r="B3038" t="s">
        <v>1769</v>
      </c>
      <c r="C3038" t="s">
        <v>5324</v>
      </c>
      <c r="D3038">
        <v>4</v>
      </c>
      <c r="E3038">
        <v>21.64</v>
      </c>
      <c r="F3038">
        <v>21.64</v>
      </c>
      <c r="G3038" t="s">
        <v>5325</v>
      </c>
      <c r="H3038" t="s">
        <v>6229</v>
      </c>
      <c r="I3038" t="s">
        <v>5359</v>
      </c>
      <c r="J3038" t="s">
        <v>6230</v>
      </c>
      <c r="L3038" t="s">
        <v>5326</v>
      </c>
    </row>
    <row r="3039" spans="1:12" x14ac:dyDescent="0.2">
      <c r="A3039" t="s">
        <v>1767</v>
      </c>
      <c r="B3039" t="s">
        <v>1769</v>
      </c>
      <c r="C3039" t="s">
        <v>5324</v>
      </c>
      <c r="D3039">
        <v>4</v>
      </c>
      <c r="E3039">
        <v>21.36</v>
      </c>
      <c r="F3039">
        <v>21.36</v>
      </c>
      <c r="G3039" t="s">
        <v>5325</v>
      </c>
      <c r="H3039" t="s">
        <v>6231</v>
      </c>
      <c r="I3039" t="s">
        <v>5359</v>
      </c>
      <c r="J3039" t="s">
        <v>6232</v>
      </c>
      <c r="L3039" t="s">
        <v>5326</v>
      </c>
    </row>
    <row r="3040" spans="1:12" x14ac:dyDescent="0.2">
      <c r="A3040" t="s">
        <v>1767</v>
      </c>
      <c r="B3040" t="s">
        <v>1769</v>
      </c>
      <c r="C3040" t="s">
        <v>5324</v>
      </c>
      <c r="D3040">
        <v>4</v>
      </c>
      <c r="E3040">
        <v>38.81</v>
      </c>
      <c r="F3040">
        <v>38.81</v>
      </c>
      <c r="G3040" t="s">
        <v>5325</v>
      </c>
      <c r="H3040" t="s">
        <v>6233</v>
      </c>
      <c r="I3040" t="s">
        <v>5359</v>
      </c>
      <c r="J3040" t="s">
        <v>6234</v>
      </c>
      <c r="L3040" t="s">
        <v>5326</v>
      </c>
    </row>
    <row r="3041" spans="1:12" x14ac:dyDescent="0.2">
      <c r="A3041" t="s">
        <v>1767</v>
      </c>
      <c r="B3041" t="s">
        <v>1769</v>
      </c>
      <c r="C3041" t="s">
        <v>5324</v>
      </c>
      <c r="D3041">
        <v>4</v>
      </c>
      <c r="E3041">
        <v>10.47</v>
      </c>
      <c r="F3041">
        <v>10.47</v>
      </c>
      <c r="G3041" t="s">
        <v>5325</v>
      </c>
      <c r="H3041" t="s">
        <v>6235</v>
      </c>
      <c r="I3041" t="s">
        <v>5359</v>
      </c>
      <c r="J3041" t="s">
        <v>6236</v>
      </c>
      <c r="L3041" t="s">
        <v>5326</v>
      </c>
    </row>
    <row r="3042" spans="1:12" x14ac:dyDescent="0.2">
      <c r="A3042" t="s">
        <v>1767</v>
      </c>
      <c r="B3042" t="s">
        <v>1769</v>
      </c>
      <c r="C3042" t="s">
        <v>5324</v>
      </c>
      <c r="D3042">
        <v>4</v>
      </c>
      <c r="E3042">
        <v>205.14</v>
      </c>
      <c r="F3042">
        <v>205.14</v>
      </c>
      <c r="G3042" t="s">
        <v>5325</v>
      </c>
      <c r="H3042" t="s">
        <v>6237</v>
      </c>
      <c r="I3042" t="s">
        <v>5359</v>
      </c>
      <c r="J3042" t="s">
        <v>6238</v>
      </c>
      <c r="L3042" t="s">
        <v>5326</v>
      </c>
    </row>
    <row r="3043" spans="1:12" x14ac:dyDescent="0.2">
      <c r="A3043" t="s">
        <v>1767</v>
      </c>
      <c r="B3043" t="s">
        <v>1769</v>
      </c>
      <c r="C3043" t="s">
        <v>5324</v>
      </c>
      <c r="D3043">
        <v>4</v>
      </c>
      <c r="E3043">
        <v>45.42</v>
      </c>
      <c r="F3043">
        <v>45.42</v>
      </c>
      <c r="G3043" t="s">
        <v>5325</v>
      </c>
      <c r="H3043" t="s">
        <v>6239</v>
      </c>
      <c r="I3043" t="s">
        <v>5359</v>
      </c>
      <c r="J3043" t="s">
        <v>6240</v>
      </c>
      <c r="L3043" t="s">
        <v>5326</v>
      </c>
    </row>
    <row r="3044" spans="1:12" x14ac:dyDescent="0.2">
      <c r="A3044" t="s">
        <v>1767</v>
      </c>
      <c r="B3044" t="s">
        <v>1769</v>
      </c>
      <c r="C3044" t="s">
        <v>5324</v>
      </c>
      <c r="D3044">
        <v>4</v>
      </c>
      <c r="E3044">
        <v>17.510000000000002</v>
      </c>
      <c r="F3044">
        <v>17.510000000000002</v>
      </c>
      <c r="G3044" t="s">
        <v>5325</v>
      </c>
      <c r="H3044" t="s">
        <v>5492</v>
      </c>
      <c r="I3044" t="s">
        <v>5359</v>
      </c>
      <c r="J3044" t="s">
        <v>5493</v>
      </c>
      <c r="L3044" t="s">
        <v>5326</v>
      </c>
    </row>
    <row r="3045" spans="1:12" x14ac:dyDescent="0.2">
      <c r="A3045" t="s">
        <v>1767</v>
      </c>
      <c r="B3045" t="s">
        <v>1769</v>
      </c>
      <c r="C3045" t="s">
        <v>5324</v>
      </c>
      <c r="D3045">
        <v>4</v>
      </c>
      <c r="E3045">
        <v>24</v>
      </c>
      <c r="F3045">
        <v>24</v>
      </c>
      <c r="G3045" t="s">
        <v>5325</v>
      </c>
      <c r="H3045" t="s">
        <v>6241</v>
      </c>
      <c r="I3045" t="s">
        <v>5359</v>
      </c>
      <c r="J3045" t="s">
        <v>6242</v>
      </c>
      <c r="L3045" t="s">
        <v>5326</v>
      </c>
    </row>
    <row r="3046" spans="1:12" x14ac:dyDescent="0.2">
      <c r="A3046" t="s">
        <v>1767</v>
      </c>
      <c r="B3046" t="s">
        <v>1769</v>
      </c>
      <c r="C3046" t="s">
        <v>5324</v>
      </c>
      <c r="D3046">
        <v>4</v>
      </c>
      <c r="E3046">
        <v>120</v>
      </c>
      <c r="F3046">
        <v>120</v>
      </c>
      <c r="G3046" t="s">
        <v>5325</v>
      </c>
      <c r="H3046" t="s">
        <v>6243</v>
      </c>
      <c r="I3046" t="s">
        <v>5359</v>
      </c>
      <c r="J3046" t="s">
        <v>6244</v>
      </c>
      <c r="L3046" t="s">
        <v>5326</v>
      </c>
    </row>
    <row r="3047" spans="1:12" x14ac:dyDescent="0.2">
      <c r="A3047" t="s">
        <v>1767</v>
      </c>
      <c r="B3047" t="s">
        <v>1769</v>
      </c>
      <c r="C3047" t="s">
        <v>5324</v>
      </c>
      <c r="D3047">
        <v>4</v>
      </c>
      <c r="E3047">
        <v>25</v>
      </c>
      <c r="F3047">
        <v>25</v>
      </c>
      <c r="G3047" t="s">
        <v>5325</v>
      </c>
      <c r="H3047" t="s">
        <v>6245</v>
      </c>
      <c r="I3047" t="s">
        <v>5359</v>
      </c>
      <c r="J3047" t="s">
        <v>6246</v>
      </c>
      <c r="L3047" t="s">
        <v>5326</v>
      </c>
    </row>
    <row r="3048" spans="1:12" x14ac:dyDescent="0.2">
      <c r="A3048" t="s">
        <v>1767</v>
      </c>
      <c r="B3048" t="s">
        <v>1769</v>
      </c>
      <c r="C3048" t="s">
        <v>5324</v>
      </c>
      <c r="D3048">
        <v>4</v>
      </c>
      <c r="E3048">
        <v>22.86</v>
      </c>
      <c r="F3048">
        <v>22.86</v>
      </c>
      <c r="G3048" t="s">
        <v>5325</v>
      </c>
      <c r="H3048" t="s">
        <v>6247</v>
      </c>
      <c r="I3048" t="s">
        <v>5359</v>
      </c>
      <c r="J3048" t="s">
        <v>6248</v>
      </c>
      <c r="L3048" t="s">
        <v>5326</v>
      </c>
    </row>
    <row r="3049" spans="1:12" x14ac:dyDescent="0.2">
      <c r="A3049" t="s">
        <v>1767</v>
      </c>
      <c r="B3049" t="s">
        <v>1769</v>
      </c>
      <c r="C3049" t="s">
        <v>5324</v>
      </c>
      <c r="D3049">
        <v>4</v>
      </c>
      <c r="E3049">
        <v>46.98</v>
      </c>
      <c r="F3049">
        <v>46.98</v>
      </c>
      <c r="G3049" t="s">
        <v>5325</v>
      </c>
      <c r="H3049" t="s">
        <v>6249</v>
      </c>
      <c r="I3049" t="s">
        <v>5359</v>
      </c>
      <c r="J3049" t="s">
        <v>6250</v>
      </c>
      <c r="L3049" t="s">
        <v>5326</v>
      </c>
    </row>
    <row r="3050" spans="1:12" x14ac:dyDescent="0.2">
      <c r="A3050" t="s">
        <v>1767</v>
      </c>
      <c r="B3050" t="s">
        <v>1769</v>
      </c>
      <c r="C3050" t="s">
        <v>5324</v>
      </c>
      <c r="D3050">
        <v>4</v>
      </c>
      <c r="E3050">
        <v>12.51</v>
      </c>
      <c r="F3050">
        <v>12.51</v>
      </c>
      <c r="G3050" t="s">
        <v>5325</v>
      </c>
      <c r="H3050" t="s">
        <v>6251</v>
      </c>
      <c r="I3050" t="s">
        <v>5359</v>
      </c>
      <c r="J3050" t="s">
        <v>6252</v>
      </c>
      <c r="L3050" t="s">
        <v>5326</v>
      </c>
    </row>
    <row r="3051" spans="1:12" x14ac:dyDescent="0.2">
      <c r="A3051" t="s">
        <v>1767</v>
      </c>
      <c r="B3051" t="s">
        <v>1769</v>
      </c>
      <c r="C3051" t="s">
        <v>5324</v>
      </c>
      <c r="D3051">
        <v>4</v>
      </c>
      <c r="E3051">
        <v>82.05</v>
      </c>
      <c r="F3051">
        <v>82.05</v>
      </c>
      <c r="G3051" t="s">
        <v>5325</v>
      </c>
      <c r="H3051" t="s">
        <v>6253</v>
      </c>
      <c r="I3051" t="s">
        <v>5359</v>
      </c>
      <c r="J3051" t="s">
        <v>6254</v>
      </c>
      <c r="L3051" t="s">
        <v>5326</v>
      </c>
    </row>
    <row r="3052" spans="1:12" x14ac:dyDescent="0.2">
      <c r="A3052" t="s">
        <v>1767</v>
      </c>
      <c r="B3052" t="s">
        <v>1769</v>
      </c>
      <c r="C3052" t="s">
        <v>5324</v>
      </c>
      <c r="D3052">
        <v>4</v>
      </c>
      <c r="E3052">
        <v>193.92</v>
      </c>
      <c r="F3052">
        <v>193.92</v>
      </c>
      <c r="G3052" t="s">
        <v>5325</v>
      </c>
      <c r="H3052" t="s">
        <v>6255</v>
      </c>
      <c r="I3052" t="s">
        <v>5359</v>
      </c>
      <c r="J3052" t="s">
        <v>6256</v>
      </c>
      <c r="L3052" t="s">
        <v>5326</v>
      </c>
    </row>
    <row r="3053" spans="1:12" x14ac:dyDescent="0.2">
      <c r="A3053" t="s">
        <v>1767</v>
      </c>
      <c r="B3053" t="s">
        <v>1769</v>
      </c>
      <c r="C3053" t="s">
        <v>5324</v>
      </c>
      <c r="D3053">
        <v>4</v>
      </c>
      <c r="E3053">
        <v>491.76</v>
      </c>
      <c r="F3053">
        <v>491.76</v>
      </c>
      <c r="G3053" t="s">
        <v>5325</v>
      </c>
      <c r="H3053" t="s">
        <v>6257</v>
      </c>
      <c r="I3053" t="s">
        <v>5359</v>
      </c>
      <c r="J3053" t="s">
        <v>6258</v>
      </c>
      <c r="L3053" t="s">
        <v>5326</v>
      </c>
    </row>
    <row r="3054" spans="1:12" x14ac:dyDescent="0.2">
      <c r="A3054" t="s">
        <v>1767</v>
      </c>
      <c r="B3054" t="s">
        <v>1769</v>
      </c>
      <c r="C3054" t="s">
        <v>5324</v>
      </c>
      <c r="D3054">
        <v>4</v>
      </c>
      <c r="E3054">
        <v>0</v>
      </c>
      <c r="F3054">
        <v>0</v>
      </c>
      <c r="G3054" t="s">
        <v>5325</v>
      </c>
      <c r="H3054" t="s">
        <v>5329</v>
      </c>
      <c r="I3054" t="s">
        <v>5359</v>
      </c>
      <c r="J3054" t="s">
        <v>6259</v>
      </c>
      <c r="L3054" t="s">
        <v>5326</v>
      </c>
    </row>
    <row r="3055" spans="1:12" x14ac:dyDescent="0.2">
      <c r="A3055" t="s">
        <v>1767</v>
      </c>
      <c r="B3055" t="s">
        <v>1769</v>
      </c>
      <c r="C3055" t="s">
        <v>5324</v>
      </c>
      <c r="D3055">
        <v>4</v>
      </c>
      <c r="E3055">
        <v>123.9</v>
      </c>
      <c r="F3055">
        <v>123.9</v>
      </c>
      <c r="G3055" t="s">
        <v>5325</v>
      </c>
      <c r="H3055" t="s">
        <v>6260</v>
      </c>
      <c r="I3055" t="s">
        <v>5359</v>
      </c>
      <c r="J3055" t="s">
        <v>6261</v>
      </c>
      <c r="L3055" t="s">
        <v>5326</v>
      </c>
    </row>
    <row r="3056" spans="1:12" x14ac:dyDescent="0.2">
      <c r="A3056" t="s">
        <v>1767</v>
      </c>
      <c r="B3056" t="s">
        <v>1769</v>
      </c>
      <c r="C3056" t="s">
        <v>5324</v>
      </c>
      <c r="D3056">
        <v>4</v>
      </c>
      <c r="E3056">
        <v>144</v>
      </c>
      <c r="F3056">
        <v>144</v>
      </c>
      <c r="G3056" t="s">
        <v>5325</v>
      </c>
      <c r="H3056" t="s">
        <v>6262</v>
      </c>
      <c r="I3056" t="s">
        <v>5359</v>
      </c>
      <c r="J3056" t="s">
        <v>6263</v>
      </c>
      <c r="L3056" t="s">
        <v>5326</v>
      </c>
    </row>
    <row r="3057" spans="1:12" x14ac:dyDescent="0.2">
      <c r="A3057" t="s">
        <v>1767</v>
      </c>
      <c r="B3057" t="s">
        <v>1769</v>
      </c>
      <c r="C3057" t="s">
        <v>5324</v>
      </c>
      <c r="D3057">
        <v>4</v>
      </c>
      <c r="E3057">
        <v>717.11</v>
      </c>
      <c r="F3057">
        <v>717.11</v>
      </c>
      <c r="G3057" t="s">
        <v>5325</v>
      </c>
      <c r="H3057" t="s">
        <v>6264</v>
      </c>
      <c r="I3057" t="s">
        <v>5359</v>
      </c>
      <c r="J3057" t="s">
        <v>6265</v>
      </c>
      <c r="L3057" t="s">
        <v>5326</v>
      </c>
    </row>
    <row r="3058" spans="1:12" x14ac:dyDescent="0.2">
      <c r="A3058" t="s">
        <v>1767</v>
      </c>
      <c r="B3058" t="s">
        <v>1769</v>
      </c>
      <c r="C3058" t="s">
        <v>5324</v>
      </c>
      <c r="D3058">
        <v>4</v>
      </c>
      <c r="E3058">
        <v>536.4</v>
      </c>
      <c r="F3058">
        <v>536.4</v>
      </c>
      <c r="G3058" t="s">
        <v>5325</v>
      </c>
      <c r="H3058" t="s">
        <v>6266</v>
      </c>
      <c r="I3058" t="s">
        <v>5359</v>
      </c>
      <c r="J3058" t="s">
        <v>6267</v>
      </c>
      <c r="L3058" t="s">
        <v>5326</v>
      </c>
    </row>
    <row r="3059" spans="1:12" x14ac:dyDescent="0.2">
      <c r="A3059" t="s">
        <v>1767</v>
      </c>
      <c r="B3059" t="s">
        <v>1769</v>
      </c>
      <c r="C3059" t="s">
        <v>5324</v>
      </c>
      <c r="D3059">
        <v>4</v>
      </c>
      <c r="E3059">
        <v>5240</v>
      </c>
      <c r="F3059">
        <v>5240</v>
      </c>
      <c r="G3059" t="s">
        <v>5325</v>
      </c>
      <c r="H3059" t="s">
        <v>6268</v>
      </c>
      <c r="I3059" t="s">
        <v>5359</v>
      </c>
      <c r="J3059" t="s">
        <v>6269</v>
      </c>
      <c r="L3059" t="s">
        <v>5326</v>
      </c>
    </row>
    <row r="3060" spans="1:12" x14ac:dyDescent="0.2">
      <c r="A3060" t="s">
        <v>1767</v>
      </c>
      <c r="B3060" t="s">
        <v>1769</v>
      </c>
      <c r="C3060" t="s">
        <v>5324</v>
      </c>
      <c r="D3060">
        <v>4</v>
      </c>
      <c r="E3060">
        <v>223</v>
      </c>
      <c r="F3060">
        <v>223</v>
      </c>
      <c r="G3060" t="s">
        <v>5325</v>
      </c>
      <c r="H3060" t="s">
        <v>6270</v>
      </c>
      <c r="I3060" t="s">
        <v>5359</v>
      </c>
      <c r="J3060" t="s">
        <v>6271</v>
      </c>
      <c r="L3060" t="s">
        <v>5326</v>
      </c>
    </row>
    <row r="3061" spans="1:12" x14ac:dyDescent="0.2">
      <c r="A3061" t="s">
        <v>1767</v>
      </c>
      <c r="B3061" t="s">
        <v>1769</v>
      </c>
      <c r="C3061" t="s">
        <v>5324</v>
      </c>
      <c r="D3061">
        <v>4</v>
      </c>
      <c r="E3061">
        <v>356</v>
      </c>
      <c r="F3061">
        <v>356</v>
      </c>
      <c r="G3061" t="s">
        <v>5325</v>
      </c>
      <c r="H3061" t="s">
        <v>6272</v>
      </c>
      <c r="I3061" t="s">
        <v>5359</v>
      </c>
      <c r="J3061" t="s">
        <v>6273</v>
      </c>
      <c r="L3061" t="s">
        <v>5326</v>
      </c>
    </row>
    <row r="3062" spans="1:12" x14ac:dyDescent="0.2">
      <c r="A3062" t="s">
        <v>1767</v>
      </c>
      <c r="B3062" t="s">
        <v>1769</v>
      </c>
      <c r="C3062" t="s">
        <v>5324</v>
      </c>
      <c r="D3062">
        <v>4</v>
      </c>
      <c r="E3062">
        <v>1237.5</v>
      </c>
      <c r="F3062">
        <v>1237.5</v>
      </c>
      <c r="G3062" t="s">
        <v>5325</v>
      </c>
      <c r="H3062" t="s">
        <v>6274</v>
      </c>
      <c r="I3062" t="s">
        <v>5359</v>
      </c>
      <c r="J3062" t="s">
        <v>6275</v>
      </c>
      <c r="L3062" t="s">
        <v>5326</v>
      </c>
    </row>
    <row r="3063" spans="1:12" x14ac:dyDescent="0.2">
      <c r="A3063" t="s">
        <v>1767</v>
      </c>
      <c r="B3063" t="s">
        <v>1769</v>
      </c>
      <c r="C3063" t="s">
        <v>5324</v>
      </c>
      <c r="D3063">
        <v>4</v>
      </c>
      <c r="E3063">
        <v>822</v>
      </c>
      <c r="F3063">
        <v>822</v>
      </c>
      <c r="G3063" t="s">
        <v>5325</v>
      </c>
      <c r="H3063" t="s">
        <v>6276</v>
      </c>
      <c r="I3063" t="s">
        <v>5359</v>
      </c>
      <c r="J3063" t="s">
        <v>6277</v>
      </c>
      <c r="L3063" t="s">
        <v>5326</v>
      </c>
    </row>
    <row r="3064" spans="1:12" x14ac:dyDescent="0.2">
      <c r="A3064" t="s">
        <v>1767</v>
      </c>
      <c r="B3064" t="s">
        <v>1769</v>
      </c>
      <c r="C3064" t="s">
        <v>5324</v>
      </c>
      <c r="D3064">
        <v>4</v>
      </c>
      <c r="E3064">
        <v>645</v>
      </c>
      <c r="F3064">
        <v>645</v>
      </c>
      <c r="G3064" t="s">
        <v>5325</v>
      </c>
      <c r="H3064" t="s">
        <v>6278</v>
      </c>
      <c r="I3064" t="s">
        <v>5359</v>
      </c>
      <c r="J3064" t="s">
        <v>6279</v>
      </c>
      <c r="L3064" t="s">
        <v>5326</v>
      </c>
    </row>
    <row r="3065" spans="1:12" x14ac:dyDescent="0.2">
      <c r="A3065" t="s">
        <v>1767</v>
      </c>
      <c r="B3065" t="s">
        <v>1769</v>
      </c>
      <c r="C3065" t="s">
        <v>5324</v>
      </c>
      <c r="D3065">
        <v>4</v>
      </c>
      <c r="E3065">
        <v>1143.68</v>
      </c>
      <c r="F3065">
        <v>1143.68</v>
      </c>
      <c r="G3065" t="s">
        <v>5325</v>
      </c>
      <c r="H3065" t="s">
        <v>6280</v>
      </c>
      <c r="I3065" t="s">
        <v>5359</v>
      </c>
      <c r="J3065" t="s">
        <v>6281</v>
      </c>
      <c r="L3065" t="s">
        <v>5326</v>
      </c>
    </row>
    <row r="3066" spans="1:12" x14ac:dyDescent="0.2">
      <c r="A3066" t="s">
        <v>1767</v>
      </c>
      <c r="B3066" t="s">
        <v>1769</v>
      </c>
      <c r="C3066" t="s">
        <v>5324</v>
      </c>
      <c r="D3066">
        <v>4</v>
      </c>
      <c r="E3066">
        <v>1785</v>
      </c>
      <c r="F3066">
        <v>1785</v>
      </c>
      <c r="G3066" t="s">
        <v>5325</v>
      </c>
      <c r="H3066" t="s">
        <v>6282</v>
      </c>
      <c r="I3066" t="s">
        <v>5359</v>
      </c>
      <c r="J3066" t="s">
        <v>6283</v>
      </c>
      <c r="L3066" t="s">
        <v>5326</v>
      </c>
    </row>
    <row r="3067" spans="1:12" x14ac:dyDescent="0.2">
      <c r="A3067" t="s">
        <v>1767</v>
      </c>
      <c r="B3067" t="s">
        <v>1769</v>
      </c>
      <c r="C3067" t="s">
        <v>5324</v>
      </c>
      <c r="D3067">
        <v>4</v>
      </c>
      <c r="E3067">
        <v>2096</v>
      </c>
      <c r="F3067">
        <v>2096</v>
      </c>
      <c r="G3067" t="s">
        <v>5325</v>
      </c>
      <c r="H3067" t="s">
        <v>6284</v>
      </c>
      <c r="I3067" t="s">
        <v>5359</v>
      </c>
      <c r="J3067" t="s">
        <v>6285</v>
      </c>
      <c r="L3067" t="s">
        <v>5326</v>
      </c>
    </row>
    <row r="3068" spans="1:12" x14ac:dyDescent="0.2">
      <c r="A3068" t="s">
        <v>1767</v>
      </c>
      <c r="B3068" t="s">
        <v>1769</v>
      </c>
      <c r="C3068" t="s">
        <v>5324</v>
      </c>
      <c r="D3068">
        <v>4</v>
      </c>
      <c r="E3068">
        <v>1856</v>
      </c>
      <c r="F3068">
        <v>1856</v>
      </c>
      <c r="G3068" t="s">
        <v>5325</v>
      </c>
      <c r="H3068" t="s">
        <v>6286</v>
      </c>
      <c r="I3068" t="s">
        <v>5359</v>
      </c>
      <c r="J3068" t="s">
        <v>6287</v>
      </c>
      <c r="L3068" t="s">
        <v>5326</v>
      </c>
    </row>
    <row r="3069" spans="1:12" x14ac:dyDescent="0.2">
      <c r="A3069" t="s">
        <v>1767</v>
      </c>
      <c r="B3069" t="s">
        <v>1769</v>
      </c>
      <c r="C3069" t="s">
        <v>5324</v>
      </c>
      <c r="D3069">
        <v>4</v>
      </c>
      <c r="E3069">
        <v>95.51</v>
      </c>
      <c r="F3069">
        <v>95.51</v>
      </c>
      <c r="G3069" t="s">
        <v>5325</v>
      </c>
      <c r="H3069" t="s">
        <v>6288</v>
      </c>
      <c r="I3069" t="s">
        <v>5359</v>
      </c>
      <c r="J3069" t="s">
        <v>6289</v>
      </c>
      <c r="L3069" t="s">
        <v>5326</v>
      </c>
    </row>
    <row r="3070" spans="1:12" x14ac:dyDescent="0.2">
      <c r="A3070" t="s">
        <v>1767</v>
      </c>
      <c r="B3070" t="s">
        <v>1769</v>
      </c>
      <c r="C3070" t="s">
        <v>5324</v>
      </c>
      <c r="D3070">
        <v>4</v>
      </c>
      <c r="E3070">
        <v>19.149999999999999</v>
      </c>
      <c r="F3070">
        <v>19.149999999999999</v>
      </c>
      <c r="G3070" t="s">
        <v>5325</v>
      </c>
      <c r="H3070" t="s">
        <v>6290</v>
      </c>
      <c r="I3070" t="s">
        <v>5359</v>
      </c>
      <c r="J3070" t="s">
        <v>6291</v>
      </c>
      <c r="L3070" t="s">
        <v>5326</v>
      </c>
    </row>
    <row r="3071" spans="1:12" x14ac:dyDescent="0.2">
      <c r="A3071" t="s">
        <v>1767</v>
      </c>
      <c r="B3071" t="s">
        <v>1769</v>
      </c>
      <c r="C3071" t="s">
        <v>5324</v>
      </c>
      <c r="D3071">
        <v>4</v>
      </c>
      <c r="E3071">
        <v>242.65</v>
      </c>
      <c r="F3071">
        <v>242.65</v>
      </c>
      <c r="G3071" t="s">
        <v>5325</v>
      </c>
      <c r="H3071" t="s">
        <v>6074</v>
      </c>
      <c r="I3071" t="s">
        <v>5359</v>
      </c>
      <c r="J3071" t="s">
        <v>6075</v>
      </c>
      <c r="L3071" t="s">
        <v>5326</v>
      </c>
    </row>
    <row r="3072" spans="1:12" x14ac:dyDescent="0.2">
      <c r="A3072" t="s">
        <v>1767</v>
      </c>
      <c r="B3072" t="s">
        <v>1769</v>
      </c>
      <c r="C3072" t="s">
        <v>5324</v>
      </c>
      <c r="D3072">
        <v>4</v>
      </c>
      <c r="E3072">
        <v>130.32</v>
      </c>
      <c r="F3072">
        <v>130.32</v>
      </c>
      <c r="G3072" t="s">
        <v>5325</v>
      </c>
      <c r="H3072" t="s">
        <v>6292</v>
      </c>
      <c r="I3072" t="s">
        <v>5359</v>
      </c>
      <c r="J3072" t="s">
        <v>6293</v>
      </c>
      <c r="L3072" t="s">
        <v>5326</v>
      </c>
    </row>
    <row r="3073" spans="1:12" x14ac:dyDescent="0.2">
      <c r="A3073" t="s">
        <v>1767</v>
      </c>
      <c r="B3073" t="s">
        <v>1769</v>
      </c>
      <c r="C3073" t="s">
        <v>5324</v>
      </c>
      <c r="D3073">
        <v>4</v>
      </c>
      <c r="E3073">
        <v>4.24</v>
      </c>
      <c r="F3073">
        <v>4.24</v>
      </c>
      <c r="G3073" t="s">
        <v>5325</v>
      </c>
      <c r="H3073" t="s">
        <v>6294</v>
      </c>
      <c r="I3073" t="s">
        <v>5359</v>
      </c>
      <c r="J3073" t="s">
        <v>6295</v>
      </c>
      <c r="L3073" t="s">
        <v>5326</v>
      </c>
    </row>
    <row r="3074" spans="1:12" x14ac:dyDescent="0.2">
      <c r="A3074" t="s">
        <v>1767</v>
      </c>
      <c r="B3074" t="s">
        <v>1769</v>
      </c>
      <c r="C3074" t="s">
        <v>5324</v>
      </c>
      <c r="D3074">
        <v>4</v>
      </c>
      <c r="E3074">
        <v>6.3</v>
      </c>
      <c r="F3074">
        <v>6.3</v>
      </c>
      <c r="G3074" t="s">
        <v>5325</v>
      </c>
      <c r="H3074" t="s">
        <v>6296</v>
      </c>
      <c r="I3074" t="s">
        <v>5359</v>
      </c>
      <c r="J3074" t="s">
        <v>6297</v>
      </c>
      <c r="L3074" t="s">
        <v>5326</v>
      </c>
    </row>
    <row r="3075" spans="1:12" x14ac:dyDescent="0.2">
      <c r="A3075" t="s">
        <v>1767</v>
      </c>
      <c r="B3075" t="s">
        <v>1769</v>
      </c>
      <c r="C3075" t="s">
        <v>5324</v>
      </c>
      <c r="D3075">
        <v>4</v>
      </c>
      <c r="E3075">
        <v>3.64</v>
      </c>
      <c r="F3075">
        <v>3.64</v>
      </c>
      <c r="G3075" t="s">
        <v>5325</v>
      </c>
      <c r="H3075" t="s">
        <v>6004</v>
      </c>
      <c r="I3075" t="s">
        <v>5359</v>
      </c>
      <c r="J3075" t="s">
        <v>6005</v>
      </c>
      <c r="L3075" t="s">
        <v>5326</v>
      </c>
    </row>
    <row r="3076" spans="1:12" x14ac:dyDescent="0.2">
      <c r="A3076" t="s">
        <v>1767</v>
      </c>
      <c r="B3076" t="s">
        <v>1769</v>
      </c>
      <c r="C3076" t="s">
        <v>5324</v>
      </c>
      <c r="D3076">
        <v>4</v>
      </c>
      <c r="E3076">
        <v>3</v>
      </c>
      <c r="F3076">
        <v>3</v>
      </c>
      <c r="G3076" t="s">
        <v>5325</v>
      </c>
      <c r="H3076" t="s">
        <v>6184</v>
      </c>
      <c r="I3076" t="s">
        <v>5359</v>
      </c>
      <c r="J3076" t="s">
        <v>2512</v>
      </c>
      <c r="L3076" t="s">
        <v>5326</v>
      </c>
    </row>
    <row r="3077" spans="1:12" x14ac:dyDescent="0.2">
      <c r="A3077" t="s">
        <v>1767</v>
      </c>
      <c r="B3077" t="s">
        <v>1769</v>
      </c>
      <c r="C3077" t="s">
        <v>5324</v>
      </c>
      <c r="D3077">
        <v>4</v>
      </c>
      <c r="E3077">
        <v>3</v>
      </c>
      <c r="F3077">
        <v>3</v>
      </c>
      <c r="G3077" t="s">
        <v>5325</v>
      </c>
      <c r="H3077" t="s">
        <v>6184</v>
      </c>
      <c r="I3077" t="s">
        <v>5359</v>
      </c>
      <c r="J3077" t="s">
        <v>6298</v>
      </c>
      <c r="L3077" t="s">
        <v>5326</v>
      </c>
    </row>
    <row r="3078" spans="1:12" x14ac:dyDescent="0.2">
      <c r="A3078" t="s">
        <v>1767</v>
      </c>
      <c r="B3078" t="s">
        <v>1769</v>
      </c>
      <c r="C3078" t="s">
        <v>5324</v>
      </c>
      <c r="D3078">
        <v>4</v>
      </c>
      <c r="E3078">
        <v>2.13</v>
      </c>
      <c r="F3078">
        <v>2.13</v>
      </c>
      <c r="G3078" t="s">
        <v>5325</v>
      </c>
      <c r="H3078" t="s">
        <v>6299</v>
      </c>
      <c r="I3078" t="s">
        <v>5359</v>
      </c>
      <c r="J3078" t="s">
        <v>6300</v>
      </c>
      <c r="L3078" t="s">
        <v>5326</v>
      </c>
    </row>
    <row r="3079" spans="1:12" x14ac:dyDescent="0.2">
      <c r="A3079" t="s">
        <v>1767</v>
      </c>
      <c r="B3079" t="s">
        <v>1769</v>
      </c>
      <c r="C3079" t="s">
        <v>5324</v>
      </c>
      <c r="D3079">
        <v>4</v>
      </c>
      <c r="E3079">
        <v>1.27</v>
      </c>
      <c r="F3079">
        <v>1.27</v>
      </c>
      <c r="G3079" t="s">
        <v>5325</v>
      </c>
      <c r="H3079" t="s">
        <v>6301</v>
      </c>
      <c r="I3079" t="s">
        <v>5359</v>
      </c>
      <c r="J3079" t="s">
        <v>6302</v>
      </c>
      <c r="L3079" t="s">
        <v>5326</v>
      </c>
    </row>
    <row r="3080" spans="1:12" x14ac:dyDescent="0.2">
      <c r="A3080" t="s">
        <v>1767</v>
      </c>
      <c r="B3080" t="s">
        <v>1769</v>
      </c>
      <c r="C3080" t="s">
        <v>5324</v>
      </c>
      <c r="D3080">
        <v>4</v>
      </c>
      <c r="E3080">
        <v>3.08</v>
      </c>
      <c r="F3080">
        <v>3.08</v>
      </c>
      <c r="G3080" t="s">
        <v>5325</v>
      </c>
      <c r="H3080" t="s">
        <v>6303</v>
      </c>
      <c r="I3080" t="s">
        <v>5359</v>
      </c>
      <c r="J3080" t="s">
        <v>2532</v>
      </c>
      <c r="L3080" t="s">
        <v>5326</v>
      </c>
    </row>
    <row r="3081" spans="1:12" x14ac:dyDescent="0.2">
      <c r="A3081" t="s">
        <v>1767</v>
      </c>
      <c r="B3081" t="s">
        <v>1769</v>
      </c>
      <c r="C3081" t="s">
        <v>5324</v>
      </c>
      <c r="D3081">
        <v>4</v>
      </c>
      <c r="E3081">
        <v>0.48</v>
      </c>
      <c r="F3081">
        <v>0.48</v>
      </c>
      <c r="G3081" t="s">
        <v>5325</v>
      </c>
      <c r="H3081" t="s">
        <v>6304</v>
      </c>
      <c r="I3081" t="s">
        <v>5359</v>
      </c>
      <c r="J3081" t="s">
        <v>6305</v>
      </c>
      <c r="L3081" t="s">
        <v>5326</v>
      </c>
    </row>
    <row r="3082" spans="1:12" x14ac:dyDescent="0.2">
      <c r="A3082" t="s">
        <v>1767</v>
      </c>
      <c r="B3082" t="s">
        <v>1769</v>
      </c>
      <c r="C3082" t="s">
        <v>5324</v>
      </c>
      <c r="D3082">
        <v>4</v>
      </c>
      <c r="E3082">
        <v>0.39</v>
      </c>
      <c r="F3082">
        <v>0.39</v>
      </c>
      <c r="G3082" t="s">
        <v>5325</v>
      </c>
      <c r="H3082" t="s">
        <v>6306</v>
      </c>
      <c r="I3082" t="s">
        <v>5359</v>
      </c>
      <c r="J3082" t="s">
        <v>6307</v>
      </c>
      <c r="L3082" t="s">
        <v>5326</v>
      </c>
    </row>
    <row r="3083" spans="1:12" x14ac:dyDescent="0.2">
      <c r="A3083" t="s">
        <v>1767</v>
      </c>
      <c r="B3083" t="s">
        <v>1769</v>
      </c>
      <c r="C3083" t="s">
        <v>5324</v>
      </c>
      <c r="D3083">
        <v>4</v>
      </c>
      <c r="E3083">
        <v>0.33</v>
      </c>
      <c r="F3083">
        <v>0.33</v>
      </c>
      <c r="G3083" t="s">
        <v>5325</v>
      </c>
      <c r="H3083" t="s">
        <v>5443</v>
      </c>
      <c r="I3083" t="s">
        <v>5359</v>
      </c>
      <c r="J3083" t="s">
        <v>6308</v>
      </c>
      <c r="L3083" t="s">
        <v>5326</v>
      </c>
    </row>
    <row r="3084" spans="1:12" x14ac:dyDescent="0.2">
      <c r="A3084" t="s">
        <v>1767</v>
      </c>
      <c r="B3084" t="s">
        <v>1769</v>
      </c>
      <c r="C3084" t="s">
        <v>5324</v>
      </c>
      <c r="D3084">
        <v>4</v>
      </c>
      <c r="E3084">
        <v>6.15</v>
      </c>
      <c r="F3084">
        <v>6.15</v>
      </c>
      <c r="G3084" t="s">
        <v>5325</v>
      </c>
      <c r="H3084" t="s">
        <v>6309</v>
      </c>
      <c r="I3084" t="s">
        <v>5359</v>
      </c>
      <c r="J3084" t="s">
        <v>6310</v>
      </c>
      <c r="L3084" t="s">
        <v>5326</v>
      </c>
    </row>
    <row r="3085" spans="1:12" x14ac:dyDescent="0.2">
      <c r="A3085" t="s">
        <v>1767</v>
      </c>
      <c r="B3085" t="s">
        <v>1769</v>
      </c>
      <c r="C3085" t="s">
        <v>5324</v>
      </c>
      <c r="D3085">
        <v>4</v>
      </c>
      <c r="E3085">
        <v>4.2699999999999996</v>
      </c>
      <c r="F3085">
        <v>4.2699999999999996</v>
      </c>
      <c r="G3085" t="s">
        <v>5325</v>
      </c>
      <c r="H3085" t="s">
        <v>5447</v>
      </c>
      <c r="I3085" t="s">
        <v>5359</v>
      </c>
      <c r="J3085" t="s">
        <v>4682</v>
      </c>
      <c r="L3085" t="s">
        <v>5326</v>
      </c>
    </row>
    <row r="3086" spans="1:12" x14ac:dyDescent="0.2">
      <c r="A3086" t="s">
        <v>1767</v>
      </c>
      <c r="B3086" t="s">
        <v>1769</v>
      </c>
      <c r="C3086" t="s">
        <v>5324</v>
      </c>
      <c r="D3086">
        <v>4</v>
      </c>
      <c r="E3086">
        <v>42.37</v>
      </c>
      <c r="F3086">
        <v>42.37</v>
      </c>
      <c r="G3086" t="s">
        <v>5325</v>
      </c>
      <c r="H3086" t="s">
        <v>6311</v>
      </c>
      <c r="I3086" t="s">
        <v>5359</v>
      </c>
      <c r="J3086" t="s">
        <v>6312</v>
      </c>
      <c r="L3086" t="s">
        <v>5326</v>
      </c>
    </row>
    <row r="3087" spans="1:12" x14ac:dyDescent="0.2">
      <c r="A3087" t="s">
        <v>1767</v>
      </c>
      <c r="B3087" t="s">
        <v>1769</v>
      </c>
      <c r="C3087" t="s">
        <v>5324</v>
      </c>
      <c r="D3087">
        <v>4</v>
      </c>
      <c r="E3087">
        <v>2.13</v>
      </c>
      <c r="F3087">
        <v>2.13</v>
      </c>
      <c r="G3087" t="s">
        <v>5325</v>
      </c>
      <c r="H3087" t="s">
        <v>6299</v>
      </c>
      <c r="I3087" t="s">
        <v>5359</v>
      </c>
      <c r="J3087" t="s">
        <v>6300</v>
      </c>
      <c r="L3087" t="s">
        <v>5326</v>
      </c>
    </row>
    <row r="3088" spans="1:12" x14ac:dyDescent="0.2">
      <c r="A3088" t="s">
        <v>1767</v>
      </c>
      <c r="B3088" t="s">
        <v>1769</v>
      </c>
      <c r="C3088" t="s">
        <v>5324</v>
      </c>
      <c r="D3088">
        <v>4</v>
      </c>
      <c r="E3088">
        <v>0.8</v>
      </c>
      <c r="F3088">
        <v>0.8</v>
      </c>
      <c r="G3088" t="s">
        <v>5325</v>
      </c>
      <c r="H3088" t="s">
        <v>6313</v>
      </c>
      <c r="I3088" t="s">
        <v>5359</v>
      </c>
      <c r="J3088" t="s">
        <v>6314</v>
      </c>
      <c r="L3088" t="s">
        <v>5326</v>
      </c>
    </row>
    <row r="3089" spans="1:12" x14ac:dyDescent="0.2">
      <c r="A3089" t="s">
        <v>1767</v>
      </c>
      <c r="B3089" t="s">
        <v>1769</v>
      </c>
      <c r="C3089" t="s">
        <v>5324</v>
      </c>
      <c r="D3089">
        <v>4</v>
      </c>
      <c r="E3089">
        <v>103.6</v>
      </c>
      <c r="F3089">
        <v>103.6</v>
      </c>
      <c r="G3089" t="s">
        <v>5325</v>
      </c>
      <c r="H3089" t="s">
        <v>6315</v>
      </c>
      <c r="I3089" t="s">
        <v>5359</v>
      </c>
      <c r="J3089" t="s">
        <v>6316</v>
      </c>
      <c r="L3089" t="s">
        <v>5326</v>
      </c>
    </row>
    <row r="3090" spans="1:12" x14ac:dyDescent="0.2">
      <c r="A3090" t="s">
        <v>1767</v>
      </c>
      <c r="B3090" t="s">
        <v>1769</v>
      </c>
      <c r="C3090" t="s">
        <v>5324</v>
      </c>
      <c r="D3090">
        <v>4</v>
      </c>
      <c r="E3090">
        <v>10.71</v>
      </c>
      <c r="F3090">
        <v>10.71</v>
      </c>
      <c r="G3090" t="s">
        <v>5325</v>
      </c>
      <c r="H3090" t="s">
        <v>6317</v>
      </c>
      <c r="I3090" t="s">
        <v>5359</v>
      </c>
      <c r="J3090" t="s">
        <v>6318</v>
      </c>
      <c r="L3090" t="s">
        <v>5326</v>
      </c>
    </row>
    <row r="3091" spans="1:12" x14ac:dyDescent="0.2">
      <c r="A3091" t="s">
        <v>1767</v>
      </c>
      <c r="B3091" t="s">
        <v>1769</v>
      </c>
      <c r="C3091" t="s">
        <v>5324</v>
      </c>
      <c r="D3091">
        <v>4</v>
      </c>
      <c r="E3091">
        <v>24.84</v>
      </c>
      <c r="F3091">
        <v>24.84</v>
      </c>
      <c r="G3091" t="s">
        <v>5325</v>
      </c>
      <c r="H3091" t="s">
        <v>6319</v>
      </c>
      <c r="I3091" t="s">
        <v>5359</v>
      </c>
      <c r="J3091" t="s">
        <v>6320</v>
      </c>
      <c r="L3091" t="s">
        <v>5326</v>
      </c>
    </row>
    <row r="3092" spans="1:12" x14ac:dyDescent="0.2">
      <c r="A3092" t="s">
        <v>1767</v>
      </c>
      <c r="B3092" t="s">
        <v>1769</v>
      </c>
      <c r="C3092" t="s">
        <v>5324</v>
      </c>
      <c r="D3092">
        <v>4</v>
      </c>
      <c r="E3092">
        <v>15.38</v>
      </c>
      <c r="F3092">
        <v>15.38</v>
      </c>
      <c r="G3092" t="s">
        <v>5325</v>
      </c>
      <c r="H3092" t="s">
        <v>6321</v>
      </c>
      <c r="I3092" t="s">
        <v>5359</v>
      </c>
      <c r="J3092" t="s">
        <v>6322</v>
      </c>
      <c r="L3092" t="s">
        <v>5326</v>
      </c>
    </row>
    <row r="3093" spans="1:12" x14ac:dyDescent="0.2">
      <c r="A3093" t="s">
        <v>1767</v>
      </c>
      <c r="B3093" t="s">
        <v>1769</v>
      </c>
      <c r="C3093" t="s">
        <v>5324</v>
      </c>
      <c r="D3093">
        <v>4</v>
      </c>
      <c r="E3093">
        <v>4</v>
      </c>
      <c r="F3093">
        <v>4</v>
      </c>
      <c r="G3093" t="s">
        <v>5325</v>
      </c>
      <c r="H3093" t="s">
        <v>6323</v>
      </c>
      <c r="I3093" t="s">
        <v>5359</v>
      </c>
      <c r="J3093" t="s">
        <v>6324</v>
      </c>
      <c r="L3093" t="s">
        <v>5326</v>
      </c>
    </row>
    <row r="3094" spans="1:12" x14ac:dyDescent="0.2">
      <c r="A3094" t="s">
        <v>1767</v>
      </c>
      <c r="B3094" t="s">
        <v>1769</v>
      </c>
      <c r="C3094" t="s">
        <v>5324</v>
      </c>
      <c r="D3094">
        <v>4</v>
      </c>
      <c r="E3094">
        <v>0.56000000000000005</v>
      </c>
      <c r="F3094">
        <v>0.56000000000000005</v>
      </c>
      <c r="G3094" t="s">
        <v>5325</v>
      </c>
      <c r="H3094" t="s">
        <v>6325</v>
      </c>
      <c r="I3094" t="s">
        <v>5359</v>
      </c>
      <c r="J3094" t="s">
        <v>6326</v>
      </c>
      <c r="L3094" t="s">
        <v>5326</v>
      </c>
    </row>
    <row r="3095" spans="1:12" x14ac:dyDescent="0.2">
      <c r="A3095" t="s">
        <v>1767</v>
      </c>
      <c r="B3095" t="s">
        <v>1769</v>
      </c>
      <c r="C3095" t="s">
        <v>5324</v>
      </c>
      <c r="D3095">
        <v>4</v>
      </c>
      <c r="E3095">
        <v>0.38</v>
      </c>
      <c r="F3095">
        <v>0.38</v>
      </c>
      <c r="G3095" t="s">
        <v>5325</v>
      </c>
      <c r="H3095" t="s">
        <v>6327</v>
      </c>
      <c r="I3095" t="s">
        <v>5359</v>
      </c>
      <c r="J3095" t="s">
        <v>6328</v>
      </c>
      <c r="L3095" t="s">
        <v>5326</v>
      </c>
    </row>
    <row r="3096" spans="1:12" x14ac:dyDescent="0.2">
      <c r="A3096" t="s">
        <v>1767</v>
      </c>
      <c r="B3096" t="s">
        <v>1769</v>
      </c>
      <c r="C3096" t="s">
        <v>5324</v>
      </c>
      <c r="D3096">
        <v>4</v>
      </c>
      <c r="E3096">
        <v>11.7</v>
      </c>
      <c r="F3096">
        <v>11.7</v>
      </c>
      <c r="G3096" t="s">
        <v>5325</v>
      </c>
      <c r="H3096" t="s">
        <v>6036</v>
      </c>
      <c r="I3096" t="s">
        <v>5359</v>
      </c>
      <c r="J3096" t="s">
        <v>6037</v>
      </c>
      <c r="L3096" t="s">
        <v>5326</v>
      </c>
    </row>
    <row r="3097" spans="1:12" x14ac:dyDescent="0.2">
      <c r="A3097" t="s">
        <v>1767</v>
      </c>
      <c r="B3097" t="s">
        <v>1769</v>
      </c>
      <c r="C3097" t="s">
        <v>5324</v>
      </c>
      <c r="D3097">
        <v>4</v>
      </c>
      <c r="E3097">
        <v>22.6</v>
      </c>
      <c r="F3097">
        <v>22.6</v>
      </c>
      <c r="G3097" t="s">
        <v>5325</v>
      </c>
      <c r="H3097" t="s">
        <v>6329</v>
      </c>
      <c r="I3097" t="s">
        <v>5359</v>
      </c>
      <c r="J3097" t="s">
        <v>6330</v>
      </c>
      <c r="L3097" t="s">
        <v>5326</v>
      </c>
    </row>
    <row r="3098" spans="1:12" x14ac:dyDescent="0.2">
      <c r="A3098" t="s">
        <v>1767</v>
      </c>
      <c r="B3098" t="s">
        <v>1769</v>
      </c>
      <c r="C3098" t="s">
        <v>5324</v>
      </c>
      <c r="D3098">
        <v>4</v>
      </c>
      <c r="E3098">
        <v>0</v>
      </c>
      <c r="F3098">
        <v>0</v>
      </c>
      <c r="G3098" t="s">
        <v>5325</v>
      </c>
      <c r="H3098" t="s">
        <v>5329</v>
      </c>
      <c r="I3098" t="s">
        <v>5359</v>
      </c>
      <c r="J3098" t="s">
        <v>6331</v>
      </c>
      <c r="L3098" t="s">
        <v>5326</v>
      </c>
    </row>
    <row r="3099" spans="1:12" x14ac:dyDescent="0.2">
      <c r="A3099" t="s">
        <v>1767</v>
      </c>
      <c r="B3099" t="s">
        <v>1769</v>
      </c>
      <c r="C3099" t="s">
        <v>5324</v>
      </c>
      <c r="D3099">
        <v>4</v>
      </c>
      <c r="E3099">
        <v>27.2</v>
      </c>
      <c r="F3099">
        <v>27.2</v>
      </c>
      <c r="G3099" t="s">
        <v>5325</v>
      </c>
      <c r="H3099" t="s">
        <v>6332</v>
      </c>
      <c r="I3099" t="s">
        <v>5359</v>
      </c>
      <c r="J3099" t="s">
        <v>6333</v>
      </c>
      <c r="L3099" t="s">
        <v>5326</v>
      </c>
    </row>
    <row r="3100" spans="1:12" x14ac:dyDescent="0.2">
      <c r="A3100" t="s">
        <v>1767</v>
      </c>
      <c r="B3100" t="s">
        <v>1769</v>
      </c>
      <c r="C3100" t="s">
        <v>5324</v>
      </c>
      <c r="D3100">
        <v>4</v>
      </c>
      <c r="E3100">
        <v>27</v>
      </c>
      <c r="F3100">
        <v>27</v>
      </c>
      <c r="G3100" t="s">
        <v>5325</v>
      </c>
      <c r="H3100" t="s">
        <v>6334</v>
      </c>
      <c r="I3100" t="s">
        <v>5359</v>
      </c>
      <c r="J3100" t="s">
        <v>6335</v>
      </c>
      <c r="L3100" t="s">
        <v>5326</v>
      </c>
    </row>
    <row r="3101" spans="1:12" x14ac:dyDescent="0.2">
      <c r="A3101" t="s">
        <v>1767</v>
      </c>
      <c r="B3101" t="s">
        <v>1769</v>
      </c>
      <c r="C3101" t="s">
        <v>5324</v>
      </c>
      <c r="D3101">
        <v>4</v>
      </c>
      <c r="E3101">
        <v>30.6</v>
      </c>
      <c r="F3101">
        <v>30.6</v>
      </c>
      <c r="G3101" t="s">
        <v>5325</v>
      </c>
      <c r="H3101" t="s">
        <v>6336</v>
      </c>
      <c r="I3101" t="s">
        <v>5359</v>
      </c>
      <c r="J3101" t="s">
        <v>6337</v>
      </c>
      <c r="L3101" t="s">
        <v>5326</v>
      </c>
    </row>
    <row r="3102" spans="1:12" x14ac:dyDescent="0.2">
      <c r="A3102" t="s">
        <v>1767</v>
      </c>
      <c r="B3102" t="s">
        <v>1769</v>
      </c>
      <c r="C3102" t="s">
        <v>5324</v>
      </c>
      <c r="D3102">
        <v>4</v>
      </c>
      <c r="E3102">
        <v>3</v>
      </c>
      <c r="F3102">
        <v>3</v>
      </c>
      <c r="G3102" t="s">
        <v>5325</v>
      </c>
      <c r="H3102" t="s">
        <v>6184</v>
      </c>
      <c r="I3102" t="s">
        <v>5359</v>
      </c>
      <c r="J3102" t="s">
        <v>2512</v>
      </c>
      <c r="L3102" t="s">
        <v>5326</v>
      </c>
    </row>
    <row r="3103" spans="1:12" x14ac:dyDescent="0.2">
      <c r="A3103" t="s">
        <v>1767</v>
      </c>
      <c r="B3103" t="s">
        <v>1769</v>
      </c>
      <c r="C3103" t="s">
        <v>5324</v>
      </c>
      <c r="D3103">
        <v>4</v>
      </c>
      <c r="E3103">
        <v>3</v>
      </c>
      <c r="F3103">
        <v>3</v>
      </c>
      <c r="G3103" t="s">
        <v>5325</v>
      </c>
      <c r="H3103" t="s">
        <v>6184</v>
      </c>
      <c r="I3103" t="s">
        <v>5359</v>
      </c>
      <c r="J3103" t="s">
        <v>6298</v>
      </c>
      <c r="L3103" t="s">
        <v>5326</v>
      </c>
    </row>
    <row r="3104" spans="1:12" x14ac:dyDescent="0.2">
      <c r="A3104" t="s">
        <v>1767</v>
      </c>
      <c r="B3104" t="s">
        <v>1769</v>
      </c>
      <c r="C3104" t="s">
        <v>5324</v>
      </c>
      <c r="D3104">
        <v>4</v>
      </c>
      <c r="E3104">
        <v>11.7</v>
      </c>
      <c r="F3104">
        <v>11.7</v>
      </c>
      <c r="G3104" t="s">
        <v>5325</v>
      </c>
      <c r="H3104" t="s">
        <v>6036</v>
      </c>
      <c r="I3104" t="s">
        <v>5359</v>
      </c>
      <c r="J3104" t="s">
        <v>6037</v>
      </c>
      <c r="L3104" t="s">
        <v>5326</v>
      </c>
    </row>
    <row r="3105" spans="1:12" x14ac:dyDescent="0.2">
      <c r="A3105" t="s">
        <v>1767</v>
      </c>
      <c r="B3105" t="s">
        <v>1769</v>
      </c>
      <c r="C3105" t="s">
        <v>5324</v>
      </c>
      <c r="D3105">
        <v>4</v>
      </c>
      <c r="E3105">
        <v>177.69</v>
      </c>
      <c r="F3105">
        <v>177.69</v>
      </c>
      <c r="G3105" t="s">
        <v>5325</v>
      </c>
      <c r="H3105" t="s">
        <v>6338</v>
      </c>
      <c r="I3105" t="s">
        <v>5359</v>
      </c>
      <c r="J3105" t="s">
        <v>6339</v>
      </c>
      <c r="L3105" t="s">
        <v>5326</v>
      </c>
    </row>
    <row r="3106" spans="1:12" x14ac:dyDescent="0.2">
      <c r="A3106" t="s">
        <v>1767</v>
      </c>
      <c r="B3106" t="s">
        <v>1769</v>
      </c>
      <c r="C3106" t="s">
        <v>5324</v>
      </c>
      <c r="D3106">
        <v>4</v>
      </c>
      <c r="E3106">
        <v>9.3000000000000007</v>
      </c>
      <c r="F3106">
        <v>9.3000000000000007</v>
      </c>
      <c r="G3106" t="s">
        <v>5325</v>
      </c>
      <c r="H3106" t="s">
        <v>5544</v>
      </c>
      <c r="I3106" t="s">
        <v>5359</v>
      </c>
      <c r="J3106" t="s">
        <v>5545</v>
      </c>
      <c r="L3106" t="s">
        <v>5326</v>
      </c>
    </row>
    <row r="3107" spans="1:12" x14ac:dyDescent="0.2">
      <c r="A3107" t="s">
        <v>1767</v>
      </c>
      <c r="B3107" t="s">
        <v>1769</v>
      </c>
      <c r="C3107" t="s">
        <v>5324</v>
      </c>
      <c r="D3107">
        <v>4</v>
      </c>
      <c r="E3107">
        <v>12.2</v>
      </c>
      <c r="F3107">
        <v>12.2</v>
      </c>
      <c r="G3107" t="s">
        <v>5325</v>
      </c>
      <c r="H3107" t="s">
        <v>6340</v>
      </c>
      <c r="I3107" t="s">
        <v>5359</v>
      </c>
      <c r="J3107" t="s">
        <v>6341</v>
      </c>
      <c r="L3107" t="s">
        <v>5326</v>
      </c>
    </row>
    <row r="3108" spans="1:12" x14ac:dyDescent="0.2">
      <c r="A3108" t="s">
        <v>1767</v>
      </c>
      <c r="B3108" t="s">
        <v>1769</v>
      </c>
      <c r="C3108" t="s">
        <v>5324</v>
      </c>
      <c r="D3108">
        <v>4</v>
      </c>
      <c r="E3108">
        <v>26.84</v>
      </c>
      <c r="F3108">
        <v>26.84</v>
      </c>
      <c r="G3108" t="s">
        <v>5325</v>
      </c>
      <c r="H3108" t="s">
        <v>6342</v>
      </c>
      <c r="I3108" t="s">
        <v>5359</v>
      </c>
      <c r="J3108" t="s">
        <v>6343</v>
      </c>
      <c r="L3108" t="s">
        <v>5326</v>
      </c>
    </row>
    <row r="3109" spans="1:12" x14ac:dyDescent="0.2">
      <c r="A3109" t="s">
        <v>1767</v>
      </c>
      <c r="B3109" t="s">
        <v>1769</v>
      </c>
      <c r="C3109" t="s">
        <v>5324</v>
      </c>
      <c r="D3109">
        <v>4</v>
      </c>
      <c r="E3109">
        <v>23.2</v>
      </c>
      <c r="F3109">
        <v>23.2</v>
      </c>
      <c r="G3109" t="s">
        <v>5325</v>
      </c>
      <c r="H3109" t="s">
        <v>6344</v>
      </c>
      <c r="I3109" t="s">
        <v>5359</v>
      </c>
      <c r="J3109" t="s">
        <v>6345</v>
      </c>
      <c r="L3109" t="s">
        <v>5326</v>
      </c>
    </row>
    <row r="3110" spans="1:12" x14ac:dyDescent="0.2">
      <c r="A3110" t="s">
        <v>1767</v>
      </c>
      <c r="B3110" t="s">
        <v>1769</v>
      </c>
      <c r="C3110" t="s">
        <v>5324</v>
      </c>
      <c r="D3110">
        <v>4</v>
      </c>
      <c r="E3110">
        <v>4.7</v>
      </c>
      <c r="F3110">
        <v>4.7</v>
      </c>
      <c r="G3110" t="s">
        <v>5325</v>
      </c>
      <c r="H3110" t="s">
        <v>6346</v>
      </c>
      <c r="I3110" t="s">
        <v>5359</v>
      </c>
      <c r="J3110" t="s">
        <v>6347</v>
      </c>
      <c r="L3110" t="s">
        <v>5326</v>
      </c>
    </row>
    <row r="3111" spans="1:12" x14ac:dyDescent="0.2">
      <c r="A3111" t="s">
        <v>1767</v>
      </c>
      <c r="B3111" t="s">
        <v>1769</v>
      </c>
      <c r="C3111" t="s">
        <v>5324</v>
      </c>
      <c r="D3111">
        <v>4</v>
      </c>
      <c r="E3111">
        <v>0.64</v>
      </c>
      <c r="F3111">
        <v>0.64</v>
      </c>
      <c r="G3111" t="s">
        <v>5325</v>
      </c>
      <c r="H3111" t="s">
        <v>6348</v>
      </c>
      <c r="I3111" t="s">
        <v>5359</v>
      </c>
      <c r="J3111" t="s">
        <v>6349</v>
      </c>
      <c r="L3111" t="s">
        <v>5326</v>
      </c>
    </row>
    <row r="3112" spans="1:12" x14ac:dyDescent="0.2">
      <c r="A3112" t="s">
        <v>1767</v>
      </c>
      <c r="B3112" t="s">
        <v>1769</v>
      </c>
      <c r="C3112" t="s">
        <v>5324</v>
      </c>
      <c r="D3112">
        <v>4</v>
      </c>
      <c r="E3112">
        <v>28</v>
      </c>
      <c r="F3112">
        <v>28</v>
      </c>
      <c r="G3112" t="s">
        <v>5325</v>
      </c>
      <c r="H3112" t="s">
        <v>6350</v>
      </c>
      <c r="I3112" t="s">
        <v>5359</v>
      </c>
      <c r="J3112" t="s">
        <v>6351</v>
      </c>
      <c r="L3112" t="s">
        <v>5326</v>
      </c>
    </row>
    <row r="3113" spans="1:12" x14ac:dyDescent="0.2">
      <c r="A3113" t="s">
        <v>1767</v>
      </c>
      <c r="B3113" t="s">
        <v>1769</v>
      </c>
      <c r="C3113" t="s">
        <v>5324</v>
      </c>
      <c r="D3113">
        <v>4</v>
      </c>
      <c r="E3113">
        <v>14.9</v>
      </c>
      <c r="F3113">
        <v>14.9</v>
      </c>
      <c r="G3113" t="s">
        <v>5325</v>
      </c>
      <c r="H3113" t="s">
        <v>5981</v>
      </c>
      <c r="I3113" t="s">
        <v>5359</v>
      </c>
      <c r="J3113" t="s">
        <v>5982</v>
      </c>
      <c r="L3113" t="s">
        <v>5326</v>
      </c>
    </row>
    <row r="3114" spans="1:12" x14ac:dyDescent="0.2">
      <c r="A3114" t="s">
        <v>1767</v>
      </c>
      <c r="B3114" t="s">
        <v>1769</v>
      </c>
      <c r="C3114" t="s">
        <v>5324</v>
      </c>
      <c r="D3114">
        <v>4</v>
      </c>
      <c r="E3114">
        <v>15.38</v>
      </c>
      <c r="F3114">
        <v>15.38</v>
      </c>
      <c r="G3114" t="s">
        <v>5325</v>
      </c>
      <c r="H3114" t="s">
        <v>6321</v>
      </c>
      <c r="I3114" t="s">
        <v>5359</v>
      </c>
      <c r="J3114" t="s">
        <v>6322</v>
      </c>
      <c r="L3114" t="s">
        <v>5326</v>
      </c>
    </row>
    <row r="3115" spans="1:12" x14ac:dyDescent="0.2">
      <c r="A3115" t="s">
        <v>1767</v>
      </c>
      <c r="B3115" t="s">
        <v>1769</v>
      </c>
      <c r="C3115" t="s">
        <v>5324</v>
      </c>
      <c r="D3115">
        <v>4</v>
      </c>
      <c r="E3115">
        <v>143</v>
      </c>
      <c r="F3115">
        <v>143</v>
      </c>
      <c r="G3115" t="s">
        <v>5325</v>
      </c>
      <c r="H3115" t="s">
        <v>6352</v>
      </c>
      <c r="I3115" t="s">
        <v>5359</v>
      </c>
      <c r="J3115" t="s">
        <v>6353</v>
      </c>
      <c r="L3115" t="s">
        <v>5326</v>
      </c>
    </row>
    <row r="3116" spans="1:12" x14ac:dyDescent="0.2">
      <c r="A3116" t="s">
        <v>1767</v>
      </c>
      <c r="B3116" t="s">
        <v>1769</v>
      </c>
      <c r="C3116" t="s">
        <v>5324</v>
      </c>
      <c r="D3116">
        <v>4</v>
      </c>
      <c r="E3116">
        <v>30.75</v>
      </c>
      <c r="F3116">
        <v>30.75</v>
      </c>
      <c r="G3116" t="s">
        <v>5325</v>
      </c>
      <c r="H3116" t="s">
        <v>6354</v>
      </c>
      <c r="I3116" t="s">
        <v>5359</v>
      </c>
      <c r="J3116" t="s">
        <v>6355</v>
      </c>
      <c r="L3116" t="s">
        <v>5326</v>
      </c>
    </row>
    <row r="3117" spans="1:12" x14ac:dyDescent="0.2">
      <c r="A3117" t="s">
        <v>1767</v>
      </c>
      <c r="B3117" t="s">
        <v>1769</v>
      </c>
      <c r="C3117" t="s">
        <v>5324</v>
      </c>
      <c r="D3117">
        <v>4</v>
      </c>
      <c r="E3117">
        <v>4.2</v>
      </c>
      <c r="F3117">
        <v>4.2</v>
      </c>
      <c r="G3117" t="s">
        <v>5325</v>
      </c>
      <c r="H3117" t="s">
        <v>6356</v>
      </c>
      <c r="I3117" t="s">
        <v>5359</v>
      </c>
      <c r="J3117" t="s">
        <v>6357</v>
      </c>
      <c r="L3117" t="s">
        <v>5326</v>
      </c>
    </row>
    <row r="3118" spans="1:12" x14ac:dyDescent="0.2">
      <c r="A3118" t="s">
        <v>1767</v>
      </c>
      <c r="B3118" t="s">
        <v>1769</v>
      </c>
      <c r="C3118" t="s">
        <v>5324</v>
      </c>
      <c r="D3118">
        <v>4</v>
      </c>
      <c r="E3118">
        <v>26.1</v>
      </c>
      <c r="F3118">
        <v>26.1</v>
      </c>
      <c r="G3118" t="s">
        <v>5325</v>
      </c>
      <c r="H3118" t="s">
        <v>6358</v>
      </c>
      <c r="I3118" t="s">
        <v>5359</v>
      </c>
      <c r="J3118" t="s">
        <v>6359</v>
      </c>
      <c r="L3118" t="s">
        <v>5326</v>
      </c>
    </row>
    <row r="3119" spans="1:12" x14ac:dyDescent="0.2">
      <c r="A3119" t="s">
        <v>1767</v>
      </c>
      <c r="B3119" t="s">
        <v>1769</v>
      </c>
      <c r="C3119" t="s">
        <v>5324</v>
      </c>
      <c r="D3119">
        <v>4</v>
      </c>
      <c r="E3119">
        <v>57.75</v>
      </c>
      <c r="F3119">
        <v>57.75</v>
      </c>
      <c r="G3119" t="s">
        <v>5325</v>
      </c>
      <c r="H3119" t="s">
        <v>6115</v>
      </c>
      <c r="I3119" t="s">
        <v>5359</v>
      </c>
      <c r="J3119" t="s">
        <v>4602</v>
      </c>
      <c r="L3119" t="s">
        <v>5326</v>
      </c>
    </row>
    <row r="3120" spans="1:12" x14ac:dyDescent="0.2">
      <c r="A3120" t="s">
        <v>1767</v>
      </c>
      <c r="B3120" t="s">
        <v>1769</v>
      </c>
      <c r="C3120" t="s">
        <v>5324</v>
      </c>
      <c r="D3120">
        <v>4</v>
      </c>
      <c r="E3120">
        <v>-57.75</v>
      </c>
      <c r="F3120">
        <v>-57.75</v>
      </c>
      <c r="G3120" t="s">
        <v>5325</v>
      </c>
      <c r="H3120" t="s">
        <v>6160</v>
      </c>
      <c r="I3120" t="s">
        <v>5359</v>
      </c>
      <c r="J3120" t="s">
        <v>4649</v>
      </c>
      <c r="L3120" t="s">
        <v>5326</v>
      </c>
    </row>
    <row r="3121" spans="1:12" x14ac:dyDescent="0.2">
      <c r="A3121" t="s">
        <v>1767</v>
      </c>
      <c r="B3121" t="s">
        <v>1769</v>
      </c>
      <c r="C3121" t="s">
        <v>5324</v>
      </c>
      <c r="D3121">
        <v>4</v>
      </c>
      <c r="E3121">
        <v>57.75</v>
      </c>
      <c r="F3121">
        <v>57.75</v>
      </c>
      <c r="G3121" t="s">
        <v>5325</v>
      </c>
      <c r="H3121" t="s">
        <v>6115</v>
      </c>
      <c r="I3121" t="s">
        <v>5359</v>
      </c>
      <c r="J3121" t="s">
        <v>4602</v>
      </c>
      <c r="L3121" t="s">
        <v>5326</v>
      </c>
    </row>
    <row r="3122" spans="1:12" x14ac:dyDescent="0.2">
      <c r="A3122" t="s">
        <v>1767</v>
      </c>
      <c r="B3122" t="s">
        <v>1769</v>
      </c>
      <c r="C3122" t="s">
        <v>5324</v>
      </c>
      <c r="D3122">
        <v>4</v>
      </c>
      <c r="E3122">
        <v>28.88</v>
      </c>
      <c r="F3122">
        <v>28.88</v>
      </c>
      <c r="G3122" t="s">
        <v>5325</v>
      </c>
      <c r="H3122" t="s">
        <v>6360</v>
      </c>
      <c r="I3122" t="s">
        <v>5359</v>
      </c>
      <c r="J3122" t="s">
        <v>6361</v>
      </c>
      <c r="L3122" t="s">
        <v>5326</v>
      </c>
    </row>
    <row r="3123" spans="1:12" x14ac:dyDescent="0.2">
      <c r="A3123" t="s">
        <v>1767</v>
      </c>
      <c r="B3123" t="s">
        <v>1769</v>
      </c>
      <c r="C3123" t="s">
        <v>5324</v>
      </c>
      <c r="D3123">
        <v>4</v>
      </c>
      <c r="E3123">
        <v>81.2</v>
      </c>
      <c r="F3123">
        <v>81.2</v>
      </c>
      <c r="G3123" t="s">
        <v>5325</v>
      </c>
      <c r="H3123" t="s">
        <v>6362</v>
      </c>
      <c r="I3123" t="s">
        <v>5359</v>
      </c>
      <c r="J3123" t="s">
        <v>6363</v>
      </c>
      <c r="L3123" t="s">
        <v>5326</v>
      </c>
    </row>
    <row r="3124" spans="1:12" x14ac:dyDescent="0.2">
      <c r="A3124" t="s">
        <v>1767</v>
      </c>
      <c r="B3124" t="s">
        <v>1769</v>
      </c>
      <c r="C3124" t="s">
        <v>5324</v>
      </c>
      <c r="D3124">
        <v>4</v>
      </c>
      <c r="E3124">
        <v>610.36</v>
      </c>
      <c r="F3124">
        <v>610.36</v>
      </c>
      <c r="G3124" t="s">
        <v>5325</v>
      </c>
      <c r="H3124" t="s">
        <v>6364</v>
      </c>
      <c r="I3124" t="s">
        <v>5359</v>
      </c>
      <c r="J3124" t="s">
        <v>6365</v>
      </c>
      <c r="L3124" t="s">
        <v>5326</v>
      </c>
    </row>
    <row r="3125" spans="1:12" x14ac:dyDescent="0.2">
      <c r="A3125" t="s">
        <v>1767</v>
      </c>
      <c r="B3125" t="s">
        <v>1769</v>
      </c>
      <c r="C3125" t="s">
        <v>5324</v>
      </c>
      <c r="D3125">
        <v>4</v>
      </c>
      <c r="E3125">
        <v>0</v>
      </c>
      <c r="F3125">
        <v>0</v>
      </c>
      <c r="G3125" t="s">
        <v>5325</v>
      </c>
      <c r="H3125" t="s">
        <v>5329</v>
      </c>
      <c r="I3125" t="s">
        <v>5359</v>
      </c>
      <c r="J3125" t="s">
        <v>6366</v>
      </c>
      <c r="L3125" t="s">
        <v>5326</v>
      </c>
    </row>
    <row r="3126" spans="1:12" x14ac:dyDescent="0.2">
      <c r="A3126" t="s">
        <v>1767</v>
      </c>
      <c r="B3126" t="s">
        <v>1769</v>
      </c>
      <c r="C3126" t="s">
        <v>5324</v>
      </c>
      <c r="D3126">
        <v>4</v>
      </c>
      <c r="E3126">
        <v>7.29</v>
      </c>
      <c r="F3126">
        <v>7.29</v>
      </c>
      <c r="G3126" t="s">
        <v>5325</v>
      </c>
      <c r="H3126" t="s">
        <v>5854</v>
      </c>
      <c r="I3126" t="s">
        <v>5359</v>
      </c>
      <c r="J3126" t="s">
        <v>5855</v>
      </c>
      <c r="L3126" t="s">
        <v>5326</v>
      </c>
    </row>
    <row r="3127" spans="1:12" x14ac:dyDescent="0.2">
      <c r="A3127" t="s">
        <v>1767</v>
      </c>
      <c r="B3127" t="s">
        <v>1769</v>
      </c>
      <c r="C3127" t="s">
        <v>5324</v>
      </c>
      <c r="D3127">
        <v>4</v>
      </c>
      <c r="E3127">
        <v>13.55</v>
      </c>
      <c r="F3127">
        <v>13.55</v>
      </c>
      <c r="G3127" t="s">
        <v>5325</v>
      </c>
      <c r="H3127" t="s">
        <v>6367</v>
      </c>
      <c r="I3127" t="s">
        <v>5359</v>
      </c>
      <c r="J3127" t="s">
        <v>3220</v>
      </c>
      <c r="L3127" t="s">
        <v>5326</v>
      </c>
    </row>
    <row r="3128" spans="1:12" x14ac:dyDescent="0.2">
      <c r="A3128" t="s">
        <v>1767</v>
      </c>
      <c r="B3128" t="s">
        <v>1769</v>
      </c>
      <c r="C3128" t="s">
        <v>5324</v>
      </c>
      <c r="D3128">
        <v>4</v>
      </c>
      <c r="E3128">
        <v>0.96</v>
      </c>
      <c r="F3128">
        <v>0.96</v>
      </c>
      <c r="G3128" t="s">
        <v>5325</v>
      </c>
      <c r="H3128" t="s">
        <v>6368</v>
      </c>
      <c r="I3128" t="s">
        <v>5359</v>
      </c>
      <c r="J3128" t="s">
        <v>6369</v>
      </c>
      <c r="L3128" t="s">
        <v>5326</v>
      </c>
    </row>
    <row r="3129" spans="1:12" x14ac:dyDescent="0.2">
      <c r="A3129" t="s">
        <v>1767</v>
      </c>
      <c r="B3129" t="s">
        <v>1769</v>
      </c>
      <c r="C3129" t="s">
        <v>5324</v>
      </c>
      <c r="D3129">
        <v>4</v>
      </c>
      <c r="E3129">
        <v>0.22</v>
      </c>
      <c r="F3129">
        <v>0.22</v>
      </c>
      <c r="G3129" t="s">
        <v>5325</v>
      </c>
      <c r="H3129" t="s">
        <v>6370</v>
      </c>
      <c r="I3129" t="s">
        <v>5359</v>
      </c>
      <c r="J3129" t="s">
        <v>6371</v>
      </c>
      <c r="L3129" t="s">
        <v>5326</v>
      </c>
    </row>
    <row r="3130" spans="1:12" x14ac:dyDescent="0.2">
      <c r="A3130" t="s">
        <v>1767</v>
      </c>
      <c r="B3130" t="s">
        <v>1769</v>
      </c>
      <c r="C3130" t="s">
        <v>5324</v>
      </c>
      <c r="D3130">
        <v>4</v>
      </c>
      <c r="E3130">
        <v>9.6</v>
      </c>
      <c r="F3130">
        <v>9.6</v>
      </c>
      <c r="G3130" t="s">
        <v>5325</v>
      </c>
      <c r="H3130" t="s">
        <v>6372</v>
      </c>
      <c r="I3130" t="s">
        <v>5359</v>
      </c>
      <c r="J3130" t="s">
        <v>6373</v>
      </c>
      <c r="L3130" t="s">
        <v>5326</v>
      </c>
    </row>
    <row r="3131" spans="1:12" x14ac:dyDescent="0.2">
      <c r="A3131" t="s">
        <v>1767</v>
      </c>
      <c r="B3131" t="s">
        <v>1769</v>
      </c>
      <c r="C3131" t="s">
        <v>5324</v>
      </c>
      <c r="D3131">
        <v>4</v>
      </c>
      <c r="E3131">
        <v>27.3</v>
      </c>
      <c r="F3131">
        <v>27.3</v>
      </c>
      <c r="G3131" t="s">
        <v>5325</v>
      </c>
      <c r="H3131" t="s">
        <v>5457</v>
      </c>
      <c r="I3131" t="s">
        <v>5359</v>
      </c>
      <c r="J3131" t="s">
        <v>3319</v>
      </c>
      <c r="L3131" t="s">
        <v>5326</v>
      </c>
    </row>
    <row r="3132" spans="1:12" x14ac:dyDescent="0.2">
      <c r="A3132" t="s">
        <v>1767</v>
      </c>
      <c r="B3132" t="s">
        <v>1769</v>
      </c>
      <c r="C3132" t="s">
        <v>5324</v>
      </c>
      <c r="D3132">
        <v>4</v>
      </c>
      <c r="E3132">
        <v>1.35</v>
      </c>
      <c r="F3132">
        <v>1.35</v>
      </c>
      <c r="G3132" t="s">
        <v>5325</v>
      </c>
      <c r="H3132" t="s">
        <v>6010</v>
      </c>
      <c r="I3132" t="s">
        <v>5359</v>
      </c>
      <c r="J3132" t="s">
        <v>6374</v>
      </c>
      <c r="L3132" t="s">
        <v>5326</v>
      </c>
    </row>
    <row r="3133" spans="1:12" x14ac:dyDescent="0.2">
      <c r="A3133" t="s">
        <v>1767</v>
      </c>
      <c r="B3133" t="s">
        <v>1769</v>
      </c>
      <c r="C3133" t="s">
        <v>5324</v>
      </c>
      <c r="D3133">
        <v>4</v>
      </c>
      <c r="E3133">
        <v>10.67</v>
      </c>
      <c r="F3133">
        <v>10.67</v>
      </c>
      <c r="G3133" t="s">
        <v>5325</v>
      </c>
      <c r="H3133" t="s">
        <v>6375</v>
      </c>
      <c r="I3133" t="s">
        <v>5359</v>
      </c>
      <c r="J3133" t="s">
        <v>6376</v>
      </c>
      <c r="L3133" t="s">
        <v>5326</v>
      </c>
    </row>
    <row r="3134" spans="1:12" x14ac:dyDescent="0.2">
      <c r="A3134" t="s">
        <v>1767</v>
      </c>
      <c r="B3134" t="s">
        <v>1769</v>
      </c>
      <c r="C3134" t="s">
        <v>5324</v>
      </c>
      <c r="D3134">
        <v>4</v>
      </c>
      <c r="E3134">
        <v>22.5</v>
      </c>
      <c r="F3134">
        <v>22.5</v>
      </c>
      <c r="G3134" t="s">
        <v>5325</v>
      </c>
      <c r="H3134" t="s">
        <v>6377</v>
      </c>
      <c r="I3134" t="s">
        <v>5359</v>
      </c>
      <c r="J3134" t="s">
        <v>6378</v>
      </c>
      <c r="L3134" t="s">
        <v>5326</v>
      </c>
    </row>
    <row r="3135" spans="1:12" x14ac:dyDescent="0.2">
      <c r="A3135" t="s">
        <v>1767</v>
      </c>
      <c r="B3135" t="s">
        <v>1769</v>
      </c>
      <c r="C3135" t="s">
        <v>5324</v>
      </c>
      <c r="D3135">
        <v>4</v>
      </c>
      <c r="E3135">
        <v>105</v>
      </c>
      <c r="F3135">
        <v>105</v>
      </c>
      <c r="G3135" t="s">
        <v>5325</v>
      </c>
      <c r="H3135" t="s">
        <v>5343</v>
      </c>
      <c r="I3135" t="s">
        <v>5359</v>
      </c>
      <c r="J3135" t="s">
        <v>2480</v>
      </c>
      <c r="L3135" t="s">
        <v>5326</v>
      </c>
    </row>
    <row r="3136" spans="1:12" x14ac:dyDescent="0.2">
      <c r="A3136" t="s">
        <v>1767</v>
      </c>
      <c r="B3136" t="s">
        <v>1769</v>
      </c>
      <c r="C3136" t="s">
        <v>5324</v>
      </c>
      <c r="D3136">
        <v>4</v>
      </c>
      <c r="E3136">
        <v>10.67</v>
      </c>
      <c r="F3136">
        <v>10.67</v>
      </c>
      <c r="G3136" t="s">
        <v>5325</v>
      </c>
      <c r="H3136" t="s">
        <v>6375</v>
      </c>
      <c r="I3136" t="s">
        <v>5359</v>
      </c>
      <c r="J3136" t="s">
        <v>6376</v>
      </c>
      <c r="L3136" t="s">
        <v>5326</v>
      </c>
    </row>
    <row r="3137" spans="1:12" x14ac:dyDescent="0.2">
      <c r="A3137" t="s">
        <v>1767</v>
      </c>
      <c r="B3137" t="s">
        <v>1769</v>
      </c>
      <c r="C3137" t="s">
        <v>5324</v>
      </c>
      <c r="D3137">
        <v>4</v>
      </c>
      <c r="E3137">
        <v>9.6</v>
      </c>
      <c r="F3137">
        <v>9.6</v>
      </c>
      <c r="G3137" t="s">
        <v>5325</v>
      </c>
      <c r="H3137" t="s">
        <v>6372</v>
      </c>
      <c r="I3137" t="s">
        <v>5359</v>
      </c>
      <c r="J3137" t="s">
        <v>6379</v>
      </c>
      <c r="L3137" t="s">
        <v>5326</v>
      </c>
    </row>
    <row r="3138" spans="1:12" x14ac:dyDescent="0.2">
      <c r="A3138" t="s">
        <v>1767</v>
      </c>
      <c r="B3138" t="s">
        <v>1769</v>
      </c>
      <c r="C3138" t="s">
        <v>5324</v>
      </c>
      <c r="D3138">
        <v>4</v>
      </c>
      <c r="E3138">
        <v>0.5</v>
      </c>
      <c r="F3138">
        <v>0.5</v>
      </c>
      <c r="G3138" t="s">
        <v>5325</v>
      </c>
      <c r="H3138" t="s">
        <v>6380</v>
      </c>
      <c r="I3138" t="s">
        <v>5359</v>
      </c>
      <c r="J3138" t="s">
        <v>6381</v>
      </c>
      <c r="L3138" t="s">
        <v>5326</v>
      </c>
    </row>
    <row r="3139" spans="1:12" x14ac:dyDescent="0.2">
      <c r="A3139" t="s">
        <v>1767</v>
      </c>
      <c r="B3139" t="s">
        <v>1769</v>
      </c>
      <c r="C3139" t="s">
        <v>5324</v>
      </c>
      <c r="D3139">
        <v>4</v>
      </c>
      <c r="E3139">
        <v>21.19</v>
      </c>
      <c r="F3139">
        <v>21.19</v>
      </c>
      <c r="G3139" t="s">
        <v>5325</v>
      </c>
      <c r="H3139" t="s">
        <v>6382</v>
      </c>
      <c r="I3139" t="s">
        <v>5359</v>
      </c>
      <c r="J3139" t="s">
        <v>3149</v>
      </c>
      <c r="L3139" t="s">
        <v>5326</v>
      </c>
    </row>
    <row r="3140" spans="1:12" x14ac:dyDescent="0.2">
      <c r="A3140" t="s">
        <v>1767</v>
      </c>
      <c r="B3140" t="s">
        <v>1769</v>
      </c>
      <c r="C3140" t="s">
        <v>5324</v>
      </c>
      <c r="D3140">
        <v>4</v>
      </c>
      <c r="E3140">
        <v>8.25</v>
      </c>
      <c r="F3140">
        <v>8.25</v>
      </c>
      <c r="G3140" t="s">
        <v>5325</v>
      </c>
      <c r="H3140" t="s">
        <v>6383</v>
      </c>
      <c r="I3140" t="s">
        <v>5359</v>
      </c>
      <c r="J3140" t="s">
        <v>6384</v>
      </c>
      <c r="L3140" t="s">
        <v>5326</v>
      </c>
    </row>
    <row r="3141" spans="1:12" x14ac:dyDescent="0.2">
      <c r="A3141" t="s">
        <v>1767</v>
      </c>
      <c r="B3141" t="s">
        <v>1769</v>
      </c>
      <c r="C3141" t="s">
        <v>5324</v>
      </c>
      <c r="D3141">
        <v>4</v>
      </c>
      <c r="E3141">
        <v>1.45</v>
      </c>
      <c r="F3141">
        <v>1.45</v>
      </c>
      <c r="G3141" t="s">
        <v>5325</v>
      </c>
      <c r="H3141" t="s">
        <v>6385</v>
      </c>
      <c r="I3141" t="s">
        <v>5359</v>
      </c>
      <c r="J3141" t="s">
        <v>6386</v>
      </c>
      <c r="L3141" t="s">
        <v>5326</v>
      </c>
    </row>
    <row r="3142" spans="1:12" x14ac:dyDescent="0.2">
      <c r="A3142" t="s">
        <v>1767</v>
      </c>
      <c r="B3142" t="s">
        <v>1769</v>
      </c>
      <c r="C3142" t="s">
        <v>5324</v>
      </c>
      <c r="D3142">
        <v>4</v>
      </c>
      <c r="E3142">
        <v>3</v>
      </c>
      <c r="F3142">
        <v>3</v>
      </c>
      <c r="G3142" t="s">
        <v>5325</v>
      </c>
      <c r="H3142" t="s">
        <v>6184</v>
      </c>
      <c r="I3142" t="s">
        <v>5359</v>
      </c>
      <c r="J3142" t="s">
        <v>2512</v>
      </c>
      <c r="L3142" t="s">
        <v>5326</v>
      </c>
    </row>
    <row r="3143" spans="1:12" x14ac:dyDescent="0.2">
      <c r="A3143" t="s">
        <v>1767</v>
      </c>
      <c r="B3143" t="s">
        <v>1769</v>
      </c>
      <c r="C3143" t="s">
        <v>5324</v>
      </c>
      <c r="D3143">
        <v>4</v>
      </c>
      <c r="E3143">
        <v>9.6</v>
      </c>
      <c r="F3143">
        <v>9.6</v>
      </c>
      <c r="G3143" t="s">
        <v>5325</v>
      </c>
      <c r="H3143" t="s">
        <v>6372</v>
      </c>
      <c r="I3143" t="s">
        <v>5359</v>
      </c>
      <c r="J3143" t="s">
        <v>6387</v>
      </c>
      <c r="L3143" t="s">
        <v>5326</v>
      </c>
    </row>
    <row r="3144" spans="1:12" x14ac:dyDescent="0.2">
      <c r="A3144" t="s">
        <v>1767</v>
      </c>
      <c r="B3144" t="s">
        <v>1769</v>
      </c>
      <c r="C3144" t="s">
        <v>5324</v>
      </c>
      <c r="D3144">
        <v>4</v>
      </c>
      <c r="E3144">
        <v>3</v>
      </c>
      <c r="F3144">
        <v>3</v>
      </c>
      <c r="G3144" t="s">
        <v>5325</v>
      </c>
      <c r="H3144" t="s">
        <v>6184</v>
      </c>
      <c r="I3144" t="s">
        <v>5359</v>
      </c>
      <c r="J3144" t="s">
        <v>6298</v>
      </c>
      <c r="L3144" t="s">
        <v>5326</v>
      </c>
    </row>
    <row r="3145" spans="1:12" x14ac:dyDescent="0.2">
      <c r="A3145" t="s">
        <v>1767</v>
      </c>
      <c r="B3145" t="s">
        <v>1769</v>
      </c>
      <c r="C3145" t="s">
        <v>6388</v>
      </c>
      <c r="D3145">
        <v>1</v>
      </c>
      <c r="E3145">
        <v>0</v>
      </c>
      <c r="F3145">
        <v>0</v>
      </c>
      <c r="G3145" t="s">
        <v>6389</v>
      </c>
      <c r="L3145" t="s">
        <v>6390</v>
      </c>
    </row>
    <row r="3146" spans="1:12" x14ac:dyDescent="0.2">
      <c r="A3146" t="s">
        <v>1767</v>
      </c>
      <c r="B3146" t="s">
        <v>1769</v>
      </c>
      <c r="C3146" t="s">
        <v>6388</v>
      </c>
      <c r="D3146">
        <v>3</v>
      </c>
      <c r="E3146">
        <v>0</v>
      </c>
      <c r="F3146">
        <v>0</v>
      </c>
      <c r="G3146" t="s">
        <v>6389</v>
      </c>
      <c r="H3146" t="s">
        <v>6391</v>
      </c>
      <c r="I3146" t="s">
        <v>6392</v>
      </c>
      <c r="L3146" t="s">
        <v>6390</v>
      </c>
    </row>
    <row r="3147" spans="1:12" x14ac:dyDescent="0.2">
      <c r="A3147" t="s">
        <v>1767</v>
      </c>
      <c r="B3147" t="s">
        <v>1769</v>
      </c>
      <c r="C3147" t="s">
        <v>6388</v>
      </c>
      <c r="D3147">
        <v>3</v>
      </c>
      <c r="E3147">
        <v>17811.900000000001</v>
      </c>
      <c r="F3147">
        <v>17811.900000000001</v>
      </c>
      <c r="G3147" t="s">
        <v>6389</v>
      </c>
      <c r="H3147" t="s">
        <v>6393</v>
      </c>
      <c r="I3147" t="s">
        <v>6394</v>
      </c>
      <c r="L3147" t="s">
        <v>6390</v>
      </c>
    </row>
    <row r="3148" spans="1:12" x14ac:dyDescent="0.2">
      <c r="A3148" t="s">
        <v>1767</v>
      </c>
      <c r="B3148" t="s">
        <v>1769</v>
      </c>
      <c r="C3148" t="s">
        <v>6388</v>
      </c>
      <c r="D3148">
        <v>3</v>
      </c>
      <c r="E3148">
        <v>2612</v>
      </c>
      <c r="F3148">
        <v>2612</v>
      </c>
      <c r="G3148" t="s">
        <v>6389</v>
      </c>
      <c r="H3148" t="s">
        <v>6395</v>
      </c>
      <c r="I3148" t="s">
        <v>6396</v>
      </c>
      <c r="L3148" t="s">
        <v>6390</v>
      </c>
    </row>
    <row r="3149" spans="1:12" x14ac:dyDescent="0.2">
      <c r="A3149" t="s">
        <v>1767</v>
      </c>
      <c r="B3149" t="s">
        <v>1769</v>
      </c>
      <c r="C3149" t="s">
        <v>6388</v>
      </c>
      <c r="D3149">
        <v>3</v>
      </c>
      <c r="E3149">
        <v>28463.9</v>
      </c>
      <c r="F3149">
        <v>28463.9</v>
      </c>
      <c r="G3149" t="s">
        <v>6389</v>
      </c>
      <c r="H3149" t="s">
        <v>6397</v>
      </c>
      <c r="I3149" t="s">
        <v>6398</v>
      </c>
      <c r="L3149" t="s">
        <v>6390</v>
      </c>
    </row>
    <row r="3150" spans="1:12" x14ac:dyDescent="0.2">
      <c r="A3150" t="s">
        <v>1767</v>
      </c>
      <c r="B3150" t="s">
        <v>1769</v>
      </c>
      <c r="C3150" t="s">
        <v>6388</v>
      </c>
      <c r="D3150">
        <v>3</v>
      </c>
      <c r="E3150">
        <v>8840</v>
      </c>
      <c r="F3150">
        <v>8840</v>
      </c>
      <c r="G3150" t="s">
        <v>6389</v>
      </c>
      <c r="H3150" t="s">
        <v>6399</v>
      </c>
      <c r="I3150" t="s">
        <v>6400</v>
      </c>
      <c r="L3150" t="s">
        <v>6390</v>
      </c>
    </row>
    <row r="3151" spans="1:12" x14ac:dyDescent="0.2">
      <c r="A3151" t="s">
        <v>1767</v>
      </c>
      <c r="B3151" t="s">
        <v>1769</v>
      </c>
      <c r="C3151" t="s">
        <v>6388</v>
      </c>
      <c r="D3151">
        <v>3</v>
      </c>
      <c r="E3151">
        <v>8135</v>
      </c>
      <c r="F3151">
        <v>8135</v>
      </c>
      <c r="G3151" t="s">
        <v>6389</v>
      </c>
      <c r="H3151" t="s">
        <v>6401</v>
      </c>
      <c r="I3151" t="s">
        <v>6402</v>
      </c>
      <c r="L3151" t="s">
        <v>6390</v>
      </c>
    </row>
    <row r="3152" spans="1:12" x14ac:dyDescent="0.2">
      <c r="A3152" t="s">
        <v>1767</v>
      </c>
      <c r="B3152" t="s">
        <v>1769</v>
      </c>
      <c r="C3152" t="s">
        <v>6388</v>
      </c>
      <c r="D3152">
        <v>3</v>
      </c>
      <c r="E3152">
        <v>41561.1</v>
      </c>
      <c r="F3152">
        <v>41561.1</v>
      </c>
      <c r="G3152" t="s">
        <v>6389</v>
      </c>
      <c r="H3152" t="s">
        <v>6403</v>
      </c>
      <c r="I3152" t="s">
        <v>6404</v>
      </c>
      <c r="L3152" t="s">
        <v>6390</v>
      </c>
    </row>
    <row r="3153" spans="1:12" x14ac:dyDescent="0.2">
      <c r="A3153" t="s">
        <v>1767</v>
      </c>
      <c r="B3153" t="s">
        <v>1769</v>
      </c>
      <c r="C3153" t="s">
        <v>6388</v>
      </c>
      <c r="D3153">
        <v>3</v>
      </c>
      <c r="E3153">
        <v>2415</v>
      </c>
      <c r="F3153">
        <v>2415</v>
      </c>
      <c r="G3153" t="s">
        <v>6389</v>
      </c>
      <c r="H3153" t="s">
        <v>6405</v>
      </c>
      <c r="I3153" t="s">
        <v>6406</v>
      </c>
      <c r="L3153" t="s">
        <v>6390</v>
      </c>
    </row>
    <row r="3154" spans="1:12" x14ac:dyDescent="0.2">
      <c r="A3154" t="s">
        <v>1767</v>
      </c>
      <c r="B3154" t="s">
        <v>1769</v>
      </c>
      <c r="C3154" t="s">
        <v>6388</v>
      </c>
      <c r="D3154">
        <v>3</v>
      </c>
      <c r="E3154">
        <v>745</v>
      </c>
      <c r="F3154">
        <v>745</v>
      </c>
      <c r="G3154" t="s">
        <v>6389</v>
      </c>
      <c r="H3154" t="s">
        <v>6407</v>
      </c>
      <c r="I3154" t="s">
        <v>6408</v>
      </c>
      <c r="L3154" t="s">
        <v>6390</v>
      </c>
    </row>
    <row r="3155" spans="1:12" x14ac:dyDescent="0.2">
      <c r="A3155" t="s">
        <v>1767</v>
      </c>
      <c r="B3155" t="s">
        <v>1769</v>
      </c>
      <c r="C3155" t="s">
        <v>6388</v>
      </c>
      <c r="D3155">
        <v>3</v>
      </c>
      <c r="E3155">
        <v>1035</v>
      </c>
      <c r="F3155">
        <v>1035</v>
      </c>
      <c r="G3155" t="s">
        <v>6389</v>
      </c>
      <c r="H3155" t="s">
        <v>6409</v>
      </c>
      <c r="I3155" t="s">
        <v>6410</v>
      </c>
      <c r="L3155" t="s">
        <v>6390</v>
      </c>
    </row>
    <row r="3156" spans="1:12" x14ac:dyDescent="0.2">
      <c r="A3156" t="s">
        <v>1767</v>
      </c>
      <c r="B3156" t="s">
        <v>1769</v>
      </c>
      <c r="C3156" t="s">
        <v>6388</v>
      </c>
      <c r="D3156">
        <v>3</v>
      </c>
      <c r="E3156">
        <v>26653.7</v>
      </c>
      <c r="F3156">
        <v>26653.7</v>
      </c>
      <c r="G3156" t="s">
        <v>6389</v>
      </c>
      <c r="H3156" t="s">
        <v>6411</v>
      </c>
      <c r="I3156" t="s">
        <v>6412</v>
      </c>
      <c r="L3156" t="s">
        <v>6390</v>
      </c>
    </row>
    <row r="3157" spans="1:12" x14ac:dyDescent="0.2">
      <c r="A3157" t="s">
        <v>1767</v>
      </c>
      <c r="B3157" t="s">
        <v>1769</v>
      </c>
      <c r="C3157" t="s">
        <v>6388</v>
      </c>
      <c r="D3157">
        <v>3</v>
      </c>
      <c r="E3157">
        <v>2415</v>
      </c>
      <c r="F3157">
        <v>2415</v>
      </c>
      <c r="G3157" t="s">
        <v>6389</v>
      </c>
      <c r="H3157" t="s">
        <v>6405</v>
      </c>
      <c r="I3157" t="s">
        <v>6413</v>
      </c>
      <c r="L3157" t="s">
        <v>6390</v>
      </c>
    </row>
    <row r="3158" spans="1:12" x14ac:dyDescent="0.2">
      <c r="A3158" t="s">
        <v>1767</v>
      </c>
      <c r="B3158" t="s">
        <v>1769</v>
      </c>
      <c r="C3158" t="s">
        <v>6388</v>
      </c>
      <c r="D3158">
        <v>3</v>
      </c>
      <c r="E3158">
        <v>25615.94</v>
      </c>
      <c r="F3158">
        <v>25615.94</v>
      </c>
      <c r="G3158" t="s">
        <v>6389</v>
      </c>
      <c r="H3158" t="s">
        <v>6414</v>
      </c>
      <c r="I3158" t="s">
        <v>6415</v>
      </c>
      <c r="L3158" t="s">
        <v>6390</v>
      </c>
    </row>
    <row r="3159" spans="1:12" x14ac:dyDescent="0.2">
      <c r="A3159" t="s">
        <v>1767</v>
      </c>
      <c r="B3159" t="s">
        <v>1769</v>
      </c>
      <c r="C3159" t="s">
        <v>6388</v>
      </c>
      <c r="D3159">
        <v>3</v>
      </c>
      <c r="E3159">
        <v>29663.58</v>
      </c>
      <c r="F3159">
        <v>29663.58</v>
      </c>
      <c r="G3159" t="s">
        <v>6389</v>
      </c>
      <c r="H3159" t="s">
        <v>6416</v>
      </c>
      <c r="I3159" t="s">
        <v>6417</v>
      </c>
      <c r="L3159" t="s">
        <v>6390</v>
      </c>
    </row>
    <row r="3160" spans="1:12" x14ac:dyDescent="0.2">
      <c r="A3160" t="s">
        <v>1767</v>
      </c>
      <c r="B3160" t="s">
        <v>1769</v>
      </c>
      <c r="C3160" t="s">
        <v>6388</v>
      </c>
      <c r="D3160">
        <v>3</v>
      </c>
      <c r="E3160">
        <v>23249.96</v>
      </c>
      <c r="F3160">
        <v>23249.96</v>
      </c>
      <c r="G3160" t="s">
        <v>6389</v>
      </c>
      <c r="H3160" t="s">
        <v>6418</v>
      </c>
      <c r="I3160" t="s">
        <v>6419</v>
      </c>
      <c r="L3160" t="s">
        <v>6390</v>
      </c>
    </row>
    <row r="3161" spans="1:12" x14ac:dyDescent="0.2">
      <c r="A3161" t="s">
        <v>1767</v>
      </c>
      <c r="B3161" t="s">
        <v>1769</v>
      </c>
      <c r="C3161" t="s">
        <v>6388</v>
      </c>
      <c r="D3161">
        <v>3</v>
      </c>
      <c r="E3161">
        <v>26908.44</v>
      </c>
      <c r="F3161">
        <v>26908.44</v>
      </c>
      <c r="G3161" t="s">
        <v>6389</v>
      </c>
      <c r="H3161" t="s">
        <v>6420</v>
      </c>
      <c r="I3161" t="s">
        <v>6421</v>
      </c>
      <c r="L3161" t="s">
        <v>6390</v>
      </c>
    </row>
    <row r="3162" spans="1:12" x14ac:dyDescent="0.2">
      <c r="A3162" t="s">
        <v>1767</v>
      </c>
      <c r="B3162" t="s">
        <v>1769</v>
      </c>
      <c r="C3162" t="s">
        <v>6388</v>
      </c>
      <c r="D3162">
        <v>3</v>
      </c>
      <c r="E3162">
        <v>29663.58</v>
      </c>
      <c r="F3162">
        <v>29663.58</v>
      </c>
      <c r="G3162" t="s">
        <v>6389</v>
      </c>
      <c r="H3162" t="s">
        <v>6416</v>
      </c>
      <c r="I3162" t="s">
        <v>6422</v>
      </c>
      <c r="L3162" t="s">
        <v>6390</v>
      </c>
    </row>
    <row r="3163" spans="1:12" x14ac:dyDescent="0.2">
      <c r="A3163" t="s">
        <v>1767</v>
      </c>
      <c r="B3163" t="s">
        <v>1769</v>
      </c>
      <c r="C3163" t="s">
        <v>6388</v>
      </c>
      <c r="D3163">
        <v>3</v>
      </c>
      <c r="E3163">
        <v>13232.38</v>
      </c>
      <c r="F3163">
        <v>13232.38</v>
      </c>
      <c r="G3163" t="s">
        <v>6389</v>
      </c>
      <c r="H3163" t="s">
        <v>6423</v>
      </c>
      <c r="I3163" t="s">
        <v>6424</v>
      </c>
      <c r="L3163" t="s">
        <v>6390</v>
      </c>
    </row>
    <row r="3164" spans="1:12" x14ac:dyDescent="0.2">
      <c r="A3164" t="s">
        <v>1767</v>
      </c>
      <c r="B3164" t="s">
        <v>1769</v>
      </c>
      <c r="C3164" t="s">
        <v>6388</v>
      </c>
      <c r="D3164">
        <v>3</v>
      </c>
      <c r="E3164">
        <v>1035</v>
      </c>
      <c r="F3164">
        <v>1035</v>
      </c>
      <c r="G3164" t="s">
        <v>6389</v>
      </c>
      <c r="H3164" t="s">
        <v>6409</v>
      </c>
      <c r="I3164" t="s">
        <v>6410</v>
      </c>
      <c r="L3164" t="s">
        <v>6390</v>
      </c>
    </row>
    <row r="3165" spans="1:12" x14ac:dyDescent="0.2">
      <c r="A3165" t="s">
        <v>1767</v>
      </c>
      <c r="B3165" t="s">
        <v>1769</v>
      </c>
      <c r="C3165" t="s">
        <v>6388</v>
      </c>
      <c r="D3165">
        <v>3</v>
      </c>
      <c r="E3165">
        <v>16439.66</v>
      </c>
      <c r="F3165">
        <v>16439.66</v>
      </c>
      <c r="G3165" t="s">
        <v>6389</v>
      </c>
      <c r="H3165" t="s">
        <v>6425</v>
      </c>
      <c r="I3165" t="s">
        <v>6426</v>
      </c>
      <c r="L3165" t="s">
        <v>6390</v>
      </c>
    </row>
    <row r="3166" spans="1:12" x14ac:dyDescent="0.2">
      <c r="A3166" t="s">
        <v>1767</v>
      </c>
      <c r="B3166" t="s">
        <v>1769</v>
      </c>
      <c r="C3166" t="s">
        <v>6388</v>
      </c>
      <c r="D3166">
        <v>3</v>
      </c>
      <c r="E3166">
        <v>16439.66</v>
      </c>
      <c r="F3166">
        <v>16439.66</v>
      </c>
      <c r="G3166" t="s">
        <v>6389</v>
      </c>
      <c r="H3166" t="s">
        <v>6425</v>
      </c>
      <c r="I3166" t="s">
        <v>6427</v>
      </c>
      <c r="L3166" t="s">
        <v>6390</v>
      </c>
    </row>
    <row r="3167" spans="1:12" x14ac:dyDescent="0.2">
      <c r="A3167" t="s">
        <v>1767</v>
      </c>
      <c r="B3167" t="s">
        <v>1769</v>
      </c>
      <c r="C3167" t="s">
        <v>6388</v>
      </c>
      <c r="D3167">
        <v>3</v>
      </c>
      <c r="E3167">
        <v>8352</v>
      </c>
      <c r="F3167">
        <v>8352</v>
      </c>
      <c r="G3167" t="s">
        <v>6389</v>
      </c>
      <c r="H3167" t="s">
        <v>6428</v>
      </c>
      <c r="I3167" t="s">
        <v>6429</v>
      </c>
      <c r="L3167" t="s">
        <v>6390</v>
      </c>
    </row>
    <row r="3168" spans="1:12" x14ac:dyDescent="0.2">
      <c r="A3168" t="s">
        <v>1767</v>
      </c>
      <c r="B3168" t="s">
        <v>1769</v>
      </c>
      <c r="C3168" t="s">
        <v>6388</v>
      </c>
      <c r="D3168">
        <v>3</v>
      </c>
      <c r="E3168">
        <v>26797.5</v>
      </c>
      <c r="F3168">
        <v>26797.5</v>
      </c>
      <c r="G3168" t="s">
        <v>6389</v>
      </c>
      <c r="H3168" t="s">
        <v>6430</v>
      </c>
      <c r="I3168" t="s">
        <v>6431</v>
      </c>
      <c r="L3168" t="s">
        <v>6390</v>
      </c>
    </row>
    <row r="3169" spans="1:12" x14ac:dyDescent="0.2">
      <c r="A3169" t="s">
        <v>1767</v>
      </c>
      <c r="B3169" t="s">
        <v>1769</v>
      </c>
      <c r="C3169" t="s">
        <v>6388</v>
      </c>
      <c r="D3169">
        <v>3</v>
      </c>
      <c r="E3169">
        <v>62527.5</v>
      </c>
      <c r="F3169">
        <v>62527.5</v>
      </c>
      <c r="G3169" t="s">
        <v>6389</v>
      </c>
      <c r="H3169" t="s">
        <v>6432</v>
      </c>
      <c r="I3169" t="s">
        <v>6433</v>
      </c>
      <c r="L3169" t="s">
        <v>6390</v>
      </c>
    </row>
    <row r="3170" spans="1:12" x14ac:dyDescent="0.2">
      <c r="A3170" t="s">
        <v>1767</v>
      </c>
      <c r="B3170" t="s">
        <v>1769</v>
      </c>
      <c r="C3170" t="s">
        <v>6388</v>
      </c>
      <c r="D3170">
        <v>3</v>
      </c>
      <c r="E3170">
        <v>0</v>
      </c>
      <c r="F3170">
        <v>0</v>
      </c>
      <c r="G3170" t="s">
        <v>6389</v>
      </c>
      <c r="H3170" t="s">
        <v>6391</v>
      </c>
      <c r="I3170" t="s">
        <v>6434</v>
      </c>
      <c r="L3170" t="s">
        <v>6390</v>
      </c>
    </row>
    <row r="3171" spans="1:12" x14ac:dyDescent="0.2">
      <c r="A3171" t="s">
        <v>1767</v>
      </c>
      <c r="B3171" t="s">
        <v>1769</v>
      </c>
      <c r="C3171" t="s">
        <v>6435</v>
      </c>
      <c r="D3171">
        <v>1</v>
      </c>
      <c r="E3171">
        <v>0</v>
      </c>
      <c r="F3171">
        <v>0</v>
      </c>
      <c r="G3171" t="s">
        <v>6436</v>
      </c>
      <c r="L3171" t="s">
        <v>6437</v>
      </c>
    </row>
    <row r="3172" spans="1:12" x14ac:dyDescent="0.2">
      <c r="A3172" t="s">
        <v>1767</v>
      </c>
      <c r="B3172" t="s">
        <v>1769</v>
      </c>
      <c r="C3172" t="s">
        <v>6435</v>
      </c>
      <c r="D3172">
        <v>3</v>
      </c>
      <c r="E3172">
        <v>0</v>
      </c>
      <c r="F3172">
        <v>0</v>
      </c>
      <c r="G3172" t="s">
        <v>6436</v>
      </c>
      <c r="H3172" t="s">
        <v>6438</v>
      </c>
      <c r="I3172" t="s">
        <v>6439</v>
      </c>
      <c r="L3172" t="s">
        <v>6437</v>
      </c>
    </row>
    <row r="3173" spans="1:12" x14ac:dyDescent="0.2">
      <c r="A3173" t="s">
        <v>1767</v>
      </c>
      <c r="B3173" t="s">
        <v>1769</v>
      </c>
      <c r="C3173" t="s">
        <v>6435</v>
      </c>
      <c r="D3173">
        <v>3</v>
      </c>
      <c r="E3173">
        <v>2.6</v>
      </c>
      <c r="F3173">
        <v>2.6</v>
      </c>
      <c r="G3173" t="s">
        <v>6436</v>
      </c>
      <c r="H3173" t="s">
        <v>6440</v>
      </c>
      <c r="I3173" t="s">
        <v>6441</v>
      </c>
      <c r="L3173" t="s">
        <v>6437</v>
      </c>
    </row>
    <row r="3174" spans="1:12" x14ac:dyDescent="0.2">
      <c r="A3174" t="s">
        <v>1767</v>
      </c>
      <c r="B3174" t="s">
        <v>1769</v>
      </c>
      <c r="C3174" t="s">
        <v>6435</v>
      </c>
      <c r="D3174">
        <v>3</v>
      </c>
      <c r="E3174">
        <v>21106.32</v>
      </c>
      <c r="F3174">
        <v>21106.32</v>
      </c>
      <c r="G3174" t="s">
        <v>6436</v>
      </c>
      <c r="H3174" t="s">
        <v>6442</v>
      </c>
      <c r="I3174" t="s">
        <v>6443</v>
      </c>
      <c r="L3174" t="s">
        <v>6437</v>
      </c>
    </row>
    <row r="3175" spans="1:12" x14ac:dyDescent="0.2">
      <c r="A3175" t="s">
        <v>1767</v>
      </c>
      <c r="B3175" t="s">
        <v>1769</v>
      </c>
      <c r="C3175" t="s">
        <v>6435</v>
      </c>
      <c r="D3175">
        <v>3</v>
      </c>
      <c r="E3175">
        <v>12352</v>
      </c>
      <c r="F3175">
        <v>12352</v>
      </c>
      <c r="G3175" t="s">
        <v>6436</v>
      </c>
      <c r="H3175" t="s">
        <v>6444</v>
      </c>
      <c r="I3175" t="s">
        <v>6445</v>
      </c>
      <c r="L3175" t="s">
        <v>6437</v>
      </c>
    </row>
    <row r="3176" spans="1:12" x14ac:dyDescent="0.2">
      <c r="A3176" t="s">
        <v>1767</v>
      </c>
      <c r="B3176" t="s">
        <v>1769</v>
      </c>
      <c r="C3176" t="s">
        <v>6435</v>
      </c>
      <c r="D3176">
        <v>3</v>
      </c>
      <c r="E3176">
        <v>11967</v>
      </c>
      <c r="F3176">
        <v>11967</v>
      </c>
      <c r="G3176" t="s">
        <v>6436</v>
      </c>
      <c r="H3176" t="s">
        <v>6446</v>
      </c>
      <c r="I3176" t="s">
        <v>6447</v>
      </c>
      <c r="L3176" t="s">
        <v>6437</v>
      </c>
    </row>
    <row r="3177" spans="1:12" x14ac:dyDescent="0.2">
      <c r="A3177" t="s">
        <v>1767</v>
      </c>
      <c r="B3177" t="s">
        <v>1769</v>
      </c>
      <c r="C3177" t="s">
        <v>6435</v>
      </c>
      <c r="D3177">
        <v>3</v>
      </c>
      <c r="E3177">
        <v>76221</v>
      </c>
      <c r="F3177">
        <v>76221</v>
      </c>
      <c r="G3177" t="s">
        <v>6436</v>
      </c>
      <c r="H3177" t="s">
        <v>6448</v>
      </c>
      <c r="I3177" t="s">
        <v>6449</v>
      </c>
      <c r="L3177" t="s">
        <v>6437</v>
      </c>
    </row>
    <row r="3178" spans="1:12" x14ac:dyDescent="0.2">
      <c r="A3178" t="s">
        <v>1767</v>
      </c>
      <c r="B3178" t="s">
        <v>1769</v>
      </c>
      <c r="C3178" t="s">
        <v>6435</v>
      </c>
      <c r="D3178">
        <v>3</v>
      </c>
      <c r="E3178">
        <v>12352</v>
      </c>
      <c r="F3178">
        <v>12352</v>
      </c>
      <c r="G3178" t="s">
        <v>6436</v>
      </c>
      <c r="H3178" t="s">
        <v>6444</v>
      </c>
      <c r="I3178" t="s">
        <v>6450</v>
      </c>
      <c r="L3178" t="s">
        <v>6437</v>
      </c>
    </row>
    <row r="3179" spans="1:12" x14ac:dyDescent="0.2">
      <c r="A3179" t="s">
        <v>1767</v>
      </c>
      <c r="B3179" t="s">
        <v>1769</v>
      </c>
      <c r="C3179" t="s">
        <v>6435</v>
      </c>
      <c r="D3179">
        <v>3</v>
      </c>
      <c r="E3179">
        <v>128197</v>
      </c>
      <c r="F3179">
        <v>128197</v>
      </c>
      <c r="G3179" t="s">
        <v>6436</v>
      </c>
      <c r="H3179" t="s">
        <v>6451</v>
      </c>
      <c r="I3179" t="s">
        <v>6452</v>
      </c>
      <c r="L3179" t="s">
        <v>6437</v>
      </c>
    </row>
    <row r="3180" spans="1:12" x14ac:dyDescent="0.2">
      <c r="A3180" t="s">
        <v>1767</v>
      </c>
      <c r="B3180" t="s">
        <v>1769</v>
      </c>
      <c r="C3180" t="s">
        <v>6435</v>
      </c>
      <c r="D3180">
        <v>3</v>
      </c>
      <c r="E3180">
        <v>91339</v>
      </c>
      <c r="F3180">
        <v>91339</v>
      </c>
      <c r="G3180" t="s">
        <v>6436</v>
      </c>
      <c r="H3180" t="s">
        <v>6453</v>
      </c>
      <c r="I3180" t="s">
        <v>6454</v>
      </c>
      <c r="L3180" t="s">
        <v>6437</v>
      </c>
    </row>
    <row r="3181" spans="1:12" x14ac:dyDescent="0.2">
      <c r="A3181" t="s">
        <v>1767</v>
      </c>
      <c r="B3181" t="s">
        <v>1769</v>
      </c>
      <c r="C3181" t="s">
        <v>6435</v>
      </c>
      <c r="D3181">
        <v>3</v>
      </c>
      <c r="E3181">
        <v>135821</v>
      </c>
      <c r="F3181">
        <v>135821</v>
      </c>
      <c r="G3181" t="s">
        <v>6436</v>
      </c>
      <c r="H3181" t="s">
        <v>6455</v>
      </c>
      <c r="I3181" t="s">
        <v>6456</v>
      </c>
      <c r="L3181" t="s">
        <v>6437</v>
      </c>
    </row>
    <row r="3182" spans="1:12" x14ac:dyDescent="0.2">
      <c r="A3182" t="s">
        <v>1767</v>
      </c>
      <c r="B3182" t="s">
        <v>1769</v>
      </c>
      <c r="C3182" t="s">
        <v>6435</v>
      </c>
      <c r="D3182">
        <v>3</v>
      </c>
      <c r="E3182">
        <v>9747</v>
      </c>
      <c r="F3182">
        <v>9747</v>
      </c>
      <c r="G3182" t="s">
        <v>6436</v>
      </c>
      <c r="H3182" t="s">
        <v>6457</v>
      </c>
      <c r="I3182" t="s">
        <v>6458</v>
      </c>
      <c r="L3182" t="s">
        <v>6437</v>
      </c>
    </row>
    <row r="3183" spans="1:12" x14ac:dyDescent="0.2">
      <c r="A3183" t="s">
        <v>1767</v>
      </c>
      <c r="B3183" t="s">
        <v>1769</v>
      </c>
      <c r="C3183" t="s">
        <v>6459</v>
      </c>
      <c r="D3183">
        <v>1</v>
      </c>
      <c r="E3183">
        <v>0</v>
      </c>
      <c r="F3183">
        <v>0</v>
      </c>
      <c r="G3183" t="s">
        <v>6460</v>
      </c>
      <c r="L3183" t="s">
        <v>6461</v>
      </c>
    </row>
    <row r="3184" spans="1:12" x14ac:dyDescent="0.2">
      <c r="A3184" t="s">
        <v>1767</v>
      </c>
      <c r="B3184" t="s">
        <v>1769</v>
      </c>
      <c r="C3184" t="s">
        <v>6459</v>
      </c>
      <c r="D3184">
        <v>3</v>
      </c>
      <c r="E3184">
        <v>3693.28</v>
      </c>
      <c r="F3184">
        <v>3693.28</v>
      </c>
      <c r="G3184" t="s">
        <v>6460</v>
      </c>
      <c r="H3184" t="s">
        <v>6462</v>
      </c>
      <c r="I3184" t="s">
        <v>6463</v>
      </c>
      <c r="L3184" t="s">
        <v>6461</v>
      </c>
    </row>
    <row r="3185" spans="1:12" x14ac:dyDescent="0.2">
      <c r="A3185" t="s">
        <v>1767</v>
      </c>
      <c r="B3185" t="s">
        <v>1769</v>
      </c>
      <c r="C3185" t="s">
        <v>6459</v>
      </c>
      <c r="D3185">
        <v>3</v>
      </c>
      <c r="E3185">
        <v>9920.06</v>
      </c>
      <c r="F3185">
        <v>9920.06</v>
      </c>
      <c r="G3185" t="s">
        <v>6460</v>
      </c>
      <c r="H3185" t="s">
        <v>6464</v>
      </c>
      <c r="I3185" t="s">
        <v>6465</v>
      </c>
      <c r="L3185" t="s">
        <v>6461</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D1174-F169-4C52-942F-2AFAC6A89600}">
  <sheetPr codeName="Sheet12"/>
  <dimension ref="A1:Y2019"/>
  <sheetViews>
    <sheetView tabSelected="1" topLeftCell="A2" zoomScale="188" zoomScaleNormal="85" workbookViewId="0">
      <selection activeCell="C2" sqref="C2"/>
    </sheetView>
  </sheetViews>
  <sheetFormatPr defaultColWidth="16" defaultRowHeight="11.25" x14ac:dyDescent="0.2"/>
  <cols>
    <col min="1" max="1" width="2.796875" style="1" bestFit="1" customWidth="1"/>
    <col min="2" max="2" width="13" style="5" customWidth="1"/>
    <col min="3" max="3" width="15.19921875" style="12" customWidth="1"/>
    <col min="4" max="4" width="6" style="6" bestFit="1" customWidth="1"/>
    <col min="5" max="5" width="3.19921875" style="17" bestFit="1" customWidth="1"/>
    <col min="6" max="6" width="4.19921875" style="18" bestFit="1" customWidth="1"/>
    <col min="7" max="7" width="16" style="5"/>
    <col min="8" max="8" width="10.3984375" style="5" bestFit="1" customWidth="1"/>
    <col min="9" max="9" width="7" style="5" customWidth="1"/>
    <col min="10" max="10" width="32" style="5" bestFit="1" customWidth="1"/>
    <col min="11" max="11" width="40.19921875" style="5" bestFit="1" customWidth="1"/>
    <col min="12" max="12" width="10.3984375" style="5" bestFit="1" customWidth="1"/>
    <col min="13" max="13" width="28.19921875" style="30" bestFit="1" customWidth="1"/>
    <col min="14" max="14" width="16.19921875" style="28" bestFit="1" customWidth="1"/>
    <col min="15" max="15" width="33" style="28" bestFit="1" customWidth="1"/>
    <col min="16" max="16" width="56.3984375" style="28" bestFit="1" customWidth="1"/>
    <col min="17" max="17" width="17.3984375" style="28" bestFit="1" customWidth="1"/>
    <col min="18" max="18" width="45.19921875" style="25" bestFit="1" customWidth="1"/>
    <col min="19" max="19" width="31" style="25" bestFit="1" customWidth="1"/>
    <col min="20" max="20" width="21.19921875" style="25" bestFit="1" customWidth="1"/>
    <col min="21" max="21" width="11.3984375" style="25" bestFit="1" customWidth="1"/>
    <col min="22" max="22" width="14.3984375" style="25" bestFit="1" customWidth="1"/>
    <col min="23" max="23" width="15.3984375" style="33" bestFit="1" customWidth="1"/>
    <col min="24" max="24" width="10.19921875" style="25" bestFit="1" customWidth="1"/>
    <col min="25" max="25" width="81.3984375" style="25" bestFit="1" customWidth="1"/>
    <col min="26" max="16384" width="16" style="5"/>
  </cols>
  <sheetData>
    <row r="1" spans="1:25" s="1" customFormat="1" ht="32.1" customHeight="1" thickBot="1" x14ac:dyDescent="0.25">
      <c r="B1" s="41" t="str" cm="1">
        <f t="array" aca="1" ref="B1" ca="1">CELL(IF(LngS="R","filename","nombrearchivo"))</f>
        <v>C:\Users\127839\AppData\Roaming\Microsoft\Excel\[Xplode_V05 (version 1).xlsb]InData</v>
      </c>
      <c r="D1" s="2"/>
      <c r="F1" s="1" t="str">
        <f>IF(TRUE,"LNG","LNG")</f>
        <v>LNG</v>
      </c>
      <c r="I1" s="21"/>
      <c r="J1" s="21"/>
      <c r="M1" s="29"/>
      <c r="N1" s="27"/>
      <c r="O1" s="27"/>
      <c r="P1" s="27"/>
      <c r="Q1" s="27"/>
      <c r="R1" s="24"/>
      <c r="S1" s="24"/>
      <c r="T1" s="24"/>
      <c r="U1" s="24"/>
      <c r="V1" s="24"/>
      <c r="W1" s="32"/>
      <c r="X1" s="24"/>
      <c r="Y1" s="24"/>
    </row>
    <row r="2" spans="1:25" ht="105.75" x14ac:dyDescent="0.2">
      <c r="B2" s="3" t="s">
        <v>0</v>
      </c>
      <c r="C2" s="4" t="str">
        <f ca="1">LEFT($B$1,FIND("[",$B$1)-1)</f>
        <v>C:\Users\127839\AppData\Roaming\Microsoft\Excel\</v>
      </c>
      <c r="E2" s="14" t="s">
        <v>5</v>
      </c>
      <c r="F2" s="16" t="str" cm="1">
        <f t="array" aca="1" ref="F2" ca="1">IF(ISERROR(INDIRECT("r1c1",FALSE)),"f","r")</f>
        <v>r</v>
      </c>
      <c r="I2" s="22" t="s">
        <v>6</v>
      </c>
      <c r="J2" s="23" t="s">
        <v>18</v>
      </c>
      <c r="M2" s="31" t="s">
        <v>48</v>
      </c>
      <c r="N2" s="31" t="s">
        <v>49</v>
      </c>
      <c r="O2" s="26" t="s">
        <v>89</v>
      </c>
      <c r="P2" s="26" t="s">
        <v>90</v>
      </c>
      <c r="Q2" s="26" t="s">
        <v>91</v>
      </c>
      <c r="R2" s="5"/>
      <c r="S2" s="5"/>
      <c r="T2" s="5"/>
      <c r="U2" s="5"/>
      <c r="V2" s="5"/>
      <c r="W2" s="5"/>
      <c r="X2" s="5"/>
      <c r="Y2" s="5"/>
    </row>
    <row r="3" spans="1:25" ht="22.5" x14ac:dyDescent="0.2">
      <c r="A3" s="1" t="s">
        <v>1</v>
      </c>
      <c r="B3" s="7" t="s">
        <v>2</v>
      </c>
      <c r="C3" s="8" t="b">
        <f>(OsyS&lt;&gt;"M")</f>
        <v>1</v>
      </c>
      <c r="E3" s="14" t="s">
        <v>1761</v>
      </c>
      <c r="F3" s="16" t="str" cm="1">
        <f t="array" ref="F3">IF(DeterminarIdioma()=1033,"\","/")</f>
        <v>\</v>
      </c>
      <c r="I3" s="34" t="s">
        <v>8</v>
      </c>
      <c r="J3" s="35" t="s">
        <v>7</v>
      </c>
      <c r="M3" s="26" t="s">
        <v>54</v>
      </c>
      <c r="N3" s="25" t="s">
        <v>51</v>
      </c>
      <c r="O3" s="26" t="s">
        <v>92</v>
      </c>
      <c r="P3" s="26"/>
      <c r="Q3" s="26"/>
      <c r="R3" s="5"/>
      <c r="S3" s="5"/>
      <c r="T3" s="5"/>
      <c r="U3" s="5"/>
      <c r="V3" s="5"/>
      <c r="W3" s="5"/>
      <c r="X3" s="5"/>
      <c r="Y3" s="5"/>
    </row>
    <row r="4" spans="1:25" ht="22.5" x14ac:dyDescent="0.2">
      <c r="B4" s="9" t="s">
        <v>3</v>
      </c>
      <c r="C4" s="10" t="b">
        <f ca="1">(LngS="R")</f>
        <v>1</v>
      </c>
      <c r="I4" s="34" t="s">
        <v>14</v>
      </c>
      <c r="J4" s="35" t="s">
        <v>13</v>
      </c>
      <c r="M4" s="26" t="s">
        <v>54</v>
      </c>
      <c r="N4" s="25" t="s">
        <v>55</v>
      </c>
      <c r="O4" s="26"/>
      <c r="P4" s="26" t="s">
        <v>93</v>
      </c>
      <c r="Q4" s="26"/>
      <c r="R4" s="5"/>
      <c r="S4" s="5"/>
      <c r="T4" s="5"/>
      <c r="U4" s="5"/>
      <c r="V4" s="5"/>
      <c r="W4" s="5"/>
      <c r="X4" s="5"/>
      <c r="Y4" s="5"/>
    </row>
    <row r="5" spans="1:25" ht="45" x14ac:dyDescent="0.2">
      <c r="B5" s="9" t="s">
        <v>4</v>
      </c>
      <c r="C5" s="10" t="str">
        <f ca="1">_xlfn.TEXTAFTER(B1,"]")</f>
        <v>InData</v>
      </c>
      <c r="I5" s="36" t="s">
        <v>19</v>
      </c>
      <c r="J5" s="37" t="s">
        <v>34</v>
      </c>
      <c r="M5" s="26" t="s">
        <v>54</v>
      </c>
      <c r="N5" s="25" t="s">
        <v>55</v>
      </c>
      <c r="O5" s="26"/>
      <c r="P5" s="26" t="s">
        <v>94</v>
      </c>
      <c r="Q5" s="26"/>
      <c r="R5" s="5"/>
      <c r="S5" s="5"/>
      <c r="T5" s="5"/>
      <c r="U5" s="5"/>
      <c r="V5" s="5"/>
      <c r="W5" s="5"/>
      <c r="X5" s="5"/>
      <c r="Y5" s="5"/>
    </row>
    <row r="6" spans="1:25" ht="45" x14ac:dyDescent="0.2">
      <c r="B6" s="7" t="s">
        <v>1760</v>
      </c>
      <c r="C6" s="11">
        <v>31200</v>
      </c>
      <c r="I6" s="34" t="s">
        <v>10</v>
      </c>
      <c r="J6" s="35" t="s">
        <v>9</v>
      </c>
      <c r="M6" s="26" t="s">
        <v>54</v>
      </c>
      <c r="N6" s="25" t="s">
        <v>55</v>
      </c>
      <c r="O6" s="26"/>
      <c r="P6" s="26" t="s">
        <v>95</v>
      </c>
      <c r="Q6" s="26"/>
      <c r="R6" s="5"/>
      <c r="S6" s="5"/>
      <c r="T6" s="5"/>
      <c r="U6" s="5"/>
      <c r="V6" s="5"/>
      <c r="W6" s="5"/>
      <c r="X6" s="5"/>
      <c r="Y6" s="5"/>
    </row>
    <row r="7" spans="1:25" ht="22.5" x14ac:dyDescent="0.2">
      <c r="B7" s="15" t="s">
        <v>1762</v>
      </c>
      <c r="C7" s="11">
        <v>4</v>
      </c>
      <c r="I7" s="36" t="s">
        <v>20</v>
      </c>
      <c r="J7" s="37" t="s">
        <v>35</v>
      </c>
      <c r="M7" s="26" t="s">
        <v>54</v>
      </c>
      <c r="N7" s="25" t="s">
        <v>55</v>
      </c>
      <c r="O7" s="26"/>
      <c r="P7" s="26" t="s">
        <v>96</v>
      </c>
      <c r="Q7" s="26"/>
      <c r="R7" s="5"/>
      <c r="S7" s="5"/>
      <c r="T7" s="5"/>
      <c r="U7" s="5"/>
      <c r="V7" s="5"/>
      <c r="W7" s="5"/>
      <c r="X7" s="5"/>
      <c r="Y7" s="5"/>
    </row>
    <row r="8" spans="1:25" ht="22.5" x14ac:dyDescent="0.2">
      <c r="B8" s="15" t="s">
        <v>1763</v>
      </c>
      <c r="C8" s="11">
        <v>1</v>
      </c>
      <c r="F8" s="19"/>
      <c r="I8" s="38" t="s">
        <v>21</v>
      </c>
      <c r="J8" s="38" t="s">
        <v>36</v>
      </c>
      <c r="M8" s="26" t="s">
        <v>54</v>
      </c>
      <c r="N8" s="25" t="s">
        <v>55</v>
      </c>
      <c r="O8" s="26"/>
      <c r="P8" s="26" t="s">
        <v>97</v>
      </c>
      <c r="Q8" s="26"/>
      <c r="R8" s="5"/>
      <c r="S8" s="5"/>
      <c r="T8" s="5"/>
      <c r="U8" s="5"/>
      <c r="V8" s="5"/>
      <c r="W8" s="5"/>
      <c r="X8" s="5"/>
      <c r="Y8" s="5"/>
    </row>
    <row r="9" spans="1:25" ht="33.75" x14ac:dyDescent="0.2">
      <c r="F9" s="19"/>
      <c r="I9" s="38" t="s">
        <v>22</v>
      </c>
      <c r="J9" s="38" t="s">
        <v>37</v>
      </c>
      <c r="M9" s="26" t="s">
        <v>54</v>
      </c>
      <c r="N9" s="25" t="s">
        <v>55</v>
      </c>
      <c r="O9" s="26"/>
      <c r="P9" s="26" t="s">
        <v>98</v>
      </c>
      <c r="Q9" s="26"/>
      <c r="R9" s="5"/>
      <c r="S9" s="5"/>
      <c r="T9" s="5"/>
      <c r="U9" s="5"/>
      <c r="V9" s="5"/>
      <c r="W9" s="5"/>
      <c r="X9" s="5"/>
      <c r="Y9" s="5"/>
    </row>
    <row r="10" spans="1:25" ht="22.5" x14ac:dyDescent="0.2">
      <c r="B10"/>
      <c r="C10"/>
      <c r="F10" s="19"/>
      <c r="I10" s="39" t="s">
        <v>16</v>
      </c>
      <c r="J10" s="39" t="s">
        <v>15</v>
      </c>
      <c r="M10" s="26" t="s">
        <v>54</v>
      </c>
      <c r="N10" s="25" t="s">
        <v>55</v>
      </c>
      <c r="O10" s="26"/>
      <c r="P10" s="26" t="s">
        <v>99</v>
      </c>
      <c r="Q10" s="26"/>
      <c r="R10" s="5"/>
      <c r="S10" s="5"/>
      <c r="T10" s="5"/>
      <c r="U10" s="5"/>
      <c r="V10" s="5"/>
      <c r="W10" s="5"/>
      <c r="X10" s="5"/>
      <c r="Y10" s="5"/>
    </row>
    <row r="11" spans="1:25" ht="22.5" x14ac:dyDescent="0.2">
      <c r="B11"/>
      <c r="C11"/>
      <c r="D11" s="13"/>
      <c r="I11" s="39" t="s">
        <v>12</v>
      </c>
      <c r="J11" s="39" t="s">
        <v>11</v>
      </c>
      <c r="M11" s="26" t="s">
        <v>54</v>
      </c>
      <c r="N11" s="25" t="s">
        <v>55</v>
      </c>
      <c r="O11" s="26"/>
      <c r="P11" s="26" t="s">
        <v>100</v>
      </c>
      <c r="Q11" s="26"/>
      <c r="R11" s="5"/>
      <c r="S11" s="5"/>
      <c r="T11" s="5"/>
      <c r="U11" s="5"/>
      <c r="V11" s="5"/>
      <c r="W11" s="5"/>
      <c r="X11" s="5"/>
      <c r="Y11" s="5"/>
    </row>
    <row r="12" spans="1:25" ht="22.5" x14ac:dyDescent="0.2">
      <c r="B12"/>
      <c r="C12"/>
      <c r="D12" s="13"/>
      <c r="I12" s="38" t="s">
        <v>23</v>
      </c>
      <c r="J12" s="38" t="s">
        <v>38</v>
      </c>
      <c r="M12" s="26" t="s">
        <v>54</v>
      </c>
      <c r="N12" s="25" t="s">
        <v>55</v>
      </c>
      <c r="O12" s="26"/>
      <c r="P12" s="26" t="s">
        <v>101</v>
      </c>
      <c r="Q12" s="26"/>
      <c r="R12" s="5"/>
      <c r="S12" s="5"/>
      <c r="T12" s="5"/>
      <c r="U12" s="5"/>
      <c r="V12" s="5"/>
      <c r="W12" s="5"/>
      <c r="X12" s="5"/>
      <c r="Y12" s="5"/>
    </row>
    <row r="13" spans="1:25" ht="22.5" x14ac:dyDescent="0.2">
      <c r="B13"/>
      <c r="C13"/>
      <c r="I13" s="38" t="s">
        <v>24</v>
      </c>
      <c r="J13" s="38" t="s">
        <v>39</v>
      </c>
      <c r="M13" s="26" t="s">
        <v>54</v>
      </c>
      <c r="N13" s="25" t="s">
        <v>55</v>
      </c>
      <c r="O13" s="26"/>
      <c r="P13" s="26" t="s">
        <v>102</v>
      </c>
      <c r="Q13" s="26"/>
      <c r="R13" s="5"/>
      <c r="S13" s="5"/>
      <c r="T13" s="5"/>
      <c r="U13" s="5"/>
      <c r="V13" s="5"/>
      <c r="W13" s="5"/>
      <c r="X13" s="5"/>
      <c r="Y13" s="5"/>
    </row>
    <row r="14" spans="1:25" ht="22.5" x14ac:dyDescent="0.2">
      <c r="I14" s="38" t="s">
        <v>25</v>
      </c>
      <c r="J14" s="38" t="s">
        <v>40</v>
      </c>
      <c r="M14" s="26" t="s">
        <v>54</v>
      </c>
      <c r="N14" s="25" t="s">
        <v>55</v>
      </c>
      <c r="O14" s="26"/>
      <c r="P14" s="26" t="s">
        <v>103</v>
      </c>
      <c r="Q14" s="26"/>
      <c r="R14" s="5"/>
      <c r="S14" s="5"/>
      <c r="T14" s="5"/>
      <c r="U14" s="5"/>
      <c r="V14" s="5"/>
      <c r="W14" s="5"/>
      <c r="X14" s="5"/>
      <c r="Y14" s="5"/>
    </row>
    <row r="15" spans="1:25" ht="45" x14ac:dyDescent="0.2">
      <c r="B15" s="20"/>
      <c r="C15" s="20"/>
      <c r="I15" s="38" t="s">
        <v>26</v>
      </c>
      <c r="J15" s="38" t="s">
        <v>41</v>
      </c>
      <c r="M15" s="26" t="s">
        <v>54</v>
      </c>
      <c r="N15" s="25" t="s">
        <v>55</v>
      </c>
      <c r="O15" s="26"/>
      <c r="P15" s="26" t="s">
        <v>104</v>
      </c>
      <c r="Q15" s="26"/>
      <c r="R15" s="5"/>
      <c r="S15" s="5"/>
      <c r="T15" s="5"/>
      <c r="U15" s="5"/>
      <c r="V15" s="5"/>
      <c r="W15" s="5"/>
      <c r="X15" s="5"/>
      <c r="Y15" s="5"/>
    </row>
    <row r="16" spans="1:25" ht="67.5" x14ac:dyDescent="0.2">
      <c r="B16" s="20"/>
      <c r="C16" s="20"/>
      <c r="F16" s="19"/>
      <c r="I16" s="38" t="s">
        <v>27</v>
      </c>
      <c r="J16" s="38" t="s">
        <v>42</v>
      </c>
      <c r="M16" s="26" t="s">
        <v>54</v>
      </c>
      <c r="N16" s="25" t="s">
        <v>51</v>
      </c>
      <c r="O16" s="26"/>
      <c r="P16" s="26" t="s">
        <v>105</v>
      </c>
      <c r="Q16" s="26"/>
      <c r="R16" s="5"/>
      <c r="S16" s="5"/>
      <c r="T16" s="5"/>
      <c r="U16" s="5"/>
      <c r="V16" s="5"/>
      <c r="W16" s="5"/>
      <c r="X16" s="5"/>
      <c r="Y16" s="5"/>
    </row>
    <row r="17" spans="2:25" ht="22.5" x14ac:dyDescent="0.2">
      <c r="B17" s="20"/>
      <c r="C17" s="20"/>
      <c r="F17" s="19"/>
      <c r="I17" s="38" t="s">
        <v>28</v>
      </c>
      <c r="J17" s="38" t="s">
        <v>43</v>
      </c>
      <c r="M17" s="26" t="s">
        <v>54</v>
      </c>
      <c r="N17" s="25" t="s">
        <v>51</v>
      </c>
      <c r="O17" s="26" t="s">
        <v>106</v>
      </c>
      <c r="P17" s="26"/>
      <c r="Q17" s="26"/>
      <c r="R17" s="5"/>
      <c r="S17" s="5"/>
      <c r="T17" s="5"/>
      <c r="U17" s="5"/>
      <c r="V17" s="5"/>
      <c r="W17" s="5"/>
      <c r="X17" s="5"/>
      <c r="Y17" s="5"/>
    </row>
    <row r="18" spans="2:25" ht="67.5" x14ac:dyDescent="0.2">
      <c r="B18" s="20"/>
      <c r="C18" s="20"/>
      <c r="I18" s="38" t="s">
        <v>29</v>
      </c>
      <c r="J18" s="38" t="s">
        <v>44</v>
      </c>
      <c r="M18" s="26" t="s">
        <v>54</v>
      </c>
      <c r="N18" s="25" t="s">
        <v>51</v>
      </c>
      <c r="O18" s="26"/>
      <c r="P18" s="26" t="s">
        <v>105</v>
      </c>
      <c r="Q18" s="26"/>
      <c r="R18" s="5"/>
      <c r="S18" s="5"/>
      <c r="T18" s="5"/>
      <c r="U18" s="5"/>
      <c r="V18" s="5"/>
      <c r="W18" s="5"/>
      <c r="X18" s="5"/>
      <c r="Y18" s="5"/>
    </row>
    <row r="19" spans="2:25" ht="56.25" x14ac:dyDescent="0.2">
      <c r="B19" s="20"/>
      <c r="C19" s="20"/>
      <c r="I19" s="38" t="s">
        <v>17</v>
      </c>
      <c r="J19" s="38" t="s">
        <v>45</v>
      </c>
      <c r="M19" s="26" t="s">
        <v>54</v>
      </c>
      <c r="N19" s="25" t="s">
        <v>55</v>
      </c>
      <c r="O19" s="26"/>
      <c r="P19" s="26" t="s">
        <v>107</v>
      </c>
      <c r="Q19" s="26"/>
      <c r="R19" s="5"/>
      <c r="S19" s="5"/>
      <c r="T19" s="5"/>
      <c r="U19" s="5"/>
      <c r="V19" s="5"/>
      <c r="W19" s="5"/>
      <c r="X19" s="5"/>
      <c r="Y19" s="5"/>
    </row>
    <row r="20" spans="2:25" ht="22.5" x14ac:dyDescent="0.2">
      <c r="B20" s="20"/>
      <c r="C20" s="20"/>
      <c r="I20" s="38" t="s">
        <v>30</v>
      </c>
      <c r="J20" s="38" t="s">
        <v>31</v>
      </c>
      <c r="M20" s="26" t="s">
        <v>54</v>
      </c>
      <c r="N20" s="25" t="s">
        <v>55</v>
      </c>
      <c r="O20" s="26"/>
      <c r="P20" s="26" t="s">
        <v>108</v>
      </c>
      <c r="Q20" s="26"/>
      <c r="R20" s="5"/>
      <c r="S20" s="5"/>
      <c r="T20" s="5"/>
      <c r="U20" s="5"/>
      <c r="V20" s="5"/>
      <c r="W20" s="5"/>
      <c r="X20" s="5"/>
      <c r="Y20" s="5"/>
    </row>
    <row r="21" spans="2:25" ht="45" x14ac:dyDescent="0.2">
      <c r="D21" s="5"/>
      <c r="E21" s="5"/>
      <c r="F21" s="5"/>
      <c r="I21" s="38" t="s">
        <v>32</v>
      </c>
      <c r="J21" s="38" t="s">
        <v>46</v>
      </c>
      <c r="M21" s="26" t="s">
        <v>54</v>
      </c>
      <c r="N21" s="25" t="s">
        <v>55</v>
      </c>
      <c r="O21" s="26"/>
      <c r="P21" s="26" t="s">
        <v>109</v>
      </c>
      <c r="Q21" s="26"/>
      <c r="R21" s="5"/>
      <c r="S21" s="5"/>
      <c r="T21" s="5"/>
      <c r="U21" s="5"/>
      <c r="V21" s="5"/>
      <c r="W21" s="5"/>
      <c r="X21" s="5"/>
      <c r="Y21" s="5"/>
    </row>
    <row r="22" spans="2:25" ht="22.5" x14ac:dyDescent="0.2">
      <c r="B22" s="20"/>
      <c r="C22" s="20"/>
      <c r="I22" s="38" t="s">
        <v>33</v>
      </c>
      <c r="J22" s="38" t="s">
        <v>47</v>
      </c>
      <c r="M22" s="26" t="s">
        <v>54</v>
      </c>
      <c r="N22" s="25" t="s">
        <v>55</v>
      </c>
      <c r="O22" s="26"/>
      <c r="P22" s="26" t="s">
        <v>110</v>
      </c>
      <c r="Q22" s="26"/>
      <c r="R22" s="5"/>
      <c r="S22" s="5"/>
      <c r="T22" s="5"/>
      <c r="U22" s="5"/>
      <c r="V22" s="5"/>
      <c r="W22" s="5"/>
      <c r="X22" s="5"/>
      <c r="Y22" s="5"/>
    </row>
    <row r="23" spans="2:25" ht="56.25" x14ac:dyDescent="0.2">
      <c r="B23" s="20"/>
      <c r="C23" s="20"/>
      <c r="I23" s="39"/>
      <c r="J23" s="39"/>
      <c r="M23" s="26" t="s">
        <v>54</v>
      </c>
      <c r="N23" s="25" t="s">
        <v>55</v>
      </c>
      <c r="O23" s="26"/>
      <c r="P23" s="26" t="s">
        <v>111</v>
      </c>
      <c r="Q23" s="26"/>
      <c r="R23" s="5"/>
      <c r="S23" s="5"/>
      <c r="T23" s="5"/>
      <c r="U23" s="5"/>
      <c r="V23" s="5"/>
      <c r="W23" s="5"/>
      <c r="X23" s="5"/>
      <c r="Y23" s="5"/>
    </row>
    <row r="24" spans="2:25" ht="56.25" x14ac:dyDescent="0.2">
      <c r="B24" s="20"/>
      <c r="C24" s="20"/>
      <c r="I24" s="38"/>
      <c r="J24" s="38"/>
      <c r="M24" s="26" t="s">
        <v>54</v>
      </c>
      <c r="N24" s="25" t="s">
        <v>55</v>
      </c>
      <c r="O24" s="26"/>
      <c r="P24" s="26" t="s">
        <v>112</v>
      </c>
      <c r="Q24" s="26"/>
      <c r="R24" s="5"/>
      <c r="S24" s="5"/>
      <c r="T24" s="5"/>
      <c r="U24" s="5"/>
      <c r="V24" s="5"/>
      <c r="W24" s="5"/>
      <c r="X24" s="5"/>
      <c r="Y24" s="5"/>
    </row>
    <row r="25" spans="2:25" ht="33.75" x14ac:dyDescent="0.2">
      <c r="B25" s="20"/>
      <c r="C25" s="20"/>
      <c r="I25" s="38"/>
      <c r="J25" s="38"/>
      <c r="M25" s="26" t="s">
        <v>54</v>
      </c>
      <c r="N25" s="25" t="s">
        <v>55</v>
      </c>
      <c r="O25" s="26"/>
      <c r="P25" s="26" t="s">
        <v>113</v>
      </c>
      <c r="Q25" s="26"/>
      <c r="R25" s="5"/>
      <c r="S25" s="5"/>
      <c r="T25" s="5"/>
      <c r="U25" s="5"/>
      <c r="V25" s="5"/>
      <c r="W25" s="5"/>
      <c r="X25" s="5"/>
      <c r="Y25" s="5"/>
    </row>
    <row r="26" spans="2:25" ht="56.25" x14ac:dyDescent="0.2">
      <c r="B26" s="20"/>
      <c r="C26" s="20"/>
      <c r="I26" s="38"/>
      <c r="J26" s="38"/>
      <c r="M26" s="26" t="s">
        <v>54</v>
      </c>
      <c r="N26" s="25" t="s">
        <v>55</v>
      </c>
      <c r="O26" s="26"/>
      <c r="P26" s="26" t="s">
        <v>114</v>
      </c>
      <c r="Q26" s="26"/>
      <c r="R26" s="5"/>
      <c r="S26" s="5"/>
      <c r="T26" s="5"/>
      <c r="U26" s="5"/>
      <c r="V26" s="5"/>
      <c r="W26" s="5"/>
      <c r="X26" s="5"/>
      <c r="Y26" s="5"/>
    </row>
    <row r="27" spans="2:25" ht="45" x14ac:dyDescent="0.2">
      <c r="I27" s="38"/>
      <c r="J27" s="38"/>
      <c r="M27" s="26" t="s">
        <v>54</v>
      </c>
      <c r="N27" s="25" t="s">
        <v>55</v>
      </c>
      <c r="O27" s="26"/>
      <c r="P27" s="26" t="s">
        <v>115</v>
      </c>
      <c r="Q27" s="26"/>
      <c r="R27" s="5"/>
      <c r="S27" s="5"/>
      <c r="T27" s="5"/>
      <c r="U27" s="5"/>
      <c r="V27" s="5"/>
      <c r="W27" s="5"/>
      <c r="X27" s="5"/>
      <c r="Y27" s="5"/>
    </row>
    <row r="28" spans="2:25" ht="22.5" x14ac:dyDescent="0.2">
      <c r="I28" s="38"/>
      <c r="J28" s="38"/>
      <c r="M28" s="26" t="s">
        <v>54</v>
      </c>
      <c r="N28" s="25" t="s">
        <v>55</v>
      </c>
      <c r="O28" s="26"/>
      <c r="P28" s="26" t="s">
        <v>116</v>
      </c>
      <c r="Q28" s="26"/>
      <c r="R28" s="5"/>
      <c r="S28" s="5"/>
      <c r="T28" s="5"/>
      <c r="U28" s="5"/>
      <c r="V28" s="5"/>
      <c r="W28" s="5"/>
      <c r="X28" s="5"/>
      <c r="Y28" s="5"/>
    </row>
    <row r="29" spans="2:25" ht="22.5" x14ac:dyDescent="0.2">
      <c r="I29" s="38"/>
      <c r="J29" s="38"/>
      <c r="M29" s="26" t="s">
        <v>54</v>
      </c>
      <c r="N29" s="25" t="s">
        <v>55</v>
      </c>
      <c r="O29" s="26"/>
      <c r="P29" s="26" t="s">
        <v>117</v>
      </c>
      <c r="Q29" s="26"/>
      <c r="R29" s="5"/>
      <c r="S29" s="5"/>
      <c r="T29" s="5"/>
      <c r="U29" s="5"/>
      <c r="V29" s="5"/>
      <c r="W29" s="5"/>
      <c r="X29" s="5"/>
      <c r="Y29" s="5"/>
    </row>
    <row r="30" spans="2:25" ht="22.5" x14ac:dyDescent="0.2">
      <c r="I30" s="38"/>
      <c r="J30" s="38"/>
      <c r="M30" s="26" t="s">
        <v>54</v>
      </c>
      <c r="N30" s="25" t="s">
        <v>55</v>
      </c>
      <c r="O30" s="26"/>
      <c r="P30" s="26" t="s">
        <v>118</v>
      </c>
      <c r="Q30" s="26"/>
      <c r="R30" s="5"/>
      <c r="S30" s="5"/>
      <c r="T30" s="5"/>
      <c r="U30" s="5"/>
      <c r="V30" s="5"/>
      <c r="W30" s="5"/>
      <c r="X30" s="5"/>
      <c r="Y30" s="5"/>
    </row>
    <row r="31" spans="2:25" ht="45" x14ac:dyDescent="0.2">
      <c r="I31" s="38"/>
      <c r="J31" s="38"/>
      <c r="M31" s="26" t="s">
        <v>54</v>
      </c>
      <c r="N31" s="25" t="s">
        <v>55</v>
      </c>
      <c r="O31" s="26"/>
      <c r="P31" s="26" t="s">
        <v>119</v>
      </c>
      <c r="Q31" s="26"/>
      <c r="R31" s="5"/>
      <c r="S31" s="5"/>
      <c r="T31" s="5"/>
      <c r="U31" s="5"/>
      <c r="V31" s="5"/>
      <c r="W31" s="5"/>
      <c r="X31" s="5"/>
      <c r="Y31" s="5"/>
    </row>
    <row r="32" spans="2:25" ht="33.75" x14ac:dyDescent="0.2">
      <c r="I32" s="40"/>
      <c r="J32" s="40"/>
      <c r="M32" s="26" t="s">
        <v>54</v>
      </c>
      <c r="N32" s="25" t="s">
        <v>55</v>
      </c>
      <c r="O32" s="26"/>
      <c r="P32" s="26" t="s">
        <v>120</v>
      </c>
      <c r="Q32" s="26"/>
      <c r="R32" s="5"/>
      <c r="S32" s="5"/>
      <c r="T32" s="5"/>
      <c r="U32" s="5"/>
      <c r="V32" s="5"/>
      <c r="W32" s="5"/>
      <c r="X32" s="5"/>
      <c r="Y32" s="5"/>
    </row>
    <row r="33" spans="9:25" ht="33.75" x14ac:dyDescent="0.2">
      <c r="I33" s="40"/>
      <c r="J33" s="40"/>
      <c r="M33" s="26" t="s">
        <v>54</v>
      </c>
      <c r="N33" s="25" t="s">
        <v>55</v>
      </c>
      <c r="O33" s="26"/>
      <c r="P33" s="26" t="s">
        <v>121</v>
      </c>
      <c r="Q33" s="26"/>
      <c r="R33" s="5"/>
      <c r="S33" s="5"/>
      <c r="T33" s="5"/>
      <c r="U33" s="5"/>
      <c r="V33" s="5"/>
      <c r="W33" s="5"/>
      <c r="X33" s="5"/>
      <c r="Y33" s="5"/>
    </row>
    <row r="34" spans="9:25" ht="56.25" x14ac:dyDescent="0.2">
      <c r="I34" s="40"/>
      <c r="J34" s="40"/>
      <c r="M34" s="26" t="s">
        <v>54</v>
      </c>
      <c r="N34" s="25" t="s">
        <v>55</v>
      </c>
      <c r="O34" s="26"/>
      <c r="P34" s="26" t="s">
        <v>122</v>
      </c>
      <c r="Q34" s="26"/>
      <c r="R34" s="5"/>
      <c r="S34" s="5"/>
      <c r="T34" s="5"/>
      <c r="U34" s="5"/>
      <c r="V34" s="5"/>
      <c r="W34" s="5"/>
      <c r="X34" s="5"/>
      <c r="Y34" s="5"/>
    </row>
    <row r="35" spans="9:25" ht="22.5" x14ac:dyDescent="0.2">
      <c r="I35" s="40"/>
      <c r="J35" s="40"/>
      <c r="M35" s="26" t="s">
        <v>54</v>
      </c>
      <c r="N35" s="25" t="s">
        <v>55</v>
      </c>
      <c r="O35" s="26"/>
      <c r="P35" s="26" t="s">
        <v>123</v>
      </c>
      <c r="Q35" s="26"/>
      <c r="R35" s="5"/>
      <c r="S35" s="5"/>
      <c r="T35" s="5"/>
      <c r="U35" s="5"/>
      <c r="V35" s="5"/>
      <c r="W35" s="5"/>
      <c r="X35" s="5"/>
      <c r="Y35" s="5"/>
    </row>
    <row r="36" spans="9:25" ht="22.5" x14ac:dyDescent="0.2">
      <c r="I36" s="40"/>
      <c r="J36" s="40"/>
      <c r="M36" s="26" t="s">
        <v>54</v>
      </c>
      <c r="N36" s="25" t="s">
        <v>55</v>
      </c>
      <c r="O36" s="26"/>
      <c r="P36" s="26" t="s">
        <v>124</v>
      </c>
      <c r="Q36" s="26"/>
      <c r="R36" s="5"/>
      <c r="S36" s="5"/>
      <c r="T36" s="5"/>
      <c r="U36" s="5"/>
      <c r="V36" s="5"/>
      <c r="W36" s="5"/>
      <c r="X36" s="5"/>
      <c r="Y36" s="5"/>
    </row>
    <row r="37" spans="9:25" ht="22.5" x14ac:dyDescent="0.2">
      <c r="I37" s="40"/>
      <c r="J37" s="40"/>
      <c r="M37" s="26" t="s">
        <v>54</v>
      </c>
      <c r="N37" s="25" t="s">
        <v>55</v>
      </c>
      <c r="O37" s="26"/>
      <c r="P37" s="26" t="s">
        <v>125</v>
      </c>
      <c r="Q37" s="26"/>
      <c r="R37" s="5"/>
      <c r="S37" s="5"/>
      <c r="T37" s="5"/>
      <c r="U37" s="5"/>
      <c r="V37" s="5"/>
      <c r="W37" s="5"/>
      <c r="X37" s="5"/>
      <c r="Y37" s="5"/>
    </row>
    <row r="38" spans="9:25" ht="45" x14ac:dyDescent="0.2">
      <c r="I38" s="40"/>
      <c r="J38" s="40"/>
      <c r="M38" s="26" t="s">
        <v>54</v>
      </c>
      <c r="N38" s="25" t="s">
        <v>55</v>
      </c>
      <c r="O38" s="26"/>
      <c r="P38" s="26" t="s">
        <v>126</v>
      </c>
      <c r="Q38" s="26"/>
      <c r="R38" s="5"/>
      <c r="S38" s="5"/>
      <c r="T38" s="5"/>
      <c r="U38" s="5"/>
      <c r="V38" s="5"/>
      <c r="W38" s="5"/>
      <c r="X38" s="5"/>
      <c r="Y38" s="5"/>
    </row>
    <row r="39" spans="9:25" ht="22.5" x14ac:dyDescent="0.2">
      <c r="I39" s="40"/>
      <c r="J39" s="40"/>
      <c r="M39" s="26" t="s">
        <v>54</v>
      </c>
      <c r="N39" s="25" t="s">
        <v>55</v>
      </c>
      <c r="O39" s="26"/>
      <c r="P39" s="26" t="s">
        <v>127</v>
      </c>
      <c r="Q39" s="26"/>
      <c r="R39" s="5"/>
      <c r="S39" s="5"/>
      <c r="T39" s="5"/>
      <c r="U39" s="5"/>
      <c r="V39" s="5"/>
      <c r="W39" s="5"/>
      <c r="X39" s="5"/>
      <c r="Y39" s="5"/>
    </row>
    <row r="40" spans="9:25" ht="22.5" x14ac:dyDescent="0.2">
      <c r="I40" s="40"/>
      <c r="J40" s="40"/>
      <c r="M40" s="26" t="s">
        <v>54</v>
      </c>
      <c r="N40" s="25" t="s">
        <v>55</v>
      </c>
      <c r="O40" s="26"/>
      <c r="P40" s="26" t="s">
        <v>128</v>
      </c>
      <c r="Q40" s="26"/>
      <c r="R40" s="5"/>
      <c r="S40" s="5"/>
      <c r="T40" s="5"/>
      <c r="U40" s="5"/>
      <c r="V40" s="5"/>
      <c r="W40" s="5"/>
      <c r="X40" s="5"/>
      <c r="Y40" s="5"/>
    </row>
    <row r="41" spans="9:25" ht="22.5" x14ac:dyDescent="0.2">
      <c r="I41" s="40"/>
      <c r="J41" s="40"/>
      <c r="M41" s="26" t="s">
        <v>54</v>
      </c>
      <c r="N41" s="25" t="s">
        <v>55</v>
      </c>
      <c r="O41" s="26"/>
      <c r="P41" s="26" t="s">
        <v>128</v>
      </c>
      <c r="Q41" s="26"/>
      <c r="R41" s="5"/>
      <c r="S41" s="5"/>
      <c r="T41" s="5"/>
      <c r="U41" s="5"/>
      <c r="V41" s="5"/>
      <c r="W41" s="5"/>
      <c r="X41" s="5"/>
      <c r="Y41" s="5"/>
    </row>
    <row r="42" spans="9:25" ht="22.5" x14ac:dyDescent="0.2">
      <c r="I42" s="40"/>
      <c r="J42" s="40"/>
      <c r="M42" s="26" t="s">
        <v>54</v>
      </c>
      <c r="N42" s="25" t="s">
        <v>55</v>
      </c>
      <c r="O42" s="26"/>
      <c r="P42" s="26" t="s">
        <v>129</v>
      </c>
      <c r="Q42" s="26"/>
      <c r="R42" s="5"/>
      <c r="S42" s="5"/>
      <c r="T42" s="5"/>
      <c r="U42" s="5"/>
      <c r="V42" s="5"/>
      <c r="W42" s="5"/>
      <c r="X42" s="5"/>
      <c r="Y42" s="5"/>
    </row>
    <row r="43" spans="9:25" ht="22.5" x14ac:dyDescent="0.2">
      <c r="I43" s="40"/>
      <c r="J43" s="40"/>
      <c r="M43" s="26" t="s">
        <v>54</v>
      </c>
      <c r="N43" s="25" t="s">
        <v>55</v>
      </c>
      <c r="O43" s="26"/>
      <c r="P43" s="26" t="s">
        <v>130</v>
      </c>
      <c r="Q43" s="26"/>
      <c r="R43" s="5"/>
      <c r="S43" s="5"/>
      <c r="T43" s="5"/>
      <c r="U43" s="5"/>
      <c r="V43" s="5"/>
      <c r="W43" s="5"/>
      <c r="X43" s="5"/>
      <c r="Y43" s="5"/>
    </row>
    <row r="44" spans="9:25" ht="22.5" x14ac:dyDescent="0.2">
      <c r="I44" s="40"/>
      <c r="J44" s="40"/>
      <c r="M44" s="26" t="s">
        <v>54</v>
      </c>
      <c r="N44" s="25" t="s">
        <v>55</v>
      </c>
      <c r="O44" s="26"/>
      <c r="P44" s="26" t="s">
        <v>131</v>
      </c>
      <c r="Q44" s="26"/>
      <c r="R44" s="5"/>
      <c r="S44" s="5"/>
      <c r="T44" s="5"/>
      <c r="U44" s="5"/>
      <c r="V44" s="5"/>
      <c r="W44" s="5"/>
      <c r="X44" s="5"/>
      <c r="Y44" s="5"/>
    </row>
    <row r="45" spans="9:25" ht="33.75" x14ac:dyDescent="0.2">
      <c r="I45" s="40"/>
      <c r="J45" s="40"/>
      <c r="M45" s="26" t="s">
        <v>54</v>
      </c>
      <c r="N45" s="25" t="s">
        <v>55</v>
      </c>
      <c r="O45" s="26"/>
      <c r="P45" s="26" t="s">
        <v>132</v>
      </c>
      <c r="Q45" s="26"/>
      <c r="R45" s="5"/>
      <c r="S45" s="5"/>
      <c r="T45" s="5"/>
      <c r="U45" s="5"/>
      <c r="V45" s="5"/>
      <c r="W45" s="5"/>
      <c r="X45" s="5"/>
      <c r="Y45" s="5"/>
    </row>
    <row r="46" spans="9:25" ht="33.75" x14ac:dyDescent="0.2">
      <c r="I46" s="40"/>
      <c r="J46" s="40"/>
      <c r="M46" s="26" t="s">
        <v>54</v>
      </c>
      <c r="N46" s="25" t="s">
        <v>55</v>
      </c>
      <c r="O46" s="26"/>
      <c r="P46" s="26" t="s">
        <v>133</v>
      </c>
      <c r="Q46" s="26"/>
      <c r="R46" s="5"/>
      <c r="S46" s="5"/>
      <c r="T46" s="5"/>
      <c r="U46" s="5"/>
      <c r="V46" s="5"/>
      <c r="W46" s="5"/>
      <c r="X46" s="5"/>
      <c r="Y46" s="5"/>
    </row>
    <row r="47" spans="9:25" ht="22.5" x14ac:dyDescent="0.2">
      <c r="I47" s="40"/>
      <c r="J47" s="40"/>
      <c r="M47" s="26" t="s">
        <v>54</v>
      </c>
      <c r="N47" s="25" t="s">
        <v>55</v>
      </c>
      <c r="O47" s="26"/>
      <c r="P47" s="26" t="s">
        <v>134</v>
      </c>
      <c r="Q47" s="26"/>
      <c r="R47" s="5"/>
      <c r="S47" s="5"/>
      <c r="T47" s="5"/>
      <c r="U47" s="5"/>
      <c r="V47" s="5"/>
      <c r="W47" s="5"/>
      <c r="X47" s="5"/>
      <c r="Y47" s="5"/>
    </row>
    <row r="48" spans="9:25" ht="22.5" x14ac:dyDescent="0.2">
      <c r="I48" s="40"/>
      <c r="J48" s="40"/>
      <c r="M48" s="26" t="s">
        <v>54</v>
      </c>
      <c r="N48" s="25" t="s">
        <v>55</v>
      </c>
      <c r="O48" s="26"/>
      <c r="P48" s="26" t="s">
        <v>135</v>
      </c>
      <c r="Q48" s="26"/>
      <c r="R48" s="5"/>
      <c r="S48" s="5"/>
      <c r="T48" s="5"/>
      <c r="U48" s="5"/>
      <c r="V48" s="5"/>
      <c r="W48" s="5"/>
      <c r="X48" s="5"/>
      <c r="Y48" s="5"/>
    </row>
    <row r="49" spans="9:25" ht="33.75" x14ac:dyDescent="0.2">
      <c r="I49" s="40"/>
      <c r="J49" s="40"/>
      <c r="M49" s="26" t="s">
        <v>54</v>
      </c>
      <c r="N49" s="25" t="s">
        <v>55</v>
      </c>
      <c r="O49" s="26"/>
      <c r="P49" s="26" t="s">
        <v>136</v>
      </c>
      <c r="Q49" s="26"/>
      <c r="R49" s="5"/>
      <c r="S49" s="5"/>
      <c r="T49" s="5"/>
      <c r="U49" s="5"/>
      <c r="V49" s="5"/>
      <c r="W49" s="5"/>
      <c r="X49" s="5"/>
      <c r="Y49" s="5"/>
    </row>
    <row r="50" spans="9:25" ht="45" x14ac:dyDescent="0.2">
      <c r="M50" s="26" t="s">
        <v>54</v>
      </c>
      <c r="N50" s="25" t="s">
        <v>55</v>
      </c>
      <c r="O50" s="26"/>
      <c r="P50" s="26" t="s">
        <v>137</v>
      </c>
      <c r="Q50" s="26"/>
      <c r="R50" s="5"/>
      <c r="S50" s="5"/>
      <c r="T50" s="5"/>
      <c r="U50" s="5"/>
      <c r="V50" s="5"/>
      <c r="W50" s="5"/>
      <c r="X50" s="5"/>
      <c r="Y50" s="5"/>
    </row>
    <row r="51" spans="9:25" ht="22.5" x14ac:dyDescent="0.2">
      <c r="M51" s="26" t="s">
        <v>54</v>
      </c>
      <c r="N51" s="25" t="s">
        <v>55</v>
      </c>
      <c r="O51" s="26"/>
      <c r="P51" s="26" t="s">
        <v>138</v>
      </c>
      <c r="Q51" s="26"/>
      <c r="R51" s="5"/>
      <c r="S51" s="5"/>
      <c r="T51" s="5"/>
      <c r="U51" s="5"/>
      <c r="V51" s="5"/>
      <c r="W51" s="5"/>
      <c r="X51" s="5"/>
      <c r="Y51" s="5"/>
    </row>
    <row r="52" spans="9:25" ht="22.5" x14ac:dyDescent="0.2">
      <c r="M52" s="26" t="s">
        <v>54</v>
      </c>
      <c r="N52" s="25" t="s">
        <v>55</v>
      </c>
      <c r="O52" s="26"/>
      <c r="P52" s="26" t="s">
        <v>139</v>
      </c>
      <c r="Q52" s="26"/>
      <c r="R52" s="5"/>
      <c r="S52" s="5"/>
      <c r="T52" s="5"/>
      <c r="U52" s="5"/>
      <c r="V52" s="5"/>
      <c r="W52" s="5"/>
      <c r="X52" s="5"/>
      <c r="Y52" s="5"/>
    </row>
    <row r="53" spans="9:25" ht="22.5" x14ac:dyDescent="0.2">
      <c r="M53" s="26" t="s">
        <v>54</v>
      </c>
      <c r="N53" s="25" t="s">
        <v>55</v>
      </c>
      <c r="O53" s="26"/>
      <c r="P53" s="26" t="s">
        <v>140</v>
      </c>
      <c r="Q53" s="26"/>
      <c r="R53" s="5"/>
      <c r="S53" s="5"/>
      <c r="T53" s="5"/>
      <c r="U53" s="5"/>
      <c r="V53" s="5"/>
      <c r="W53" s="5"/>
      <c r="X53" s="5"/>
      <c r="Y53" s="5"/>
    </row>
    <row r="54" spans="9:25" ht="45" x14ac:dyDescent="0.2">
      <c r="M54" s="26" t="s">
        <v>54</v>
      </c>
      <c r="N54" s="25" t="s">
        <v>55</v>
      </c>
      <c r="O54" s="26"/>
      <c r="P54" s="26" t="s">
        <v>141</v>
      </c>
      <c r="Q54" s="26"/>
      <c r="R54" s="5"/>
      <c r="S54" s="5"/>
      <c r="T54" s="5"/>
      <c r="U54" s="5"/>
      <c r="V54" s="5"/>
      <c r="W54" s="5"/>
      <c r="X54" s="5"/>
      <c r="Y54" s="5"/>
    </row>
    <row r="55" spans="9:25" ht="45" x14ac:dyDescent="0.2">
      <c r="M55" s="26" t="s">
        <v>54</v>
      </c>
      <c r="N55" s="25" t="s">
        <v>55</v>
      </c>
      <c r="O55" s="26"/>
      <c r="P55" s="26" t="s">
        <v>142</v>
      </c>
      <c r="Q55" s="26"/>
      <c r="R55" s="5"/>
      <c r="S55" s="5"/>
      <c r="T55" s="5"/>
      <c r="U55" s="5"/>
      <c r="V55" s="5"/>
      <c r="W55" s="5"/>
      <c r="X55" s="5"/>
      <c r="Y55" s="5"/>
    </row>
    <row r="56" spans="9:25" ht="33.75" x14ac:dyDescent="0.2">
      <c r="M56" s="26" t="s">
        <v>54</v>
      </c>
      <c r="N56" s="25" t="s">
        <v>55</v>
      </c>
      <c r="O56" s="26"/>
      <c r="P56" s="26" t="s">
        <v>143</v>
      </c>
      <c r="Q56" s="26"/>
      <c r="R56" s="5"/>
      <c r="S56" s="5"/>
      <c r="T56" s="5"/>
      <c r="U56" s="5"/>
      <c r="V56" s="5"/>
      <c r="W56" s="5"/>
      <c r="X56" s="5"/>
      <c r="Y56" s="5"/>
    </row>
    <row r="57" spans="9:25" ht="33.75" x14ac:dyDescent="0.2">
      <c r="M57" s="26" t="s">
        <v>54</v>
      </c>
      <c r="N57" s="25" t="s">
        <v>55</v>
      </c>
      <c r="O57" s="26"/>
      <c r="P57" s="26" t="s">
        <v>144</v>
      </c>
      <c r="Q57" s="26"/>
      <c r="R57" s="5"/>
      <c r="S57" s="5"/>
      <c r="T57" s="5"/>
      <c r="U57" s="5"/>
      <c r="V57" s="5"/>
      <c r="W57" s="5"/>
      <c r="X57" s="5"/>
      <c r="Y57" s="5"/>
    </row>
    <row r="58" spans="9:25" ht="33.75" x14ac:dyDescent="0.2">
      <c r="M58" s="26" t="s">
        <v>54</v>
      </c>
      <c r="N58" s="25" t="s">
        <v>55</v>
      </c>
      <c r="O58" s="26"/>
      <c r="P58" s="26" t="s">
        <v>145</v>
      </c>
      <c r="Q58" s="26"/>
      <c r="R58" s="5"/>
      <c r="S58" s="5"/>
      <c r="T58" s="5"/>
      <c r="U58" s="5"/>
      <c r="V58" s="5"/>
      <c r="W58" s="5"/>
      <c r="X58" s="5"/>
      <c r="Y58" s="5"/>
    </row>
    <row r="59" spans="9:25" ht="33.75" x14ac:dyDescent="0.2">
      <c r="M59" s="26" t="s">
        <v>54</v>
      </c>
      <c r="N59" s="25" t="s">
        <v>55</v>
      </c>
      <c r="O59" s="26"/>
      <c r="P59" s="26" t="s">
        <v>146</v>
      </c>
      <c r="Q59" s="26"/>
      <c r="R59" s="5"/>
      <c r="S59" s="5"/>
      <c r="T59" s="5"/>
      <c r="U59" s="5"/>
      <c r="V59" s="5"/>
      <c r="W59" s="5"/>
      <c r="X59" s="5"/>
      <c r="Y59" s="5"/>
    </row>
    <row r="60" spans="9:25" ht="33.75" x14ac:dyDescent="0.2">
      <c r="M60" s="26" t="s">
        <v>54</v>
      </c>
      <c r="N60" s="25" t="s">
        <v>55</v>
      </c>
      <c r="O60" s="26"/>
      <c r="P60" s="26" t="s">
        <v>147</v>
      </c>
      <c r="Q60" s="26"/>
      <c r="R60" s="5"/>
      <c r="S60" s="5"/>
      <c r="T60" s="5"/>
      <c r="U60" s="5"/>
      <c r="V60" s="5"/>
      <c r="W60" s="5"/>
      <c r="X60" s="5"/>
      <c r="Y60" s="5"/>
    </row>
    <row r="61" spans="9:25" ht="22.5" x14ac:dyDescent="0.2">
      <c r="M61" s="26" t="s">
        <v>54</v>
      </c>
      <c r="N61" s="25" t="s">
        <v>55</v>
      </c>
      <c r="O61" s="26"/>
      <c r="P61" s="26" t="s">
        <v>148</v>
      </c>
      <c r="Q61" s="26"/>
      <c r="R61" s="5"/>
      <c r="S61" s="5"/>
      <c r="T61" s="5"/>
      <c r="U61" s="5"/>
      <c r="V61" s="5"/>
      <c r="W61" s="5"/>
      <c r="X61" s="5"/>
      <c r="Y61" s="5"/>
    </row>
    <row r="62" spans="9:25" ht="22.5" x14ac:dyDescent="0.2">
      <c r="M62" s="26" t="s">
        <v>54</v>
      </c>
      <c r="N62" s="25" t="s">
        <v>55</v>
      </c>
      <c r="O62" s="26"/>
      <c r="P62" s="26" t="s">
        <v>149</v>
      </c>
      <c r="Q62" s="26"/>
      <c r="R62" s="5"/>
      <c r="S62" s="5"/>
      <c r="T62" s="5"/>
      <c r="U62" s="5"/>
      <c r="V62" s="5"/>
      <c r="W62" s="5"/>
      <c r="X62" s="5"/>
      <c r="Y62" s="5"/>
    </row>
    <row r="63" spans="9:25" ht="33.75" x14ac:dyDescent="0.2">
      <c r="M63" s="26" t="s">
        <v>54</v>
      </c>
      <c r="N63" s="25" t="s">
        <v>55</v>
      </c>
      <c r="O63" s="26"/>
      <c r="P63" s="26" t="s">
        <v>150</v>
      </c>
      <c r="Q63" s="26"/>
      <c r="R63" s="5"/>
      <c r="S63" s="5"/>
      <c r="T63" s="5"/>
      <c r="U63" s="5"/>
      <c r="V63" s="5"/>
      <c r="W63" s="5"/>
      <c r="X63" s="5"/>
      <c r="Y63" s="5"/>
    </row>
    <row r="64" spans="9:25" ht="33.75" x14ac:dyDescent="0.2">
      <c r="M64" s="26" t="s">
        <v>54</v>
      </c>
      <c r="N64" s="25" t="s">
        <v>55</v>
      </c>
      <c r="O64" s="26"/>
      <c r="P64" s="26" t="s">
        <v>151</v>
      </c>
      <c r="Q64" s="26"/>
      <c r="R64" s="5"/>
      <c r="S64" s="5"/>
      <c r="T64" s="5"/>
      <c r="U64" s="5"/>
      <c r="V64" s="5"/>
      <c r="W64" s="5"/>
      <c r="X64" s="5"/>
      <c r="Y64" s="5"/>
    </row>
    <row r="65" spans="9:25" ht="33.75" x14ac:dyDescent="0.2">
      <c r="M65" s="26" t="s">
        <v>54</v>
      </c>
      <c r="N65" s="25" t="s">
        <v>55</v>
      </c>
      <c r="O65" s="26"/>
      <c r="P65" s="26" t="s">
        <v>152</v>
      </c>
      <c r="Q65" s="26"/>
      <c r="R65" s="5"/>
      <c r="S65" s="5"/>
      <c r="T65" s="5"/>
      <c r="U65" s="5"/>
      <c r="V65" s="5"/>
      <c r="W65" s="5"/>
      <c r="X65" s="5"/>
      <c r="Y65" s="5"/>
    </row>
    <row r="66" spans="9:25" ht="22.5" x14ac:dyDescent="0.2">
      <c r="M66" s="26" t="s">
        <v>54</v>
      </c>
      <c r="N66" s="25" t="s">
        <v>55</v>
      </c>
      <c r="O66" s="26"/>
      <c r="P66" s="26" t="s">
        <v>153</v>
      </c>
      <c r="Q66" s="26"/>
      <c r="R66" s="5"/>
      <c r="S66" s="5"/>
      <c r="T66" s="5"/>
      <c r="U66" s="5"/>
      <c r="V66" s="5"/>
      <c r="W66" s="5"/>
      <c r="X66" s="5"/>
      <c r="Y66" s="5"/>
    </row>
    <row r="67" spans="9:25" ht="45" x14ac:dyDescent="0.2">
      <c r="M67" s="26" t="s">
        <v>54</v>
      </c>
      <c r="N67" s="25" t="s">
        <v>55</v>
      </c>
      <c r="O67" s="26"/>
      <c r="P67" s="26" t="s">
        <v>154</v>
      </c>
      <c r="Q67" s="26"/>
      <c r="R67" s="5"/>
      <c r="S67" s="5"/>
      <c r="T67" s="5"/>
      <c r="U67" s="5"/>
      <c r="V67" s="5"/>
      <c r="W67" s="5"/>
      <c r="X67" s="5"/>
      <c r="Y67" s="5"/>
    </row>
    <row r="68" spans="9:25" ht="22.5" x14ac:dyDescent="0.2">
      <c r="M68" s="26" t="s">
        <v>54</v>
      </c>
      <c r="N68" s="25" t="s">
        <v>55</v>
      </c>
      <c r="O68" s="26"/>
      <c r="P68" s="26" t="s">
        <v>155</v>
      </c>
      <c r="Q68" s="26"/>
      <c r="R68" s="5"/>
      <c r="S68" s="5"/>
      <c r="T68" s="5"/>
      <c r="U68" s="5"/>
      <c r="V68" s="5"/>
      <c r="W68" s="5"/>
      <c r="X68" s="5"/>
      <c r="Y68" s="5"/>
    </row>
    <row r="69" spans="9:25" ht="33.75" x14ac:dyDescent="0.2">
      <c r="M69" s="26" t="s">
        <v>54</v>
      </c>
      <c r="N69" s="25" t="s">
        <v>55</v>
      </c>
      <c r="O69" s="26"/>
      <c r="P69" s="26" t="s">
        <v>156</v>
      </c>
      <c r="Q69" s="26"/>
      <c r="R69" s="5"/>
      <c r="S69" s="5"/>
      <c r="T69" s="5"/>
      <c r="U69" s="5"/>
      <c r="V69" s="5"/>
      <c r="W69" s="5"/>
      <c r="X69" s="5"/>
      <c r="Y69" s="5"/>
    </row>
    <row r="70" spans="9:25" ht="33.75" x14ac:dyDescent="0.2">
      <c r="M70" s="26" t="s">
        <v>54</v>
      </c>
      <c r="N70" s="25" t="s">
        <v>55</v>
      </c>
      <c r="O70" s="26"/>
      <c r="P70" s="26" t="s">
        <v>157</v>
      </c>
      <c r="Q70" s="26"/>
      <c r="R70" s="5"/>
      <c r="S70" s="5"/>
      <c r="T70" s="5"/>
      <c r="U70" s="5"/>
      <c r="V70" s="5"/>
      <c r="W70" s="5"/>
      <c r="X70" s="5"/>
      <c r="Y70" s="5"/>
    </row>
    <row r="71" spans="9:25" ht="45" x14ac:dyDescent="0.2">
      <c r="M71" s="26" t="s">
        <v>54</v>
      </c>
      <c r="N71" s="25" t="s">
        <v>55</v>
      </c>
      <c r="O71" s="26"/>
      <c r="P71" s="26" t="s">
        <v>158</v>
      </c>
      <c r="Q71" s="26"/>
      <c r="R71" s="5"/>
      <c r="S71" s="5"/>
      <c r="T71" s="5"/>
      <c r="U71" s="5"/>
      <c r="V71" s="5"/>
      <c r="W71" s="5"/>
      <c r="X71" s="5"/>
      <c r="Y71" s="5"/>
    </row>
    <row r="72" spans="9:25" ht="45" x14ac:dyDescent="0.2">
      <c r="M72" s="26" t="s">
        <v>54</v>
      </c>
      <c r="N72" s="25" t="s">
        <v>55</v>
      </c>
      <c r="O72" s="26"/>
      <c r="P72" s="26" t="s">
        <v>159</v>
      </c>
      <c r="Q72" s="26"/>
      <c r="R72" s="5"/>
      <c r="S72" s="5"/>
      <c r="T72" s="5"/>
      <c r="U72" s="5"/>
      <c r="V72" s="5"/>
      <c r="W72" s="5"/>
      <c r="X72" s="5"/>
      <c r="Y72" s="5"/>
    </row>
    <row r="73" spans="9:25" ht="45" x14ac:dyDescent="0.2">
      <c r="I73" s="40"/>
      <c r="J73" s="40"/>
      <c r="M73" s="26" t="s">
        <v>54</v>
      </c>
      <c r="N73" s="25" t="s">
        <v>55</v>
      </c>
      <c r="O73" s="26"/>
      <c r="P73" s="26" t="s">
        <v>160</v>
      </c>
      <c r="Q73" s="26"/>
      <c r="R73" s="5"/>
      <c r="S73" s="5"/>
      <c r="T73" s="5"/>
      <c r="U73" s="5"/>
      <c r="V73" s="5"/>
      <c r="W73" s="5"/>
      <c r="X73" s="5"/>
      <c r="Y73" s="5"/>
    </row>
    <row r="74" spans="9:25" ht="45" x14ac:dyDescent="0.2">
      <c r="I74" s="40"/>
      <c r="J74" s="40"/>
      <c r="M74" s="26" t="s">
        <v>54</v>
      </c>
      <c r="N74" s="25" t="s">
        <v>55</v>
      </c>
      <c r="O74" s="26"/>
      <c r="P74" s="26" t="s">
        <v>161</v>
      </c>
      <c r="Q74" s="26"/>
      <c r="R74" s="5"/>
      <c r="S74" s="5"/>
      <c r="T74" s="5"/>
      <c r="U74" s="5"/>
      <c r="V74" s="5"/>
      <c r="W74" s="5"/>
      <c r="X74" s="5"/>
      <c r="Y74" s="5"/>
    </row>
    <row r="75" spans="9:25" ht="45" x14ac:dyDescent="0.2">
      <c r="I75" s="40"/>
      <c r="J75" s="40"/>
      <c r="M75" s="26" t="s">
        <v>54</v>
      </c>
      <c r="N75" s="25" t="s">
        <v>55</v>
      </c>
      <c r="O75" s="26"/>
      <c r="P75" s="26" t="s">
        <v>162</v>
      </c>
      <c r="Q75" s="26"/>
      <c r="R75" s="5"/>
      <c r="S75" s="5"/>
      <c r="T75" s="5"/>
      <c r="U75" s="5"/>
      <c r="V75" s="5"/>
      <c r="W75" s="5"/>
      <c r="X75" s="5"/>
      <c r="Y75" s="5"/>
    </row>
    <row r="76" spans="9:25" ht="45" x14ac:dyDescent="0.2">
      <c r="I76" s="40"/>
      <c r="J76" s="40"/>
      <c r="M76" s="26" t="s">
        <v>54</v>
      </c>
      <c r="N76" s="25" t="s">
        <v>55</v>
      </c>
      <c r="O76" s="26"/>
      <c r="P76" s="26" t="s">
        <v>163</v>
      </c>
      <c r="Q76" s="26"/>
      <c r="R76" s="5"/>
      <c r="S76" s="5"/>
      <c r="T76" s="5"/>
      <c r="U76" s="5"/>
      <c r="V76" s="5"/>
      <c r="W76" s="5"/>
      <c r="X76" s="5"/>
      <c r="Y76" s="5"/>
    </row>
    <row r="77" spans="9:25" ht="22.5" x14ac:dyDescent="0.2">
      <c r="I77" s="40"/>
      <c r="J77" s="40"/>
      <c r="M77" s="26" t="s">
        <v>54</v>
      </c>
      <c r="N77" s="25" t="s">
        <v>55</v>
      </c>
      <c r="O77" s="26"/>
      <c r="P77" s="26" t="s">
        <v>164</v>
      </c>
      <c r="Q77" s="26"/>
      <c r="R77" s="5"/>
      <c r="S77" s="5"/>
      <c r="T77" s="5"/>
      <c r="U77" s="5"/>
      <c r="V77" s="5"/>
      <c r="W77" s="5"/>
      <c r="X77" s="5"/>
      <c r="Y77" s="5"/>
    </row>
    <row r="78" spans="9:25" ht="22.5" x14ac:dyDescent="0.2">
      <c r="I78" s="40"/>
      <c r="J78" s="40"/>
      <c r="M78" s="26" t="s">
        <v>54</v>
      </c>
      <c r="N78" s="25" t="s">
        <v>55</v>
      </c>
      <c r="O78" s="26"/>
      <c r="P78" s="26" t="s">
        <v>165</v>
      </c>
      <c r="Q78" s="26"/>
      <c r="R78" s="5"/>
      <c r="S78" s="5"/>
      <c r="T78" s="5"/>
      <c r="U78" s="5"/>
      <c r="V78" s="5"/>
      <c r="W78" s="5"/>
      <c r="X78" s="5"/>
      <c r="Y78" s="5"/>
    </row>
    <row r="79" spans="9:25" ht="22.5" x14ac:dyDescent="0.2">
      <c r="I79" s="40"/>
      <c r="J79" s="40"/>
      <c r="M79" s="26" t="s">
        <v>54</v>
      </c>
      <c r="N79" s="25" t="s">
        <v>55</v>
      </c>
      <c r="O79" s="26"/>
      <c r="P79" s="26" t="s">
        <v>166</v>
      </c>
      <c r="Q79" s="26"/>
      <c r="R79" s="5"/>
      <c r="S79" s="5"/>
      <c r="T79" s="5"/>
      <c r="U79" s="5"/>
      <c r="V79" s="5"/>
      <c r="W79" s="5"/>
      <c r="X79" s="5"/>
      <c r="Y79" s="5"/>
    </row>
    <row r="80" spans="9:25" ht="22.5" x14ac:dyDescent="0.2">
      <c r="I80" s="40"/>
      <c r="J80" s="40"/>
      <c r="M80" s="26" t="s">
        <v>54</v>
      </c>
      <c r="N80" s="25" t="s">
        <v>55</v>
      </c>
      <c r="O80" s="26"/>
      <c r="P80" s="26" t="s">
        <v>166</v>
      </c>
      <c r="Q80" s="26"/>
      <c r="R80" s="5"/>
      <c r="S80" s="5"/>
      <c r="T80" s="5"/>
      <c r="U80" s="5"/>
      <c r="V80" s="5"/>
      <c r="W80" s="5"/>
      <c r="X80" s="5"/>
      <c r="Y80" s="5"/>
    </row>
    <row r="81" spans="9:25" ht="22.5" x14ac:dyDescent="0.2">
      <c r="I81" s="40"/>
      <c r="J81" s="40"/>
      <c r="M81" s="26" t="s">
        <v>54</v>
      </c>
      <c r="N81" s="25" t="s">
        <v>55</v>
      </c>
      <c r="O81" s="26"/>
      <c r="P81" s="26" t="s">
        <v>167</v>
      </c>
      <c r="Q81" s="26"/>
      <c r="R81" s="5"/>
      <c r="S81" s="5"/>
      <c r="T81" s="5"/>
      <c r="U81" s="5"/>
      <c r="V81" s="5"/>
      <c r="W81" s="5"/>
      <c r="X81" s="5"/>
      <c r="Y81" s="5"/>
    </row>
    <row r="82" spans="9:25" ht="22.5" x14ac:dyDescent="0.2">
      <c r="I82" s="40"/>
      <c r="J82" s="40"/>
      <c r="M82" s="26" t="s">
        <v>54</v>
      </c>
      <c r="N82" s="25" t="s">
        <v>55</v>
      </c>
      <c r="O82" s="26"/>
      <c r="P82" s="26" t="s">
        <v>168</v>
      </c>
      <c r="Q82" s="26"/>
      <c r="R82" s="5"/>
      <c r="S82" s="5"/>
      <c r="T82" s="5"/>
      <c r="U82" s="5"/>
      <c r="V82" s="5"/>
      <c r="W82" s="5"/>
      <c r="X82" s="5"/>
      <c r="Y82" s="5"/>
    </row>
    <row r="83" spans="9:25" ht="22.5" x14ac:dyDescent="0.2">
      <c r="I83" s="40"/>
      <c r="J83" s="40"/>
      <c r="M83" s="26" t="s">
        <v>54</v>
      </c>
      <c r="N83" s="25" t="s">
        <v>55</v>
      </c>
      <c r="O83" s="26"/>
      <c r="P83" s="26" t="s">
        <v>169</v>
      </c>
      <c r="Q83" s="26"/>
      <c r="R83" s="5"/>
      <c r="S83" s="5"/>
      <c r="T83" s="5"/>
      <c r="U83" s="5"/>
      <c r="V83" s="5"/>
      <c r="W83" s="5"/>
      <c r="X83" s="5"/>
      <c r="Y83" s="5"/>
    </row>
    <row r="84" spans="9:25" ht="22.5" x14ac:dyDescent="0.2">
      <c r="I84" s="40"/>
      <c r="J84" s="40"/>
      <c r="M84" s="26" t="s">
        <v>54</v>
      </c>
      <c r="N84" s="25" t="s">
        <v>55</v>
      </c>
      <c r="O84" s="26"/>
      <c r="P84" s="26" t="s">
        <v>170</v>
      </c>
      <c r="Q84" s="26"/>
      <c r="R84" s="5"/>
      <c r="S84" s="5"/>
      <c r="T84" s="5"/>
      <c r="U84" s="5"/>
      <c r="V84" s="5"/>
      <c r="W84" s="5"/>
      <c r="X84" s="5"/>
      <c r="Y84" s="5"/>
    </row>
    <row r="85" spans="9:25" ht="67.5" x14ac:dyDescent="0.2">
      <c r="I85" s="40"/>
      <c r="J85" s="40"/>
      <c r="M85" s="26" t="s">
        <v>54</v>
      </c>
      <c r="N85" s="25" t="s">
        <v>51</v>
      </c>
      <c r="O85" s="26"/>
      <c r="P85" s="26" t="s">
        <v>171</v>
      </c>
      <c r="Q85" s="26"/>
      <c r="R85" s="5"/>
      <c r="S85" s="5"/>
      <c r="T85" s="5"/>
      <c r="U85" s="5"/>
      <c r="V85" s="5"/>
      <c r="W85" s="5"/>
      <c r="X85" s="5"/>
      <c r="Y85" s="5"/>
    </row>
    <row r="86" spans="9:25" ht="67.5" x14ac:dyDescent="0.2">
      <c r="I86" s="40"/>
      <c r="J86" s="40"/>
      <c r="M86" s="26" t="s">
        <v>54</v>
      </c>
      <c r="N86" s="25" t="s">
        <v>51</v>
      </c>
      <c r="O86" s="26"/>
      <c r="P86" s="26" t="s">
        <v>172</v>
      </c>
      <c r="Q86" s="26"/>
      <c r="R86" s="5"/>
      <c r="S86" s="5"/>
      <c r="T86" s="5"/>
      <c r="U86" s="5"/>
      <c r="V86" s="5"/>
      <c r="W86" s="5"/>
      <c r="X86" s="5"/>
      <c r="Y86" s="5"/>
    </row>
    <row r="87" spans="9:25" ht="33.75" x14ac:dyDescent="0.2">
      <c r="I87" s="40"/>
      <c r="J87" s="40"/>
      <c r="M87" s="26" t="s">
        <v>54</v>
      </c>
      <c r="N87" s="25" t="s">
        <v>51</v>
      </c>
      <c r="O87" s="26"/>
      <c r="P87" s="26" t="s">
        <v>173</v>
      </c>
      <c r="Q87" s="26"/>
      <c r="R87" s="5"/>
      <c r="S87" s="5"/>
      <c r="T87" s="5"/>
      <c r="U87" s="5"/>
      <c r="V87" s="5"/>
      <c r="W87" s="5"/>
      <c r="X87" s="5"/>
      <c r="Y87" s="5"/>
    </row>
    <row r="88" spans="9:25" ht="33.75" x14ac:dyDescent="0.2">
      <c r="I88" s="40"/>
      <c r="J88" s="40"/>
      <c r="M88" s="26" t="s">
        <v>54</v>
      </c>
      <c r="N88" s="25" t="s">
        <v>51</v>
      </c>
      <c r="O88" s="26"/>
      <c r="P88" s="26" t="s">
        <v>174</v>
      </c>
      <c r="Q88" s="26"/>
      <c r="R88" s="5"/>
      <c r="S88" s="5"/>
      <c r="T88" s="5"/>
      <c r="U88" s="5"/>
      <c r="V88" s="5"/>
      <c r="W88" s="5"/>
      <c r="X88" s="5"/>
      <c r="Y88" s="5"/>
    </row>
    <row r="89" spans="9:25" ht="33.75" x14ac:dyDescent="0.2">
      <c r="I89" s="40"/>
      <c r="J89" s="40"/>
      <c r="M89" s="26" t="s">
        <v>54</v>
      </c>
      <c r="N89" s="25" t="s">
        <v>51</v>
      </c>
      <c r="O89" s="26"/>
      <c r="P89" s="26" t="s">
        <v>175</v>
      </c>
      <c r="Q89" s="26"/>
      <c r="R89" s="5"/>
      <c r="S89" s="5"/>
      <c r="T89" s="5"/>
      <c r="U89" s="5"/>
      <c r="V89" s="5"/>
      <c r="W89" s="5"/>
      <c r="X89" s="5"/>
      <c r="Y89" s="5"/>
    </row>
    <row r="90" spans="9:25" ht="45" x14ac:dyDescent="0.2">
      <c r="I90" s="40"/>
      <c r="J90" s="40"/>
      <c r="M90" s="26" t="s">
        <v>54</v>
      </c>
      <c r="N90" s="25" t="s">
        <v>51</v>
      </c>
      <c r="O90" s="26"/>
      <c r="P90" s="26" t="s">
        <v>176</v>
      </c>
      <c r="Q90" s="26"/>
      <c r="R90" s="5"/>
      <c r="S90" s="5"/>
      <c r="T90" s="5"/>
      <c r="U90" s="5"/>
      <c r="V90" s="5"/>
      <c r="W90" s="5"/>
      <c r="X90" s="5"/>
      <c r="Y90" s="5"/>
    </row>
    <row r="91" spans="9:25" ht="22.5" x14ac:dyDescent="0.2">
      <c r="I91" s="40"/>
      <c r="J91" s="40"/>
      <c r="M91" s="26" t="s">
        <v>54</v>
      </c>
      <c r="N91" s="25" t="s">
        <v>51</v>
      </c>
      <c r="O91" s="26"/>
      <c r="P91" s="26" t="s">
        <v>177</v>
      </c>
      <c r="Q91" s="26"/>
      <c r="R91" s="5"/>
      <c r="S91" s="5"/>
      <c r="T91" s="5"/>
      <c r="U91" s="5"/>
      <c r="V91" s="5"/>
      <c r="W91" s="5"/>
      <c r="X91" s="5"/>
      <c r="Y91" s="5"/>
    </row>
    <row r="92" spans="9:25" ht="22.5" x14ac:dyDescent="0.2">
      <c r="I92" s="40"/>
      <c r="J92" s="40"/>
      <c r="M92" s="26" t="s">
        <v>54</v>
      </c>
      <c r="N92" s="25" t="s">
        <v>51</v>
      </c>
      <c r="O92" s="26"/>
      <c r="P92" s="26" t="s">
        <v>178</v>
      </c>
      <c r="Q92" s="26"/>
      <c r="R92" s="5"/>
      <c r="S92" s="5"/>
      <c r="T92" s="5"/>
      <c r="U92" s="5"/>
      <c r="V92" s="5"/>
      <c r="W92" s="5"/>
      <c r="X92" s="5"/>
      <c r="Y92" s="5"/>
    </row>
    <row r="93" spans="9:25" ht="33.75" x14ac:dyDescent="0.2">
      <c r="I93" s="40"/>
      <c r="J93" s="40"/>
      <c r="M93" s="26" t="s">
        <v>54</v>
      </c>
      <c r="N93" s="25" t="s">
        <v>51</v>
      </c>
      <c r="O93" s="26"/>
      <c r="P93" s="26" t="s">
        <v>179</v>
      </c>
      <c r="Q93" s="26"/>
      <c r="R93" s="5"/>
      <c r="S93" s="5"/>
      <c r="T93" s="5"/>
      <c r="U93" s="5"/>
      <c r="V93" s="5"/>
      <c r="W93" s="5"/>
      <c r="X93" s="5"/>
      <c r="Y93" s="5"/>
    </row>
    <row r="94" spans="9:25" ht="33.75" x14ac:dyDescent="0.2">
      <c r="I94" s="40"/>
      <c r="J94" s="40"/>
      <c r="M94" s="26" t="s">
        <v>54</v>
      </c>
      <c r="N94" s="25" t="s">
        <v>51</v>
      </c>
      <c r="O94" s="26"/>
      <c r="P94" s="26" t="s">
        <v>180</v>
      </c>
      <c r="Q94" s="26"/>
      <c r="R94" s="5"/>
      <c r="S94" s="5"/>
      <c r="T94" s="5"/>
      <c r="U94" s="5"/>
      <c r="V94" s="5"/>
      <c r="W94" s="5"/>
      <c r="X94" s="5"/>
      <c r="Y94" s="5"/>
    </row>
    <row r="95" spans="9:25" ht="33.75" x14ac:dyDescent="0.2">
      <c r="I95" s="40"/>
      <c r="J95" s="40"/>
      <c r="M95" s="26" t="s">
        <v>54</v>
      </c>
      <c r="N95" s="25" t="s">
        <v>51</v>
      </c>
      <c r="O95" s="26"/>
      <c r="P95" s="26" t="s">
        <v>181</v>
      </c>
      <c r="Q95" s="26"/>
      <c r="R95" s="5"/>
      <c r="S95" s="5"/>
      <c r="T95" s="5"/>
      <c r="U95" s="5"/>
      <c r="V95" s="5"/>
      <c r="W95" s="5"/>
      <c r="X95" s="5"/>
      <c r="Y95" s="5"/>
    </row>
    <row r="96" spans="9:25" ht="22.5" x14ac:dyDescent="0.2">
      <c r="I96" s="40"/>
      <c r="J96" s="40"/>
      <c r="M96" s="26" t="s">
        <v>54</v>
      </c>
      <c r="N96" s="25" t="s">
        <v>51</v>
      </c>
      <c r="O96" s="26"/>
      <c r="P96" s="26" t="s">
        <v>182</v>
      </c>
      <c r="Q96" s="26"/>
      <c r="R96" s="5"/>
      <c r="S96" s="5"/>
      <c r="T96" s="5"/>
      <c r="U96" s="5"/>
      <c r="V96" s="5"/>
      <c r="W96" s="5"/>
      <c r="X96" s="5"/>
      <c r="Y96" s="5"/>
    </row>
    <row r="97" spans="9:25" ht="22.5" x14ac:dyDescent="0.2">
      <c r="I97" s="40"/>
      <c r="J97" s="40"/>
      <c r="M97" s="26" t="s">
        <v>54</v>
      </c>
      <c r="N97" s="25" t="s">
        <v>51</v>
      </c>
      <c r="O97" s="26"/>
      <c r="P97" s="26" t="s">
        <v>183</v>
      </c>
      <c r="Q97" s="26"/>
      <c r="R97" s="5"/>
      <c r="S97" s="5"/>
      <c r="T97" s="5"/>
      <c r="U97" s="5"/>
      <c r="V97" s="5"/>
      <c r="W97" s="5"/>
      <c r="X97" s="5"/>
      <c r="Y97" s="5"/>
    </row>
    <row r="98" spans="9:25" ht="22.5" x14ac:dyDescent="0.2">
      <c r="I98" s="40"/>
      <c r="J98" s="40"/>
      <c r="M98" s="26" t="s">
        <v>54</v>
      </c>
      <c r="N98" s="25" t="s">
        <v>51</v>
      </c>
      <c r="O98" s="26"/>
      <c r="P98" s="26" t="s">
        <v>184</v>
      </c>
      <c r="Q98" s="26"/>
      <c r="R98" s="5"/>
      <c r="S98" s="5"/>
      <c r="T98" s="5"/>
      <c r="U98" s="5"/>
      <c r="V98" s="5"/>
      <c r="W98" s="5"/>
      <c r="X98" s="5"/>
      <c r="Y98" s="5"/>
    </row>
    <row r="99" spans="9:25" ht="22.5" x14ac:dyDescent="0.2">
      <c r="M99" s="26" t="s">
        <v>54</v>
      </c>
      <c r="N99" s="25" t="s">
        <v>51</v>
      </c>
      <c r="O99" s="26"/>
      <c r="P99" s="26" t="s">
        <v>185</v>
      </c>
      <c r="Q99" s="26"/>
      <c r="R99" s="5"/>
      <c r="S99" s="5"/>
      <c r="T99" s="5"/>
      <c r="U99" s="5"/>
      <c r="V99" s="5"/>
      <c r="W99" s="5"/>
      <c r="X99" s="5"/>
      <c r="Y99" s="5"/>
    </row>
    <row r="100" spans="9:25" ht="22.5" x14ac:dyDescent="0.2">
      <c r="M100" s="26" t="s">
        <v>54</v>
      </c>
      <c r="N100" s="25" t="s">
        <v>51</v>
      </c>
      <c r="O100" s="26"/>
      <c r="P100" s="26" t="s">
        <v>186</v>
      </c>
      <c r="Q100" s="26"/>
      <c r="R100" s="5"/>
      <c r="S100" s="5"/>
      <c r="T100" s="5"/>
      <c r="U100" s="5"/>
      <c r="V100" s="5"/>
      <c r="W100" s="5"/>
      <c r="X100" s="5"/>
      <c r="Y100" s="5"/>
    </row>
    <row r="101" spans="9:25" ht="22.5" x14ac:dyDescent="0.2">
      <c r="I101" s="40"/>
      <c r="J101" s="40"/>
      <c r="M101" s="26" t="s">
        <v>54</v>
      </c>
      <c r="N101" s="25" t="s">
        <v>51</v>
      </c>
      <c r="O101" s="26"/>
      <c r="P101" s="26" t="s">
        <v>187</v>
      </c>
      <c r="Q101" s="26"/>
      <c r="R101" s="5"/>
      <c r="S101" s="5"/>
      <c r="T101" s="5"/>
      <c r="U101" s="5"/>
      <c r="V101" s="5"/>
      <c r="W101" s="5"/>
      <c r="X101" s="5"/>
      <c r="Y101" s="5"/>
    </row>
    <row r="102" spans="9:25" ht="22.5" x14ac:dyDescent="0.2">
      <c r="I102" s="40"/>
      <c r="J102" s="40"/>
      <c r="M102" s="26" t="s">
        <v>54</v>
      </c>
      <c r="N102" s="25" t="s">
        <v>51</v>
      </c>
      <c r="O102" s="26"/>
      <c r="P102" s="26" t="s">
        <v>188</v>
      </c>
      <c r="Q102" s="26"/>
      <c r="R102" s="5"/>
      <c r="S102" s="5"/>
      <c r="T102" s="5"/>
      <c r="U102" s="5"/>
      <c r="V102" s="5"/>
      <c r="W102" s="5"/>
      <c r="X102" s="5"/>
      <c r="Y102" s="5"/>
    </row>
    <row r="103" spans="9:25" ht="22.5" x14ac:dyDescent="0.2">
      <c r="I103" s="40"/>
      <c r="J103" s="40"/>
      <c r="M103" s="26" t="s">
        <v>54</v>
      </c>
      <c r="N103" s="25" t="s">
        <v>51</v>
      </c>
      <c r="O103" s="26"/>
      <c r="P103" s="26" t="s">
        <v>189</v>
      </c>
      <c r="Q103" s="26"/>
      <c r="R103" s="5"/>
      <c r="S103" s="5"/>
      <c r="T103" s="5"/>
      <c r="U103" s="5"/>
      <c r="V103" s="5"/>
      <c r="W103" s="5"/>
      <c r="X103" s="5"/>
      <c r="Y103" s="5"/>
    </row>
    <row r="104" spans="9:25" ht="45" x14ac:dyDescent="0.2">
      <c r="I104" s="40"/>
      <c r="J104" s="40"/>
      <c r="M104" s="26" t="s">
        <v>54</v>
      </c>
      <c r="N104" s="25" t="s">
        <v>51</v>
      </c>
      <c r="O104" s="26"/>
      <c r="P104" s="26" t="s">
        <v>190</v>
      </c>
      <c r="Q104" s="26"/>
      <c r="R104" s="5"/>
      <c r="S104" s="5"/>
      <c r="T104" s="5"/>
      <c r="U104" s="5"/>
      <c r="V104" s="5"/>
      <c r="W104" s="5"/>
      <c r="X104" s="5"/>
      <c r="Y104" s="5"/>
    </row>
    <row r="105" spans="9:25" ht="33.75" x14ac:dyDescent="0.2">
      <c r="I105" s="40"/>
      <c r="J105" s="40"/>
      <c r="M105" s="26" t="s">
        <v>54</v>
      </c>
      <c r="N105" s="25" t="s">
        <v>51</v>
      </c>
      <c r="O105" s="26"/>
      <c r="P105" s="26" t="s">
        <v>179</v>
      </c>
      <c r="Q105" s="26"/>
      <c r="R105" s="5"/>
      <c r="S105" s="5"/>
      <c r="T105" s="5"/>
      <c r="U105" s="5"/>
      <c r="V105" s="5"/>
      <c r="W105" s="5"/>
      <c r="X105" s="5"/>
      <c r="Y105" s="5"/>
    </row>
    <row r="106" spans="9:25" ht="22.5" x14ac:dyDescent="0.2">
      <c r="I106" s="40"/>
      <c r="J106" s="40"/>
      <c r="M106" s="26" t="s">
        <v>54</v>
      </c>
      <c r="N106" s="25" t="s">
        <v>51</v>
      </c>
      <c r="O106" s="26"/>
      <c r="P106" s="26" t="s">
        <v>191</v>
      </c>
      <c r="Q106" s="26"/>
      <c r="R106" s="5"/>
      <c r="S106" s="5"/>
      <c r="T106" s="5"/>
      <c r="U106" s="5"/>
      <c r="V106" s="5"/>
      <c r="W106" s="5"/>
      <c r="X106" s="5"/>
      <c r="Y106" s="5"/>
    </row>
    <row r="107" spans="9:25" ht="33.75" x14ac:dyDescent="0.2">
      <c r="I107" s="40"/>
      <c r="J107" s="40"/>
      <c r="M107" s="26" t="s">
        <v>54</v>
      </c>
      <c r="N107" s="25" t="s">
        <v>70</v>
      </c>
      <c r="O107" s="26"/>
      <c r="P107" s="26" t="s">
        <v>192</v>
      </c>
      <c r="Q107" s="26"/>
      <c r="R107" s="5"/>
      <c r="S107" s="5"/>
      <c r="T107" s="5"/>
      <c r="U107" s="5"/>
      <c r="V107" s="5"/>
      <c r="W107" s="5"/>
      <c r="X107" s="5"/>
      <c r="Y107" s="5"/>
    </row>
    <row r="108" spans="9:25" ht="67.5" x14ac:dyDescent="0.2">
      <c r="I108" s="40"/>
      <c r="J108" s="40"/>
      <c r="M108" s="26" t="s">
        <v>54</v>
      </c>
      <c r="N108" s="25" t="s">
        <v>70</v>
      </c>
      <c r="O108" s="26"/>
      <c r="P108" s="26" t="s">
        <v>193</v>
      </c>
      <c r="Q108" s="26"/>
      <c r="R108" s="5"/>
      <c r="S108" s="5"/>
      <c r="T108" s="5"/>
      <c r="U108" s="5"/>
      <c r="V108" s="5"/>
      <c r="W108" s="5"/>
      <c r="X108" s="5"/>
      <c r="Y108" s="5"/>
    </row>
    <row r="109" spans="9:25" ht="45" x14ac:dyDescent="0.2">
      <c r="I109" s="40"/>
      <c r="J109" s="40"/>
      <c r="M109" s="26" t="s">
        <v>54</v>
      </c>
      <c r="N109" s="25" t="s">
        <v>57</v>
      </c>
      <c r="O109" s="26"/>
      <c r="P109" s="26" t="s">
        <v>194</v>
      </c>
      <c r="Q109" s="26"/>
      <c r="R109" s="5"/>
      <c r="S109" s="5"/>
      <c r="T109" s="5"/>
      <c r="U109" s="5"/>
      <c r="V109" s="5"/>
      <c r="W109" s="5"/>
      <c r="X109" s="5"/>
      <c r="Y109" s="5"/>
    </row>
    <row r="110" spans="9:25" ht="22.5" x14ac:dyDescent="0.2">
      <c r="I110" s="40"/>
      <c r="J110" s="40"/>
      <c r="M110" s="26" t="s">
        <v>54</v>
      </c>
      <c r="N110" s="25" t="s">
        <v>51</v>
      </c>
      <c r="O110" s="26" t="s">
        <v>195</v>
      </c>
      <c r="P110" s="26"/>
      <c r="Q110" s="26"/>
      <c r="R110" s="5"/>
      <c r="S110" s="5"/>
      <c r="T110" s="5"/>
      <c r="U110" s="5"/>
      <c r="V110" s="5"/>
      <c r="W110" s="5"/>
      <c r="X110" s="5"/>
      <c r="Y110" s="5"/>
    </row>
    <row r="111" spans="9:25" ht="22.5" x14ac:dyDescent="0.2">
      <c r="I111" s="40"/>
      <c r="J111" s="40"/>
      <c r="M111" s="26" t="s">
        <v>54</v>
      </c>
      <c r="N111" s="25" t="s">
        <v>55</v>
      </c>
      <c r="O111" s="26"/>
      <c r="P111" s="26" t="s">
        <v>196</v>
      </c>
      <c r="Q111" s="26"/>
      <c r="R111" s="5"/>
      <c r="S111" s="5"/>
      <c r="T111" s="5"/>
      <c r="U111" s="5"/>
      <c r="V111" s="5"/>
      <c r="W111" s="5"/>
      <c r="X111" s="5"/>
      <c r="Y111" s="5"/>
    </row>
    <row r="112" spans="9:25" ht="45" x14ac:dyDescent="0.2">
      <c r="I112" s="40"/>
      <c r="J112" s="40"/>
      <c r="M112" s="26" t="s">
        <v>54</v>
      </c>
      <c r="N112" s="25" t="s">
        <v>55</v>
      </c>
      <c r="O112" s="26"/>
      <c r="P112" s="26" t="s">
        <v>197</v>
      </c>
      <c r="Q112" s="26"/>
      <c r="R112" s="5"/>
      <c r="S112" s="5"/>
      <c r="T112" s="5"/>
      <c r="U112" s="5"/>
      <c r="V112" s="5"/>
      <c r="W112" s="5"/>
      <c r="X112" s="5"/>
      <c r="Y112" s="5"/>
    </row>
    <row r="113" spans="9:25" ht="45" x14ac:dyDescent="0.2">
      <c r="I113" s="40"/>
      <c r="J113" s="40"/>
      <c r="M113" s="26" t="s">
        <v>54</v>
      </c>
      <c r="N113" s="25" t="s">
        <v>55</v>
      </c>
      <c r="O113" s="26"/>
      <c r="P113" s="26" t="s">
        <v>198</v>
      </c>
      <c r="Q113" s="26"/>
      <c r="R113" s="5"/>
      <c r="S113" s="5"/>
      <c r="T113" s="5"/>
      <c r="U113" s="5"/>
      <c r="V113" s="5"/>
      <c r="W113" s="5"/>
      <c r="X113" s="5"/>
      <c r="Y113" s="5"/>
    </row>
    <row r="114" spans="9:25" ht="45" x14ac:dyDescent="0.2">
      <c r="I114" s="40"/>
      <c r="J114" s="40"/>
      <c r="M114" s="26" t="s">
        <v>54</v>
      </c>
      <c r="N114" s="25" t="s">
        <v>55</v>
      </c>
      <c r="O114" s="26"/>
      <c r="P114" s="26" t="s">
        <v>199</v>
      </c>
      <c r="Q114" s="26"/>
      <c r="R114" s="5"/>
      <c r="S114" s="5"/>
      <c r="T114" s="5"/>
      <c r="U114" s="5"/>
      <c r="V114" s="5"/>
      <c r="W114" s="5"/>
      <c r="X114" s="5"/>
      <c r="Y114" s="5"/>
    </row>
    <row r="115" spans="9:25" ht="22.5" x14ac:dyDescent="0.2">
      <c r="I115" s="40"/>
      <c r="J115" s="40"/>
      <c r="M115" s="26" t="s">
        <v>54</v>
      </c>
      <c r="N115" s="25" t="s">
        <v>55</v>
      </c>
      <c r="O115" s="26"/>
      <c r="P115" s="26" t="s">
        <v>200</v>
      </c>
      <c r="Q115" s="26"/>
      <c r="R115" s="5"/>
      <c r="S115" s="5"/>
      <c r="T115" s="5"/>
      <c r="U115" s="5"/>
      <c r="V115" s="5"/>
      <c r="W115" s="5"/>
      <c r="X115" s="5"/>
      <c r="Y115" s="5"/>
    </row>
    <row r="116" spans="9:25" ht="22.5" x14ac:dyDescent="0.2">
      <c r="I116" s="40"/>
      <c r="J116" s="40"/>
      <c r="M116" s="26" t="s">
        <v>54</v>
      </c>
      <c r="N116" s="25" t="s">
        <v>51</v>
      </c>
      <c r="O116" s="26" t="s">
        <v>201</v>
      </c>
      <c r="P116" s="26"/>
      <c r="Q116" s="26"/>
      <c r="R116" s="5"/>
      <c r="S116" s="5"/>
      <c r="T116" s="5"/>
      <c r="U116" s="5"/>
      <c r="V116" s="5"/>
      <c r="W116" s="5"/>
      <c r="X116" s="5"/>
      <c r="Y116" s="5"/>
    </row>
    <row r="117" spans="9:25" ht="45" x14ac:dyDescent="0.2">
      <c r="I117" s="40"/>
      <c r="J117" s="40"/>
      <c r="M117" s="26" t="s">
        <v>54</v>
      </c>
      <c r="N117" s="25" t="s">
        <v>55</v>
      </c>
      <c r="O117" s="26"/>
      <c r="P117" s="26" t="s">
        <v>197</v>
      </c>
      <c r="Q117" s="26"/>
      <c r="R117" s="5"/>
      <c r="S117" s="5"/>
      <c r="T117" s="5"/>
      <c r="U117" s="5"/>
      <c r="V117" s="5"/>
      <c r="W117" s="5"/>
      <c r="X117" s="5"/>
      <c r="Y117" s="5"/>
    </row>
    <row r="118" spans="9:25" ht="45" x14ac:dyDescent="0.2">
      <c r="I118" s="40"/>
      <c r="J118" s="40"/>
      <c r="M118" s="26" t="s">
        <v>54</v>
      </c>
      <c r="N118" s="25" t="s">
        <v>55</v>
      </c>
      <c r="O118" s="26"/>
      <c r="P118" s="26" t="s">
        <v>202</v>
      </c>
      <c r="Q118" s="26"/>
      <c r="R118" s="5"/>
      <c r="S118" s="5"/>
      <c r="T118" s="5"/>
      <c r="U118" s="5"/>
      <c r="V118" s="5"/>
      <c r="W118" s="5"/>
      <c r="X118" s="5"/>
      <c r="Y118" s="5"/>
    </row>
    <row r="119" spans="9:25" ht="67.5" x14ac:dyDescent="0.2">
      <c r="I119" s="40"/>
      <c r="J119" s="40"/>
      <c r="M119" s="26" t="s">
        <v>54</v>
      </c>
      <c r="N119" s="25" t="s">
        <v>51</v>
      </c>
      <c r="O119" s="26"/>
      <c r="P119" s="26" t="s">
        <v>203</v>
      </c>
      <c r="Q119" s="26"/>
      <c r="R119" s="5"/>
      <c r="S119" s="5"/>
      <c r="T119" s="5"/>
      <c r="U119" s="5"/>
      <c r="V119" s="5"/>
      <c r="W119" s="5"/>
      <c r="X119" s="5"/>
      <c r="Y119" s="5"/>
    </row>
    <row r="120" spans="9:25" ht="45" x14ac:dyDescent="0.2">
      <c r="I120" s="40"/>
      <c r="J120" s="40"/>
      <c r="M120" s="26" t="s">
        <v>54</v>
      </c>
      <c r="N120" s="25" t="s">
        <v>55</v>
      </c>
      <c r="O120" s="26"/>
      <c r="P120" s="26" t="s">
        <v>204</v>
      </c>
      <c r="Q120" s="26"/>
      <c r="R120" s="5"/>
      <c r="S120" s="5"/>
      <c r="T120" s="5"/>
      <c r="U120" s="5"/>
      <c r="V120" s="5"/>
      <c r="W120" s="5"/>
      <c r="X120" s="5"/>
      <c r="Y120" s="5"/>
    </row>
    <row r="121" spans="9:25" ht="22.5" x14ac:dyDescent="0.2">
      <c r="I121" s="40"/>
      <c r="J121" s="40"/>
      <c r="M121" s="26" t="s">
        <v>54</v>
      </c>
      <c r="N121" s="25" t="s">
        <v>51</v>
      </c>
      <c r="O121" s="26" t="s">
        <v>205</v>
      </c>
      <c r="P121" s="26"/>
      <c r="Q121" s="26"/>
      <c r="R121" s="5"/>
      <c r="S121" s="5"/>
      <c r="T121" s="5"/>
      <c r="U121" s="5"/>
      <c r="V121" s="5"/>
      <c r="W121" s="5"/>
      <c r="X121" s="5"/>
      <c r="Y121" s="5"/>
    </row>
    <row r="122" spans="9:25" ht="22.5" x14ac:dyDescent="0.2">
      <c r="I122" s="40"/>
      <c r="J122" s="40"/>
      <c r="M122" s="26" t="s">
        <v>54</v>
      </c>
      <c r="N122" s="25" t="s">
        <v>51</v>
      </c>
      <c r="O122" s="26" t="s">
        <v>206</v>
      </c>
      <c r="P122" s="26"/>
      <c r="Q122" s="26"/>
      <c r="R122" s="5"/>
      <c r="S122" s="5"/>
      <c r="T122" s="5"/>
      <c r="U122" s="5"/>
      <c r="V122" s="5"/>
      <c r="W122" s="5"/>
      <c r="X122" s="5"/>
      <c r="Y122" s="5"/>
    </row>
    <row r="123" spans="9:25" ht="22.5" x14ac:dyDescent="0.2">
      <c r="I123" s="40"/>
      <c r="J123" s="40"/>
      <c r="M123" s="26" t="s">
        <v>54</v>
      </c>
      <c r="N123" s="25" t="s">
        <v>51</v>
      </c>
      <c r="O123" s="26" t="s">
        <v>207</v>
      </c>
      <c r="P123" s="26"/>
      <c r="Q123" s="26"/>
      <c r="R123" s="5"/>
      <c r="S123" s="5"/>
      <c r="T123" s="5"/>
      <c r="U123" s="5"/>
      <c r="V123" s="5"/>
      <c r="W123" s="5"/>
      <c r="X123" s="5"/>
      <c r="Y123" s="5"/>
    </row>
    <row r="124" spans="9:25" ht="22.5" x14ac:dyDescent="0.2">
      <c r="I124" s="40"/>
      <c r="J124" s="40"/>
      <c r="M124" s="26" t="s">
        <v>54</v>
      </c>
      <c r="N124" s="25" t="s">
        <v>55</v>
      </c>
      <c r="O124" s="26"/>
      <c r="P124" s="26" t="s">
        <v>208</v>
      </c>
      <c r="Q124" s="26"/>
      <c r="R124" s="5"/>
      <c r="S124" s="5"/>
      <c r="T124" s="5"/>
      <c r="U124" s="5"/>
      <c r="V124" s="5"/>
      <c r="W124" s="5"/>
      <c r="X124" s="5"/>
      <c r="Y124" s="5"/>
    </row>
    <row r="125" spans="9:25" ht="22.5" x14ac:dyDescent="0.2">
      <c r="I125" s="40"/>
      <c r="J125" s="40"/>
      <c r="M125" s="26" t="s">
        <v>54</v>
      </c>
      <c r="N125" s="25" t="s">
        <v>55</v>
      </c>
      <c r="O125" s="26"/>
      <c r="P125" s="26" t="s">
        <v>209</v>
      </c>
      <c r="Q125" s="26"/>
      <c r="R125" s="5"/>
      <c r="S125" s="5"/>
      <c r="T125" s="5"/>
      <c r="U125" s="5"/>
      <c r="V125" s="5"/>
      <c r="W125" s="5"/>
      <c r="X125" s="5"/>
      <c r="Y125" s="5"/>
    </row>
    <row r="126" spans="9:25" ht="56.25" x14ac:dyDescent="0.2">
      <c r="I126" s="40"/>
      <c r="J126" s="40"/>
      <c r="M126" s="26" t="s">
        <v>54</v>
      </c>
      <c r="N126" s="25" t="s">
        <v>55</v>
      </c>
      <c r="O126" s="26"/>
      <c r="P126" s="26" t="s">
        <v>210</v>
      </c>
      <c r="Q126" s="26"/>
      <c r="R126" s="5"/>
      <c r="S126" s="5"/>
      <c r="T126" s="5"/>
      <c r="U126" s="5"/>
      <c r="V126" s="5"/>
      <c r="W126" s="5"/>
      <c r="X126" s="5"/>
      <c r="Y126" s="5"/>
    </row>
    <row r="127" spans="9:25" ht="22.5" x14ac:dyDescent="0.2">
      <c r="I127" s="40"/>
      <c r="J127" s="40"/>
      <c r="M127" s="26" t="s">
        <v>54</v>
      </c>
      <c r="N127" s="25" t="s">
        <v>55</v>
      </c>
      <c r="O127" s="26"/>
      <c r="P127" s="26" t="s">
        <v>211</v>
      </c>
      <c r="Q127" s="26"/>
      <c r="R127" s="5"/>
      <c r="S127" s="5"/>
      <c r="T127" s="5"/>
      <c r="U127" s="5"/>
      <c r="V127" s="5"/>
      <c r="W127" s="5"/>
      <c r="X127" s="5"/>
      <c r="Y127" s="5"/>
    </row>
    <row r="128" spans="9:25" ht="22.5" x14ac:dyDescent="0.2">
      <c r="I128" s="40"/>
      <c r="J128" s="40"/>
      <c r="M128" s="26" t="s">
        <v>54</v>
      </c>
      <c r="N128" s="25" t="s">
        <v>55</v>
      </c>
      <c r="O128" s="26"/>
      <c r="P128" s="26" t="s">
        <v>212</v>
      </c>
      <c r="Q128" s="26"/>
      <c r="R128" s="5"/>
      <c r="S128" s="5"/>
      <c r="T128" s="5"/>
      <c r="U128" s="5"/>
      <c r="V128" s="5"/>
      <c r="W128" s="5"/>
      <c r="X128" s="5"/>
      <c r="Y128" s="5"/>
    </row>
    <row r="129" spans="9:25" ht="22.5" x14ac:dyDescent="0.2">
      <c r="I129" s="40"/>
      <c r="J129" s="40"/>
      <c r="M129" s="26" t="s">
        <v>54</v>
      </c>
      <c r="N129" s="25" t="s">
        <v>55</v>
      </c>
      <c r="O129" s="26"/>
      <c r="P129" s="26" t="s">
        <v>213</v>
      </c>
      <c r="Q129" s="26"/>
      <c r="R129" s="5"/>
      <c r="S129" s="5"/>
      <c r="T129" s="5"/>
      <c r="U129" s="5"/>
      <c r="V129" s="5"/>
      <c r="W129" s="5"/>
      <c r="X129" s="5"/>
      <c r="Y129" s="5"/>
    </row>
    <row r="130" spans="9:25" ht="22.5" x14ac:dyDescent="0.2">
      <c r="I130" s="40"/>
      <c r="J130" s="40"/>
      <c r="M130" s="26" t="s">
        <v>54</v>
      </c>
      <c r="N130" s="25" t="s">
        <v>55</v>
      </c>
      <c r="O130" s="26"/>
      <c r="P130" s="26" t="s">
        <v>214</v>
      </c>
      <c r="Q130" s="26"/>
      <c r="R130" s="5"/>
      <c r="S130" s="5"/>
      <c r="T130" s="5"/>
      <c r="U130" s="5"/>
      <c r="V130" s="5"/>
      <c r="W130" s="5"/>
      <c r="X130" s="5"/>
      <c r="Y130" s="5"/>
    </row>
    <row r="131" spans="9:25" ht="33.75" x14ac:dyDescent="0.2">
      <c r="I131" s="40"/>
      <c r="J131" s="40"/>
      <c r="M131" s="26" t="s">
        <v>54</v>
      </c>
      <c r="N131" s="25" t="s">
        <v>55</v>
      </c>
      <c r="O131" s="26"/>
      <c r="P131" s="26" t="s">
        <v>215</v>
      </c>
      <c r="Q131" s="26"/>
      <c r="R131" s="5"/>
      <c r="S131" s="5"/>
      <c r="T131" s="5"/>
      <c r="U131" s="5"/>
      <c r="V131" s="5"/>
      <c r="W131" s="5"/>
      <c r="X131" s="5"/>
      <c r="Y131" s="5"/>
    </row>
    <row r="132" spans="9:25" ht="33.75" x14ac:dyDescent="0.2">
      <c r="I132" s="40"/>
      <c r="J132" s="40"/>
      <c r="M132" s="26" t="s">
        <v>54</v>
      </c>
      <c r="N132" s="25" t="s">
        <v>55</v>
      </c>
      <c r="O132" s="26"/>
      <c r="P132" s="26" t="s">
        <v>216</v>
      </c>
      <c r="Q132" s="26"/>
      <c r="R132" s="5"/>
      <c r="S132" s="5"/>
      <c r="T132" s="5"/>
      <c r="U132" s="5"/>
      <c r="V132" s="5"/>
      <c r="W132" s="5"/>
      <c r="X132" s="5"/>
      <c r="Y132" s="5"/>
    </row>
    <row r="133" spans="9:25" ht="33.75" x14ac:dyDescent="0.2">
      <c r="I133" s="40"/>
      <c r="J133" s="40"/>
      <c r="M133" s="26" t="s">
        <v>54</v>
      </c>
      <c r="N133" s="25" t="s">
        <v>55</v>
      </c>
      <c r="O133" s="26"/>
      <c r="P133" s="26" t="s">
        <v>217</v>
      </c>
      <c r="Q133" s="26"/>
      <c r="R133" s="5"/>
      <c r="S133" s="5"/>
      <c r="T133" s="5"/>
      <c r="U133" s="5"/>
      <c r="V133" s="5"/>
      <c r="W133" s="5"/>
      <c r="X133" s="5"/>
      <c r="Y133" s="5"/>
    </row>
    <row r="134" spans="9:25" ht="22.5" x14ac:dyDescent="0.2">
      <c r="I134" s="40"/>
      <c r="J134" s="40"/>
      <c r="M134" s="26" t="s">
        <v>54</v>
      </c>
      <c r="N134" s="25" t="s">
        <v>55</v>
      </c>
      <c r="O134" s="26"/>
      <c r="P134" s="26" t="s">
        <v>218</v>
      </c>
      <c r="Q134" s="26"/>
      <c r="R134" s="5"/>
      <c r="S134" s="5"/>
      <c r="T134" s="5"/>
      <c r="U134" s="5"/>
      <c r="V134" s="5"/>
      <c r="W134" s="5"/>
      <c r="X134" s="5"/>
      <c r="Y134" s="5"/>
    </row>
    <row r="135" spans="9:25" ht="22.5" x14ac:dyDescent="0.2">
      <c r="I135" s="40"/>
      <c r="J135" s="40"/>
      <c r="M135" s="26" t="s">
        <v>54</v>
      </c>
      <c r="N135" s="25" t="s">
        <v>55</v>
      </c>
      <c r="O135" s="26"/>
      <c r="P135" s="26" t="s">
        <v>219</v>
      </c>
      <c r="Q135" s="26"/>
      <c r="R135" s="5"/>
      <c r="S135" s="5"/>
      <c r="T135" s="5"/>
      <c r="U135" s="5"/>
      <c r="V135" s="5"/>
      <c r="W135" s="5"/>
      <c r="X135" s="5"/>
      <c r="Y135" s="5"/>
    </row>
    <row r="136" spans="9:25" ht="22.5" x14ac:dyDescent="0.2">
      <c r="I136" s="40"/>
      <c r="J136" s="40"/>
      <c r="M136" s="26" t="s">
        <v>54</v>
      </c>
      <c r="N136" s="25" t="s">
        <v>55</v>
      </c>
      <c r="O136" s="26"/>
      <c r="P136" s="26" t="s">
        <v>220</v>
      </c>
      <c r="Q136" s="26"/>
      <c r="R136" s="5"/>
      <c r="S136" s="5"/>
      <c r="T136" s="5"/>
      <c r="U136" s="5"/>
      <c r="V136" s="5"/>
      <c r="W136" s="5"/>
      <c r="X136" s="5"/>
      <c r="Y136" s="5"/>
    </row>
    <row r="137" spans="9:25" ht="22.5" x14ac:dyDescent="0.2">
      <c r="I137" s="40"/>
      <c r="J137" s="40"/>
      <c r="M137" s="26" t="s">
        <v>54</v>
      </c>
      <c r="N137" s="25" t="s">
        <v>55</v>
      </c>
      <c r="O137" s="26"/>
      <c r="P137" s="26" t="s">
        <v>221</v>
      </c>
      <c r="Q137" s="26"/>
      <c r="R137" s="5"/>
      <c r="S137" s="5"/>
      <c r="T137" s="5"/>
      <c r="U137" s="5"/>
      <c r="V137" s="5"/>
      <c r="W137" s="5"/>
      <c r="X137" s="5"/>
      <c r="Y137" s="5"/>
    </row>
    <row r="138" spans="9:25" ht="45" x14ac:dyDescent="0.2">
      <c r="I138" s="40"/>
      <c r="J138" s="40"/>
      <c r="M138" s="26" t="s">
        <v>54</v>
      </c>
      <c r="N138" s="25" t="s">
        <v>55</v>
      </c>
      <c r="O138" s="26"/>
      <c r="P138" s="26" t="s">
        <v>159</v>
      </c>
      <c r="Q138" s="26"/>
      <c r="R138" s="5"/>
      <c r="S138" s="5"/>
      <c r="T138" s="5"/>
      <c r="U138" s="5"/>
      <c r="V138" s="5"/>
      <c r="W138" s="5"/>
      <c r="X138" s="5"/>
      <c r="Y138" s="5"/>
    </row>
    <row r="139" spans="9:25" ht="45" x14ac:dyDescent="0.2">
      <c r="I139" s="40"/>
      <c r="J139" s="40"/>
      <c r="M139" s="26" t="s">
        <v>54</v>
      </c>
      <c r="N139" s="25" t="s">
        <v>55</v>
      </c>
      <c r="O139" s="26"/>
      <c r="P139" s="26" t="s">
        <v>162</v>
      </c>
      <c r="Q139" s="26"/>
      <c r="R139" s="5"/>
      <c r="S139" s="5"/>
      <c r="T139" s="5"/>
      <c r="U139" s="5"/>
      <c r="V139" s="5"/>
      <c r="W139" s="5"/>
      <c r="X139" s="5"/>
      <c r="Y139" s="5"/>
    </row>
    <row r="140" spans="9:25" ht="22.5" x14ac:dyDescent="0.2">
      <c r="I140" s="40"/>
      <c r="J140" s="40"/>
      <c r="M140" s="26" t="s">
        <v>54</v>
      </c>
      <c r="N140" s="25" t="s">
        <v>55</v>
      </c>
      <c r="O140" s="26"/>
      <c r="P140" s="26" t="s">
        <v>222</v>
      </c>
      <c r="Q140" s="26"/>
      <c r="R140" s="5"/>
      <c r="S140" s="5"/>
      <c r="T140" s="5"/>
      <c r="U140" s="5"/>
      <c r="V140" s="5"/>
      <c r="W140" s="5"/>
      <c r="X140" s="5"/>
      <c r="Y140" s="5"/>
    </row>
    <row r="141" spans="9:25" ht="22.5" x14ac:dyDescent="0.2">
      <c r="I141" s="40"/>
      <c r="J141" s="40"/>
      <c r="M141" s="26" t="s">
        <v>54</v>
      </c>
      <c r="N141" s="25" t="s">
        <v>55</v>
      </c>
      <c r="O141" s="26"/>
      <c r="P141" s="26" t="s">
        <v>223</v>
      </c>
      <c r="Q141" s="26"/>
      <c r="R141" s="5"/>
      <c r="S141" s="5"/>
      <c r="T141" s="5"/>
      <c r="U141" s="5"/>
      <c r="V141" s="5"/>
      <c r="W141" s="5"/>
      <c r="X141" s="5"/>
      <c r="Y141" s="5"/>
    </row>
    <row r="142" spans="9:25" ht="22.5" x14ac:dyDescent="0.2">
      <c r="I142" s="40"/>
      <c r="J142" s="40"/>
      <c r="M142" s="26" t="s">
        <v>54</v>
      </c>
      <c r="N142" s="25" t="s">
        <v>55</v>
      </c>
      <c r="O142" s="26"/>
      <c r="P142" s="26" t="s">
        <v>224</v>
      </c>
      <c r="Q142" s="26"/>
      <c r="R142" s="5"/>
      <c r="S142" s="5"/>
      <c r="T142" s="5"/>
      <c r="U142" s="5"/>
      <c r="V142" s="5"/>
      <c r="W142" s="5"/>
      <c r="X142" s="5"/>
      <c r="Y142" s="5"/>
    </row>
    <row r="143" spans="9:25" ht="22.5" x14ac:dyDescent="0.2">
      <c r="I143" s="40"/>
      <c r="J143" s="40"/>
      <c r="M143" s="26" t="s">
        <v>54</v>
      </c>
      <c r="N143" s="25" t="s">
        <v>55</v>
      </c>
      <c r="O143" s="26"/>
      <c r="P143" s="26" t="s">
        <v>225</v>
      </c>
      <c r="Q143" s="26"/>
      <c r="R143" s="5"/>
      <c r="S143" s="5"/>
      <c r="T143" s="5"/>
      <c r="U143" s="5"/>
      <c r="V143" s="5"/>
      <c r="W143" s="5"/>
      <c r="X143" s="5"/>
      <c r="Y143" s="5"/>
    </row>
    <row r="144" spans="9:25" ht="22.5" x14ac:dyDescent="0.2">
      <c r="I144" s="40"/>
      <c r="J144" s="40"/>
      <c r="M144" s="26" t="s">
        <v>54</v>
      </c>
      <c r="N144" s="25" t="s">
        <v>55</v>
      </c>
      <c r="O144" s="26"/>
      <c r="P144" s="26" t="s">
        <v>226</v>
      </c>
      <c r="Q144" s="26"/>
      <c r="R144" s="5"/>
      <c r="S144" s="5"/>
      <c r="T144" s="5"/>
      <c r="U144" s="5"/>
      <c r="V144" s="5"/>
      <c r="W144" s="5"/>
      <c r="X144" s="5"/>
      <c r="Y144" s="5"/>
    </row>
    <row r="145" spans="9:25" ht="22.5" x14ac:dyDescent="0.2">
      <c r="I145" s="40"/>
      <c r="J145" s="40"/>
      <c r="M145" s="26" t="s">
        <v>54</v>
      </c>
      <c r="N145" s="25" t="s">
        <v>55</v>
      </c>
      <c r="O145" s="26"/>
      <c r="P145" s="26" t="s">
        <v>227</v>
      </c>
      <c r="Q145" s="26"/>
      <c r="R145" s="5"/>
      <c r="S145" s="5"/>
      <c r="T145" s="5"/>
      <c r="U145" s="5"/>
      <c r="V145" s="5"/>
      <c r="W145" s="5"/>
      <c r="X145" s="5"/>
      <c r="Y145" s="5"/>
    </row>
    <row r="146" spans="9:25" ht="22.5" x14ac:dyDescent="0.2">
      <c r="I146" s="40"/>
      <c r="J146" s="40"/>
      <c r="M146" s="26" t="s">
        <v>54</v>
      </c>
      <c r="N146" s="25" t="s">
        <v>55</v>
      </c>
      <c r="O146" s="26"/>
      <c r="P146" s="26" t="s">
        <v>228</v>
      </c>
      <c r="Q146" s="26"/>
      <c r="R146" s="5"/>
      <c r="S146" s="5"/>
      <c r="T146" s="5"/>
      <c r="U146" s="5"/>
      <c r="V146" s="5"/>
      <c r="W146" s="5"/>
      <c r="X146" s="5"/>
      <c r="Y146" s="5"/>
    </row>
    <row r="147" spans="9:25" ht="22.5" x14ac:dyDescent="0.2">
      <c r="I147" s="40"/>
      <c r="J147" s="40"/>
      <c r="M147" s="26" t="s">
        <v>54</v>
      </c>
      <c r="N147" s="25" t="s">
        <v>55</v>
      </c>
      <c r="O147" s="26"/>
      <c r="P147" s="26" t="s">
        <v>229</v>
      </c>
      <c r="Q147" s="26"/>
      <c r="R147" s="5"/>
      <c r="S147" s="5"/>
      <c r="T147" s="5"/>
      <c r="U147" s="5"/>
      <c r="V147" s="5"/>
      <c r="W147" s="5"/>
      <c r="X147" s="5"/>
      <c r="Y147" s="5"/>
    </row>
    <row r="148" spans="9:25" ht="22.5" x14ac:dyDescent="0.2">
      <c r="I148" s="40"/>
      <c r="J148" s="40"/>
      <c r="M148" s="26" t="s">
        <v>54</v>
      </c>
      <c r="N148" s="25" t="s">
        <v>55</v>
      </c>
      <c r="O148" s="26"/>
      <c r="P148" s="26" t="s">
        <v>230</v>
      </c>
      <c r="Q148" s="26"/>
      <c r="R148" s="5"/>
      <c r="S148" s="5"/>
      <c r="T148" s="5"/>
      <c r="U148" s="5"/>
      <c r="V148" s="5"/>
      <c r="W148" s="5"/>
      <c r="X148" s="5"/>
      <c r="Y148" s="5"/>
    </row>
    <row r="149" spans="9:25" ht="22.5" x14ac:dyDescent="0.2">
      <c r="I149" s="40"/>
      <c r="J149" s="40"/>
      <c r="M149" s="26" t="s">
        <v>54</v>
      </c>
      <c r="N149" s="25" t="s">
        <v>55</v>
      </c>
      <c r="O149" s="26"/>
      <c r="P149" s="26" t="s">
        <v>231</v>
      </c>
      <c r="Q149" s="26"/>
      <c r="R149" s="5"/>
      <c r="S149" s="5"/>
      <c r="T149" s="5"/>
      <c r="U149" s="5"/>
      <c r="V149" s="5"/>
      <c r="W149" s="5"/>
      <c r="X149" s="5"/>
      <c r="Y149" s="5"/>
    </row>
    <row r="150" spans="9:25" ht="33.75" x14ac:dyDescent="0.2">
      <c r="I150" s="40"/>
      <c r="J150" s="40"/>
      <c r="M150" s="26" t="s">
        <v>54</v>
      </c>
      <c r="N150" s="25" t="s">
        <v>55</v>
      </c>
      <c r="O150" s="26"/>
      <c r="P150" s="26" t="s">
        <v>232</v>
      </c>
      <c r="Q150" s="26"/>
      <c r="R150" s="5"/>
      <c r="S150" s="5"/>
      <c r="T150" s="5"/>
      <c r="U150" s="5"/>
      <c r="V150" s="5"/>
      <c r="W150" s="5"/>
      <c r="X150" s="5"/>
      <c r="Y150" s="5"/>
    </row>
    <row r="151" spans="9:25" ht="22.5" x14ac:dyDescent="0.2">
      <c r="I151" s="40"/>
      <c r="J151" s="40"/>
      <c r="M151" s="26" t="s">
        <v>54</v>
      </c>
      <c r="N151" s="25" t="s">
        <v>55</v>
      </c>
      <c r="O151" s="26"/>
      <c r="P151" s="26" t="s">
        <v>233</v>
      </c>
      <c r="Q151" s="26"/>
      <c r="R151" s="5"/>
      <c r="S151" s="5"/>
      <c r="T151" s="5"/>
      <c r="U151" s="5"/>
      <c r="V151" s="5"/>
      <c r="W151" s="5"/>
      <c r="X151" s="5"/>
      <c r="Y151" s="5"/>
    </row>
    <row r="152" spans="9:25" ht="22.5" x14ac:dyDescent="0.2">
      <c r="I152" s="40"/>
      <c r="J152" s="40"/>
      <c r="M152" s="26" t="s">
        <v>54</v>
      </c>
      <c r="N152" s="25" t="s">
        <v>55</v>
      </c>
      <c r="O152" s="26"/>
      <c r="P152" s="26" t="s">
        <v>234</v>
      </c>
      <c r="Q152" s="26"/>
      <c r="R152" s="5"/>
      <c r="S152" s="5"/>
      <c r="T152" s="5"/>
      <c r="U152" s="5"/>
      <c r="V152" s="5"/>
      <c r="W152" s="5"/>
      <c r="X152" s="5"/>
      <c r="Y152" s="5"/>
    </row>
    <row r="153" spans="9:25" ht="22.5" x14ac:dyDescent="0.2">
      <c r="I153" s="40"/>
      <c r="J153" s="40"/>
      <c r="M153" s="26" t="s">
        <v>54</v>
      </c>
      <c r="N153" s="25" t="s">
        <v>55</v>
      </c>
      <c r="O153" s="26"/>
      <c r="P153" s="26" t="s">
        <v>235</v>
      </c>
      <c r="Q153" s="26"/>
      <c r="R153" s="5"/>
      <c r="S153" s="5"/>
      <c r="T153" s="5"/>
      <c r="U153" s="5"/>
      <c r="V153" s="5"/>
      <c r="W153" s="5"/>
      <c r="X153" s="5"/>
      <c r="Y153" s="5"/>
    </row>
    <row r="154" spans="9:25" ht="22.5" x14ac:dyDescent="0.2">
      <c r="I154" s="40"/>
      <c r="J154" s="40"/>
      <c r="M154" s="26" t="s">
        <v>54</v>
      </c>
      <c r="N154" s="25" t="s">
        <v>55</v>
      </c>
      <c r="O154" s="26"/>
      <c r="P154" s="26" t="s">
        <v>236</v>
      </c>
      <c r="Q154" s="26"/>
      <c r="R154" s="5"/>
      <c r="S154" s="5"/>
      <c r="T154" s="5"/>
      <c r="U154" s="5"/>
      <c r="V154" s="5"/>
      <c r="W154" s="5"/>
      <c r="X154" s="5"/>
      <c r="Y154" s="5"/>
    </row>
    <row r="155" spans="9:25" ht="22.5" x14ac:dyDescent="0.2">
      <c r="I155" s="40"/>
      <c r="J155" s="40"/>
      <c r="M155" s="26" t="s">
        <v>54</v>
      </c>
      <c r="N155" s="25" t="s">
        <v>55</v>
      </c>
      <c r="O155" s="26"/>
      <c r="P155" s="26" t="s">
        <v>237</v>
      </c>
      <c r="Q155" s="26"/>
      <c r="R155" s="5"/>
      <c r="S155" s="5"/>
      <c r="T155" s="5"/>
      <c r="U155" s="5"/>
      <c r="V155" s="5"/>
      <c r="W155" s="5"/>
      <c r="X155" s="5"/>
      <c r="Y155" s="5"/>
    </row>
    <row r="156" spans="9:25" ht="33.75" x14ac:dyDescent="0.2">
      <c r="I156" s="40"/>
      <c r="J156" s="40"/>
      <c r="M156" s="26" t="s">
        <v>54</v>
      </c>
      <c r="N156" s="25" t="s">
        <v>55</v>
      </c>
      <c r="O156" s="26"/>
      <c r="P156" s="26" t="s">
        <v>238</v>
      </c>
      <c r="Q156" s="26"/>
      <c r="R156" s="5"/>
      <c r="S156" s="5"/>
      <c r="T156" s="5"/>
      <c r="U156" s="5"/>
      <c r="V156" s="5"/>
      <c r="W156" s="5"/>
      <c r="X156" s="5"/>
      <c r="Y156" s="5"/>
    </row>
    <row r="157" spans="9:25" ht="33.75" x14ac:dyDescent="0.2">
      <c r="I157" s="40"/>
      <c r="J157" s="40"/>
      <c r="M157" s="26" t="s">
        <v>54</v>
      </c>
      <c r="N157" s="25" t="s">
        <v>55</v>
      </c>
      <c r="O157" s="26" t="s">
        <v>239</v>
      </c>
      <c r="P157" s="26"/>
      <c r="Q157" s="26"/>
      <c r="R157" s="5"/>
      <c r="S157" s="5"/>
      <c r="T157" s="5"/>
      <c r="U157" s="5"/>
      <c r="V157" s="5"/>
      <c r="W157" s="5"/>
      <c r="X157" s="5"/>
      <c r="Y157" s="5"/>
    </row>
    <row r="158" spans="9:25" ht="22.5" x14ac:dyDescent="0.2">
      <c r="I158" s="40"/>
      <c r="J158" s="40"/>
      <c r="M158" s="26" t="s">
        <v>54</v>
      </c>
      <c r="N158" s="25" t="s">
        <v>77</v>
      </c>
      <c r="O158" s="26" t="s">
        <v>240</v>
      </c>
      <c r="P158" s="26"/>
      <c r="Q158" s="26"/>
      <c r="R158" s="5"/>
      <c r="S158" s="5"/>
      <c r="T158" s="5"/>
      <c r="U158" s="5"/>
      <c r="V158" s="5"/>
      <c r="W158" s="5"/>
      <c r="X158" s="5"/>
      <c r="Y158" s="5"/>
    </row>
    <row r="159" spans="9:25" ht="22.5" x14ac:dyDescent="0.2">
      <c r="I159" s="40"/>
      <c r="J159" s="40"/>
      <c r="M159" s="26" t="s">
        <v>54</v>
      </c>
      <c r="N159" s="25" t="s">
        <v>77</v>
      </c>
      <c r="O159" s="26" t="s">
        <v>240</v>
      </c>
      <c r="P159" s="26"/>
      <c r="Q159" s="26"/>
      <c r="R159" s="5"/>
      <c r="S159" s="5"/>
      <c r="T159" s="5"/>
      <c r="U159" s="5"/>
      <c r="V159" s="5"/>
      <c r="W159" s="5"/>
      <c r="X159" s="5"/>
      <c r="Y159" s="5"/>
    </row>
    <row r="160" spans="9:25" ht="22.5" x14ac:dyDescent="0.2">
      <c r="I160" s="40"/>
      <c r="J160" s="40"/>
      <c r="M160" s="26" t="s">
        <v>54</v>
      </c>
      <c r="N160" s="25" t="s">
        <v>77</v>
      </c>
      <c r="O160" s="26" t="s">
        <v>241</v>
      </c>
      <c r="P160" s="26"/>
      <c r="Q160" s="26"/>
      <c r="R160" s="5"/>
      <c r="S160" s="5"/>
      <c r="T160" s="5"/>
      <c r="U160" s="5"/>
      <c r="V160" s="5"/>
      <c r="W160" s="5"/>
      <c r="X160" s="5"/>
      <c r="Y160" s="5"/>
    </row>
    <row r="161" spans="9:25" ht="22.5" x14ac:dyDescent="0.2">
      <c r="I161" s="40"/>
      <c r="J161" s="40"/>
      <c r="M161" s="26" t="s">
        <v>54</v>
      </c>
      <c r="N161" s="25" t="s">
        <v>77</v>
      </c>
      <c r="O161" s="26" t="s">
        <v>242</v>
      </c>
      <c r="P161" s="26"/>
      <c r="Q161" s="26"/>
      <c r="R161" s="5"/>
      <c r="S161" s="5"/>
      <c r="T161" s="5"/>
      <c r="U161" s="5"/>
      <c r="V161" s="5"/>
      <c r="W161" s="5"/>
      <c r="X161" s="5"/>
      <c r="Y161" s="5"/>
    </row>
    <row r="162" spans="9:25" ht="22.5" x14ac:dyDescent="0.2">
      <c r="I162" s="40"/>
      <c r="J162" s="40"/>
      <c r="M162" s="26" t="s">
        <v>54</v>
      </c>
      <c r="N162" s="25" t="s">
        <v>77</v>
      </c>
      <c r="O162" s="26" t="s">
        <v>242</v>
      </c>
      <c r="P162" s="26"/>
      <c r="Q162" s="26"/>
      <c r="R162" s="5"/>
      <c r="S162" s="5"/>
      <c r="T162" s="5"/>
      <c r="U162" s="5"/>
      <c r="V162" s="5"/>
      <c r="W162" s="5"/>
      <c r="X162" s="5"/>
      <c r="Y162" s="5"/>
    </row>
    <row r="163" spans="9:25" ht="22.5" x14ac:dyDescent="0.2">
      <c r="I163" s="40"/>
      <c r="J163" s="40"/>
      <c r="M163" s="26" t="s">
        <v>54</v>
      </c>
      <c r="N163" s="25" t="s">
        <v>55</v>
      </c>
      <c r="O163" s="26" t="s">
        <v>243</v>
      </c>
      <c r="P163" s="26"/>
      <c r="Q163" s="26"/>
      <c r="R163" s="5"/>
      <c r="S163" s="5"/>
      <c r="T163" s="5"/>
      <c r="U163" s="5"/>
      <c r="V163" s="5"/>
      <c r="W163" s="5"/>
      <c r="X163" s="5"/>
      <c r="Y163" s="5"/>
    </row>
    <row r="164" spans="9:25" ht="22.5" x14ac:dyDescent="0.2">
      <c r="I164" s="40"/>
      <c r="J164" s="40"/>
      <c r="M164" s="26" t="s">
        <v>54</v>
      </c>
      <c r="N164" s="25" t="s">
        <v>55</v>
      </c>
      <c r="O164" s="26" t="s">
        <v>243</v>
      </c>
      <c r="P164" s="26"/>
      <c r="Q164" s="26"/>
      <c r="R164" s="5"/>
      <c r="S164" s="5"/>
      <c r="T164" s="5"/>
      <c r="U164" s="5"/>
      <c r="V164" s="5"/>
      <c r="W164" s="5"/>
      <c r="X164" s="5"/>
      <c r="Y164" s="5"/>
    </row>
    <row r="165" spans="9:25" ht="22.5" x14ac:dyDescent="0.2">
      <c r="I165" s="40"/>
      <c r="J165" s="40"/>
      <c r="M165" s="26" t="s">
        <v>54</v>
      </c>
      <c r="N165" s="25" t="s">
        <v>55</v>
      </c>
      <c r="O165" s="26" t="s">
        <v>244</v>
      </c>
      <c r="P165" s="26"/>
      <c r="Q165" s="26"/>
      <c r="R165" s="5"/>
      <c r="S165" s="5"/>
      <c r="T165" s="5"/>
      <c r="U165" s="5"/>
      <c r="V165" s="5"/>
      <c r="W165" s="5"/>
      <c r="X165" s="5"/>
      <c r="Y165" s="5"/>
    </row>
    <row r="166" spans="9:25" ht="22.5" x14ac:dyDescent="0.2">
      <c r="I166" s="40"/>
      <c r="J166" s="40"/>
      <c r="M166" s="26" t="s">
        <v>54</v>
      </c>
      <c r="N166" s="25" t="s">
        <v>55</v>
      </c>
      <c r="O166" s="26" t="s">
        <v>245</v>
      </c>
      <c r="P166" s="26"/>
      <c r="Q166" s="26"/>
      <c r="R166" s="5"/>
      <c r="S166" s="5"/>
      <c r="T166" s="5"/>
      <c r="U166" s="5"/>
      <c r="V166" s="5"/>
      <c r="W166" s="5"/>
      <c r="X166" s="5"/>
      <c r="Y166" s="5"/>
    </row>
    <row r="167" spans="9:25" ht="22.5" x14ac:dyDescent="0.2">
      <c r="I167" s="40"/>
      <c r="J167" s="40"/>
      <c r="M167" s="26" t="s">
        <v>54</v>
      </c>
      <c r="N167" s="25" t="s">
        <v>55</v>
      </c>
      <c r="O167" s="26" t="s">
        <v>245</v>
      </c>
      <c r="P167" s="26"/>
      <c r="Q167" s="26"/>
      <c r="R167" s="5"/>
      <c r="S167" s="5"/>
      <c r="T167" s="5"/>
      <c r="U167" s="5"/>
      <c r="V167" s="5"/>
      <c r="W167" s="5"/>
      <c r="X167" s="5"/>
      <c r="Y167" s="5"/>
    </row>
    <row r="168" spans="9:25" ht="22.5" x14ac:dyDescent="0.2">
      <c r="I168" s="40"/>
      <c r="J168" s="40"/>
      <c r="M168" s="26" t="s">
        <v>54</v>
      </c>
      <c r="N168" s="25" t="s">
        <v>51</v>
      </c>
      <c r="O168" s="26" t="s">
        <v>246</v>
      </c>
      <c r="P168" s="26"/>
      <c r="Q168" s="26"/>
      <c r="R168" s="5"/>
      <c r="S168" s="5"/>
      <c r="T168" s="5"/>
      <c r="U168" s="5"/>
      <c r="V168" s="5"/>
      <c r="W168" s="5"/>
      <c r="X168" s="5"/>
      <c r="Y168" s="5"/>
    </row>
    <row r="169" spans="9:25" ht="56.25" x14ac:dyDescent="0.2">
      <c r="I169" s="40"/>
      <c r="J169" s="40"/>
      <c r="M169" s="26" t="s">
        <v>54</v>
      </c>
      <c r="N169" s="25" t="s">
        <v>55</v>
      </c>
      <c r="O169" s="26"/>
      <c r="P169" s="26" t="s">
        <v>107</v>
      </c>
      <c r="Q169" s="26"/>
      <c r="R169" s="5"/>
      <c r="S169" s="5"/>
      <c r="T169" s="5"/>
      <c r="U169" s="5"/>
      <c r="V169" s="5"/>
      <c r="W169" s="5"/>
      <c r="X169" s="5"/>
      <c r="Y169" s="5"/>
    </row>
    <row r="170" spans="9:25" ht="56.25" x14ac:dyDescent="0.2">
      <c r="I170" s="40"/>
      <c r="J170" s="40"/>
      <c r="M170" s="26" t="s">
        <v>54</v>
      </c>
      <c r="N170" s="25" t="s">
        <v>55</v>
      </c>
      <c r="O170" s="26"/>
      <c r="P170" s="26" t="s">
        <v>247</v>
      </c>
      <c r="Q170" s="26"/>
      <c r="R170" s="5"/>
      <c r="S170" s="5"/>
      <c r="T170" s="5"/>
      <c r="U170" s="5"/>
      <c r="V170" s="5"/>
      <c r="W170" s="5"/>
      <c r="X170" s="5"/>
      <c r="Y170" s="5"/>
    </row>
    <row r="171" spans="9:25" ht="56.25" x14ac:dyDescent="0.2">
      <c r="I171" s="40"/>
      <c r="J171" s="40"/>
      <c r="M171" s="26" t="s">
        <v>54</v>
      </c>
      <c r="N171" s="25" t="s">
        <v>55</v>
      </c>
      <c r="O171" s="26"/>
      <c r="P171" s="26" t="s">
        <v>248</v>
      </c>
      <c r="Q171" s="26"/>
      <c r="R171" s="5"/>
      <c r="S171" s="5"/>
      <c r="T171" s="5"/>
      <c r="U171" s="5"/>
      <c r="V171" s="5"/>
      <c r="W171" s="5"/>
      <c r="X171" s="5"/>
      <c r="Y171" s="5"/>
    </row>
    <row r="172" spans="9:25" ht="56.25" x14ac:dyDescent="0.2">
      <c r="I172" s="40"/>
      <c r="J172" s="40"/>
      <c r="M172" s="26" t="s">
        <v>54</v>
      </c>
      <c r="N172" s="25" t="s">
        <v>55</v>
      </c>
      <c r="O172" s="26"/>
      <c r="P172" s="26" t="s">
        <v>249</v>
      </c>
      <c r="Q172" s="26"/>
      <c r="R172" s="5"/>
      <c r="S172" s="5"/>
      <c r="T172" s="5"/>
      <c r="U172" s="5"/>
      <c r="V172" s="5"/>
      <c r="W172" s="5"/>
      <c r="X172" s="5"/>
      <c r="Y172" s="5"/>
    </row>
    <row r="173" spans="9:25" ht="33.75" x14ac:dyDescent="0.2">
      <c r="I173" s="40"/>
      <c r="J173" s="40"/>
      <c r="M173" s="26" t="s">
        <v>54</v>
      </c>
      <c r="N173" s="25" t="s">
        <v>55</v>
      </c>
      <c r="O173" s="26"/>
      <c r="P173" s="26" t="s">
        <v>113</v>
      </c>
      <c r="Q173" s="26"/>
      <c r="R173" s="5"/>
      <c r="S173" s="5"/>
      <c r="T173" s="5"/>
      <c r="U173" s="5"/>
      <c r="V173" s="5"/>
      <c r="W173" s="5"/>
      <c r="X173" s="5"/>
      <c r="Y173" s="5"/>
    </row>
    <row r="174" spans="9:25" ht="33.75" x14ac:dyDescent="0.2">
      <c r="I174" s="40"/>
      <c r="J174" s="40"/>
      <c r="M174" s="26" t="s">
        <v>54</v>
      </c>
      <c r="N174" s="25" t="s">
        <v>55</v>
      </c>
      <c r="O174" s="26"/>
      <c r="P174" s="26" t="s">
        <v>250</v>
      </c>
      <c r="Q174" s="26"/>
      <c r="R174" s="5"/>
      <c r="S174" s="5"/>
      <c r="T174" s="5"/>
      <c r="U174" s="5"/>
      <c r="V174" s="5"/>
      <c r="W174" s="5"/>
      <c r="X174" s="5"/>
      <c r="Y174" s="5"/>
    </row>
    <row r="175" spans="9:25" ht="56.25" x14ac:dyDescent="0.2">
      <c r="I175" s="40"/>
      <c r="J175" s="40"/>
      <c r="M175" s="26" t="s">
        <v>54</v>
      </c>
      <c r="N175" s="25" t="s">
        <v>55</v>
      </c>
      <c r="O175" s="26"/>
      <c r="P175" s="26" t="s">
        <v>251</v>
      </c>
      <c r="Q175" s="26"/>
      <c r="R175" s="5"/>
      <c r="S175" s="5"/>
      <c r="T175" s="5"/>
      <c r="U175" s="5"/>
      <c r="V175" s="5"/>
      <c r="W175" s="5"/>
      <c r="X175" s="5"/>
      <c r="Y175" s="5"/>
    </row>
    <row r="176" spans="9:25" ht="33.75" x14ac:dyDescent="0.2">
      <c r="I176" s="40"/>
      <c r="J176" s="40"/>
      <c r="M176" s="26" t="s">
        <v>54</v>
      </c>
      <c r="N176" s="25" t="s">
        <v>55</v>
      </c>
      <c r="O176" s="26"/>
      <c r="P176" s="26" t="s">
        <v>120</v>
      </c>
      <c r="Q176" s="26"/>
      <c r="R176" s="5"/>
      <c r="S176" s="5"/>
      <c r="T176" s="5"/>
      <c r="U176" s="5"/>
      <c r="V176" s="5"/>
      <c r="W176" s="5"/>
      <c r="X176" s="5"/>
      <c r="Y176" s="5"/>
    </row>
    <row r="177" spans="9:25" ht="33.75" x14ac:dyDescent="0.2">
      <c r="I177" s="40"/>
      <c r="J177" s="40"/>
      <c r="M177" s="26" t="s">
        <v>54</v>
      </c>
      <c r="N177" s="25" t="s">
        <v>55</v>
      </c>
      <c r="O177" s="26"/>
      <c r="P177" s="26" t="s">
        <v>120</v>
      </c>
      <c r="Q177" s="26"/>
      <c r="R177" s="5"/>
      <c r="S177" s="5"/>
      <c r="T177" s="5"/>
      <c r="U177" s="5"/>
      <c r="V177" s="5"/>
      <c r="W177" s="5"/>
      <c r="X177" s="5"/>
      <c r="Y177" s="5"/>
    </row>
    <row r="178" spans="9:25" ht="33.75" x14ac:dyDescent="0.2">
      <c r="I178" s="40"/>
      <c r="J178" s="40"/>
      <c r="M178" s="26" t="s">
        <v>54</v>
      </c>
      <c r="N178" s="25" t="s">
        <v>55</v>
      </c>
      <c r="O178" s="26"/>
      <c r="P178" s="26" t="s">
        <v>252</v>
      </c>
      <c r="Q178" s="26"/>
      <c r="R178" s="5"/>
      <c r="S178" s="5"/>
      <c r="T178" s="5"/>
      <c r="U178" s="5"/>
      <c r="V178" s="5"/>
      <c r="W178" s="5"/>
      <c r="X178" s="5"/>
      <c r="Y178" s="5"/>
    </row>
    <row r="179" spans="9:25" ht="33.75" x14ac:dyDescent="0.2">
      <c r="I179" s="40"/>
      <c r="J179" s="40"/>
      <c r="M179" s="26" t="s">
        <v>54</v>
      </c>
      <c r="N179" s="25" t="s">
        <v>55</v>
      </c>
      <c r="O179" s="26" t="s">
        <v>150</v>
      </c>
      <c r="P179" s="26"/>
      <c r="Q179" s="26"/>
      <c r="R179" s="5"/>
      <c r="S179" s="5"/>
      <c r="T179" s="5"/>
      <c r="U179" s="5"/>
      <c r="V179" s="5"/>
      <c r="W179" s="5"/>
      <c r="X179" s="5"/>
      <c r="Y179" s="5"/>
    </row>
    <row r="180" spans="9:25" ht="33.75" x14ac:dyDescent="0.2">
      <c r="I180" s="40"/>
      <c r="J180" s="40"/>
      <c r="M180" s="26" t="s">
        <v>54</v>
      </c>
      <c r="N180" s="25" t="s">
        <v>55</v>
      </c>
      <c r="O180" s="26" t="s">
        <v>150</v>
      </c>
      <c r="P180" s="26"/>
      <c r="Q180" s="26"/>
      <c r="R180" s="5"/>
      <c r="S180" s="5"/>
      <c r="T180" s="5"/>
      <c r="U180" s="5"/>
      <c r="V180" s="5"/>
      <c r="W180" s="5"/>
      <c r="X180" s="5"/>
      <c r="Y180" s="5"/>
    </row>
    <row r="181" spans="9:25" ht="22.5" x14ac:dyDescent="0.2">
      <c r="I181" s="40"/>
      <c r="J181" s="40"/>
      <c r="M181" s="26" t="s">
        <v>54</v>
      </c>
      <c r="N181" s="25" t="s">
        <v>51</v>
      </c>
      <c r="O181" s="26" t="s">
        <v>253</v>
      </c>
      <c r="P181" s="26"/>
      <c r="Q181" s="26"/>
      <c r="R181" s="5"/>
      <c r="S181" s="5"/>
      <c r="T181" s="5"/>
      <c r="U181" s="5"/>
      <c r="V181" s="5"/>
      <c r="W181" s="5"/>
      <c r="X181" s="5"/>
      <c r="Y181" s="5"/>
    </row>
    <row r="182" spans="9:25" ht="22.5" x14ac:dyDescent="0.2">
      <c r="I182" s="40"/>
      <c r="J182" s="40"/>
      <c r="M182" s="26" t="s">
        <v>54</v>
      </c>
      <c r="N182" s="25" t="s">
        <v>55</v>
      </c>
      <c r="O182" s="26"/>
      <c r="P182" s="26" t="s">
        <v>254</v>
      </c>
      <c r="Q182" s="26"/>
      <c r="R182" s="5"/>
      <c r="S182" s="5"/>
      <c r="T182" s="5"/>
      <c r="U182" s="5"/>
      <c r="V182" s="5"/>
      <c r="W182" s="5"/>
      <c r="X182" s="5"/>
      <c r="Y182" s="5"/>
    </row>
    <row r="183" spans="9:25" ht="22.5" x14ac:dyDescent="0.2">
      <c r="I183" s="40"/>
      <c r="J183" s="40"/>
      <c r="M183" s="26" t="s">
        <v>54</v>
      </c>
      <c r="N183" s="25" t="s">
        <v>51</v>
      </c>
      <c r="O183" s="26" t="s">
        <v>255</v>
      </c>
      <c r="P183" s="26"/>
      <c r="Q183" s="26"/>
      <c r="R183" s="5"/>
      <c r="S183" s="5"/>
      <c r="T183" s="5"/>
      <c r="U183" s="5"/>
      <c r="V183" s="5"/>
      <c r="W183" s="5"/>
      <c r="X183" s="5"/>
      <c r="Y183" s="5"/>
    </row>
    <row r="184" spans="9:25" ht="22.5" x14ac:dyDescent="0.2">
      <c r="I184" s="40"/>
      <c r="J184" s="40"/>
      <c r="M184" s="26" t="s">
        <v>54</v>
      </c>
      <c r="N184" s="25" t="s">
        <v>55</v>
      </c>
      <c r="O184" s="26"/>
      <c r="P184" s="26" t="s">
        <v>256</v>
      </c>
      <c r="Q184" s="26"/>
      <c r="R184" s="5"/>
      <c r="S184" s="5"/>
      <c r="T184" s="5"/>
      <c r="U184" s="5"/>
      <c r="V184" s="5"/>
      <c r="W184" s="5"/>
      <c r="X184" s="5"/>
      <c r="Y184" s="5"/>
    </row>
    <row r="185" spans="9:25" ht="22.5" x14ac:dyDescent="0.2">
      <c r="I185" s="40"/>
      <c r="J185" s="40"/>
      <c r="M185" s="26" t="s">
        <v>54</v>
      </c>
      <c r="N185" s="25" t="s">
        <v>55</v>
      </c>
      <c r="O185" s="26"/>
      <c r="P185" s="26" t="s">
        <v>257</v>
      </c>
      <c r="Q185" s="26"/>
      <c r="R185" s="5"/>
      <c r="S185" s="5"/>
      <c r="T185" s="5"/>
      <c r="U185" s="5"/>
      <c r="V185" s="5"/>
      <c r="W185" s="5"/>
      <c r="X185" s="5"/>
      <c r="Y185" s="5"/>
    </row>
    <row r="186" spans="9:25" ht="22.5" x14ac:dyDescent="0.2">
      <c r="I186" s="40"/>
      <c r="J186" s="40"/>
      <c r="M186" s="26" t="s">
        <v>54</v>
      </c>
      <c r="N186" s="25" t="s">
        <v>51</v>
      </c>
      <c r="O186" s="26" t="s">
        <v>258</v>
      </c>
      <c r="P186" s="26"/>
      <c r="Q186" s="26"/>
      <c r="R186" s="5"/>
      <c r="S186" s="5"/>
      <c r="T186" s="5"/>
      <c r="U186" s="5"/>
      <c r="V186" s="5"/>
      <c r="W186" s="5"/>
      <c r="X186" s="5"/>
      <c r="Y186" s="5"/>
    </row>
    <row r="187" spans="9:25" ht="33.75" x14ac:dyDescent="0.2">
      <c r="I187" s="40"/>
      <c r="J187" s="40"/>
      <c r="M187" s="26" t="s">
        <v>54</v>
      </c>
      <c r="N187" s="25" t="s">
        <v>55</v>
      </c>
      <c r="O187" s="26" t="s">
        <v>259</v>
      </c>
      <c r="P187" s="26"/>
      <c r="Q187" s="26"/>
      <c r="R187" s="5"/>
      <c r="S187" s="5"/>
      <c r="T187" s="5"/>
      <c r="U187" s="5"/>
      <c r="V187" s="5"/>
      <c r="W187" s="5"/>
      <c r="X187" s="5"/>
      <c r="Y187" s="5"/>
    </row>
    <row r="188" spans="9:25" ht="22.5" x14ac:dyDescent="0.2">
      <c r="I188" s="40"/>
      <c r="J188" s="40"/>
      <c r="M188" s="26" t="s">
        <v>54</v>
      </c>
      <c r="N188" s="25" t="s">
        <v>51</v>
      </c>
      <c r="O188" s="26" t="s">
        <v>260</v>
      </c>
      <c r="P188" s="26"/>
      <c r="Q188" s="26"/>
      <c r="R188" s="5"/>
      <c r="S188" s="5"/>
      <c r="T188" s="5"/>
      <c r="U188" s="5"/>
      <c r="V188" s="5"/>
      <c r="W188" s="5"/>
      <c r="X188" s="5"/>
      <c r="Y188" s="5"/>
    </row>
    <row r="189" spans="9:25" ht="22.5" x14ac:dyDescent="0.2">
      <c r="I189" s="40"/>
      <c r="J189" s="40"/>
      <c r="M189" s="26" t="s">
        <v>54</v>
      </c>
      <c r="N189" s="25" t="s">
        <v>55</v>
      </c>
      <c r="O189" s="26"/>
      <c r="P189" s="26" t="s">
        <v>261</v>
      </c>
      <c r="Q189" s="26"/>
      <c r="R189" s="5"/>
      <c r="S189" s="5"/>
      <c r="T189" s="5"/>
      <c r="U189" s="5"/>
      <c r="V189" s="5"/>
      <c r="W189" s="5"/>
      <c r="X189" s="5"/>
      <c r="Y189" s="5"/>
    </row>
    <row r="190" spans="9:25" ht="22.5" x14ac:dyDescent="0.2">
      <c r="I190" s="40"/>
      <c r="J190" s="40"/>
      <c r="M190" s="26" t="s">
        <v>54</v>
      </c>
      <c r="N190" s="25" t="s">
        <v>55</v>
      </c>
      <c r="O190" s="26"/>
      <c r="P190" s="26" t="s">
        <v>262</v>
      </c>
      <c r="Q190" s="26"/>
      <c r="R190" s="5"/>
      <c r="S190" s="5"/>
      <c r="T190" s="5"/>
      <c r="U190" s="5"/>
      <c r="V190" s="5"/>
      <c r="W190" s="5"/>
      <c r="X190" s="5"/>
      <c r="Y190" s="5"/>
    </row>
    <row r="191" spans="9:25" ht="22.5" x14ac:dyDescent="0.2">
      <c r="I191" s="40"/>
      <c r="J191" s="40"/>
      <c r="M191" s="26" t="s">
        <v>54</v>
      </c>
      <c r="N191" s="25" t="s">
        <v>55</v>
      </c>
      <c r="O191" s="26"/>
      <c r="P191" s="26" t="s">
        <v>263</v>
      </c>
      <c r="Q191" s="26"/>
      <c r="R191" s="5"/>
      <c r="S191" s="5"/>
      <c r="T191" s="5"/>
      <c r="U191" s="5"/>
      <c r="V191" s="5"/>
      <c r="W191" s="5"/>
      <c r="X191" s="5"/>
      <c r="Y191" s="5"/>
    </row>
    <row r="192" spans="9:25" ht="45" x14ac:dyDescent="0.2">
      <c r="I192" s="40"/>
      <c r="J192" s="40"/>
      <c r="M192" s="26" t="s">
        <v>54</v>
      </c>
      <c r="N192" s="25" t="s">
        <v>51</v>
      </c>
      <c r="O192" s="26" t="s">
        <v>264</v>
      </c>
      <c r="P192" s="26"/>
      <c r="Q192" s="26"/>
      <c r="R192" s="5"/>
      <c r="S192" s="5"/>
      <c r="T192" s="5"/>
      <c r="U192" s="5"/>
      <c r="V192" s="5"/>
      <c r="W192" s="5"/>
      <c r="X192" s="5"/>
      <c r="Y192" s="5"/>
    </row>
    <row r="193" spans="9:25" ht="78.75" x14ac:dyDescent="0.2">
      <c r="I193" s="40"/>
      <c r="J193" s="40"/>
      <c r="M193" s="26" t="s">
        <v>54</v>
      </c>
      <c r="N193" s="25" t="s">
        <v>51</v>
      </c>
      <c r="O193" s="26" t="s">
        <v>265</v>
      </c>
      <c r="P193" s="26"/>
      <c r="Q193" s="26"/>
      <c r="R193" s="5"/>
      <c r="S193" s="5"/>
      <c r="T193" s="5"/>
      <c r="U193" s="5"/>
      <c r="V193" s="5"/>
      <c r="W193" s="5"/>
      <c r="X193" s="5"/>
      <c r="Y193" s="5"/>
    </row>
    <row r="194" spans="9:25" ht="22.5" x14ac:dyDescent="0.2">
      <c r="I194" s="40"/>
      <c r="J194" s="40"/>
      <c r="M194" s="26" t="s">
        <v>54</v>
      </c>
      <c r="N194" s="25" t="s">
        <v>51</v>
      </c>
      <c r="O194" s="26" t="s">
        <v>266</v>
      </c>
      <c r="P194" s="26"/>
      <c r="Q194" s="26"/>
      <c r="R194" s="5"/>
      <c r="S194" s="5"/>
      <c r="T194" s="5"/>
      <c r="U194" s="5"/>
      <c r="V194" s="5"/>
      <c r="W194" s="5"/>
      <c r="X194" s="5"/>
      <c r="Y194" s="5"/>
    </row>
    <row r="195" spans="9:25" ht="45" x14ac:dyDescent="0.2">
      <c r="I195" s="40"/>
      <c r="J195" s="40"/>
      <c r="M195" s="26" t="s">
        <v>54</v>
      </c>
      <c r="N195" s="25" t="s">
        <v>55</v>
      </c>
      <c r="O195" s="26"/>
      <c r="P195" s="26" t="s">
        <v>267</v>
      </c>
      <c r="Q195" s="26"/>
      <c r="R195" s="5"/>
      <c r="S195" s="5"/>
      <c r="T195" s="5"/>
      <c r="U195" s="5"/>
      <c r="V195" s="5"/>
      <c r="W195" s="5"/>
      <c r="X195" s="5"/>
      <c r="Y195" s="5"/>
    </row>
    <row r="196" spans="9:25" ht="22.5" x14ac:dyDescent="0.2">
      <c r="I196" s="40"/>
      <c r="J196" s="40"/>
      <c r="M196" s="26" t="s">
        <v>54</v>
      </c>
      <c r="N196" s="25" t="s">
        <v>51</v>
      </c>
      <c r="O196" s="26" t="s">
        <v>268</v>
      </c>
      <c r="P196" s="26"/>
      <c r="Q196" s="26"/>
      <c r="R196" s="5"/>
      <c r="S196" s="5"/>
      <c r="T196" s="5"/>
      <c r="U196" s="5"/>
      <c r="V196" s="5"/>
      <c r="W196" s="5"/>
      <c r="X196" s="5"/>
      <c r="Y196" s="5"/>
    </row>
    <row r="197" spans="9:25" ht="56.25" x14ac:dyDescent="0.2">
      <c r="I197" s="40"/>
      <c r="J197" s="40"/>
      <c r="M197" s="26" t="s">
        <v>54</v>
      </c>
      <c r="N197" s="25" t="s">
        <v>55</v>
      </c>
      <c r="O197" s="26"/>
      <c r="P197" s="26" t="s">
        <v>269</v>
      </c>
      <c r="Q197" s="26"/>
      <c r="R197" s="5"/>
      <c r="S197" s="5"/>
      <c r="T197" s="5"/>
      <c r="U197" s="5"/>
      <c r="V197" s="5"/>
      <c r="W197" s="5"/>
      <c r="X197" s="5"/>
      <c r="Y197" s="5"/>
    </row>
    <row r="198" spans="9:25" ht="33.75" x14ac:dyDescent="0.2">
      <c r="I198" s="40"/>
      <c r="J198" s="40"/>
      <c r="M198" s="26" t="s">
        <v>54</v>
      </c>
      <c r="N198" s="25" t="s">
        <v>55</v>
      </c>
      <c r="O198" s="26"/>
      <c r="P198" s="26" t="s">
        <v>270</v>
      </c>
      <c r="Q198" s="26"/>
      <c r="R198" s="5"/>
      <c r="S198" s="5"/>
      <c r="T198" s="5"/>
      <c r="U198" s="5"/>
      <c r="V198" s="5"/>
      <c r="W198" s="5"/>
      <c r="X198" s="5"/>
      <c r="Y198" s="5"/>
    </row>
    <row r="199" spans="9:25" ht="22.5" x14ac:dyDescent="0.2">
      <c r="I199" s="40"/>
      <c r="J199" s="40"/>
      <c r="M199" s="26" t="s">
        <v>54</v>
      </c>
      <c r="N199" s="25" t="s">
        <v>51</v>
      </c>
      <c r="O199" s="26" t="s">
        <v>271</v>
      </c>
      <c r="P199" s="26"/>
      <c r="Q199" s="26"/>
      <c r="R199" s="5"/>
      <c r="S199" s="5"/>
      <c r="T199" s="5"/>
      <c r="U199" s="5"/>
      <c r="V199" s="5"/>
      <c r="W199" s="5"/>
      <c r="X199" s="5"/>
      <c r="Y199" s="5"/>
    </row>
    <row r="200" spans="9:25" ht="56.25" x14ac:dyDescent="0.2">
      <c r="I200" s="40"/>
      <c r="J200" s="40"/>
      <c r="M200" s="26" t="s">
        <v>54</v>
      </c>
      <c r="N200" s="25" t="s">
        <v>55</v>
      </c>
      <c r="O200" s="26"/>
      <c r="P200" s="26" t="s">
        <v>272</v>
      </c>
      <c r="Q200" s="26"/>
      <c r="R200" s="5"/>
      <c r="S200" s="5"/>
      <c r="T200" s="5"/>
      <c r="U200" s="5"/>
      <c r="V200" s="5"/>
      <c r="W200" s="5"/>
      <c r="X200" s="5"/>
      <c r="Y200" s="5"/>
    </row>
    <row r="201" spans="9:25" ht="22.5" x14ac:dyDescent="0.2">
      <c r="I201" s="40"/>
      <c r="J201" s="40"/>
      <c r="M201" s="26" t="s">
        <v>54</v>
      </c>
      <c r="N201" s="25" t="s">
        <v>55</v>
      </c>
      <c r="O201" s="26" t="s">
        <v>273</v>
      </c>
      <c r="P201" s="26"/>
      <c r="Q201" s="26"/>
      <c r="R201" s="5"/>
      <c r="S201" s="5"/>
      <c r="T201" s="5"/>
      <c r="U201" s="5"/>
      <c r="V201" s="5"/>
      <c r="W201" s="5"/>
      <c r="X201" s="5"/>
      <c r="Y201" s="5"/>
    </row>
    <row r="202" spans="9:25" ht="22.5" x14ac:dyDescent="0.2">
      <c r="I202" s="40"/>
      <c r="J202" s="40"/>
      <c r="M202" s="26" t="s">
        <v>54</v>
      </c>
      <c r="N202" s="25" t="s">
        <v>55</v>
      </c>
      <c r="O202" s="26" t="s">
        <v>274</v>
      </c>
      <c r="P202" s="26"/>
      <c r="Q202" s="26"/>
      <c r="R202" s="5"/>
      <c r="S202" s="5"/>
      <c r="T202" s="5"/>
      <c r="U202" s="5"/>
      <c r="V202" s="5"/>
      <c r="W202" s="5"/>
      <c r="X202" s="5"/>
      <c r="Y202" s="5"/>
    </row>
    <row r="203" spans="9:25" ht="22.5" x14ac:dyDescent="0.2">
      <c r="I203" s="40"/>
      <c r="J203" s="40"/>
      <c r="M203" s="26" t="s">
        <v>54</v>
      </c>
      <c r="N203" s="25" t="s">
        <v>55</v>
      </c>
      <c r="O203" s="26" t="s">
        <v>275</v>
      </c>
      <c r="P203" s="26"/>
      <c r="Q203" s="26"/>
      <c r="R203" s="5"/>
      <c r="S203" s="5"/>
      <c r="T203" s="5"/>
      <c r="U203" s="5"/>
      <c r="V203" s="5"/>
      <c r="W203" s="5"/>
      <c r="X203" s="5"/>
      <c r="Y203" s="5"/>
    </row>
    <row r="204" spans="9:25" ht="22.5" x14ac:dyDescent="0.2">
      <c r="I204" s="40"/>
      <c r="J204" s="40"/>
      <c r="M204" s="26" t="s">
        <v>54</v>
      </c>
      <c r="N204" s="25" t="s">
        <v>51</v>
      </c>
      <c r="O204" s="26" t="s">
        <v>276</v>
      </c>
      <c r="P204" s="26"/>
      <c r="Q204" s="26"/>
      <c r="R204" s="5"/>
      <c r="S204" s="5"/>
      <c r="T204" s="5"/>
      <c r="U204" s="5"/>
      <c r="V204" s="5"/>
      <c r="W204" s="5"/>
      <c r="X204" s="5"/>
      <c r="Y204" s="5"/>
    </row>
    <row r="205" spans="9:25" ht="33.75" x14ac:dyDescent="0.2">
      <c r="I205" s="40"/>
      <c r="J205" s="40"/>
      <c r="M205" s="26" t="s">
        <v>54</v>
      </c>
      <c r="N205" s="25" t="s">
        <v>55</v>
      </c>
      <c r="O205" s="26"/>
      <c r="P205" s="26" t="s">
        <v>238</v>
      </c>
      <c r="Q205" s="26"/>
      <c r="R205" s="5"/>
      <c r="S205" s="5"/>
      <c r="T205" s="5"/>
      <c r="U205" s="5"/>
      <c r="V205" s="5"/>
      <c r="W205" s="5"/>
      <c r="X205" s="5"/>
      <c r="Y205" s="5"/>
    </row>
    <row r="206" spans="9:25" ht="22.5" x14ac:dyDescent="0.2">
      <c r="I206" s="40"/>
      <c r="J206" s="40"/>
      <c r="M206" s="26" t="s">
        <v>54</v>
      </c>
      <c r="N206" s="25" t="s">
        <v>55</v>
      </c>
      <c r="O206" s="26"/>
      <c r="P206" s="26" t="s">
        <v>277</v>
      </c>
      <c r="Q206" s="26"/>
      <c r="R206" s="5"/>
      <c r="S206" s="5"/>
      <c r="T206" s="5"/>
      <c r="U206" s="5"/>
      <c r="V206" s="5"/>
      <c r="W206" s="5"/>
      <c r="X206" s="5"/>
      <c r="Y206" s="5"/>
    </row>
    <row r="207" spans="9:25" ht="22.5" x14ac:dyDescent="0.2">
      <c r="I207" s="40"/>
      <c r="J207" s="40"/>
      <c r="M207" s="26" t="s">
        <v>54</v>
      </c>
      <c r="N207" s="25" t="s">
        <v>51</v>
      </c>
      <c r="O207" s="26" t="s">
        <v>278</v>
      </c>
      <c r="P207" s="26"/>
      <c r="Q207" s="26"/>
      <c r="R207" s="5"/>
      <c r="S207" s="5"/>
      <c r="T207" s="5"/>
      <c r="U207" s="5"/>
      <c r="V207" s="5"/>
      <c r="W207" s="5"/>
      <c r="X207" s="5"/>
      <c r="Y207" s="5"/>
    </row>
    <row r="208" spans="9:25" ht="22.5" x14ac:dyDescent="0.2">
      <c r="I208" s="40"/>
      <c r="J208" s="40"/>
      <c r="M208" s="26" t="s">
        <v>54</v>
      </c>
      <c r="N208" s="25" t="s">
        <v>55</v>
      </c>
      <c r="O208" s="26"/>
      <c r="P208" s="26" t="s">
        <v>279</v>
      </c>
      <c r="Q208" s="26"/>
      <c r="R208" s="5"/>
      <c r="S208" s="5"/>
      <c r="T208" s="5"/>
      <c r="U208" s="5"/>
      <c r="V208" s="5"/>
      <c r="W208" s="5"/>
      <c r="X208" s="5"/>
      <c r="Y208" s="5"/>
    </row>
    <row r="209" spans="9:25" ht="22.5" x14ac:dyDescent="0.2">
      <c r="I209" s="40"/>
      <c r="J209" s="40"/>
      <c r="M209" s="26" t="s">
        <v>54</v>
      </c>
      <c r="N209" s="25" t="s">
        <v>51</v>
      </c>
      <c r="O209" s="26" t="s">
        <v>280</v>
      </c>
      <c r="P209" s="26"/>
      <c r="Q209" s="26"/>
      <c r="R209" s="5"/>
      <c r="S209" s="5"/>
      <c r="T209" s="5"/>
      <c r="U209" s="5"/>
      <c r="V209" s="5"/>
      <c r="W209" s="5"/>
      <c r="X209" s="5"/>
      <c r="Y209" s="5"/>
    </row>
    <row r="210" spans="9:25" ht="22.5" x14ac:dyDescent="0.2">
      <c r="I210" s="40"/>
      <c r="J210" s="40"/>
      <c r="M210" s="26" t="s">
        <v>54</v>
      </c>
      <c r="N210" s="25" t="s">
        <v>55</v>
      </c>
      <c r="O210" s="26"/>
      <c r="P210" s="26" t="s">
        <v>281</v>
      </c>
      <c r="Q210" s="26"/>
      <c r="R210" s="5"/>
      <c r="S210" s="5"/>
      <c r="T210" s="5"/>
      <c r="U210" s="5"/>
      <c r="V210" s="5"/>
      <c r="W210" s="5"/>
      <c r="X210" s="5"/>
      <c r="Y210" s="5"/>
    </row>
    <row r="211" spans="9:25" ht="22.5" x14ac:dyDescent="0.2">
      <c r="I211" s="40"/>
      <c r="J211" s="40"/>
      <c r="M211" s="26" t="s">
        <v>54</v>
      </c>
      <c r="N211" s="25" t="s">
        <v>55</v>
      </c>
      <c r="O211" s="26"/>
      <c r="P211" s="26" t="s">
        <v>282</v>
      </c>
      <c r="Q211" s="26"/>
      <c r="R211" s="5"/>
      <c r="S211" s="5"/>
      <c r="T211" s="5"/>
      <c r="U211" s="5"/>
      <c r="V211" s="5"/>
      <c r="W211" s="5"/>
      <c r="X211" s="5"/>
      <c r="Y211" s="5"/>
    </row>
    <row r="212" spans="9:25" ht="22.5" x14ac:dyDescent="0.2">
      <c r="I212" s="40"/>
      <c r="J212" s="40"/>
      <c r="M212" s="26" t="s">
        <v>54</v>
      </c>
      <c r="N212" s="25" t="s">
        <v>55</v>
      </c>
      <c r="O212" s="26"/>
      <c r="P212" s="26" t="s">
        <v>283</v>
      </c>
      <c r="Q212" s="26"/>
      <c r="R212" s="5"/>
      <c r="S212" s="5"/>
      <c r="T212" s="5"/>
      <c r="U212" s="5"/>
      <c r="V212" s="5"/>
      <c r="W212" s="5"/>
      <c r="X212" s="5"/>
      <c r="Y212" s="5"/>
    </row>
    <row r="213" spans="9:25" ht="22.5" x14ac:dyDescent="0.2">
      <c r="I213" s="40"/>
      <c r="J213" s="40"/>
      <c r="M213" s="26" t="s">
        <v>54</v>
      </c>
      <c r="N213" s="25" t="s">
        <v>51</v>
      </c>
      <c r="O213" s="26" t="s">
        <v>284</v>
      </c>
      <c r="P213" s="26"/>
      <c r="Q213" s="26"/>
      <c r="R213" s="5"/>
      <c r="S213" s="5"/>
      <c r="T213" s="5"/>
      <c r="U213" s="5"/>
      <c r="V213" s="5"/>
      <c r="W213" s="5"/>
      <c r="X213" s="5"/>
      <c r="Y213" s="5"/>
    </row>
    <row r="214" spans="9:25" ht="33.75" x14ac:dyDescent="0.2">
      <c r="I214" s="40"/>
      <c r="J214" s="40"/>
      <c r="M214" s="26" t="s">
        <v>54</v>
      </c>
      <c r="N214" s="25" t="s">
        <v>55</v>
      </c>
      <c r="O214" s="26"/>
      <c r="P214" s="26" t="s">
        <v>285</v>
      </c>
      <c r="Q214" s="26"/>
      <c r="R214" s="5"/>
      <c r="S214" s="5"/>
      <c r="T214" s="5"/>
      <c r="U214" s="5"/>
      <c r="V214" s="5"/>
      <c r="W214" s="5"/>
      <c r="X214" s="5"/>
      <c r="Y214" s="5"/>
    </row>
    <row r="215" spans="9:25" ht="45" x14ac:dyDescent="0.2">
      <c r="I215" s="40"/>
      <c r="J215" s="40"/>
      <c r="M215" s="26" t="s">
        <v>54</v>
      </c>
      <c r="N215" s="25" t="s">
        <v>55</v>
      </c>
      <c r="O215" s="26"/>
      <c r="P215" s="26" t="s">
        <v>286</v>
      </c>
      <c r="Q215" s="26"/>
      <c r="R215" s="5"/>
      <c r="S215" s="5"/>
      <c r="T215" s="5"/>
      <c r="U215" s="5"/>
      <c r="V215" s="5"/>
      <c r="W215" s="5"/>
      <c r="X215" s="5"/>
      <c r="Y215" s="5"/>
    </row>
    <row r="216" spans="9:25" ht="45" x14ac:dyDescent="0.2">
      <c r="I216" s="40"/>
      <c r="J216" s="40"/>
      <c r="M216" s="26" t="s">
        <v>54</v>
      </c>
      <c r="N216" s="25" t="s">
        <v>55</v>
      </c>
      <c r="O216" s="26"/>
      <c r="P216" s="26" t="s">
        <v>287</v>
      </c>
      <c r="Q216" s="26"/>
      <c r="R216" s="5"/>
      <c r="S216" s="5"/>
      <c r="T216" s="5"/>
      <c r="U216" s="5"/>
      <c r="V216" s="5"/>
      <c r="W216" s="5"/>
      <c r="X216" s="5"/>
      <c r="Y216" s="5"/>
    </row>
    <row r="217" spans="9:25" ht="22.5" x14ac:dyDescent="0.2">
      <c r="I217" s="40"/>
      <c r="J217" s="40"/>
      <c r="M217" s="26" t="s">
        <v>54</v>
      </c>
      <c r="N217" s="25" t="s">
        <v>51</v>
      </c>
      <c r="O217" s="26" t="s">
        <v>288</v>
      </c>
      <c r="P217" s="26"/>
      <c r="Q217" s="26"/>
      <c r="R217" s="5"/>
      <c r="S217" s="5"/>
      <c r="T217" s="5"/>
      <c r="U217" s="5"/>
      <c r="V217" s="5"/>
      <c r="W217" s="5"/>
      <c r="X217" s="5"/>
      <c r="Y217" s="5"/>
    </row>
    <row r="218" spans="9:25" ht="45" x14ac:dyDescent="0.2">
      <c r="I218" s="40"/>
      <c r="J218" s="40"/>
      <c r="M218" s="26" t="s">
        <v>54</v>
      </c>
      <c r="N218" s="25" t="s">
        <v>55</v>
      </c>
      <c r="O218" s="26"/>
      <c r="P218" s="26" t="s">
        <v>289</v>
      </c>
      <c r="Q218" s="26"/>
      <c r="R218" s="5"/>
      <c r="S218" s="5"/>
      <c r="T218" s="5"/>
      <c r="U218" s="5"/>
      <c r="V218" s="5"/>
      <c r="W218" s="5"/>
      <c r="X218" s="5"/>
      <c r="Y218" s="5"/>
    </row>
    <row r="219" spans="9:25" ht="45" x14ac:dyDescent="0.2">
      <c r="I219" s="40"/>
      <c r="J219" s="40"/>
      <c r="M219" s="26" t="s">
        <v>54</v>
      </c>
      <c r="N219" s="25" t="s">
        <v>55</v>
      </c>
      <c r="O219" s="26"/>
      <c r="P219" s="26" t="s">
        <v>290</v>
      </c>
      <c r="Q219" s="26"/>
      <c r="R219" s="5"/>
      <c r="S219" s="5"/>
      <c r="T219" s="5"/>
      <c r="U219" s="5"/>
      <c r="V219" s="5"/>
      <c r="W219" s="5"/>
      <c r="X219" s="5"/>
      <c r="Y219" s="5"/>
    </row>
    <row r="220" spans="9:25" ht="22.5" x14ac:dyDescent="0.2">
      <c r="I220" s="40"/>
      <c r="J220" s="40"/>
      <c r="M220" s="26" t="s">
        <v>54</v>
      </c>
      <c r="N220" s="25" t="s">
        <v>55</v>
      </c>
      <c r="O220" s="26"/>
      <c r="P220" s="26" t="s">
        <v>291</v>
      </c>
      <c r="Q220" s="26"/>
      <c r="R220" s="5"/>
      <c r="S220" s="5"/>
      <c r="T220" s="5"/>
      <c r="U220" s="5"/>
      <c r="V220" s="5"/>
      <c r="W220" s="5"/>
      <c r="X220" s="5"/>
      <c r="Y220" s="5"/>
    </row>
    <row r="221" spans="9:25" ht="22.5" x14ac:dyDescent="0.2">
      <c r="I221" s="40"/>
      <c r="J221" s="40"/>
      <c r="M221" s="26" t="s">
        <v>54</v>
      </c>
      <c r="N221" s="25" t="s">
        <v>51</v>
      </c>
      <c r="O221" s="26" t="s">
        <v>292</v>
      </c>
      <c r="P221" s="26"/>
      <c r="Q221" s="26"/>
      <c r="R221" s="5"/>
      <c r="S221" s="5"/>
      <c r="T221" s="5"/>
      <c r="U221" s="5"/>
      <c r="V221" s="5"/>
      <c r="W221" s="5"/>
      <c r="X221" s="5"/>
      <c r="Y221" s="5"/>
    </row>
    <row r="222" spans="9:25" ht="33.75" x14ac:dyDescent="0.2">
      <c r="I222" s="40"/>
      <c r="J222" s="40"/>
      <c r="M222" s="26" t="s">
        <v>54</v>
      </c>
      <c r="N222" s="25" t="s">
        <v>55</v>
      </c>
      <c r="O222" s="26"/>
      <c r="P222" s="26" t="s">
        <v>293</v>
      </c>
      <c r="Q222" s="26"/>
      <c r="R222" s="5"/>
      <c r="S222" s="5"/>
      <c r="T222" s="5"/>
      <c r="U222" s="5"/>
      <c r="V222" s="5"/>
      <c r="W222" s="5"/>
      <c r="X222" s="5"/>
      <c r="Y222" s="5"/>
    </row>
    <row r="223" spans="9:25" ht="33.75" x14ac:dyDescent="0.2">
      <c r="I223" s="40"/>
      <c r="J223" s="40"/>
      <c r="M223" s="26" t="s">
        <v>54</v>
      </c>
      <c r="N223" s="25" t="s">
        <v>55</v>
      </c>
      <c r="O223" s="26" t="s">
        <v>294</v>
      </c>
      <c r="P223" s="26"/>
      <c r="Q223" s="26"/>
      <c r="R223" s="5"/>
      <c r="S223" s="5"/>
      <c r="T223" s="5"/>
      <c r="U223" s="5"/>
      <c r="V223" s="5"/>
      <c r="W223" s="5"/>
      <c r="X223" s="5"/>
      <c r="Y223" s="5"/>
    </row>
    <row r="224" spans="9:25" ht="33.75" x14ac:dyDescent="0.2">
      <c r="I224" s="40"/>
      <c r="J224" s="40"/>
      <c r="M224" s="26" t="s">
        <v>54</v>
      </c>
      <c r="N224" s="25" t="s">
        <v>55</v>
      </c>
      <c r="O224" s="26" t="s">
        <v>295</v>
      </c>
      <c r="P224" s="26"/>
      <c r="Q224" s="26"/>
      <c r="R224" s="5"/>
      <c r="S224" s="5"/>
      <c r="T224" s="5"/>
      <c r="U224" s="5"/>
      <c r="V224" s="5"/>
      <c r="W224" s="5"/>
      <c r="X224" s="5"/>
      <c r="Y224" s="5"/>
    </row>
    <row r="225" spans="9:25" ht="45" x14ac:dyDescent="0.2">
      <c r="I225" s="40"/>
      <c r="J225" s="40"/>
      <c r="M225" s="26" t="s">
        <v>54</v>
      </c>
      <c r="N225" s="25" t="s">
        <v>55</v>
      </c>
      <c r="O225" s="26" t="s">
        <v>296</v>
      </c>
      <c r="P225" s="26"/>
      <c r="Q225" s="26"/>
      <c r="R225" s="5"/>
      <c r="S225" s="5"/>
      <c r="T225" s="5"/>
      <c r="U225" s="5"/>
      <c r="V225" s="5"/>
      <c r="W225" s="5"/>
      <c r="X225" s="5"/>
      <c r="Y225" s="5"/>
    </row>
    <row r="226" spans="9:25" ht="33.75" x14ac:dyDescent="0.2">
      <c r="I226" s="40"/>
      <c r="J226" s="40"/>
      <c r="M226" s="26" t="s">
        <v>54</v>
      </c>
      <c r="N226" s="25" t="s">
        <v>55</v>
      </c>
      <c r="O226" s="26" t="s">
        <v>297</v>
      </c>
      <c r="P226" s="26"/>
      <c r="Q226" s="26"/>
      <c r="R226" s="5"/>
      <c r="S226" s="5"/>
      <c r="T226" s="5"/>
      <c r="U226" s="5"/>
      <c r="V226" s="5"/>
      <c r="W226" s="5"/>
      <c r="X226" s="5"/>
      <c r="Y226" s="5"/>
    </row>
    <row r="227" spans="9:25" ht="22.5" x14ac:dyDescent="0.2">
      <c r="I227" s="40"/>
      <c r="J227" s="40"/>
      <c r="M227" s="26" t="s">
        <v>54</v>
      </c>
      <c r="N227" s="25" t="s">
        <v>51</v>
      </c>
      <c r="O227" s="26" t="s">
        <v>298</v>
      </c>
      <c r="P227" s="26"/>
      <c r="Q227" s="26"/>
      <c r="R227" s="5"/>
      <c r="S227" s="5"/>
      <c r="T227" s="5"/>
      <c r="U227" s="5"/>
      <c r="V227" s="5"/>
      <c r="W227" s="5"/>
      <c r="X227" s="5"/>
      <c r="Y227" s="5"/>
    </row>
    <row r="228" spans="9:25" ht="45" x14ac:dyDescent="0.2">
      <c r="I228" s="40"/>
      <c r="J228" s="40"/>
      <c r="M228" s="26" t="s">
        <v>54</v>
      </c>
      <c r="N228" s="25" t="s">
        <v>55</v>
      </c>
      <c r="O228" s="26"/>
      <c r="P228" s="26" t="s">
        <v>299</v>
      </c>
      <c r="Q228" s="26"/>
      <c r="R228" s="5"/>
      <c r="S228" s="5"/>
      <c r="T228" s="5"/>
      <c r="U228" s="5"/>
      <c r="V228" s="5"/>
      <c r="W228" s="5"/>
      <c r="X228" s="5"/>
      <c r="Y228" s="5"/>
    </row>
    <row r="229" spans="9:25" ht="45" x14ac:dyDescent="0.2">
      <c r="I229" s="40"/>
      <c r="J229" s="40"/>
      <c r="M229" s="26" t="s">
        <v>54</v>
      </c>
      <c r="N229" s="25" t="s">
        <v>55</v>
      </c>
      <c r="O229" s="26"/>
      <c r="P229" s="26" t="s">
        <v>300</v>
      </c>
      <c r="Q229" s="26"/>
      <c r="R229" s="5"/>
      <c r="S229" s="5"/>
      <c r="T229" s="5"/>
      <c r="U229" s="5"/>
      <c r="V229" s="5"/>
      <c r="W229" s="5"/>
      <c r="X229" s="5"/>
      <c r="Y229" s="5"/>
    </row>
    <row r="230" spans="9:25" ht="22.5" x14ac:dyDescent="0.2">
      <c r="I230" s="40"/>
      <c r="J230" s="40"/>
      <c r="M230" s="26" t="s">
        <v>54</v>
      </c>
      <c r="N230" s="25" t="s">
        <v>66</v>
      </c>
      <c r="O230" s="26" t="s">
        <v>301</v>
      </c>
      <c r="P230" s="26"/>
      <c r="Q230" s="26"/>
      <c r="R230" s="5"/>
      <c r="S230" s="5"/>
      <c r="T230" s="5"/>
      <c r="U230" s="5"/>
      <c r="V230" s="5"/>
      <c r="W230" s="5"/>
      <c r="X230" s="5"/>
      <c r="Y230" s="5"/>
    </row>
    <row r="231" spans="9:25" ht="22.5" x14ac:dyDescent="0.2">
      <c r="I231" s="40"/>
      <c r="J231" s="40"/>
      <c r="M231" s="26" t="s">
        <v>54</v>
      </c>
      <c r="N231" s="25" t="s">
        <v>51</v>
      </c>
      <c r="O231" s="26" t="s">
        <v>302</v>
      </c>
      <c r="P231" s="26"/>
      <c r="Q231" s="26"/>
      <c r="R231" s="5"/>
      <c r="S231" s="5"/>
      <c r="T231" s="5"/>
      <c r="U231" s="5"/>
      <c r="V231" s="5"/>
      <c r="W231" s="5"/>
      <c r="X231" s="5"/>
      <c r="Y231" s="5"/>
    </row>
    <row r="232" spans="9:25" ht="22.5" x14ac:dyDescent="0.2">
      <c r="I232" s="40"/>
      <c r="J232" s="40"/>
      <c r="M232" s="26" t="s">
        <v>54</v>
      </c>
      <c r="N232" s="25" t="s">
        <v>55</v>
      </c>
      <c r="O232" s="26"/>
      <c r="P232" s="26" t="s">
        <v>277</v>
      </c>
      <c r="Q232" s="26"/>
      <c r="R232" s="5"/>
      <c r="S232" s="5"/>
      <c r="T232" s="5"/>
      <c r="U232" s="5"/>
      <c r="V232" s="5"/>
      <c r="W232" s="5"/>
      <c r="X232" s="5"/>
      <c r="Y232" s="5"/>
    </row>
    <row r="233" spans="9:25" ht="67.5" x14ac:dyDescent="0.2">
      <c r="I233" s="40"/>
      <c r="J233" s="40"/>
      <c r="M233" s="26" t="s">
        <v>54</v>
      </c>
      <c r="N233" s="25" t="s">
        <v>77</v>
      </c>
      <c r="O233" s="26" t="s">
        <v>303</v>
      </c>
      <c r="P233" s="26"/>
      <c r="Q233" s="26"/>
      <c r="R233" s="5"/>
      <c r="S233" s="5"/>
      <c r="T233" s="5"/>
      <c r="U233" s="5"/>
      <c r="V233" s="5"/>
      <c r="W233" s="5"/>
      <c r="X233" s="5"/>
      <c r="Y233" s="5"/>
    </row>
    <row r="234" spans="9:25" ht="22.5" x14ac:dyDescent="0.2">
      <c r="I234" s="40"/>
      <c r="J234" s="40"/>
      <c r="M234" s="26" t="s">
        <v>82</v>
      </c>
      <c r="N234" s="25" t="s">
        <v>57</v>
      </c>
      <c r="O234" s="26" t="s">
        <v>304</v>
      </c>
      <c r="P234" s="26"/>
      <c r="Q234" s="26"/>
      <c r="R234" s="5"/>
      <c r="S234" s="5"/>
      <c r="T234" s="5"/>
      <c r="U234" s="5"/>
      <c r="V234" s="5"/>
      <c r="W234" s="5"/>
      <c r="X234" s="5"/>
      <c r="Y234" s="5"/>
    </row>
    <row r="235" spans="9:25" ht="22.5" x14ac:dyDescent="0.2">
      <c r="I235" s="40"/>
      <c r="J235" s="40"/>
      <c r="M235" s="26" t="s">
        <v>82</v>
      </c>
      <c r="N235" s="25" t="s">
        <v>57</v>
      </c>
      <c r="O235" s="26" t="s">
        <v>305</v>
      </c>
      <c r="P235" s="26"/>
      <c r="Q235" s="26"/>
      <c r="R235" s="5"/>
      <c r="S235" s="5"/>
      <c r="T235" s="5"/>
      <c r="U235" s="5"/>
      <c r="V235" s="5"/>
      <c r="W235" s="5"/>
      <c r="X235" s="5"/>
      <c r="Y235" s="5"/>
    </row>
    <row r="236" spans="9:25" ht="22.5" x14ac:dyDescent="0.2">
      <c r="I236" s="40"/>
      <c r="J236" s="40"/>
      <c r="M236" s="26" t="s">
        <v>82</v>
      </c>
      <c r="N236" s="25" t="s">
        <v>57</v>
      </c>
      <c r="O236" s="26" t="s">
        <v>306</v>
      </c>
      <c r="P236" s="26"/>
      <c r="Q236" s="26"/>
      <c r="R236" s="5"/>
      <c r="S236" s="5"/>
      <c r="T236" s="5"/>
      <c r="U236" s="5"/>
      <c r="V236" s="5"/>
      <c r="W236" s="5"/>
      <c r="X236" s="5"/>
      <c r="Y236" s="5"/>
    </row>
    <row r="237" spans="9:25" ht="22.5" x14ac:dyDescent="0.2">
      <c r="I237" s="40"/>
      <c r="J237" s="40"/>
      <c r="M237" s="26" t="s">
        <v>82</v>
      </c>
      <c r="N237" s="25" t="s">
        <v>57</v>
      </c>
      <c r="O237" s="26" t="s">
        <v>307</v>
      </c>
      <c r="P237" s="26"/>
      <c r="Q237" s="26"/>
      <c r="R237" s="5"/>
      <c r="S237" s="5"/>
      <c r="T237" s="5"/>
      <c r="U237" s="5"/>
      <c r="V237" s="5"/>
      <c r="W237" s="5"/>
      <c r="X237" s="5"/>
      <c r="Y237" s="5"/>
    </row>
    <row r="238" spans="9:25" ht="33.75" x14ac:dyDescent="0.2">
      <c r="I238" s="40"/>
      <c r="J238" s="40"/>
      <c r="M238" s="26" t="s">
        <v>82</v>
      </c>
      <c r="N238" s="25" t="s">
        <v>65</v>
      </c>
      <c r="O238" s="26" t="s">
        <v>308</v>
      </c>
      <c r="P238" s="26"/>
      <c r="Q238" s="26"/>
      <c r="R238" s="5"/>
      <c r="S238" s="5"/>
      <c r="T238" s="5"/>
      <c r="U238" s="5"/>
      <c r="V238" s="5"/>
      <c r="W238" s="5"/>
      <c r="X238" s="5"/>
      <c r="Y238" s="5"/>
    </row>
    <row r="239" spans="9:25" ht="22.5" x14ac:dyDescent="0.2">
      <c r="I239" s="40"/>
      <c r="J239" s="40"/>
      <c r="M239" s="26" t="s">
        <v>82</v>
      </c>
      <c r="N239" s="25" t="s">
        <v>66</v>
      </c>
      <c r="O239" s="26" t="s">
        <v>309</v>
      </c>
      <c r="P239" s="26"/>
      <c r="Q239" s="26"/>
      <c r="R239" s="5"/>
      <c r="S239" s="5"/>
      <c r="T239" s="5"/>
      <c r="U239" s="5"/>
      <c r="V239" s="5"/>
      <c r="W239" s="5"/>
      <c r="X239" s="5"/>
      <c r="Y239" s="5"/>
    </row>
    <row r="240" spans="9:25" ht="22.5" x14ac:dyDescent="0.2">
      <c r="I240" s="40"/>
      <c r="J240" s="40"/>
      <c r="M240" s="26" t="s">
        <v>83</v>
      </c>
      <c r="N240" s="25" t="s">
        <v>65</v>
      </c>
      <c r="O240" s="26" t="s">
        <v>310</v>
      </c>
      <c r="P240" s="26"/>
      <c r="Q240" s="26"/>
      <c r="R240" s="5"/>
      <c r="S240" s="5"/>
      <c r="T240" s="5"/>
      <c r="U240" s="5"/>
      <c r="V240" s="5"/>
      <c r="W240" s="5"/>
      <c r="X240" s="5"/>
      <c r="Y240" s="5"/>
    </row>
    <row r="241" spans="9:25" ht="33.75" x14ac:dyDescent="0.2">
      <c r="I241" s="40"/>
      <c r="J241" s="40"/>
      <c r="M241" s="26" t="s">
        <v>83</v>
      </c>
      <c r="N241" s="25" t="s">
        <v>66</v>
      </c>
      <c r="O241" s="26" t="s">
        <v>311</v>
      </c>
      <c r="P241" s="26"/>
      <c r="Q241" s="26"/>
      <c r="R241" s="5"/>
      <c r="S241" s="5"/>
      <c r="T241" s="5"/>
      <c r="U241" s="5"/>
      <c r="V241" s="5"/>
      <c r="W241" s="5"/>
      <c r="X241" s="5"/>
      <c r="Y241" s="5"/>
    </row>
    <row r="242" spans="9:25" ht="33.75" x14ac:dyDescent="0.2">
      <c r="I242" s="40"/>
      <c r="J242" s="40"/>
      <c r="M242" s="26" t="s">
        <v>83</v>
      </c>
      <c r="N242" s="25" t="s">
        <v>78</v>
      </c>
      <c r="O242" s="26" t="s">
        <v>312</v>
      </c>
      <c r="P242" s="26"/>
      <c r="Q242" s="26"/>
      <c r="R242" s="5"/>
      <c r="S242" s="5"/>
      <c r="T242" s="5"/>
      <c r="U242" s="5"/>
      <c r="V242" s="5"/>
      <c r="W242" s="5"/>
      <c r="X242" s="5"/>
      <c r="Y242" s="5"/>
    </row>
    <row r="243" spans="9:25" ht="22.5" x14ac:dyDescent="0.2">
      <c r="I243" s="40"/>
      <c r="J243" s="40"/>
      <c r="M243" s="26" t="s">
        <v>74</v>
      </c>
      <c r="N243" s="25" t="s">
        <v>65</v>
      </c>
      <c r="O243" s="26" t="s">
        <v>313</v>
      </c>
      <c r="P243" s="26"/>
      <c r="Q243" s="26"/>
      <c r="R243" s="5"/>
      <c r="S243" s="5"/>
      <c r="T243" s="5"/>
      <c r="U243" s="5"/>
      <c r="V243" s="5"/>
      <c r="W243" s="5"/>
      <c r="X243" s="5"/>
      <c r="Y243" s="5"/>
    </row>
    <row r="244" spans="9:25" ht="22.5" x14ac:dyDescent="0.2">
      <c r="I244" s="40"/>
      <c r="J244" s="40"/>
      <c r="M244" s="26" t="s">
        <v>74</v>
      </c>
      <c r="N244" s="25" t="s">
        <v>65</v>
      </c>
      <c r="O244" s="26" t="s">
        <v>313</v>
      </c>
      <c r="P244" s="26"/>
      <c r="Q244" s="26"/>
      <c r="R244" s="5"/>
      <c r="S244" s="5"/>
      <c r="T244" s="5"/>
      <c r="U244" s="5"/>
      <c r="V244" s="5"/>
      <c r="W244" s="5"/>
      <c r="X244" s="5"/>
      <c r="Y244" s="5"/>
    </row>
    <row r="245" spans="9:25" ht="22.5" x14ac:dyDescent="0.2">
      <c r="I245" s="40"/>
      <c r="J245" s="40"/>
      <c r="M245" s="26" t="s">
        <v>74</v>
      </c>
      <c r="N245" s="25" t="s">
        <v>65</v>
      </c>
      <c r="O245" s="26" t="s">
        <v>314</v>
      </c>
      <c r="P245" s="26"/>
      <c r="Q245" s="26"/>
      <c r="R245" s="5"/>
      <c r="S245" s="5"/>
      <c r="T245" s="5"/>
      <c r="U245" s="5"/>
      <c r="V245" s="5"/>
      <c r="W245" s="5"/>
      <c r="X245" s="5"/>
      <c r="Y245" s="5"/>
    </row>
    <row r="246" spans="9:25" ht="22.5" x14ac:dyDescent="0.2">
      <c r="I246" s="40"/>
      <c r="J246" s="40"/>
      <c r="M246" s="26" t="s">
        <v>74</v>
      </c>
      <c r="N246" s="25" t="s">
        <v>65</v>
      </c>
      <c r="O246" s="26" t="s">
        <v>314</v>
      </c>
      <c r="P246" s="26"/>
      <c r="Q246" s="26"/>
      <c r="R246" s="5"/>
      <c r="S246" s="5"/>
      <c r="T246" s="5"/>
      <c r="U246" s="5"/>
      <c r="V246" s="5"/>
      <c r="W246" s="5"/>
      <c r="X246" s="5"/>
      <c r="Y246" s="5"/>
    </row>
    <row r="247" spans="9:25" ht="22.5" x14ac:dyDescent="0.2">
      <c r="I247" s="40"/>
      <c r="J247" s="40"/>
      <c r="M247" s="26" t="s">
        <v>74</v>
      </c>
      <c r="N247" s="25" t="s">
        <v>66</v>
      </c>
      <c r="O247" s="26" t="s">
        <v>315</v>
      </c>
      <c r="P247" s="26"/>
      <c r="Q247" s="26"/>
      <c r="R247" s="5"/>
      <c r="S247" s="5"/>
      <c r="T247" s="5"/>
      <c r="U247" s="5"/>
      <c r="V247" s="5"/>
      <c r="W247" s="5"/>
      <c r="X247" s="5"/>
      <c r="Y247" s="5"/>
    </row>
    <row r="248" spans="9:25" ht="22.5" x14ac:dyDescent="0.2">
      <c r="I248" s="40"/>
      <c r="J248" s="40"/>
      <c r="M248" s="26" t="s">
        <v>76</v>
      </c>
      <c r="N248" s="25" t="s">
        <v>75</v>
      </c>
      <c r="O248" s="26" t="s">
        <v>316</v>
      </c>
      <c r="P248" s="26"/>
      <c r="Q248" s="26"/>
      <c r="R248" s="5"/>
      <c r="S248" s="5"/>
      <c r="T248" s="5"/>
      <c r="U248" s="5"/>
      <c r="V248" s="5"/>
      <c r="W248" s="5"/>
      <c r="X248" s="5"/>
      <c r="Y248" s="5"/>
    </row>
    <row r="249" spans="9:25" ht="67.5" x14ac:dyDescent="0.2">
      <c r="I249" s="40"/>
      <c r="J249" s="40"/>
      <c r="M249" s="26" t="s">
        <v>76</v>
      </c>
      <c r="N249" s="25" t="s">
        <v>75</v>
      </c>
      <c r="O249" s="26" t="s">
        <v>317</v>
      </c>
      <c r="P249" s="26"/>
      <c r="Q249" s="26"/>
      <c r="R249" s="5"/>
      <c r="S249" s="5"/>
      <c r="T249" s="5"/>
      <c r="U249" s="5"/>
      <c r="V249" s="5"/>
      <c r="W249" s="5"/>
      <c r="X249" s="5"/>
      <c r="Y249" s="5"/>
    </row>
    <row r="250" spans="9:25" ht="22.5" x14ac:dyDescent="0.2">
      <c r="I250" s="40"/>
      <c r="J250" s="40"/>
      <c r="M250" s="26" t="s">
        <v>52</v>
      </c>
      <c r="N250" s="25" t="s">
        <v>64</v>
      </c>
      <c r="O250" s="26" t="s">
        <v>318</v>
      </c>
      <c r="P250" s="26"/>
      <c r="Q250" s="26"/>
      <c r="R250" s="5"/>
      <c r="S250" s="5"/>
      <c r="T250" s="5"/>
      <c r="U250" s="5"/>
      <c r="V250" s="5"/>
      <c r="W250" s="5"/>
      <c r="X250" s="5"/>
      <c r="Y250" s="5"/>
    </row>
    <row r="251" spans="9:25" ht="22.5" x14ac:dyDescent="0.2">
      <c r="I251" s="40"/>
      <c r="J251" s="40"/>
      <c r="M251" s="26" t="s">
        <v>52</v>
      </c>
      <c r="N251" s="25" t="s">
        <v>64</v>
      </c>
      <c r="O251" s="26" t="s">
        <v>319</v>
      </c>
      <c r="P251" s="26"/>
      <c r="Q251" s="26"/>
      <c r="R251" s="5"/>
      <c r="S251" s="5"/>
      <c r="T251" s="5"/>
      <c r="U251" s="5"/>
      <c r="V251" s="5"/>
      <c r="W251" s="5"/>
      <c r="X251" s="5"/>
      <c r="Y251" s="5"/>
    </row>
    <row r="252" spans="9:25" ht="22.5" x14ac:dyDescent="0.2">
      <c r="I252" s="40"/>
      <c r="J252" s="40"/>
      <c r="M252" s="26" t="s">
        <v>52</v>
      </c>
      <c r="N252" s="25" t="s">
        <v>64</v>
      </c>
      <c r="O252" s="26" t="s">
        <v>320</v>
      </c>
      <c r="P252" s="26"/>
      <c r="Q252" s="26"/>
      <c r="R252" s="5"/>
      <c r="S252" s="5"/>
      <c r="T252" s="5"/>
      <c r="U252" s="5"/>
      <c r="V252" s="5"/>
      <c r="W252" s="5"/>
      <c r="X252" s="5"/>
      <c r="Y252" s="5"/>
    </row>
    <row r="253" spans="9:25" ht="22.5" x14ac:dyDescent="0.2">
      <c r="I253" s="40"/>
      <c r="J253" s="40"/>
      <c r="M253" s="26" t="s">
        <v>52</v>
      </c>
      <c r="N253" s="25" t="s">
        <v>64</v>
      </c>
      <c r="O253" s="26" t="s">
        <v>321</v>
      </c>
      <c r="P253" s="26"/>
      <c r="Q253" s="26"/>
      <c r="R253" s="5"/>
      <c r="S253" s="5"/>
      <c r="T253" s="5"/>
      <c r="U253" s="5"/>
      <c r="V253" s="5"/>
      <c r="W253" s="5"/>
      <c r="X253" s="5"/>
      <c r="Y253" s="5"/>
    </row>
    <row r="254" spans="9:25" ht="56.25" x14ac:dyDescent="0.2">
      <c r="I254" s="40"/>
      <c r="J254" s="40"/>
      <c r="M254" s="26" t="s">
        <v>52</v>
      </c>
      <c r="N254" s="25" t="s">
        <v>51</v>
      </c>
      <c r="O254" s="26" t="s">
        <v>322</v>
      </c>
      <c r="P254" s="26"/>
      <c r="Q254" s="26"/>
      <c r="R254" s="5"/>
      <c r="S254" s="5"/>
      <c r="T254" s="5"/>
      <c r="U254" s="5"/>
      <c r="V254" s="5"/>
      <c r="W254" s="5"/>
      <c r="X254" s="5"/>
      <c r="Y254" s="5"/>
    </row>
    <row r="255" spans="9:25" ht="78.75" x14ac:dyDescent="0.2">
      <c r="I255" s="40"/>
      <c r="J255" s="40"/>
      <c r="M255" s="26" t="s">
        <v>52</v>
      </c>
      <c r="N255" s="25" t="s">
        <v>51</v>
      </c>
      <c r="O255" s="26" t="s">
        <v>323</v>
      </c>
      <c r="P255" s="26"/>
      <c r="Q255" s="26"/>
      <c r="R255" s="5"/>
      <c r="S255" s="5"/>
      <c r="T255" s="5"/>
      <c r="U255" s="5"/>
      <c r="V255" s="5"/>
      <c r="W255" s="5"/>
      <c r="X255" s="5"/>
      <c r="Y255" s="5"/>
    </row>
    <row r="256" spans="9:25" ht="45" x14ac:dyDescent="0.2">
      <c r="I256" s="40"/>
      <c r="J256" s="40"/>
      <c r="M256" s="26" t="s">
        <v>52</v>
      </c>
      <c r="N256" s="25" t="s">
        <v>55</v>
      </c>
      <c r="O256" s="26" t="s">
        <v>324</v>
      </c>
      <c r="P256" s="26"/>
      <c r="Q256" s="26"/>
      <c r="R256" s="5"/>
      <c r="S256" s="5"/>
      <c r="T256" s="5"/>
      <c r="U256" s="5"/>
      <c r="V256" s="5"/>
      <c r="W256" s="5"/>
      <c r="X256" s="5"/>
      <c r="Y256" s="5"/>
    </row>
    <row r="257" spans="9:25" ht="45" x14ac:dyDescent="0.2">
      <c r="I257" s="40"/>
      <c r="J257" s="40"/>
      <c r="M257" s="26" t="s">
        <v>52</v>
      </c>
      <c r="N257" s="25" t="s">
        <v>55</v>
      </c>
      <c r="O257" s="26" t="s">
        <v>325</v>
      </c>
      <c r="P257" s="26"/>
      <c r="Q257" s="26"/>
      <c r="R257" s="5"/>
      <c r="S257" s="5"/>
      <c r="T257" s="5"/>
      <c r="U257" s="5"/>
      <c r="V257" s="5"/>
      <c r="W257" s="5"/>
      <c r="X257" s="5"/>
      <c r="Y257" s="5"/>
    </row>
    <row r="258" spans="9:25" ht="45" x14ac:dyDescent="0.2">
      <c r="I258" s="40"/>
      <c r="J258" s="40"/>
      <c r="M258" s="26" t="s">
        <v>52</v>
      </c>
      <c r="N258" s="25" t="s">
        <v>64</v>
      </c>
      <c r="O258" s="26" t="s">
        <v>326</v>
      </c>
      <c r="P258" s="26"/>
      <c r="Q258" s="26"/>
      <c r="R258" s="5"/>
      <c r="S258" s="5"/>
      <c r="T258" s="5"/>
      <c r="U258" s="5"/>
      <c r="V258" s="5"/>
      <c r="W258" s="5"/>
      <c r="X258" s="5"/>
      <c r="Y258" s="5"/>
    </row>
    <row r="259" spans="9:25" ht="33.75" x14ac:dyDescent="0.2">
      <c r="I259" s="40"/>
      <c r="J259" s="40"/>
      <c r="M259" s="26" t="s">
        <v>52</v>
      </c>
      <c r="N259" s="25" t="s">
        <v>71</v>
      </c>
      <c r="O259" s="26" t="s">
        <v>327</v>
      </c>
      <c r="P259" s="26"/>
      <c r="Q259" s="26"/>
      <c r="R259" s="5"/>
      <c r="S259" s="5"/>
      <c r="T259" s="5"/>
      <c r="U259" s="5"/>
      <c r="V259" s="5"/>
      <c r="W259" s="5"/>
      <c r="X259" s="5"/>
      <c r="Y259" s="5"/>
    </row>
    <row r="260" spans="9:25" ht="33.75" x14ac:dyDescent="0.2">
      <c r="I260" s="40"/>
      <c r="J260" s="40"/>
      <c r="M260" s="26" t="s">
        <v>69</v>
      </c>
      <c r="N260" s="25" t="s">
        <v>64</v>
      </c>
      <c r="O260" s="26" t="s">
        <v>328</v>
      </c>
      <c r="P260" s="26"/>
      <c r="Q260" s="26"/>
      <c r="R260" s="5"/>
      <c r="S260" s="5"/>
      <c r="T260" s="5"/>
      <c r="U260" s="5"/>
      <c r="V260" s="5"/>
      <c r="W260" s="5"/>
      <c r="X260" s="5"/>
      <c r="Y260" s="5"/>
    </row>
    <row r="261" spans="9:25" ht="78.75" x14ac:dyDescent="0.2">
      <c r="I261" s="40"/>
      <c r="J261" s="40"/>
      <c r="M261" s="26" t="s">
        <v>69</v>
      </c>
      <c r="N261" s="25" t="s">
        <v>68</v>
      </c>
      <c r="O261" s="26" t="s">
        <v>329</v>
      </c>
      <c r="P261" s="26"/>
      <c r="Q261" s="26"/>
      <c r="R261" s="5"/>
      <c r="S261" s="5"/>
      <c r="T261" s="5"/>
      <c r="U261" s="5"/>
      <c r="V261" s="5"/>
      <c r="W261" s="5"/>
      <c r="X261" s="5"/>
      <c r="Y261" s="5"/>
    </row>
    <row r="262" spans="9:25" ht="101.25" x14ac:dyDescent="0.2">
      <c r="I262" s="40"/>
      <c r="J262" s="40"/>
      <c r="M262" s="26" t="s">
        <v>56</v>
      </c>
      <c r="N262" s="25" t="s">
        <v>75</v>
      </c>
      <c r="O262" s="26" t="s">
        <v>330</v>
      </c>
      <c r="P262" s="26"/>
      <c r="Q262" s="26"/>
      <c r="R262" s="5"/>
      <c r="S262" s="5"/>
      <c r="T262" s="5"/>
      <c r="U262" s="5"/>
      <c r="V262" s="5"/>
      <c r="W262" s="5"/>
      <c r="X262" s="5"/>
      <c r="Y262" s="5"/>
    </row>
    <row r="263" spans="9:25" ht="101.25" x14ac:dyDescent="0.2">
      <c r="I263" s="40"/>
      <c r="J263" s="40"/>
      <c r="M263" s="26" t="s">
        <v>56</v>
      </c>
      <c r="N263" s="25" t="s">
        <v>75</v>
      </c>
      <c r="O263" s="26" t="s">
        <v>330</v>
      </c>
      <c r="P263" s="26"/>
      <c r="Q263" s="26"/>
      <c r="R263" s="5"/>
      <c r="S263" s="5"/>
      <c r="T263" s="5"/>
      <c r="U263" s="5"/>
      <c r="V263" s="5"/>
      <c r="W263" s="5"/>
      <c r="X263" s="5"/>
      <c r="Y263" s="5"/>
    </row>
    <row r="264" spans="9:25" ht="101.25" x14ac:dyDescent="0.2">
      <c r="I264" s="40"/>
      <c r="J264" s="40"/>
      <c r="M264" s="26" t="s">
        <v>56</v>
      </c>
      <c r="N264" s="25" t="s">
        <v>75</v>
      </c>
      <c r="O264" s="26" t="s">
        <v>331</v>
      </c>
      <c r="P264" s="26"/>
      <c r="Q264" s="26"/>
      <c r="R264" s="5"/>
      <c r="S264" s="5"/>
      <c r="T264" s="5"/>
      <c r="U264" s="5"/>
      <c r="V264" s="5"/>
      <c r="W264" s="5"/>
      <c r="X264" s="5"/>
      <c r="Y264" s="5"/>
    </row>
    <row r="265" spans="9:25" ht="101.25" x14ac:dyDescent="0.2">
      <c r="I265" s="40"/>
      <c r="J265" s="40"/>
      <c r="M265" s="26" t="s">
        <v>56</v>
      </c>
      <c r="N265" s="25" t="s">
        <v>75</v>
      </c>
      <c r="O265" s="26" t="s">
        <v>330</v>
      </c>
      <c r="P265" s="26"/>
      <c r="Q265" s="26"/>
      <c r="R265" s="5"/>
      <c r="S265" s="5"/>
      <c r="T265" s="5"/>
      <c r="U265" s="5"/>
      <c r="V265" s="5"/>
      <c r="W265" s="5"/>
      <c r="X265" s="5"/>
      <c r="Y265" s="5"/>
    </row>
    <row r="266" spans="9:25" ht="101.25" x14ac:dyDescent="0.2">
      <c r="I266" s="40"/>
      <c r="J266" s="40"/>
      <c r="M266" s="26" t="s">
        <v>56</v>
      </c>
      <c r="N266" s="25" t="s">
        <v>75</v>
      </c>
      <c r="O266" s="26" t="s">
        <v>332</v>
      </c>
      <c r="P266" s="26"/>
      <c r="Q266" s="26"/>
      <c r="R266" s="5"/>
      <c r="S266" s="5"/>
      <c r="T266" s="5"/>
      <c r="U266" s="5"/>
      <c r="V266" s="5"/>
      <c r="W266" s="5"/>
      <c r="X266" s="5"/>
      <c r="Y266" s="5"/>
    </row>
    <row r="267" spans="9:25" ht="101.25" x14ac:dyDescent="0.2">
      <c r="I267" s="40"/>
      <c r="J267" s="40"/>
      <c r="M267" s="26" t="s">
        <v>56</v>
      </c>
      <c r="N267" s="25" t="s">
        <v>75</v>
      </c>
      <c r="O267" s="26" t="s">
        <v>330</v>
      </c>
      <c r="P267" s="26"/>
      <c r="Q267" s="26"/>
      <c r="R267" s="5"/>
      <c r="S267" s="5"/>
      <c r="T267" s="5"/>
      <c r="U267" s="5"/>
      <c r="V267" s="5"/>
      <c r="W267" s="5"/>
      <c r="X267" s="5"/>
      <c r="Y267" s="5"/>
    </row>
    <row r="268" spans="9:25" ht="101.25" x14ac:dyDescent="0.2">
      <c r="I268" s="40"/>
      <c r="J268" s="40"/>
      <c r="M268" s="26" t="s">
        <v>56</v>
      </c>
      <c r="N268" s="25" t="s">
        <v>75</v>
      </c>
      <c r="O268" s="26" t="s">
        <v>333</v>
      </c>
      <c r="P268" s="26"/>
      <c r="Q268" s="26"/>
      <c r="R268" s="5"/>
      <c r="S268" s="5"/>
      <c r="T268" s="5"/>
      <c r="U268" s="5"/>
      <c r="V268" s="5"/>
      <c r="W268" s="5"/>
      <c r="X268" s="5"/>
      <c r="Y268" s="5"/>
    </row>
    <row r="269" spans="9:25" ht="101.25" x14ac:dyDescent="0.2">
      <c r="I269" s="40"/>
      <c r="J269" s="40"/>
      <c r="M269" s="26" t="s">
        <v>56</v>
      </c>
      <c r="N269" s="25" t="s">
        <v>75</v>
      </c>
      <c r="O269" s="26" t="s">
        <v>330</v>
      </c>
      <c r="P269" s="26"/>
      <c r="Q269" s="26"/>
      <c r="R269" s="5"/>
      <c r="S269" s="5"/>
      <c r="T269" s="5"/>
      <c r="U269" s="5"/>
      <c r="V269" s="5"/>
      <c r="W269" s="5"/>
      <c r="X269" s="5"/>
      <c r="Y269" s="5"/>
    </row>
    <row r="270" spans="9:25" ht="101.25" x14ac:dyDescent="0.2">
      <c r="I270" s="40"/>
      <c r="J270" s="40"/>
      <c r="M270" s="26" t="s">
        <v>56</v>
      </c>
      <c r="N270" s="25" t="s">
        <v>75</v>
      </c>
      <c r="O270" s="26" t="s">
        <v>334</v>
      </c>
      <c r="P270" s="26"/>
      <c r="Q270" s="26"/>
      <c r="R270" s="5"/>
      <c r="S270" s="5"/>
      <c r="T270" s="5"/>
      <c r="U270" s="5"/>
      <c r="V270" s="5"/>
      <c r="W270" s="5"/>
      <c r="X270" s="5"/>
      <c r="Y270" s="5"/>
    </row>
    <row r="271" spans="9:25" ht="45" x14ac:dyDescent="0.2">
      <c r="I271" s="40"/>
      <c r="J271" s="40"/>
      <c r="M271" s="26" t="s">
        <v>56</v>
      </c>
      <c r="N271" s="25" t="s">
        <v>57</v>
      </c>
      <c r="O271" s="26" t="s">
        <v>335</v>
      </c>
      <c r="P271" s="26"/>
      <c r="Q271" s="26"/>
      <c r="R271" s="5"/>
      <c r="S271" s="5"/>
      <c r="T271" s="5"/>
      <c r="U271" s="5"/>
      <c r="V271" s="5"/>
      <c r="W271" s="5"/>
      <c r="X271" s="5"/>
      <c r="Y271" s="5"/>
    </row>
    <row r="272" spans="9:25" ht="56.25" x14ac:dyDescent="0.2">
      <c r="I272" s="40"/>
      <c r="J272" s="40"/>
      <c r="M272" s="26" t="s">
        <v>56</v>
      </c>
      <c r="N272" s="25" t="s">
        <v>55</v>
      </c>
      <c r="O272" s="26" t="s">
        <v>336</v>
      </c>
      <c r="P272" s="26"/>
      <c r="Q272" s="26"/>
      <c r="R272" s="5"/>
      <c r="S272" s="5"/>
      <c r="T272" s="5"/>
      <c r="U272" s="5"/>
      <c r="V272" s="5"/>
      <c r="W272" s="5"/>
      <c r="X272" s="5"/>
      <c r="Y272" s="5"/>
    </row>
    <row r="273" spans="9:25" ht="45" x14ac:dyDescent="0.2">
      <c r="I273" s="40"/>
      <c r="J273" s="40"/>
      <c r="M273" s="26" t="s">
        <v>56</v>
      </c>
      <c r="N273" s="25" t="s">
        <v>55</v>
      </c>
      <c r="O273" s="26" t="s">
        <v>337</v>
      </c>
      <c r="P273" s="26"/>
      <c r="Q273" s="26"/>
      <c r="R273" s="5"/>
      <c r="S273" s="5"/>
      <c r="T273" s="5"/>
      <c r="U273" s="5"/>
      <c r="V273" s="5"/>
      <c r="W273" s="5"/>
      <c r="X273" s="5"/>
      <c r="Y273" s="5"/>
    </row>
    <row r="274" spans="9:25" ht="101.25" x14ac:dyDescent="0.2">
      <c r="I274" s="40"/>
      <c r="J274" s="40"/>
      <c r="M274" s="26" t="s">
        <v>56</v>
      </c>
      <c r="N274" s="25" t="s">
        <v>75</v>
      </c>
      <c r="O274" s="26" t="s">
        <v>338</v>
      </c>
      <c r="P274" s="26"/>
      <c r="Q274" s="26"/>
      <c r="R274" s="5"/>
      <c r="S274" s="5"/>
      <c r="T274" s="5"/>
      <c r="U274" s="5"/>
      <c r="V274" s="5"/>
      <c r="W274" s="5"/>
      <c r="X274" s="5"/>
      <c r="Y274" s="5"/>
    </row>
    <row r="275" spans="9:25" ht="45" x14ac:dyDescent="0.2">
      <c r="I275" s="40"/>
      <c r="J275" s="40"/>
      <c r="M275" s="26" t="s">
        <v>56</v>
      </c>
      <c r="N275" s="25" t="s">
        <v>55</v>
      </c>
      <c r="O275" s="26" t="s">
        <v>339</v>
      </c>
      <c r="P275" s="26"/>
      <c r="Q275" s="26"/>
      <c r="R275" s="5"/>
      <c r="S275" s="5"/>
      <c r="T275" s="5"/>
      <c r="U275" s="5"/>
      <c r="V275" s="5"/>
      <c r="W275" s="5"/>
      <c r="X275" s="5"/>
      <c r="Y275" s="5"/>
    </row>
    <row r="276" spans="9:25" ht="45" x14ac:dyDescent="0.2">
      <c r="I276" s="40"/>
      <c r="J276" s="40"/>
      <c r="M276" s="26" t="s">
        <v>56</v>
      </c>
      <c r="N276" s="25" t="s">
        <v>55</v>
      </c>
      <c r="O276" s="26" t="s">
        <v>340</v>
      </c>
      <c r="P276" s="26"/>
      <c r="Q276" s="26"/>
      <c r="R276" s="5"/>
      <c r="S276" s="5"/>
      <c r="T276" s="5"/>
      <c r="U276" s="5"/>
      <c r="V276" s="5"/>
      <c r="W276" s="5"/>
      <c r="X276" s="5"/>
      <c r="Y276" s="5"/>
    </row>
    <row r="277" spans="9:25" ht="101.25" x14ac:dyDescent="0.2">
      <c r="I277" s="40"/>
      <c r="J277" s="40"/>
      <c r="M277" s="26" t="s">
        <v>56</v>
      </c>
      <c r="N277" s="25" t="s">
        <v>75</v>
      </c>
      <c r="O277" s="26" t="s">
        <v>341</v>
      </c>
      <c r="P277" s="26"/>
      <c r="Q277" s="26"/>
      <c r="R277" s="5"/>
      <c r="S277" s="5"/>
      <c r="T277" s="5"/>
      <c r="U277" s="5"/>
      <c r="V277" s="5"/>
      <c r="W277" s="5"/>
      <c r="X277" s="5"/>
      <c r="Y277" s="5"/>
    </row>
    <row r="278" spans="9:25" ht="101.25" x14ac:dyDescent="0.2">
      <c r="I278" s="40"/>
      <c r="J278" s="40"/>
      <c r="M278" s="26" t="s">
        <v>56</v>
      </c>
      <c r="N278" s="25" t="s">
        <v>75</v>
      </c>
      <c r="O278" s="26" t="s">
        <v>342</v>
      </c>
      <c r="P278" s="26"/>
      <c r="Q278" s="26"/>
      <c r="R278" s="5"/>
      <c r="S278" s="5"/>
      <c r="T278" s="5"/>
      <c r="U278" s="5"/>
      <c r="V278" s="5"/>
      <c r="W278" s="5"/>
      <c r="X278" s="5"/>
      <c r="Y278" s="5"/>
    </row>
    <row r="279" spans="9:25" ht="135" x14ac:dyDescent="0.2">
      <c r="I279" s="40"/>
      <c r="J279" s="40"/>
      <c r="M279" s="26" t="s">
        <v>56</v>
      </c>
      <c r="N279" s="25" t="s">
        <v>75</v>
      </c>
      <c r="O279" s="26" t="s">
        <v>343</v>
      </c>
      <c r="P279" s="26"/>
      <c r="Q279" s="26"/>
      <c r="R279" s="5"/>
      <c r="S279" s="5"/>
      <c r="T279" s="5"/>
      <c r="U279" s="5"/>
      <c r="V279" s="5"/>
      <c r="W279" s="5"/>
      <c r="X279" s="5"/>
      <c r="Y279" s="5"/>
    </row>
    <row r="280" spans="9:25" ht="22.5" x14ac:dyDescent="0.2">
      <c r="I280" s="40"/>
      <c r="J280" s="40"/>
      <c r="M280" s="26" t="s">
        <v>79</v>
      </c>
      <c r="N280" s="25" t="s">
        <v>51</v>
      </c>
      <c r="O280" s="26" t="s">
        <v>344</v>
      </c>
      <c r="P280" s="26"/>
      <c r="Q280" s="26"/>
      <c r="R280" s="5"/>
      <c r="S280" s="5"/>
      <c r="T280" s="5"/>
      <c r="U280" s="5"/>
      <c r="V280" s="5"/>
      <c r="W280" s="5"/>
      <c r="X280" s="5"/>
      <c r="Y280" s="5"/>
    </row>
    <row r="281" spans="9:25" ht="45" x14ac:dyDescent="0.2">
      <c r="I281" s="40"/>
      <c r="J281" s="40"/>
      <c r="M281" s="26" t="s">
        <v>79</v>
      </c>
      <c r="N281" s="25" t="s">
        <v>55</v>
      </c>
      <c r="O281" s="26"/>
      <c r="P281" s="26" t="s">
        <v>345</v>
      </c>
      <c r="Q281" s="26"/>
      <c r="R281" s="5"/>
      <c r="S281" s="5"/>
      <c r="T281" s="5"/>
      <c r="U281" s="5"/>
      <c r="V281" s="5"/>
      <c r="W281" s="5"/>
      <c r="X281" s="5"/>
      <c r="Y281" s="5"/>
    </row>
    <row r="282" spans="9:25" ht="22.5" x14ac:dyDescent="0.2">
      <c r="I282" s="40"/>
      <c r="J282" s="40"/>
      <c r="M282" s="26" t="s">
        <v>79</v>
      </c>
      <c r="N282" s="25" t="s">
        <v>55</v>
      </c>
      <c r="O282" s="26"/>
      <c r="P282" s="26" t="s">
        <v>346</v>
      </c>
      <c r="Q282" s="26"/>
      <c r="R282" s="5"/>
      <c r="S282" s="5"/>
      <c r="T282" s="5"/>
      <c r="U282" s="5"/>
      <c r="V282" s="5"/>
      <c r="W282" s="5"/>
      <c r="X282" s="5"/>
      <c r="Y282" s="5"/>
    </row>
    <row r="283" spans="9:25" ht="22.5" x14ac:dyDescent="0.2">
      <c r="I283" s="40"/>
      <c r="J283" s="40"/>
      <c r="M283" s="26" t="s">
        <v>79</v>
      </c>
      <c r="N283" s="25" t="s">
        <v>55</v>
      </c>
      <c r="O283" s="26"/>
      <c r="P283" s="26" t="s">
        <v>347</v>
      </c>
      <c r="Q283" s="26"/>
      <c r="R283" s="5"/>
      <c r="S283" s="5"/>
      <c r="T283" s="5"/>
      <c r="U283" s="5"/>
      <c r="V283" s="5"/>
      <c r="W283" s="5"/>
      <c r="X283" s="5"/>
      <c r="Y283" s="5"/>
    </row>
    <row r="284" spans="9:25" ht="22.5" x14ac:dyDescent="0.2">
      <c r="I284" s="40"/>
      <c r="J284" s="40"/>
      <c r="M284" s="26" t="s">
        <v>79</v>
      </c>
      <c r="N284" s="25" t="s">
        <v>55</v>
      </c>
      <c r="O284" s="26"/>
      <c r="P284" s="26" t="s">
        <v>348</v>
      </c>
      <c r="Q284" s="26"/>
      <c r="R284" s="5"/>
      <c r="S284" s="5"/>
      <c r="T284" s="5"/>
      <c r="U284" s="5"/>
      <c r="V284" s="5"/>
      <c r="W284" s="5"/>
      <c r="X284" s="5"/>
      <c r="Y284" s="5"/>
    </row>
    <row r="285" spans="9:25" ht="22.5" x14ac:dyDescent="0.2">
      <c r="I285" s="40"/>
      <c r="J285" s="40"/>
      <c r="M285" s="26" t="s">
        <v>79</v>
      </c>
      <c r="N285" s="25" t="s">
        <v>55</v>
      </c>
      <c r="O285" s="26"/>
      <c r="P285" s="26" t="s">
        <v>349</v>
      </c>
      <c r="Q285" s="26"/>
      <c r="R285" s="5"/>
      <c r="S285" s="5"/>
      <c r="T285" s="5"/>
      <c r="U285" s="5"/>
      <c r="V285" s="5"/>
      <c r="W285" s="5"/>
      <c r="X285" s="5"/>
      <c r="Y285" s="5"/>
    </row>
    <row r="286" spans="9:25" ht="22.5" x14ac:dyDescent="0.2">
      <c r="I286" s="40"/>
      <c r="J286" s="40"/>
      <c r="M286" s="26" t="s">
        <v>79</v>
      </c>
      <c r="N286" s="25" t="s">
        <v>51</v>
      </c>
      <c r="O286" s="26" t="s">
        <v>350</v>
      </c>
      <c r="P286" s="26"/>
      <c r="Q286" s="26"/>
      <c r="R286" s="5"/>
      <c r="S286" s="5"/>
      <c r="T286" s="5"/>
      <c r="U286" s="5"/>
      <c r="V286" s="5"/>
      <c r="W286" s="5"/>
      <c r="X286" s="5"/>
      <c r="Y286" s="5"/>
    </row>
    <row r="287" spans="9:25" ht="67.5" x14ac:dyDescent="0.2">
      <c r="I287" s="40"/>
      <c r="J287" s="40"/>
      <c r="M287" s="26" t="s">
        <v>79</v>
      </c>
      <c r="N287" s="25" t="s">
        <v>51</v>
      </c>
      <c r="O287" s="26"/>
      <c r="P287" s="26" t="s">
        <v>351</v>
      </c>
      <c r="Q287" s="26"/>
      <c r="R287" s="5"/>
      <c r="S287" s="5"/>
      <c r="T287" s="5"/>
      <c r="U287" s="5"/>
      <c r="V287" s="5"/>
      <c r="W287" s="5"/>
      <c r="X287" s="5"/>
      <c r="Y287" s="5"/>
    </row>
    <row r="288" spans="9:25" ht="45" x14ac:dyDescent="0.2">
      <c r="I288" s="40"/>
      <c r="J288" s="40"/>
      <c r="M288" s="26" t="s">
        <v>79</v>
      </c>
      <c r="N288" s="25" t="s">
        <v>55</v>
      </c>
      <c r="O288" s="26"/>
      <c r="P288" s="26" t="s">
        <v>352</v>
      </c>
      <c r="Q288" s="26"/>
      <c r="R288" s="5"/>
      <c r="S288" s="5"/>
      <c r="T288" s="5"/>
      <c r="U288" s="5"/>
      <c r="V288" s="5"/>
      <c r="W288" s="5"/>
      <c r="X288" s="5"/>
      <c r="Y288" s="5"/>
    </row>
    <row r="289" spans="9:25" ht="56.25" x14ac:dyDescent="0.2">
      <c r="I289" s="40"/>
      <c r="J289" s="40"/>
      <c r="M289" s="26" t="s">
        <v>79</v>
      </c>
      <c r="N289" s="25" t="s">
        <v>55</v>
      </c>
      <c r="O289" s="26"/>
      <c r="P289" s="26" t="s">
        <v>353</v>
      </c>
      <c r="Q289" s="26"/>
      <c r="R289" s="5"/>
      <c r="S289" s="5"/>
      <c r="T289" s="5"/>
      <c r="U289" s="5"/>
      <c r="V289" s="5"/>
      <c r="W289" s="5"/>
      <c r="X289" s="5"/>
      <c r="Y289" s="5"/>
    </row>
    <row r="290" spans="9:25" ht="56.25" x14ac:dyDescent="0.2">
      <c r="I290" s="40"/>
      <c r="J290" s="40"/>
      <c r="M290" s="26" t="s">
        <v>79</v>
      </c>
      <c r="N290" s="25" t="s">
        <v>55</v>
      </c>
      <c r="O290" s="26"/>
      <c r="P290" s="26" t="s">
        <v>354</v>
      </c>
      <c r="Q290" s="26"/>
      <c r="R290" s="5"/>
      <c r="S290" s="5"/>
      <c r="T290" s="5"/>
      <c r="U290" s="5"/>
      <c r="V290" s="5"/>
      <c r="W290" s="5"/>
      <c r="X290" s="5"/>
      <c r="Y290" s="5"/>
    </row>
    <row r="291" spans="9:25" ht="56.25" x14ac:dyDescent="0.2">
      <c r="I291" s="40"/>
      <c r="J291" s="40"/>
      <c r="M291" s="26" t="s">
        <v>79</v>
      </c>
      <c r="N291" s="25" t="s">
        <v>55</v>
      </c>
      <c r="O291" s="26"/>
      <c r="P291" s="26" t="s">
        <v>355</v>
      </c>
      <c r="Q291" s="26"/>
      <c r="R291" s="5"/>
      <c r="S291" s="5"/>
      <c r="T291" s="5"/>
      <c r="U291" s="5"/>
      <c r="V291" s="5"/>
      <c r="W291" s="5"/>
      <c r="X291" s="5"/>
      <c r="Y291" s="5"/>
    </row>
    <row r="292" spans="9:25" ht="45" x14ac:dyDescent="0.2">
      <c r="I292" s="40"/>
      <c r="J292" s="40"/>
      <c r="M292" s="26" t="s">
        <v>79</v>
      </c>
      <c r="N292" s="25" t="s">
        <v>55</v>
      </c>
      <c r="O292" s="26"/>
      <c r="P292" s="26" t="s">
        <v>356</v>
      </c>
      <c r="Q292" s="26"/>
      <c r="R292" s="5"/>
      <c r="S292" s="5"/>
      <c r="T292" s="5"/>
      <c r="U292" s="5"/>
      <c r="V292" s="5"/>
      <c r="W292" s="5"/>
      <c r="X292" s="5"/>
      <c r="Y292" s="5"/>
    </row>
    <row r="293" spans="9:25" ht="22.5" x14ac:dyDescent="0.2">
      <c r="I293" s="40"/>
      <c r="J293" s="40"/>
      <c r="M293" s="26" t="s">
        <v>79</v>
      </c>
      <c r="N293" s="25" t="s">
        <v>55</v>
      </c>
      <c r="O293" s="26"/>
      <c r="P293" s="26" t="s">
        <v>357</v>
      </c>
      <c r="Q293" s="26"/>
      <c r="R293" s="5"/>
      <c r="S293" s="5"/>
      <c r="T293" s="5"/>
      <c r="U293" s="5"/>
      <c r="V293" s="5"/>
      <c r="W293" s="5"/>
      <c r="X293" s="5"/>
      <c r="Y293" s="5"/>
    </row>
    <row r="294" spans="9:25" ht="45" x14ac:dyDescent="0.2">
      <c r="I294" s="40"/>
      <c r="J294" s="40"/>
      <c r="M294" s="26" t="s">
        <v>79</v>
      </c>
      <c r="N294" s="25" t="s">
        <v>55</v>
      </c>
      <c r="O294" s="26"/>
      <c r="P294" s="26" t="s">
        <v>358</v>
      </c>
      <c r="Q294" s="26"/>
      <c r="R294" s="5"/>
      <c r="S294" s="5"/>
      <c r="T294" s="5"/>
      <c r="U294" s="5"/>
      <c r="V294" s="5"/>
      <c r="W294" s="5"/>
      <c r="X294" s="5"/>
      <c r="Y294" s="5"/>
    </row>
    <row r="295" spans="9:25" ht="22.5" x14ac:dyDescent="0.2">
      <c r="I295" s="40"/>
      <c r="J295" s="40"/>
      <c r="M295" s="26" t="s">
        <v>79</v>
      </c>
      <c r="N295" s="25" t="s">
        <v>55</v>
      </c>
      <c r="O295" s="26"/>
      <c r="P295" s="26" t="s">
        <v>359</v>
      </c>
      <c r="Q295" s="26"/>
      <c r="R295" s="5"/>
      <c r="S295" s="5"/>
      <c r="T295" s="5"/>
      <c r="U295" s="5"/>
      <c r="V295" s="5"/>
      <c r="W295" s="5"/>
      <c r="X295" s="5"/>
      <c r="Y295" s="5"/>
    </row>
    <row r="296" spans="9:25" ht="45" x14ac:dyDescent="0.2">
      <c r="I296" s="40"/>
      <c r="J296" s="40"/>
      <c r="M296" s="26" t="s">
        <v>79</v>
      </c>
      <c r="N296" s="25" t="s">
        <v>55</v>
      </c>
      <c r="O296" s="26"/>
      <c r="P296" s="26" t="s">
        <v>360</v>
      </c>
      <c r="Q296" s="26"/>
      <c r="R296" s="5"/>
      <c r="S296" s="5"/>
      <c r="T296" s="5"/>
      <c r="U296" s="5"/>
      <c r="V296" s="5"/>
      <c r="W296" s="5"/>
      <c r="X296" s="5"/>
      <c r="Y296" s="5"/>
    </row>
    <row r="297" spans="9:25" ht="33.75" x14ac:dyDescent="0.2">
      <c r="I297" s="40"/>
      <c r="J297" s="40"/>
      <c r="M297" s="26" t="s">
        <v>79</v>
      </c>
      <c r="N297" s="25" t="s">
        <v>55</v>
      </c>
      <c r="O297" s="26"/>
      <c r="P297" s="26" t="s">
        <v>361</v>
      </c>
      <c r="Q297" s="26"/>
      <c r="R297" s="5"/>
      <c r="S297" s="5"/>
      <c r="T297" s="5"/>
      <c r="U297" s="5"/>
      <c r="V297" s="5"/>
      <c r="W297" s="5"/>
      <c r="X297" s="5"/>
      <c r="Y297" s="5"/>
    </row>
    <row r="298" spans="9:25" ht="22.5" x14ac:dyDescent="0.2">
      <c r="I298" s="40"/>
      <c r="J298" s="40"/>
      <c r="M298" s="26" t="s">
        <v>79</v>
      </c>
      <c r="N298" s="25" t="s">
        <v>55</v>
      </c>
      <c r="O298" s="26"/>
      <c r="P298" s="26" t="s">
        <v>362</v>
      </c>
      <c r="Q298" s="26"/>
      <c r="R298" s="5"/>
      <c r="S298" s="5"/>
      <c r="T298" s="5"/>
      <c r="U298" s="5"/>
      <c r="V298" s="5"/>
      <c r="W298" s="5"/>
      <c r="X298" s="5"/>
      <c r="Y298" s="5"/>
    </row>
    <row r="299" spans="9:25" ht="22.5" x14ac:dyDescent="0.2">
      <c r="I299" s="40"/>
      <c r="J299" s="40"/>
      <c r="M299" s="26" t="s">
        <v>79</v>
      </c>
      <c r="N299" s="25" t="s">
        <v>55</v>
      </c>
      <c r="O299" s="26"/>
      <c r="P299" s="26" t="s">
        <v>363</v>
      </c>
      <c r="Q299" s="26"/>
      <c r="R299" s="5"/>
      <c r="S299" s="5"/>
      <c r="T299" s="5"/>
      <c r="U299" s="5"/>
      <c r="V299" s="5"/>
      <c r="W299" s="5"/>
      <c r="X299" s="5"/>
      <c r="Y299" s="5"/>
    </row>
    <row r="300" spans="9:25" ht="45" x14ac:dyDescent="0.2">
      <c r="I300" s="40"/>
      <c r="J300" s="40"/>
      <c r="M300" s="26" t="s">
        <v>79</v>
      </c>
      <c r="N300" s="25" t="s">
        <v>55</v>
      </c>
      <c r="O300" s="26"/>
      <c r="P300" s="26" t="s">
        <v>364</v>
      </c>
      <c r="Q300" s="26"/>
      <c r="R300" s="5"/>
      <c r="S300" s="5"/>
      <c r="T300" s="5"/>
      <c r="U300" s="5"/>
      <c r="V300" s="5"/>
      <c r="W300" s="5"/>
      <c r="X300" s="5"/>
      <c r="Y300" s="5"/>
    </row>
    <row r="301" spans="9:25" ht="33.75" x14ac:dyDescent="0.2">
      <c r="I301" s="40"/>
      <c r="J301" s="40"/>
      <c r="M301" s="26" t="s">
        <v>79</v>
      </c>
      <c r="N301" s="25" t="s">
        <v>55</v>
      </c>
      <c r="O301" s="26"/>
      <c r="P301" s="26" t="s">
        <v>365</v>
      </c>
      <c r="Q301" s="26"/>
      <c r="R301" s="5"/>
      <c r="S301" s="5"/>
      <c r="T301" s="5"/>
      <c r="U301" s="5"/>
      <c r="V301" s="5"/>
      <c r="W301" s="5"/>
      <c r="X301" s="5"/>
      <c r="Y301" s="5"/>
    </row>
    <row r="302" spans="9:25" ht="56.25" x14ac:dyDescent="0.2">
      <c r="M302" s="26" t="s">
        <v>79</v>
      </c>
      <c r="N302" s="25" t="s">
        <v>55</v>
      </c>
      <c r="O302" s="26"/>
      <c r="P302" s="26" t="s">
        <v>269</v>
      </c>
      <c r="Q302" s="26"/>
      <c r="R302" s="5"/>
      <c r="S302" s="5"/>
      <c r="T302" s="5"/>
      <c r="U302" s="5"/>
      <c r="V302" s="5"/>
      <c r="W302" s="5"/>
      <c r="X302" s="5"/>
      <c r="Y302" s="5"/>
    </row>
    <row r="303" spans="9:25" ht="45" x14ac:dyDescent="0.2">
      <c r="M303" s="26" t="s">
        <v>79</v>
      </c>
      <c r="N303" s="25" t="s">
        <v>55</v>
      </c>
      <c r="O303" s="26"/>
      <c r="P303" s="26" t="s">
        <v>366</v>
      </c>
      <c r="Q303" s="26"/>
      <c r="R303" s="5"/>
      <c r="S303" s="5"/>
      <c r="T303" s="5"/>
      <c r="U303" s="5"/>
      <c r="V303" s="5"/>
      <c r="W303" s="5"/>
      <c r="X303" s="5"/>
      <c r="Y303" s="5"/>
    </row>
    <row r="304" spans="9:25" ht="45" x14ac:dyDescent="0.2">
      <c r="M304" s="26" t="s">
        <v>79</v>
      </c>
      <c r="N304" s="25" t="s">
        <v>55</v>
      </c>
      <c r="O304" s="26"/>
      <c r="P304" s="26" t="s">
        <v>367</v>
      </c>
      <c r="Q304" s="26"/>
      <c r="R304" s="5"/>
      <c r="S304" s="5"/>
      <c r="T304" s="5"/>
      <c r="U304" s="5"/>
      <c r="V304" s="5"/>
      <c r="W304" s="5"/>
      <c r="X304" s="5"/>
      <c r="Y304" s="5"/>
    </row>
    <row r="305" spans="13:25" ht="33.75" x14ac:dyDescent="0.2">
      <c r="M305" s="26" t="s">
        <v>79</v>
      </c>
      <c r="N305" s="25" t="s">
        <v>55</v>
      </c>
      <c r="O305" s="26"/>
      <c r="P305" s="26" t="s">
        <v>368</v>
      </c>
      <c r="Q305" s="26"/>
      <c r="R305" s="5"/>
      <c r="S305" s="5"/>
      <c r="T305" s="5"/>
      <c r="U305" s="5"/>
      <c r="V305" s="5"/>
      <c r="W305" s="5"/>
      <c r="X305" s="5"/>
      <c r="Y305" s="5"/>
    </row>
    <row r="306" spans="13:25" ht="45" x14ac:dyDescent="0.2">
      <c r="M306" s="26" t="s">
        <v>79</v>
      </c>
      <c r="N306" s="25" t="s">
        <v>55</v>
      </c>
      <c r="O306" s="26"/>
      <c r="P306" s="26" t="s">
        <v>126</v>
      </c>
      <c r="Q306" s="26"/>
      <c r="R306" s="5"/>
      <c r="S306" s="5"/>
      <c r="T306" s="5"/>
      <c r="U306" s="5"/>
      <c r="V306" s="5"/>
      <c r="W306" s="5"/>
      <c r="X306" s="5"/>
      <c r="Y306" s="5"/>
    </row>
    <row r="307" spans="13:25" ht="45" x14ac:dyDescent="0.2">
      <c r="M307" s="26" t="s">
        <v>79</v>
      </c>
      <c r="N307" s="25" t="s">
        <v>55</v>
      </c>
      <c r="O307" s="26"/>
      <c r="P307" s="26" t="s">
        <v>369</v>
      </c>
      <c r="Q307" s="26"/>
      <c r="R307" s="5"/>
      <c r="S307" s="5"/>
      <c r="T307" s="5"/>
      <c r="U307" s="5"/>
      <c r="V307" s="5"/>
      <c r="W307" s="5"/>
      <c r="X307" s="5"/>
      <c r="Y307" s="5"/>
    </row>
    <row r="308" spans="13:25" ht="22.5" x14ac:dyDescent="0.2">
      <c r="M308" s="26" t="s">
        <v>79</v>
      </c>
      <c r="N308" s="25" t="s">
        <v>55</v>
      </c>
      <c r="O308" s="26"/>
      <c r="P308" s="26" t="s">
        <v>370</v>
      </c>
      <c r="Q308" s="26"/>
      <c r="R308" s="5"/>
      <c r="S308" s="5"/>
      <c r="T308" s="5"/>
      <c r="U308" s="5"/>
      <c r="V308" s="5"/>
      <c r="W308" s="5"/>
      <c r="X308" s="5"/>
      <c r="Y308" s="5"/>
    </row>
    <row r="309" spans="13:25" ht="45" x14ac:dyDescent="0.2">
      <c r="M309" s="26" t="s">
        <v>79</v>
      </c>
      <c r="N309" s="25" t="s">
        <v>55</v>
      </c>
      <c r="O309" s="26"/>
      <c r="P309" s="26" t="s">
        <v>371</v>
      </c>
      <c r="Q309" s="26"/>
      <c r="R309" s="5"/>
      <c r="S309" s="5"/>
      <c r="T309" s="5"/>
      <c r="U309" s="5"/>
      <c r="V309" s="5"/>
      <c r="W309" s="5"/>
      <c r="X309" s="5"/>
      <c r="Y309" s="5"/>
    </row>
    <row r="310" spans="13:25" ht="22.5" x14ac:dyDescent="0.2">
      <c r="M310" s="26" t="s">
        <v>79</v>
      </c>
      <c r="N310" s="25" t="s">
        <v>55</v>
      </c>
      <c r="O310" s="26"/>
      <c r="P310" s="26" t="s">
        <v>372</v>
      </c>
      <c r="Q310" s="26"/>
      <c r="R310" s="5"/>
      <c r="S310" s="5"/>
      <c r="T310" s="5"/>
      <c r="U310" s="5"/>
      <c r="V310" s="5"/>
      <c r="W310" s="5"/>
      <c r="X310" s="5"/>
      <c r="Y310" s="5"/>
    </row>
    <row r="311" spans="13:25" ht="22.5" x14ac:dyDescent="0.2">
      <c r="M311" s="26" t="s">
        <v>79</v>
      </c>
      <c r="N311" s="25" t="s">
        <v>55</v>
      </c>
      <c r="O311" s="26"/>
      <c r="P311" s="26" t="s">
        <v>373</v>
      </c>
      <c r="Q311" s="26"/>
      <c r="R311" s="5"/>
      <c r="S311" s="5"/>
      <c r="T311" s="5"/>
      <c r="U311" s="5"/>
      <c r="V311" s="5"/>
      <c r="W311" s="5"/>
      <c r="X311" s="5"/>
      <c r="Y311" s="5"/>
    </row>
    <row r="312" spans="13:25" ht="22.5" x14ac:dyDescent="0.2">
      <c r="M312" s="26" t="s">
        <v>79</v>
      </c>
      <c r="N312" s="25" t="s">
        <v>55</v>
      </c>
      <c r="O312" s="26"/>
      <c r="P312" s="26" t="s">
        <v>374</v>
      </c>
      <c r="Q312" s="26"/>
      <c r="R312" s="5"/>
      <c r="S312" s="5"/>
      <c r="T312" s="5"/>
      <c r="U312" s="5"/>
      <c r="V312" s="5"/>
      <c r="W312" s="5"/>
      <c r="X312" s="5"/>
      <c r="Y312" s="5"/>
    </row>
    <row r="313" spans="13:25" ht="22.5" x14ac:dyDescent="0.2">
      <c r="M313" s="26" t="s">
        <v>79</v>
      </c>
      <c r="N313" s="25" t="s">
        <v>51</v>
      </c>
      <c r="O313" s="26" t="s">
        <v>375</v>
      </c>
      <c r="P313" s="26"/>
      <c r="Q313" s="26"/>
      <c r="R313" s="5"/>
      <c r="S313" s="5"/>
      <c r="T313" s="5"/>
      <c r="U313" s="5"/>
      <c r="V313" s="5"/>
      <c r="W313" s="5"/>
      <c r="X313" s="5"/>
      <c r="Y313" s="5"/>
    </row>
    <row r="314" spans="13:25" ht="33.75" x14ac:dyDescent="0.2">
      <c r="M314" s="26" t="s">
        <v>79</v>
      </c>
      <c r="N314" s="25" t="s">
        <v>55</v>
      </c>
      <c r="O314" s="26"/>
      <c r="P314" s="26" t="s">
        <v>376</v>
      </c>
      <c r="Q314" s="26"/>
      <c r="R314" s="5"/>
      <c r="S314" s="5"/>
      <c r="T314" s="5"/>
      <c r="U314" s="5"/>
      <c r="V314" s="5"/>
      <c r="W314" s="5"/>
      <c r="X314" s="5"/>
      <c r="Y314" s="5"/>
    </row>
    <row r="315" spans="13:25" ht="45" x14ac:dyDescent="0.2">
      <c r="M315" s="26" t="s">
        <v>79</v>
      </c>
      <c r="N315" s="25" t="s">
        <v>55</v>
      </c>
      <c r="O315" s="26"/>
      <c r="P315" s="26" t="s">
        <v>377</v>
      </c>
      <c r="Q315" s="26"/>
      <c r="R315" s="5"/>
      <c r="S315" s="5"/>
      <c r="T315" s="5"/>
      <c r="U315" s="5"/>
      <c r="V315" s="5"/>
      <c r="W315" s="5"/>
      <c r="X315" s="5"/>
      <c r="Y315" s="5"/>
    </row>
    <row r="316" spans="13:25" ht="22.5" x14ac:dyDescent="0.2">
      <c r="M316" s="26" t="s">
        <v>79</v>
      </c>
      <c r="N316" s="25" t="s">
        <v>55</v>
      </c>
      <c r="O316" s="26"/>
      <c r="P316" s="26" t="s">
        <v>378</v>
      </c>
      <c r="Q316" s="26"/>
      <c r="R316" s="5"/>
      <c r="S316" s="5"/>
      <c r="T316" s="5"/>
      <c r="U316" s="5"/>
      <c r="V316" s="5"/>
      <c r="W316" s="5"/>
      <c r="X316" s="5"/>
      <c r="Y316" s="5"/>
    </row>
    <row r="317" spans="13:25" ht="33.75" x14ac:dyDescent="0.2">
      <c r="M317" s="26" t="s">
        <v>79</v>
      </c>
      <c r="N317" s="25" t="s">
        <v>55</v>
      </c>
      <c r="O317" s="26"/>
      <c r="P317" s="26" t="s">
        <v>379</v>
      </c>
      <c r="Q317" s="26"/>
      <c r="R317" s="5"/>
      <c r="S317" s="5"/>
      <c r="T317" s="5"/>
      <c r="U317" s="5"/>
      <c r="V317" s="5"/>
      <c r="W317" s="5"/>
      <c r="X317" s="5"/>
      <c r="Y317" s="5"/>
    </row>
    <row r="318" spans="13:25" ht="56.25" x14ac:dyDescent="0.2">
      <c r="M318" s="26" t="s">
        <v>79</v>
      </c>
      <c r="N318" s="25" t="s">
        <v>55</v>
      </c>
      <c r="O318" s="26"/>
      <c r="P318" s="26" t="s">
        <v>107</v>
      </c>
      <c r="Q318" s="26"/>
      <c r="R318" s="5"/>
      <c r="S318" s="5"/>
      <c r="T318" s="5"/>
      <c r="U318" s="5"/>
      <c r="V318" s="5"/>
      <c r="W318" s="5"/>
      <c r="X318" s="5"/>
      <c r="Y318" s="5"/>
    </row>
    <row r="319" spans="13:25" ht="56.25" x14ac:dyDescent="0.2">
      <c r="M319" s="26" t="s">
        <v>79</v>
      </c>
      <c r="N319" s="25" t="s">
        <v>55</v>
      </c>
      <c r="O319" s="26"/>
      <c r="P319" s="26" t="s">
        <v>380</v>
      </c>
      <c r="Q319" s="26"/>
      <c r="R319" s="5"/>
      <c r="S319" s="5"/>
      <c r="T319" s="5"/>
      <c r="U319" s="5"/>
      <c r="V319" s="5"/>
      <c r="W319" s="5"/>
      <c r="X319" s="5"/>
      <c r="Y319" s="5"/>
    </row>
    <row r="320" spans="13:25" ht="56.25" x14ac:dyDescent="0.2">
      <c r="M320" s="26" t="s">
        <v>79</v>
      </c>
      <c r="N320" s="25" t="s">
        <v>55</v>
      </c>
      <c r="O320" s="26"/>
      <c r="P320" s="26" t="s">
        <v>353</v>
      </c>
      <c r="Q320" s="26"/>
      <c r="R320" s="5"/>
      <c r="S320" s="5"/>
      <c r="T320" s="5"/>
      <c r="U320" s="5"/>
      <c r="V320" s="5"/>
      <c r="W320" s="5"/>
      <c r="X320" s="5"/>
      <c r="Y320" s="5"/>
    </row>
    <row r="321" spans="13:25" ht="56.25" x14ac:dyDescent="0.2">
      <c r="M321" s="26" t="s">
        <v>79</v>
      </c>
      <c r="N321" s="25" t="s">
        <v>55</v>
      </c>
      <c r="O321" s="26"/>
      <c r="P321" s="26" t="s">
        <v>381</v>
      </c>
      <c r="Q321" s="26"/>
      <c r="R321" s="5"/>
      <c r="S321" s="5"/>
      <c r="T321" s="5"/>
      <c r="U321" s="5"/>
      <c r="V321" s="5"/>
      <c r="W321" s="5"/>
      <c r="X321" s="5"/>
      <c r="Y321" s="5"/>
    </row>
    <row r="322" spans="13:25" ht="56.25" x14ac:dyDescent="0.2">
      <c r="M322" s="26" t="s">
        <v>79</v>
      </c>
      <c r="N322" s="25" t="s">
        <v>55</v>
      </c>
      <c r="O322" s="26"/>
      <c r="P322" s="26" t="s">
        <v>353</v>
      </c>
      <c r="Q322" s="26"/>
      <c r="R322" s="5"/>
      <c r="S322" s="5"/>
      <c r="T322" s="5"/>
      <c r="U322" s="5"/>
      <c r="V322" s="5"/>
      <c r="W322" s="5"/>
      <c r="X322" s="5"/>
      <c r="Y322" s="5"/>
    </row>
    <row r="323" spans="13:25" ht="56.25" x14ac:dyDescent="0.2">
      <c r="M323" s="26" t="s">
        <v>79</v>
      </c>
      <c r="N323" s="25" t="s">
        <v>55</v>
      </c>
      <c r="O323" s="26"/>
      <c r="P323" s="26" t="s">
        <v>382</v>
      </c>
      <c r="Q323" s="26"/>
      <c r="R323" s="5"/>
      <c r="S323" s="5"/>
      <c r="T323" s="5"/>
      <c r="U323" s="5"/>
      <c r="V323" s="5"/>
      <c r="W323" s="5"/>
      <c r="X323" s="5"/>
      <c r="Y323" s="5"/>
    </row>
    <row r="324" spans="13:25" ht="56.25" x14ac:dyDescent="0.2">
      <c r="M324" s="26" t="s">
        <v>79</v>
      </c>
      <c r="N324" s="25" t="s">
        <v>55</v>
      </c>
      <c r="O324" s="26"/>
      <c r="P324" s="26" t="s">
        <v>383</v>
      </c>
      <c r="Q324" s="26"/>
      <c r="R324" s="5"/>
      <c r="S324" s="5"/>
      <c r="T324" s="5"/>
      <c r="U324" s="5"/>
      <c r="V324" s="5"/>
      <c r="W324" s="5"/>
      <c r="X324" s="5"/>
      <c r="Y324" s="5"/>
    </row>
    <row r="325" spans="13:25" ht="22.5" x14ac:dyDescent="0.2">
      <c r="M325" s="26" t="s">
        <v>79</v>
      </c>
      <c r="N325" s="25" t="s">
        <v>55</v>
      </c>
      <c r="O325" s="26"/>
      <c r="P325" s="26" t="s">
        <v>384</v>
      </c>
      <c r="Q325" s="26"/>
      <c r="R325" s="5"/>
      <c r="S325" s="5"/>
      <c r="T325" s="5"/>
      <c r="U325" s="5"/>
      <c r="V325" s="5"/>
      <c r="W325" s="5"/>
      <c r="X325" s="5"/>
      <c r="Y325" s="5"/>
    </row>
    <row r="326" spans="13:25" ht="56.25" x14ac:dyDescent="0.2">
      <c r="M326" s="26" t="s">
        <v>79</v>
      </c>
      <c r="N326" s="25" t="s">
        <v>55</v>
      </c>
      <c r="O326" s="26"/>
      <c r="P326" s="26" t="s">
        <v>112</v>
      </c>
      <c r="Q326" s="26"/>
      <c r="R326" s="5"/>
      <c r="S326" s="5"/>
      <c r="T326" s="5"/>
      <c r="U326" s="5"/>
      <c r="V326" s="5"/>
      <c r="W326" s="5"/>
      <c r="X326" s="5"/>
      <c r="Y326" s="5"/>
    </row>
    <row r="327" spans="13:25" ht="22.5" x14ac:dyDescent="0.2">
      <c r="M327" s="26" t="s">
        <v>79</v>
      </c>
      <c r="N327" s="25" t="s">
        <v>55</v>
      </c>
      <c r="O327" s="26"/>
      <c r="P327" s="26" t="s">
        <v>385</v>
      </c>
      <c r="Q327" s="26"/>
      <c r="R327" s="5"/>
      <c r="S327" s="5"/>
      <c r="T327" s="5"/>
      <c r="U327" s="5"/>
      <c r="V327" s="5"/>
      <c r="W327" s="5"/>
      <c r="X327" s="5"/>
      <c r="Y327" s="5"/>
    </row>
    <row r="328" spans="13:25" ht="22.5" x14ac:dyDescent="0.2">
      <c r="M328" s="26" t="s">
        <v>79</v>
      </c>
      <c r="N328" s="25" t="s">
        <v>55</v>
      </c>
      <c r="O328" s="26"/>
      <c r="P328" s="26" t="s">
        <v>386</v>
      </c>
      <c r="Q328" s="26"/>
      <c r="R328" s="5"/>
      <c r="S328" s="5"/>
      <c r="T328" s="5"/>
      <c r="U328" s="5"/>
      <c r="V328" s="5"/>
      <c r="W328" s="5"/>
      <c r="X328" s="5"/>
      <c r="Y328" s="5"/>
    </row>
    <row r="329" spans="13:25" ht="22.5" x14ac:dyDescent="0.2">
      <c r="M329" s="26" t="s">
        <v>79</v>
      </c>
      <c r="N329" s="25" t="s">
        <v>55</v>
      </c>
      <c r="O329" s="26"/>
      <c r="P329" s="26" t="s">
        <v>387</v>
      </c>
      <c r="Q329" s="26"/>
      <c r="R329" s="5"/>
      <c r="S329" s="5"/>
      <c r="T329" s="5"/>
      <c r="U329" s="5"/>
      <c r="V329" s="5"/>
      <c r="W329" s="5"/>
      <c r="X329" s="5"/>
      <c r="Y329" s="5"/>
    </row>
    <row r="330" spans="13:25" ht="33.75" x14ac:dyDescent="0.2">
      <c r="M330" s="26" t="s">
        <v>79</v>
      </c>
      <c r="N330" s="25" t="s">
        <v>55</v>
      </c>
      <c r="O330" s="26"/>
      <c r="P330" s="26" t="s">
        <v>388</v>
      </c>
      <c r="Q330" s="26"/>
      <c r="R330" s="5"/>
      <c r="S330" s="5"/>
      <c r="T330" s="5"/>
      <c r="U330" s="5"/>
      <c r="V330" s="5"/>
      <c r="W330" s="5"/>
      <c r="X330" s="5"/>
      <c r="Y330" s="5"/>
    </row>
    <row r="331" spans="13:25" ht="33.75" x14ac:dyDescent="0.2">
      <c r="M331" s="26" t="s">
        <v>79</v>
      </c>
      <c r="N331" s="25" t="s">
        <v>55</v>
      </c>
      <c r="O331" s="26"/>
      <c r="P331" s="26" t="s">
        <v>389</v>
      </c>
      <c r="Q331" s="26"/>
      <c r="R331" s="5"/>
      <c r="S331" s="5"/>
      <c r="T331" s="5"/>
      <c r="U331" s="5"/>
      <c r="V331" s="5"/>
      <c r="W331" s="5"/>
      <c r="X331" s="5"/>
      <c r="Y331" s="5"/>
    </row>
    <row r="332" spans="13:25" ht="22.5" x14ac:dyDescent="0.2">
      <c r="M332" s="26" t="s">
        <v>79</v>
      </c>
      <c r="N332" s="25" t="s">
        <v>55</v>
      </c>
      <c r="O332" s="26"/>
      <c r="P332" s="26" t="s">
        <v>390</v>
      </c>
      <c r="Q332" s="26"/>
      <c r="R332" s="5"/>
      <c r="S332" s="5"/>
      <c r="T332" s="5"/>
      <c r="U332" s="5"/>
      <c r="V332" s="5"/>
      <c r="W332" s="5"/>
      <c r="X332" s="5"/>
      <c r="Y332" s="5"/>
    </row>
    <row r="333" spans="13:25" ht="45" x14ac:dyDescent="0.2">
      <c r="M333" s="26" t="s">
        <v>79</v>
      </c>
      <c r="N333" s="25" t="s">
        <v>55</v>
      </c>
      <c r="O333" s="26"/>
      <c r="P333" s="26" t="s">
        <v>371</v>
      </c>
      <c r="Q333" s="26"/>
      <c r="R333" s="5"/>
      <c r="S333" s="5"/>
      <c r="T333" s="5"/>
      <c r="U333" s="5"/>
      <c r="V333" s="5"/>
      <c r="W333" s="5"/>
      <c r="X333" s="5"/>
      <c r="Y333" s="5"/>
    </row>
    <row r="334" spans="13:25" ht="45" x14ac:dyDescent="0.2">
      <c r="M334" s="26" t="s">
        <v>79</v>
      </c>
      <c r="N334" s="25" t="s">
        <v>55</v>
      </c>
      <c r="O334" s="26"/>
      <c r="P334" s="26" t="s">
        <v>391</v>
      </c>
      <c r="Q334" s="26"/>
      <c r="R334" s="5"/>
      <c r="S334" s="5"/>
      <c r="T334" s="5"/>
      <c r="U334" s="5"/>
      <c r="V334" s="5"/>
      <c r="W334" s="5"/>
      <c r="X334" s="5"/>
      <c r="Y334" s="5"/>
    </row>
    <row r="335" spans="13:25" ht="45" x14ac:dyDescent="0.2">
      <c r="M335" s="26" t="s">
        <v>79</v>
      </c>
      <c r="N335" s="25" t="s">
        <v>55</v>
      </c>
      <c r="O335" s="26"/>
      <c r="P335" s="26" t="s">
        <v>371</v>
      </c>
      <c r="Q335" s="26"/>
      <c r="R335" s="5"/>
      <c r="S335" s="5"/>
      <c r="T335" s="5"/>
      <c r="U335" s="5"/>
      <c r="V335" s="5"/>
      <c r="W335" s="5"/>
      <c r="X335" s="5"/>
      <c r="Y335" s="5"/>
    </row>
    <row r="336" spans="13:25" ht="45" x14ac:dyDescent="0.2">
      <c r="M336" s="26" t="s">
        <v>79</v>
      </c>
      <c r="N336" s="25" t="s">
        <v>55</v>
      </c>
      <c r="O336" s="26"/>
      <c r="P336" s="26" t="s">
        <v>392</v>
      </c>
      <c r="Q336" s="26"/>
      <c r="R336" s="5"/>
      <c r="S336" s="5"/>
      <c r="T336" s="5"/>
      <c r="U336" s="5"/>
      <c r="V336" s="5"/>
      <c r="W336" s="5"/>
      <c r="X336" s="5"/>
      <c r="Y336" s="5"/>
    </row>
    <row r="337" spans="13:25" ht="22.5" x14ac:dyDescent="0.2">
      <c r="M337" s="26" t="s">
        <v>79</v>
      </c>
      <c r="N337" s="25" t="s">
        <v>55</v>
      </c>
      <c r="O337" s="26"/>
      <c r="P337" s="26" t="s">
        <v>393</v>
      </c>
      <c r="Q337" s="26"/>
      <c r="R337" s="5"/>
      <c r="S337" s="5"/>
      <c r="T337" s="5"/>
      <c r="U337" s="5"/>
      <c r="V337" s="5"/>
      <c r="W337" s="5"/>
      <c r="X337" s="5"/>
      <c r="Y337" s="5"/>
    </row>
    <row r="338" spans="13:25" ht="22.5" x14ac:dyDescent="0.2">
      <c r="M338" s="26" t="s">
        <v>79</v>
      </c>
      <c r="N338" s="25" t="s">
        <v>55</v>
      </c>
      <c r="O338" s="26"/>
      <c r="P338" s="26" t="s">
        <v>394</v>
      </c>
      <c r="Q338" s="26"/>
      <c r="R338" s="5"/>
      <c r="S338" s="5"/>
      <c r="T338" s="5"/>
      <c r="U338" s="5"/>
      <c r="V338" s="5"/>
      <c r="W338" s="5"/>
      <c r="X338" s="5"/>
      <c r="Y338" s="5"/>
    </row>
    <row r="339" spans="13:25" ht="33.75" x14ac:dyDescent="0.2">
      <c r="M339" s="26" t="s">
        <v>79</v>
      </c>
      <c r="N339" s="25" t="s">
        <v>55</v>
      </c>
      <c r="O339" s="26"/>
      <c r="P339" s="26" t="s">
        <v>395</v>
      </c>
      <c r="Q339" s="26"/>
      <c r="R339" s="5"/>
      <c r="S339" s="5"/>
      <c r="T339" s="5"/>
      <c r="U339" s="5"/>
      <c r="V339" s="5"/>
      <c r="W339" s="5"/>
      <c r="X339" s="5"/>
      <c r="Y339" s="5"/>
    </row>
    <row r="340" spans="13:25" ht="33.75" x14ac:dyDescent="0.2">
      <c r="M340" s="26" t="s">
        <v>79</v>
      </c>
      <c r="N340" s="25" t="s">
        <v>55</v>
      </c>
      <c r="O340" s="26"/>
      <c r="P340" s="26" t="s">
        <v>396</v>
      </c>
      <c r="Q340" s="26"/>
      <c r="R340" s="5"/>
      <c r="S340" s="5"/>
      <c r="T340" s="5"/>
      <c r="U340" s="5"/>
      <c r="V340" s="5"/>
      <c r="W340" s="5"/>
      <c r="X340" s="5"/>
      <c r="Y340" s="5"/>
    </row>
    <row r="341" spans="13:25" ht="22.5" x14ac:dyDescent="0.2">
      <c r="M341" s="26" t="s">
        <v>79</v>
      </c>
      <c r="N341" s="25" t="s">
        <v>55</v>
      </c>
      <c r="O341" s="26"/>
      <c r="P341" s="26" t="s">
        <v>397</v>
      </c>
      <c r="Q341" s="26"/>
      <c r="R341" s="5"/>
      <c r="S341" s="5"/>
      <c r="T341" s="5"/>
      <c r="U341" s="5"/>
      <c r="V341" s="5"/>
      <c r="W341" s="5"/>
      <c r="X341" s="5"/>
      <c r="Y341" s="5"/>
    </row>
    <row r="342" spans="13:25" ht="22.5" x14ac:dyDescent="0.2">
      <c r="M342" s="26" t="s">
        <v>79</v>
      </c>
      <c r="N342" s="25" t="s">
        <v>55</v>
      </c>
      <c r="O342" s="26"/>
      <c r="P342" s="26" t="s">
        <v>398</v>
      </c>
      <c r="Q342" s="26"/>
      <c r="R342" s="5"/>
      <c r="S342" s="5"/>
      <c r="T342" s="5"/>
      <c r="U342" s="5"/>
      <c r="V342" s="5"/>
      <c r="W342" s="5"/>
      <c r="X342" s="5"/>
      <c r="Y342" s="5"/>
    </row>
    <row r="343" spans="13:25" ht="22.5" x14ac:dyDescent="0.2">
      <c r="M343" s="26" t="s">
        <v>79</v>
      </c>
      <c r="N343" s="25" t="s">
        <v>55</v>
      </c>
      <c r="O343" s="26"/>
      <c r="P343" s="26" t="s">
        <v>399</v>
      </c>
      <c r="Q343" s="26"/>
      <c r="R343" s="5"/>
      <c r="S343" s="5"/>
      <c r="T343" s="5"/>
      <c r="U343" s="5"/>
      <c r="V343" s="5"/>
      <c r="W343" s="5"/>
      <c r="X343" s="5"/>
      <c r="Y343" s="5"/>
    </row>
    <row r="344" spans="13:25" ht="45" x14ac:dyDescent="0.2">
      <c r="M344" s="26" t="s">
        <v>79</v>
      </c>
      <c r="N344" s="25" t="s">
        <v>55</v>
      </c>
      <c r="O344" s="26"/>
      <c r="P344" s="26" t="s">
        <v>400</v>
      </c>
      <c r="Q344" s="26"/>
      <c r="R344" s="5"/>
      <c r="S344" s="5"/>
      <c r="T344" s="5"/>
      <c r="U344" s="5"/>
      <c r="V344" s="5"/>
      <c r="W344" s="5"/>
      <c r="X344" s="5"/>
      <c r="Y344" s="5"/>
    </row>
    <row r="345" spans="13:25" ht="45" x14ac:dyDescent="0.2">
      <c r="M345" s="26" t="s">
        <v>79</v>
      </c>
      <c r="N345" s="25" t="s">
        <v>55</v>
      </c>
      <c r="O345" s="26"/>
      <c r="P345" s="26" t="s">
        <v>401</v>
      </c>
      <c r="Q345" s="26"/>
      <c r="R345" s="5"/>
      <c r="S345" s="5"/>
      <c r="T345" s="5"/>
      <c r="U345" s="5"/>
      <c r="V345" s="5"/>
      <c r="W345" s="5"/>
      <c r="X345" s="5"/>
      <c r="Y345" s="5"/>
    </row>
    <row r="346" spans="13:25" ht="22.5" x14ac:dyDescent="0.2">
      <c r="M346" s="26" t="s">
        <v>79</v>
      </c>
      <c r="N346" s="25" t="s">
        <v>55</v>
      </c>
      <c r="O346" s="26"/>
      <c r="P346" s="26" t="s">
        <v>402</v>
      </c>
      <c r="Q346" s="26"/>
      <c r="R346" s="5"/>
      <c r="S346" s="5"/>
      <c r="T346" s="5"/>
      <c r="U346" s="5"/>
      <c r="V346" s="5"/>
      <c r="W346" s="5"/>
      <c r="X346" s="5"/>
      <c r="Y346" s="5"/>
    </row>
    <row r="347" spans="13:25" ht="22.5" x14ac:dyDescent="0.2">
      <c r="M347" s="26" t="s">
        <v>79</v>
      </c>
      <c r="N347" s="25" t="s">
        <v>51</v>
      </c>
      <c r="O347" s="26"/>
      <c r="P347" s="26" t="s">
        <v>403</v>
      </c>
      <c r="Q347" s="26"/>
      <c r="R347" s="5"/>
      <c r="S347" s="5"/>
      <c r="T347" s="5"/>
      <c r="U347" s="5"/>
      <c r="V347" s="5"/>
      <c r="W347" s="5"/>
      <c r="X347" s="5"/>
      <c r="Y347" s="5"/>
    </row>
    <row r="348" spans="13:25" ht="22.5" x14ac:dyDescent="0.2">
      <c r="M348" s="26" t="s">
        <v>79</v>
      </c>
      <c r="N348" s="25" t="s">
        <v>51</v>
      </c>
      <c r="O348" s="26"/>
      <c r="P348" s="26" t="s">
        <v>404</v>
      </c>
      <c r="Q348" s="26"/>
      <c r="R348" s="5"/>
      <c r="S348" s="5"/>
      <c r="T348" s="5"/>
      <c r="U348" s="5"/>
      <c r="V348" s="5"/>
      <c r="W348" s="5"/>
      <c r="X348" s="5"/>
      <c r="Y348" s="5"/>
    </row>
    <row r="349" spans="13:25" ht="22.5" x14ac:dyDescent="0.2">
      <c r="M349" s="26" t="s">
        <v>79</v>
      </c>
      <c r="N349" s="25" t="s">
        <v>51</v>
      </c>
      <c r="O349" s="26"/>
      <c r="P349" s="26" t="s">
        <v>405</v>
      </c>
      <c r="Q349" s="26"/>
      <c r="R349" s="5"/>
      <c r="S349" s="5"/>
      <c r="T349" s="5"/>
      <c r="U349" s="5"/>
      <c r="V349" s="5"/>
      <c r="W349" s="5"/>
      <c r="X349" s="5"/>
      <c r="Y349" s="5"/>
    </row>
    <row r="350" spans="13:25" ht="22.5" x14ac:dyDescent="0.2">
      <c r="M350" s="26" t="s">
        <v>79</v>
      </c>
      <c r="N350" s="25" t="s">
        <v>51</v>
      </c>
      <c r="O350" s="26"/>
      <c r="P350" s="26" t="s">
        <v>406</v>
      </c>
      <c r="Q350" s="26"/>
      <c r="R350" s="5"/>
      <c r="S350" s="5"/>
      <c r="T350" s="5"/>
      <c r="U350" s="5"/>
      <c r="V350" s="5"/>
      <c r="W350" s="5"/>
      <c r="X350" s="5"/>
      <c r="Y350" s="5"/>
    </row>
    <row r="351" spans="13:25" ht="22.5" x14ac:dyDescent="0.2">
      <c r="M351" s="26" t="s">
        <v>79</v>
      </c>
      <c r="N351" s="25" t="s">
        <v>51</v>
      </c>
      <c r="O351" s="26"/>
      <c r="P351" s="26" t="s">
        <v>407</v>
      </c>
      <c r="Q351" s="26"/>
      <c r="R351" s="5"/>
      <c r="S351" s="5"/>
      <c r="T351" s="5"/>
      <c r="U351" s="5"/>
      <c r="V351" s="5"/>
      <c r="W351" s="5"/>
      <c r="X351" s="5"/>
      <c r="Y351" s="5"/>
    </row>
    <row r="352" spans="13:25" ht="22.5" x14ac:dyDescent="0.2">
      <c r="M352" s="26" t="s">
        <v>79</v>
      </c>
      <c r="N352" s="25" t="s">
        <v>51</v>
      </c>
      <c r="O352" s="26"/>
      <c r="P352" s="26" t="s">
        <v>408</v>
      </c>
      <c r="Q352" s="26"/>
      <c r="R352" s="5"/>
      <c r="S352" s="5"/>
      <c r="T352" s="5"/>
      <c r="U352" s="5"/>
      <c r="V352" s="5"/>
      <c r="W352" s="5"/>
      <c r="X352" s="5"/>
      <c r="Y352" s="5"/>
    </row>
    <row r="353" spans="13:25" ht="22.5" x14ac:dyDescent="0.2">
      <c r="M353" s="26" t="s">
        <v>79</v>
      </c>
      <c r="N353" s="25" t="s">
        <v>55</v>
      </c>
      <c r="O353" s="26"/>
      <c r="P353" s="26" t="s">
        <v>409</v>
      </c>
      <c r="Q353" s="26"/>
      <c r="R353" s="5"/>
      <c r="S353" s="5"/>
      <c r="T353" s="5"/>
      <c r="U353" s="5"/>
      <c r="V353" s="5"/>
      <c r="W353" s="5"/>
      <c r="X353" s="5"/>
      <c r="Y353" s="5"/>
    </row>
    <row r="354" spans="13:25" ht="22.5" x14ac:dyDescent="0.2">
      <c r="M354" s="26" t="s">
        <v>79</v>
      </c>
      <c r="N354" s="25" t="s">
        <v>55</v>
      </c>
      <c r="O354" s="26"/>
      <c r="P354" s="26" t="s">
        <v>410</v>
      </c>
      <c r="Q354" s="26"/>
      <c r="R354" s="5"/>
      <c r="S354" s="5"/>
      <c r="T354" s="5"/>
      <c r="U354" s="5"/>
      <c r="V354" s="5"/>
      <c r="W354" s="5"/>
      <c r="X354" s="5"/>
      <c r="Y354" s="5"/>
    </row>
    <row r="355" spans="13:25" ht="22.5" x14ac:dyDescent="0.2">
      <c r="M355" s="26" t="s">
        <v>79</v>
      </c>
      <c r="N355" s="25" t="s">
        <v>55</v>
      </c>
      <c r="O355" s="26"/>
      <c r="P355" s="26" t="s">
        <v>411</v>
      </c>
      <c r="Q355" s="26"/>
      <c r="R355" s="5"/>
      <c r="S355" s="5"/>
      <c r="T355" s="5"/>
      <c r="U355" s="5"/>
      <c r="V355" s="5"/>
      <c r="W355" s="5"/>
      <c r="X355" s="5"/>
      <c r="Y355" s="5"/>
    </row>
    <row r="356" spans="13:25" ht="22.5" x14ac:dyDescent="0.2">
      <c r="M356" s="26" t="s">
        <v>79</v>
      </c>
      <c r="N356" s="25" t="s">
        <v>55</v>
      </c>
      <c r="O356" s="26"/>
      <c r="P356" s="26" t="s">
        <v>412</v>
      </c>
      <c r="Q356" s="26"/>
      <c r="R356" s="5"/>
      <c r="S356" s="5"/>
      <c r="T356" s="5"/>
      <c r="U356" s="5"/>
      <c r="V356" s="5"/>
      <c r="W356" s="5"/>
      <c r="X356" s="5"/>
      <c r="Y356" s="5"/>
    </row>
    <row r="357" spans="13:25" ht="78.75" x14ac:dyDescent="0.2">
      <c r="M357" s="26" t="s">
        <v>79</v>
      </c>
      <c r="N357" s="25" t="s">
        <v>51</v>
      </c>
      <c r="O357" s="26"/>
      <c r="P357" s="26" t="s">
        <v>413</v>
      </c>
      <c r="Q357" s="26"/>
      <c r="R357" s="5"/>
      <c r="S357" s="5"/>
      <c r="T357" s="5"/>
      <c r="U357" s="5"/>
      <c r="V357" s="5"/>
      <c r="W357" s="5"/>
      <c r="X357" s="5"/>
      <c r="Y357" s="5"/>
    </row>
    <row r="358" spans="13:25" ht="56.25" x14ac:dyDescent="0.2">
      <c r="M358" s="26" t="s">
        <v>79</v>
      </c>
      <c r="N358" s="25" t="s">
        <v>55</v>
      </c>
      <c r="O358" s="26"/>
      <c r="P358" s="26" t="s">
        <v>414</v>
      </c>
      <c r="Q358" s="26"/>
      <c r="R358" s="5"/>
      <c r="S358" s="5"/>
      <c r="T358" s="5"/>
      <c r="U358" s="5"/>
      <c r="V358" s="5"/>
      <c r="W358" s="5"/>
      <c r="X358" s="5"/>
      <c r="Y358" s="5"/>
    </row>
    <row r="359" spans="13:25" ht="67.5" x14ac:dyDescent="0.2">
      <c r="M359" s="26" t="s">
        <v>79</v>
      </c>
      <c r="N359" s="25" t="s">
        <v>55</v>
      </c>
      <c r="O359" s="26"/>
      <c r="P359" s="26" t="s">
        <v>415</v>
      </c>
      <c r="Q359" s="26"/>
      <c r="R359" s="5"/>
      <c r="S359" s="5"/>
      <c r="T359" s="5"/>
      <c r="U359" s="5"/>
      <c r="V359" s="5"/>
      <c r="W359" s="5"/>
      <c r="X359" s="5"/>
      <c r="Y359" s="5"/>
    </row>
    <row r="360" spans="13:25" ht="22.5" x14ac:dyDescent="0.2">
      <c r="M360" s="26" t="s">
        <v>79</v>
      </c>
      <c r="N360" s="25" t="s">
        <v>55</v>
      </c>
      <c r="O360" s="26"/>
      <c r="P360" s="26" t="s">
        <v>416</v>
      </c>
      <c r="Q360" s="26"/>
      <c r="R360" s="5"/>
      <c r="S360" s="5"/>
      <c r="T360" s="5"/>
      <c r="U360" s="5"/>
      <c r="V360" s="5"/>
      <c r="W360" s="5"/>
      <c r="X360" s="5"/>
      <c r="Y360" s="5"/>
    </row>
    <row r="361" spans="13:25" ht="78.75" x14ac:dyDescent="0.2">
      <c r="M361" s="26" t="s">
        <v>79</v>
      </c>
      <c r="N361" s="25" t="s">
        <v>55</v>
      </c>
      <c r="O361" s="26"/>
      <c r="P361" s="26" t="s">
        <v>417</v>
      </c>
      <c r="Q361" s="26"/>
      <c r="R361" s="5"/>
      <c r="S361" s="5"/>
      <c r="T361" s="5"/>
      <c r="U361" s="5"/>
      <c r="V361" s="5"/>
      <c r="W361" s="5"/>
      <c r="X361" s="5"/>
      <c r="Y361" s="5"/>
    </row>
    <row r="362" spans="13:25" ht="101.25" x14ac:dyDescent="0.2">
      <c r="M362" s="26" t="s">
        <v>79</v>
      </c>
      <c r="N362" s="25" t="s">
        <v>55</v>
      </c>
      <c r="O362" s="26"/>
      <c r="P362" s="26" t="s">
        <v>418</v>
      </c>
      <c r="Q362" s="26"/>
      <c r="R362" s="5"/>
      <c r="S362" s="5"/>
      <c r="T362" s="5"/>
      <c r="U362" s="5"/>
      <c r="V362" s="5"/>
      <c r="W362" s="5"/>
      <c r="X362" s="5"/>
      <c r="Y362" s="5"/>
    </row>
    <row r="363" spans="13:25" ht="22.5" x14ac:dyDescent="0.2">
      <c r="M363" s="26" t="s">
        <v>79</v>
      </c>
      <c r="N363" s="25" t="s">
        <v>55</v>
      </c>
      <c r="O363" s="26"/>
      <c r="P363" s="26" t="s">
        <v>419</v>
      </c>
      <c r="Q363" s="26"/>
      <c r="R363" s="5"/>
      <c r="S363" s="5"/>
      <c r="T363" s="5"/>
      <c r="U363" s="5"/>
      <c r="V363" s="5"/>
      <c r="W363" s="5"/>
      <c r="X363" s="5"/>
      <c r="Y363" s="5"/>
    </row>
    <row r="364" spans="13:25" ht="56.25" x14ac:dyDescent="0.2">
      <c r="M364" s="26" t="s">
        <v>79</v>
      </c>
      <c r="N364" s="25" t="s">
        <v>55</v>
      </c>
      <c r="O364" s="26"/>
      <c r="P364" s="26" t="s">
        <v>420</v>
      </c>
      <c r="Q364" s="26"/>
      <c r="R364" s="5"/>
      <c r="S364" s="5"/>
      <c r="T364" s="5"/>
      <c r="U364" s="5"/>
      <c r="V364" s="5"/>
      <c r="W364" s="5"/>
      <c r="X364" s="5"/>
      <c r="Y364" s="5"/>
    </row>
    <row r="365" spans="13:25" ht="90" x14ac:dyDescent="0.2">
      <c r="M365" s="26" t="s">
        <v>79</v>
      </c>
      <c r="N365" s="25" t="s">
        <v>55</v>
      </c>
      <c r="O365" s="26"/>
      <c r="P365" s="26" t="s">
        <v>421</v>
      </c>
      <c r="Q365" s="26"/>
      <c r="R365" s="5"/>
      <c r="S365" s="5"/>
      <c r="T365" s="5"/>
      <c r="U365" s="5"/>
      <c r="V365" s="5"/>
      <c r="W365" s="5"/>
      <c r="X365" s="5"/>
      <c r="Y365" s="5"/>
    </row>
    <row r="366" spans="13:25" ht="45" x14ac:dyDescent="0.2">
      <c r="M366" s="26" t="s">
        <v>79</v>
      </c>
      <c r="N366" s="25" t="s">
        <v>55</v>
      </c>
      <c r="O366" s="26"/>
      <c r="P366" s="26" t="s">
        <v>422</v>
      </c>
      <c r="Q366" s="26"/>
      <c r="R366" s="5"/>
      <c r="S366" s="5"/>
      <c r="T366" s="5"/>
      <c r="U366" s="5"/>
      <c r="V366" s="5"/>
      <c r="W366" s="5"/>
      <c r="X366" s="5"/>
      <c r="Y366" s="5"/>
    </row>
    <row r="367" spans="13:25" ht="22.5" x14ac:dyDescent="0.2">
      <c r="M367" s="26" t="s">
        <v>79</v>
      </c>
      <c r="N367" s="25" t="s">
        <v>55</v>
      </c>
      <c r="O367" s="26"/>
      <c r="P367" s="26" t="s">
        <v>423</v>
      </c>
      <c r="Q367" s="26"/>
      <c r="R367" s="5"/>
      <c r="S367" s="5"/>
      <c r="T367" s="5"/>
      <c r="U367" s="5"/>
      <c r="V367" s="5"/>
      <c r="W367" s="5"/>
      <c r="X367" s="5"/>
      <c r="Y367" s="5"/>
    </row>
    <row r="368" spans="13:25" ht="45" x14ac:dyDescent="0.2">
      <c r="M368" s="26" t="s">
        <v>79</v>
      </c>
      <c r="N368" s="25" t="s">
        <v>55</v>
      </c>
      <c r="O368" s="26"/>
      <c r="P368" s="26" t="s">
        <v>424</v>
      </c>
      <c r="Q368" s="26"/>
      <c r="R368" s="5"/>
      <c r="S368" s="5"/>
      <c r="T368" s="5"/>
      <c r="U368" s="5"/>
      <c r="V368" s="5"/>
      <c r="W368" s="5"/>
      <c r="X368" s="5"/>
      <c r="Y368" s="5"/>
    </row>
    <row r="369" spans="13:25" ht="33.75" x14ac:dyDescent="0.2">
      <c r="M369" s="26" t="s">
        <v>79</v>
      </c>
      <c r="N369" s="25" t="s">
        <v>51</v>
      </c>
      <c r="O369" s="26"/>
      <c r="P369" s="26" t="s">
        <v>425</v>
      </c>
      <c r="Q369" s="26"/>
      <c r="R369" s="5"/>
      <c r="S369" s="5"/>
      <c r="T369" s="5"/>
      <c r="U369" s="5"/>
      <c r="V369" s="5"/>
      <c r="W369" s="5"/>
      <c r="X369" s="5"/>
      <c r="Y369" s="5"/>
    </row>
    <row r="370" spans="13:25" ht="45" x14ac:dyDescent="0.2">
      <c r="M370" s="26" t="s">
        <v>79</v>
      </c>
      <c r="N370" s="25" t="s">
        <v>51</v>
      </c>
      <c r="O370" s="26"/>
      <c r="P370" s="26" t="s">
        <v>426</v>
      </c>
      <c r="Q370" s="26"/>
      <c r="R370" s="5"/>
      <c r="S370" s="5"/>
      <c r="T370" s="5"/>
      <c r="U370" s="5"/>
      <c r="V370" s="5"/>
      <c r="W370" s="5"/>
      <c r="X370" s="5"/>
      <c r="Y370" s="5"/>
    </row>
    <row r="371" spans="13:25" ht="22.5" x14ac:dyDescent="0.2">
      <c r="M371" s="26" t="s">
        <v>79</v>
      </c>
      <c r="N371" s="25" t="s">
        <v>51</v>
      </c>
      <c r="O371" s="26"/>
      <c r="P371" s="26" t="s">
        <v>427</v>
      </c>
      <c r="Q371" s="26"/>
      <c r="R371" s="5"/>
      <c r="S371" s="5"/>
      <c r="T371" s="5"/>
      <c r="U371" s="5"/>
      <c r="V371" s="5"/>
      <c r="W371" s="5"/>
      <c r="X371" s="5"/>
      <c r="Y371" s="5"/>
    </row>
    <row r="372" spans="13:25" ht="22.5" x14ac:dyDescent="0.2">
      <c r="M372" s="26" t="s">
        <v>79</v>
      </c>
      <c r="N372" s="25" t="s">
        <v>51</v>
      </c>
      <c r="O372" s="26"/>
      <c r="P372" s="26" t="s">
        <v>428</v>
      </c>
      <c r="Q372" s="26"/>
      <c r="R372" s="5"/>
      <c r="S372" s="5"/>
      <c r="T372" s="5"/>
      <c r="U372" s="5"/>
      <c r="V372" s="5"/>
      <c r="W372" s="5"/>
      <c r="X372" s="5"/>
      <c r="Y372" s="5"/>
    </row>
    <row r="373" spans="13:25" ht="45" x14ac:dyDescent="0.2">
      <c r="M373" s="26" t="s">
        <v>79</v>
      </c>
      <c r="N373" s="25" t="s">
        <v>51</v>
      </c>
      <c r="O373" s="26"/>
      <c r="P373" s="26" t="s">
        <v>429</v>
      </c>
      <c r="Q373" s="26"/>
      <c r="R373" s="5"/>
      <c r="S373" s="5"/>
      <c r="T373" s="5"/>
      <c r="U373" s="5"/>
      <c r="V373" s="5"/>
      <c r="W373" s="5"/>
      <c r="X373" s="5"/>
      <c r="Y373" s="5"/>
    </row>
    <row r="374" spans="13:25" ht="22.5" x14ac:dyDescent="0.2">
      <c r="M374" s="26" t="s">
        <v>79</v>
      </c>
      <c r="N374" s="25" t="s">
        <v>51</v>
      </c>
      <c r="O374" s="26"/>
      <c r="P374" s="26" t="s">
        <v>430</v>
      </c>
      <c r="Q374" s="26"/>
      <c r="R374" s="5"/>
      <c r="S374" s="5"/>
      <c r="T374" s="5"/>
      <c r="U374" s="5"/>
      <c r="V374" s="5"/>
      <c r="W374" s="5"/>
      <c r="X374" s="5"/>
      <c r="Y374" s="5"/>
    </row>
    <row r="375" spans="13:25" ht="22.5" x14ac:dyDescent="0.2">
      <c r="M375" s="26" t="s">
        <v>79</v>
      </c>
      <c r="N375" s="25" t="s">
        <v>55</v>
      </c>
      <c r="O375" s="26"/>
      <c r="P375" s="26" t="s">
        <v>431</v>
      </c>
      <c r="Q375" s="26"/>
      <c r="R375" s="5"/>
      <c r="S375" s="5"/>
      <c r="T375" s="5"/>
      <c r="U375" s="5"/>
      <c r="V375" s="5"/>
      <c r="W375" s="5"/>
      <c r="X375" s="5"/>
      <c r="Y375" s="5"/>
    </row>
    <row r="376" spans="13:25" ht="45" x14ac:dyDescent="0.2">
      <c r="M376" s="26" t="s">
        <v>79</v>
      </c>
      <c r="N376" s="25" t="s">
        <v>55</v>
      </c>
      <c r="O376" s="26"/>
      <c r="P376" s="26" t="s">
        <v>432</v>
      </c>
      <c r="Q376" s="26"/>
      <c r="R376" s="5"/>
      <c r="S376" s="5"/>
      <c r="T376" s="5"/>
      <c r="U376" s="5"/>
      <c r="V376" s="5"/>
      <c r="W376" s="5"/>
      <c r="X376" s="5"/>
      <c r="Y376" s="5"/>
    </row>
    <row r="377" spans="13:25" ht="22.5" x14ac:dyDescent="0.2">
      <c r="M377" s="26" t="s">
        <v>79</v>
      </c>
      <c r="N377" s="25" t="s">
        <v>55</v>
      </c>
      <c r="O377" s="26"/>
      <c r="P377" s="26" t="s">
        <v>433</v>
      </c>
      <c r="Q377" s="26"/>
      <c r="R377" s="5"/>
      <c r="S377" s="5"/>
      <c r="T377" s="5"/>
      <c r="U377" s="5"/>
      <c r="V377" s="5"/>
      <c r="W377" s="5"/>
      <c r="X377" s="5"/>
      <c r="Y377" s="5"/>
    </row>
    <row r="378" spans="13:25" ht="22.5" x14ac:dyDescent="0.2">
      <c r="M378" s="26" t="s">
        <v>79</v>
      </c>
      <c r="N378" s="25" t="s">
        <v>55</v>
      </c>
      <c r="O378" s="26"/>
      <c r="P378" s="26" t="s">
        <v>434</v>
      </c>
      <c r="Q378" s="26"/>
      <c r="R378" s="5"/>
      <c r="S378" s="5"/>
      <c r="T378" s="5"/>
      <c r="U378" s="5"/>
      <c r="V378" s="5"/>
      <c r="W378" s="5"/>
      <c r="X378" s="5"/>
      <c r="Y378" s="5"/>
    </row>
    <row r="379" spans="13:25" ht="33.75" x14ac:dyDescent="0.2">
      <c r="M379" s="26" t="s">
        <v>79</v>
      </c>
      <c r="N379" s="25" t="s">
        <v>51</v>
      </c>
      <c r="O379" s="26"/>
      <c r="P379" s="26" t="s">
        <v>435</v>
      </c>
      <c r="Q379" s="26"/>
      <c r="R379" s="5"/>
      <c r="S379" s="5"/>
      <c r="T379" s="5"/>
      <c r="U379" s="5"/>
      <c r="V379" s="5"/>
      <c r="W379" s="5"/>
      <c r="X379" s="5"/>
      <c r="Y379" s="5"/>
    </row>
    <row r="380" spans="13:25" ht="56.25" x14ac:dyDescent="0.2">
      <c r="M380" s="26" t="s">
        <v>79</v>
      </c>
      <c r="N380" s="25" t="s">
        <v>51</v>
      </c>
      <c r="O380" s="26"/>
      <c r="P380" s="26" t="s">
        <v>436</v>
      </c>
      <c r="Q380" s="26"/>
      <c r="R380" s="5"/>
      <c r="S380" s="5"/>
      <c r="T380" s="5"/>
      <c r="U380" s="5"/>
      <c r="V380" s="5"/>
      <c r="W380" s="5"/>
      <c r="X380" s="5"/>
      <c r="Y380" s="5"/>
    </row>
    <row r="381" spans="13:25" ht="56.25" x14ac:dyDescent="0.2">
      <c r="M381" s="26" t="s">
        <v>79</v>
      </c>
      <c r="N381" s="25" t="s">
        <v>51</v>
      </c>
      <c r="O381" s="26"/>
      <c r="P381" s="26" t="s">
        <v>437</v>
      </c>
      <c r="Q381" s="26"/>
      <c r="R381" s="5"/>
      <c r="S381" s="5"/>
      <c r="T381" s="5"/>
      <c r="U381" s="5"/>
      <c r="V381" s="5"/>
      <c r="W381" s="5"/>
      <c r="X381" s="5"/>
      <c r="Y381" s="5"/>
    </row>
    <row r="382" spans="13:25" ht="45" x14ac:dyDescent="0.2">
      <c r="M382" s="26" t="s">
        <v>79</v>
      </c>
      <c r="N382" s="25" t="s">
        <v>51</v>
      </c>
      <c r="O382" s="26"/>
      <c r="P382" s="26" t="s">
        <v>438</v>
      </c>
      <c r="Q382" s="26"/>
      <c r="R382" s="5"/>
      <c r="S382" s="5"/>
      <c r="T382" s="5"/>
      <c r="U382" s="5"/>
      <c r="V382" s="5"/>
      <c r="W382" s="5"/>
      <c r="X382" s="5"/>
      <c r="Y382" s="5"/>
    </row>
    <row r="383" spans="13:25" ht="45" x14ac:dyDescent="0.2">
      <c r="M383" s="26" t="s">
        <v>79</v>
      </c>
      <c r="N383" s="25" t="s">
        <v>51</v>
      </c>
      <c r="O383" s="26"/>
      <c r="P383" s="26" t="s">
        <v>439</v>
      </c>
      <c r="Q383" s="26"/>
      <c r="R383" s="5"/>
      <c r="S383" s="5"/>
      <c r="T383" s="5"/>
      <c r="U383" s="5"/>
      <c r="V383" s="5"/>
      <c r="W383" s="5"/>
      <c r="X383" s="5"/>
      <c r="Y383" s="5"/>
    </row>
    <row r="384" spans="13:25" ht="22.5" x14ac:dyDescent="0.2">
      <c r="M384" s="26" t="s">
        <v>79</v>
      </c>
      <c r="N384" s="25" t="s">
        <v>55</v>
      </c>
      <c r="O384" s="26"/>
      <c r="P384" s="26" t="s">
        <v>440</v>
      </c>
      <c r="Q384" s="26"/>
      <c r="R384" s="5"/>
      <c r="S384" s="5"/>
      <c r="T384" s="5"/>
      <c r="U384" s="5"/>
      <c r="V384" s="5"/>
      <c r="W384" s="5"/>
      <c r="X384" s="5"/>
      <c r="Y384" s="5"/>
    </row>
    <row r="385" spans="13:25" ht="45" x14ac:dyDescent="0.2">
      <c r="M385" s="26" t="s">
        <v>79</v>
      </c>
      <c r="N385" s="25" t="s">
        <v>55</v>
      </c>
      <c r="O385" s="26"/>
      <c r="P385" s="26" t="s">
        <v>441</v>
      </c>
      <c r="Q385" s="26"/>
      <c r="R385" s="5"/>
      <c r="S385" s="5"/>
      <c r="T385" s="5"/>
      <c r="U385" s="5"/>
      <c r="V385" s="5"/>
      <c r="W385" s="5"/>
      <c r="X385" s="5"/>
      <c r="Y385" s="5"/>
    </row>
    <row r="386" spans="13:25" ht="45" x14ac:dyDescent="0.2">
      <c r="M386" s="26" t="s">
        <v>79</v>
      </c>
      <c r="N386" s="25" t="s">
        <v>55</v>
      </c>
      <c r="O386" s="26"/>
      <c r="P386" s="26" t="s">
        <v>442</v>
      </c>
      <c r="Q386" s="26"/>
      <c r="R386" s="5"/>
      <c r="S386" s="5"/>
      <c r="T386" s="5"/>
      <c r="U386" s="5"/>
      <c r="V386" s="5"/>
      <c r="W386" s="5"/>
      <c r="X386" s="5"/>
      <c r="Y386" s="5"/>
    </row>
    <row r="387" spans="13:25" ht="56.25" x14ac:dyDescent="0.2">
      <c r="M387" s="26" t="s">
        <v>79</v>
      </c>
      <c r="N387" s="25" t="s">
        <v>51</v>
      </c>
      <c r="O387" s="26"/>
      <c r="P387" s="26" t="s">
        <v>443</v>
      </c>
      <c r="Q387" s="26"/>
      <c r="R387" s="5"/>
      <c r="S387" s="5"/>
      <c r="T387" s="5"/>
      <c r="U387" s="5"/>
      <c r="V387" s="5"/>
      <c r="W387" s="5"/>
      <c r="X387" s="5"/>
      <c r="Y387" s="5"/>
    </row>
    <row r="388" spans="13:25" ht="45" x14ac:dyDescent="0.2">
      <c r="M388" s="26" t="s">
        <v>79</v>
      </c>
      <c r="N388" s="25" t="s">
        <v>51</v>
      </c>
      <c r="O388" s="26"/>
      <c r="P388" s="26" t="s">
        <v>444</v>
      </c>
      <c r="Q388" s="26"/>
      <c r="R388" s="5"/>
      <c r="S388" s="5"/>
      <c r="T388" s="5"/>
      <c r="U388" s="5"/>
      <c r="V388" s="5"/>
      <c r="W388" s="5"/>
      <c r="X388" s="5"/>
      <c r="Y388" s="5"/>
    </row>
    <row r="389" spans="13:25" ht="33.75" x14ac:dyDescent="0.2">
      <c r="M389" s="26" t="s">
        <v>79</v>
      </c>
      <c r="N389" s="25" t="s">
        <v>55</v>
      </c>
      <c r="O389" s="26"/>
      <c r="P389" s="26" t="s">
        <v>445</v>
      </c>
      <c r="Q389" s="26"/>
      <c r="R389" s="5"/>
      <c r="S389" s="5"/>
      <c r="T389" s="5"/>
      <c r="U389" s="5"/>
      <c r="V389" s="5"/>
      <c r="W389" s="5"/>
      <c r="X389" s="5"/>
      <c r="Y389" s="5"/>
    </row>
    <row r="390" spans="13:25" ht="56.25" x14ac:dyDescent="0.2">
      <c r="M390" s="26" t="s">
        <v>79</v>
      </c>
      <c r="N390" s="25" t="s">
        <v>55</v>
      </c>
      <c r="O390" s="26"/>
      <c r="P390" s="26" t="s">
        <v>446</v>
      </c>
      <c r="Q390" s="26"/>
      <c r="R390" s="5"/>
      <c r="S390" s="5"/>
      <c r="T390" s="5"/>
      <c r="U390" s="5"/>
      <c r="V390" s="5"/>
      <c r="W390" s="5"/>
      <c r="X390" s="5"/>
      <c r="Y390" s="5"/>
    </row>
    <row r="391" spans="13:25" ht="22.5" x14ac:dyDescent="0.2">
      <c r="M391" s="26" t="s">
        <v>79</v>
      </c>
      <c r="N391" s="25" t="s">
        <v>70</v>
      </c>
      <c r="O391" s="26"/>
      <c r="P391" s="26" t="s">
        <v>447</v>
      </c>
      <c r="Q391" s="26"/>
      <c r="R391" s="5"/>
      <c r="S391" s="5"/>
      <c r="T391" s="5"/>
      <c r="U391" s="5"/>
      <c r="V391" s="5"/>
      <c r="W391" s="5"/>
      <c r="X391" s="5"/>
      <c r="Y391" s="5"/>
    </row>
    <row r="392" spans="13:25" ht="45" x14ac:dyDescent="0.2">
      <c r="M392" s="26" t="s">
        <v>79</v>
      </c>
      <c r="N392" s="25" t="s">
        <v>55</v>
      </c>
      <c r="O392" s="26"/>
      <c r="P392" s="26" t="s">
        <v>448</v>
      </c>
      <c r="Q392" s="26"/>
      <c r="R392" s="5"/>
      <c r="S392" s="5"/>
      <c r="T392" s="5"/>
      <c r="U392" s="5"/>
      <c r="V392" s="5"/>
      <c r="W392" s="5"/>
      <c r="X392" s="5"/>
      <c r="Y392" s="5"/>
    </row>
    <row r="393" spans="13:25" ht="22.5" x14ac:dyDescent="0.2">
      <c r="M393" s="26" t="s">
        <v>79</v>
      </c>
      <c r="N393" s="25" t="s">
        <v>55</v>
      </c>
      <c r="O393" s="26"/>
      <c r="P393" s="26" t="s">
        <v>449</v>
      </c>
      <c r="Q393" s="26"/>
      <c r="R393" s="5"/>
      <c r="S393" s="5"/>
      <c r="T393" s="5"/>
      <c r="U393" s="5"/>
      <c r="V393" s="5"/>
      <c r="W393" s="5"/>
      <c r="X393" s="5"/>
      <c r="Y393" s="5"/>
    </row>
    <row r="394" spans="13:25" ht="56.25" x14ac:dyDescent="0.2">
      <c r="M394" s="26" t="s">
        <v>79</v>
      </c>
      <c r="N394" s="25" t="s">
        <v>55</v>
      </c>
      <c r="O394" s="26"/>
      <c r="P394" s="26" t="s">
        <v>414</v>
      </c>
      <c r="Q394" s="26"/>
      <c r="R394" s="5"/>
      <c r="S394" s="5"/>
      <c r="T394" s="5"/>
      <c r="U394" s="5"/>
      <c r="V394" s="5"/>
      <c r="W394" s="5"/>
      <c r="X394" s="5"/>
      <c r="Y394" s="5"/>
    </row>
    <row r="395" spans="13:25" ht="67.5" x14ac:dyDescent="0.2">
      <c r="M395" s="26" t="s">
        <v>79</v>
      </c>
      <c r="N395" s="25" t="s">
        <v>55</v>
      </c>
      <c r="O395" s="26"/>
      <c r="P395" s="26" t="s">
        <v>415</v>
      </c>
      <c r="Q395" s="26"/>
      <c r="R395" s="5"/>
      <c r="S395" s="5"/>
      <c r="T395" s="5"/>
      <c r="U395" s="5"/>
      <c r="V395" s="5"/>
      <c r="W395" s="5"/>
      <c r="X395" s="5"/>
      <c r="Y395" s="5"/>
    </row>
    <row r="396" spans="13:25" ht="78.75" x14ac:dyDescent="0.2">
      <c r="M396" s="26" t="s">
        <v>79</v>
      </c>
      <c r="N396" s="25" t="s">
        <v>55</v>
      </c>
      <c r="O396" s="26"/>
      <c r="P396" s="26" t="s">
        <v>450</v>
      </c>
      <c r="Q396" s="26"/>
      <c r="R396" s="5"/>
      <c r="S396" s="5"/>
      <c r="T396" s="5"/>
      <c r="U396" s="5"/>
      <c r="V396" s="5"/>
      <c r="W396" s="5"/>
      <c r="X396" s="5"/>
      <c r="Y396" s="5"/>
    </row>
    <row r="397" spans="13:25" ht="78.75" x14ac:dyDescent="0.2">
      <c r="M397" s="26" t="s">
        <v>79</v>
      </c>
      <c r="N397" s="25" t="s">
        <v>51</v>
      </c>
      <c r="O397" s="26"/>
      <c r="P397" s="26" t="s">
        <v>451</v>
      </c>
      <c r="Q397" s="26"/>
      <c r="R397" s="5"/>
      <c r="S397" s="5"/>
      <c r="T397" s="5"/>
      <c r="U397" s="5"/>
      <c r="V397" s="5"/>
      <c r="W397" s="5"/>
      <c r="X397" s="5"/>
      <c r="Y397" s="5"/>
    </row>
    <row r="398" spans="13:25" ht="45" x14ac:dyDescent="0.2">
      <c r="M398" s="26" t="s">
        <v>79</v>
      </c>
      <c r="N398" s="25" t="s">
        <v>51</v>
      </c>
      <c r="O398" s="26"/>
      <c r="P398" s="26" t="s">
        <v>452</v>
      </c>
      <c r="Q398" s="26"/>
      <c r="R398" s="5"/>
      <c r="S398" s="5"/>
      <c r="T398" s="5"/>
      <c r="U398" s="5"/>
      <c r="V398" s="5"/>
      <c r="W398" s="5"/>
      <c r="X398" s="5"/>
      <c r="Y398" s="5"/>
    </row>
    <row r="399" spans="13:25" ht="67.5" x14ac:dyDescent="0.2">
      <c r="M399" s="26" t="s">
        <v>79</v>
      </c>
      <c r="N399" s="25" t="s">
        <v>51</v>
      </c>
      <c r="O399" s="26"/>
      <c r="P399" s="26" t="s">
        <v>453</v>
      </c>
      <c r="Q399" s="26"/>
      <c r="R399" s="5"/>
      <c r="S399" s="5"/>
      <c r="T399" s="5"/>
      <c r="U399" s="5"/>
      <c r="V399" s="5"/>
      <c r="W399" s="5"/>
      <c r="X399" s="5"/>
      <c r="Y399" s="5"/>
    </row>
    <row r="400" spans="13:25" ht="45" x14ac:dyDescent="0.2">
      <c r="M400" s="26" t="s">
        <v>79</v>
      </c>
      <c r="N400" s="25" t="s">
        <v>55</v>
      </c>
      <c r="O400" s="26"/>
      <c r="P400" s="26" t="s">
        <v>454</v>
      </c>
      <c r="Q400" s="26"/>
      <c r="R400" s="5"/>
      <c r="S400" s="5"/>
      <c r="T400" s="5"/>
      <c r="U400" s="5"/>
      <c r="V400" s="5"/>
      <c r="W400" s="5"/>
      <c r="X400" s="5"/>
      <c r="Y400" s="5"/>
    </row>
    <row r="401" spans="13:25" ht="33.75" x14ac:dyDescent="0.2">
      <c r="M401" s="26" t="s">
        <v>79</v>
      </c>
      <c r="N401" s="25" t="s">
        <v>55</v>
      </c>
      <c r="O401" s="26"/>
      <c r="P401" s="26" t="s">
        <v>445</v>
      </c>
      <c r="Q401" s="26"/>
      <c r="R401" s="5"/>
      <c r="S401" s="5"/>
      <c r="T401" s="5"/>
      <c r="U401" s="5"/>
      <c r="V401" s="5"/>
      <c r="W401" s="5"/>
      <c r="X401" s="5"/>
      <c r="Y401" s="5"/>
    </row>
    <row r="402" spans="13:25" ht="56.25" x14ac:dyDescent="0.2">
      <c r="M402" s="26" t="s">
        <v>79</v>
      </c>
      <c r="N402" s="25" t="s">
        <v>55</v>
      </c>
      <c r="O402" s="26"/>
      <c r="P402" s="26" t="s">
        <v>446</v>
      </c>
      <c r="Q402" s="26"/>
      <c r="R402" s="5"/>
      <c r="S402" s="5"/>
      <c r="T402" s="5"/>
      <c r="U402" s="5"/>
      <c r="V402" s="5"/>
      <c r="W402" s="5"/>
      <c r="X402" s="5"/>
      <c r="Y402" s="5"/>
    </row>
    <row r="403" spans="13:25" ht="22.5" x14ac:dyDescent="0.2">
      <c r="M403" s="26" t="s">
        <v>79</v>
      </c>
      <c r="N403" s="25" t="s">
        <v>70</v>
      </c>
      <c r="O403" s="26"/>
      <c r="P403" s="26" t="s">
        <v>455</v>
      </c>
      <c r="Q403" s="26"/>
      <c r="R403" s="5"/>
      <c r="S403" s="5"/>
      <c r="T403" s="5"/>
      <c r="U403" s="5"/>
      <c r="V403" s="5"/>
      <c r="W403" s="5"/>
      <c r="X403" s="5"/>
      <c r="Y403" s="5"/>
    </row>
    <row r="404" spans="13:25" ht="45" x14ac:dyDescent="0.2">
      <c r="M404" s="26" t="s">
        <v>79</v>
      </c>
      <c r="N404" s="25" t="s">
        <v>51</v>
      </c>
      <c r="O404" s="26"/>
      <c r="P404" s="26" t="s">
        <v>456</v>
      </c>
      <c r="Q404" s="26"/>
      <c r="R404" s="5"/>
      <c r="S404" s="5"/>
      <c r="T404" s="5"/>
      <c r="U404" s="5"/>
      <c r="V404" s="5"/>
      <c r="W404" s="5"/>
      <c r="X404" s="5"/>
      <c r="Y404" s="5"/>
    </row>
    <row r="405" spans="13:25" ht="45" x14ac:dyDescent="0.2">
      <c r="M405" s="26" t="s">
        <v>79</v>
      </c>
      <c r="N405" s="25" t="s">
        <v>55</v>
      </c>
      <c r="O405" s="26"/>
      <c r="P405" s="26" t="s">
        <v>457</v>
      </c>
      <c r="Q405" s="26"/>
      <c r="R405" s="5"/>
      <c r="S405" s="5"/>
      <c r="T405" s="5"/>
      <c r="U405" s="5"/>
      <c r="V405" s="5"/>
      <c r="W405" s="5"/>
      <c r="X405" s="5"/>
      <c r="Y405" s="5"/>
    </row>
    <row r="406" spans="13:25" ht="22.5" x14ac:dyDescent="0.2">
      <c r="M406" s="26" t="s">
        <v>79</v>
      </c>
      <c r="N406" s="25" t="s">
        <v>55</v>
      </c>
      <c r="O406" s="26"/>
      <c r="P406" s="26" t="s">
        <v>458</v>
      </c>
      <c r="Q406" s="26"/>
      <c r="R406" s="5"/>
      <c r="S406" s="5"/>
      <c r="T406" s="5"/>
      <c r="U406" s="5"/>
      <c r="V406" s="5"/>
      <c r="W406" s="5"/>
      <c r="X406" s="5"/>
      <c r="Y406" s="5"/>
    </row>
    <row r="407" spans="13:25" ht="22.5" x14ac:dyDescent="0.2">
      <c r="M407" s="26" t="s">
        <v>79</v>
      </c>
      <c r="N407" s="25" t="s">
        <v>57</v>
      </c>
      <c r="O407" s="26"/>
      <c r="P407" s="26" t="s">
        <v>459</v>
      </c>
      <c r="Q407" s="26"/>
      <c r="R407" s="5"/>
      <c r="S407" s="5"/>
      <c r="T407" s="5"/>
      <c r="U407" s="5"/>
      <c r="V407" s="5"/>
      <c r="W407" s="5"/>
      <c r="X407" s="5"/>
      <c r="Y407" s="5"/>
    </row>
    <row r="408" spans="13:25" ht="101.25" x14ac:dyDescent="0.2">
      <c r="M408" s="26" t="s">
        <v>79</v>
      </c>
      <c r="N408" s="25" t="s">
        <v>55</v>
      </c>
      <c r="O408" s="26"/>
      <c r="P408" s="26" t="s">
        <v>460</v>
      </c>
      <c r="Q408" s="26"/>
      <c r="R408" s="5"/>
      <c r="S408" s="5"/>
      <c r="T408" s="5"/>
      <c r="U408" s="5"/>
      <c r="V408" s="5"/>
      <c r="W408" s="5"/>
      <c r="X408" s="5"/>
      <c r="Y408" s="5"/>
    </row>
    <row r="409" spans="13:25" ht="78.75" x14ac:dyDescent="0.2">
      <c r="M409" s="26" t="s">
        <v>79</v>
      </c>
      <c r="N409" s="25" t="s">
        <v>55</v>
      </c>
      <c r="O409" s="26"/>
      <c r="P409" s="26" t="s">
        <v>461</v>
      </c>
      <c r="Q409" s="26"/>
      <c r="R409" s="5"/>
      <c r="S409" s="5"/>
      <c r="T409" s="5"/>
      <c r="U409" s="5"/>
      <c r="V409" s="5"/>
      <c r="W409" s="5"/>
      <c r="X409" s="5"/>
      <c r="Y409" s="5"/>
    </row>
    <row r="410" spans="13:25" ht="90" x14ac:dyDescent="0.2">
      <c r="M410" s="26" t="s">
        <v>79</v>
      </c>
      <c r="N410" s="25" t="s">
        <v>55</v>
      </c>
      <c r="O410" s="26"/>
      <c r="P410" s="26" t="s">
        <v>462</v>
      </c>
      <c r="Q410" s="26"/>
      <c r="R410" s="5"/>
      <c r="S410" s="5"/>
      <c r="T410" s="5"/>
      <c r="U410" s="5"/>
      <c r="V410" s="5"/>
      <c r="W410" s="5"/>
      <c r="X410" s="5"/>
      <c r="Y410" s="5"/>
    </row>
    <row r="411" spans="13:25" ht="56.25" x14ac:dyDescent="0.2">
      <c r="M411" s="26" t="s">
        <v>79</v>
      </c>
      <c r="N411" s="25" t="s">
        <v>55</v>
      </c>
      <c r="O411" s="26"/>
      <c r="P411" s="26" t="s">
        <v>463</v>
      </c>
      <c r="Q411" s="26"/>
      <c r="R411" s="5"/>
      <c r="S411" s="5"/>
      <c r="T411" s="5"/>
      <c r="U411" s="5"/>
      <c r="V411" s="5"/>
      <c r="W411" s="5"/>
      <c r="X411" s="5"/>
      <c r="Y411" s="5"/>
    </row>
    <row r="412" spans="13:25" ht="22.5" x14ac:dyDescent="0.2">
      <c r="M412" s="26" t="s">
        <v>79</v>
      </c>
      <c r="N412" s="25" t="s">
        <v>55</v>
      </c>
      <c r="O412" s="26"/>
      <c r="P412" s="26" t="s">
        <v>464</v>
      </c>
      <c r="Q412" s="26"/>
      <c r="R412" s="5"/>
      <c r="S412" s="5"/>
      <c r="T412" s="5"/>
      <c r="U412" s="5"/>
      <c r="V412" s="5"/>
      <c r="W412" s="5"/>
      <c r="X412" s="5"/>
      <c r="Y412" s="5"/>
    </row>
    <row r="413" spans="13:25" ht="33.75" x14ac:dyDescent="0.2">
      <c r="M413" s="26" t="s">
        <v>79</v>
      </c>
      <c r="N413" s="25" t="s">
        <v>55</v>
      </c>
      <c r="O413" s="26"/>
      <c r="P413" s="26" t="s">
        <v>465</v>
      </c>
      <c r="Q413" s="26"/>
      <c r="R413" s="5"/>
      <c r="S413" s="5"/>
      <c r="T413" s="5"/>
      <c r="U413" s="5"/>
      <c r="V413" s="5"/>
      <c r="W413" s="5"/>
      <c r="X413" s="5"/>
      <c r="Y413" s="5"/>
    </row>
    <row r="414" spans="13:25" ht="22.5" x14ac:dyDescent="0.2">
      <c r="M414" s="26" t="s">
        <v>79</v>
      </c>
      <c r="N414" s="25" t="s">
        <v>55</v>
      </c>
      <c r="O414" s="26"/>
      <c r="P414" s="26" t="s">
        <v>466</v>
      </c>
      <c r="Q414" s="26"/>
      <c r="R414" s="5"/>
      <c r="S414" s="5"/>
      <c r="T414" s="5"/>
      <c r="U414" s="5"/>
      <c r="V414" s="5"/>
      <c r="W414" s="5"/>
      <c r="X414" s="5"/>
      <c r="Y414" s="5"/>
    </row>
    <row r="415" spans="13:25" ht="56.25" x14ac:dyDescent="0.2">
      <c r="M415" s="26" t="s">
        <v>79</v>
      </c>
      <c r="N415" s="25" t="s">
        <v>55</v>
      </c>
      <c r="O415" s="26"/>
      <c r="P415" s="26" t="s">
        <v>467</v>
      </c>
      <c r="Q415" s="26"/>
      <c r="R415" s="5"/>
      <c r="S415" s="5"/>
      <c r="T415" s="5"/>
      <c r="U415" s="5"/>
      <c r="V415" s="5"/>
      <c r="W415" s="5"/>
      <c r="X415" s="5"/>
      <c r="Y415" s="5"/>
    </row>
    <row r="416" spans="13:25" ht="56.25" x14ac:dyDescent="0.2">
      <c r="M416" s="26" t="s">
        <v>79</v>
      </c>
      <c r="N416" s="25" t="s">
        <v>55</v>
      </c>
      <c r="O416" s="26"/>
      <c r="P416" s="26" t="s">
        <v>468</v>
      </c>
      <c r="Q416" s="26"/>
      <c r="R416" s="5"/>
      <c r="S416" s="5"/>
      <c r="T416" s="5"/>
      <c r="U416" s="5"/>
      <c r="V416" s="5"/>
      <c r="W416" s="5"/>
      <c r="X416" s="5"/>
      <c r="Y416" s="5"/>
    </row>
    <row r="417" spans="13:25" ht="67.5" x14ac:dyDescent="0.2">
      <c r="M417" s="26" t="s">
        <v>79</v>
      </c>
      <c r="N417" s="25" t="s">
        <v>55</v>
      </c>
      <c r="O417" s="26"/>
      <c r="P417" s="26" t="s">
        <v>469</v>
      </c>
      <c r="Q417" s="26"/>
      <c r="R417" s="5"/>
      <c r="S417" s="5"/>
      <c r="T417" s="5"/>
      <c r="U417" s="5"/>
      <c r="V417" s="5"/>
      <c r="W417" s="5"/>
      <c r="X417" s="5"/>
      <c r="Y417" s="5"/>
    </row>
    <row r="418" spans="13:25" ht="22.5" x14ac:dyDescent="0.2">
      <c r="M418" s="26" t="s">
        <v>79</v>
      </c>
      <c r="N418" s="25" t="s">
        <v>70</v>
      </c>
      <c r="O418" s="26"/>
      <c r="P418" s="26" t="s">
        <v>470</v>
      </c>
      <c r="Q418" s="26"/>
      <c r="R418" s="5"/>
      <c r="S418" s="5"/>
      <c r="T418" s="5"/>
      <c r="U418" s="5"/>
      <c r="V418" s="5"/>
      <c r="W418" s="5"/>
      <c r="X418" s="5"/>
      <c r="Y418" s="5"/>
    </row>
    <row r="419" spans="13:25" ht="22.5" x14ac:dyDescent="0.2">
      <c r="M419" s="26" t="s">
        <v>79</v>
      </c>
      <c r="N419" s="25" t="s">
        <v>55</v>
      </c>
      <c r="O419" s="26"/>
      <c r="P419" s="26" t="s">
        <v>471</v>
      </c>
      <c r="Q419" s="26"/>
      <c r="R419" s="5"/>
      <c r="S419" s="5"/>
      <c r="T419" s="5"/>
      <c r="U419" s="5"/>
      <c r="V419" s="5"/>
      <c r="W419" s="5"/>
      <c r="X419" s="5"/>
      <c r="Y419" s="5"/>
    </row>
    <row r="420" spans="13:25" ht="22.5" x14ac:dyDescent="0.2">
      <c r="M420" s="26" t="s">
        <v>79</v>
      </c>
      <c r="N420" s="25" t="s">
        <v>55</v>
      </c>
      <c r="O420" s="26"/>
      <c r="P420" s="26" t="s">
        <v>472</v>
      </c>
      <c r="Q420" s="26"/>
      <c r="R420" s="5"/>
      <c r="S420" s="5"/>
      <c r="T420" s="5"/>
      <c r="U420" s="5"/>
      <c r="V420" s="5"/>
      <c r="W420" s="5"/>
      <c r="X420" s="5"/>
      <c r="Y420" s="5"/>
    </row>
    <row r="421" spans="13:25" ht="45" x14ac:dyDescent="0.2">
      <c r="M421" s="26" t="s">
        <v>79</v>
      </c>
      <c r="N421" s="25" t="s">
        <v>55</v>
      </c>
      <c r="O421" s="26"/>
      <c r="P421" s="26" t="s">
        <v>442</v>
      </c>
      <c r="Q421" s="26"/>
      <c r="R421" s="5"/>
      <c r="S421" s="5"/>
      <c r="T421" s="5"/>
      <c r="U421" s="5"/>
      <c r="V421" s="5"/>
      <c r="W421" s="5"/>
      <c r="X421" s="5"/>
      <c r="Y421" s="5"/>
    </row>
    <row r="422" spans="13:25" ht="22.5" x14ac:dyDescent="0.2">
      <c r="M422" s="26" t="s">
        <v>79</v>
      </c>
      <c r="N422" s="25" t="s">
        <v>55</v>
      </c>
      <c r="O422" s="26"/>
      <c r="P422" s="26" t="s">
        <v>473</v>
      </c>
      <c r="Q422" s="26"/>
      <c r="R422" s="5"/>
      <c r="S422" s="5"/>
      <c r="T422" s="5"/>
      <c r="U422" s="5"/>
      <c r="V422" s="5"/>
      <c r="W422" s="5"/>
      <c r="X422" s="5"/>
      <c r="Y422" s="5"/>
    </row>
    <row r="423" spans="13:25" ht="45" x14ac:dyDescent="0.2">
      <c r="M423" s="26" t="s">
        <v>79</v>
      </c>
      <c r="N423" s="25" t="s">
        <v>51</v>
      </c>
      <c r="O423" s="26"/>
      <c r="P423" s="26" t="s">
        <v>474</v>
      </c>
      <c r="Q423" s="26"/>
      <c r="R423" s="5"/>
      <c r="S423" s="5"/>
      <c r="T423" s="5"/>
      <c r="U423" s="5"/>
      <c r="V423" s="5"/>
      <c r="W423" s="5"/>
      <c r="X423" s="5"/>
      <c r="Y423" s="5"/>
    </row>
    <row r="424" spans="13:25" ht="33.75" x14ac:dyDescent="0.2">
      <c r="M424" s="26" t="s">
        <v>79</v>
      </c>
      <c r="N424" s="25" t="s">
        <v>51</v>
      </c>
      <c r="O424" s="26"/>
      <c r="P424" s="26" t="s">
        <v>475</v>
      </c>
      <c r="Q424" s="26"/>
      <c r="R424" s="5"/>
      <c r="S424" s="5"/>
      <c r="T424" s="5"/>
      <c r="U424" s="5"/>
      <c r="V424" s="5"/>
      <c r="W424" s="5"/>
      <c r="X424" s="5"/>
      <c r="Y424" s="5"/>
    </row>
    <row r="425" spans="13:25" ht="45" x14ac:dyDescent="0.2">
      <c r="M425" s="26" t="s">
        <v>79</v>
      </c>
      <c r="N425" s="25" t="s">
        <v>51</v>
      </c>
      <c r="O425" s="26"/>
      <c r="P425" s="26" t="s">
        <v>476</v>
      </c>
      <c r="Q425" s="26"/>
      <c r="R425" s="5"/>
      <c r="S425" s="5"/>
      <c r="T425" s="5"/>
      <c r="U425" s="5"/>
      <c r="V425" s="5"/>
      <c r="W425" s="5"/>
      <c r="X425" s="5"/>
      <c r="Y425" s="5"/>
    </row>
    <row r="426" spans="13:25" ht="56.25" x14ac:dyDescent="0.2">
      <c r="M426" s="26" t="s">
        <v>79</v>
      </c>
      <c r="N426" s="25" t="s">
        <v>55</v>
      </c>
      <c r="O426" s="26"/>
      <c r="P426" s="26" t="s">
        <v>467</v>
      </c>
      <c r="Q426" s="26"/>
      <c r="R426" s="5"/>
      <c r="S426" s="5"/>
      <c r="T426" s="5"/>
      <c r="U426" s="5"/>
      <c r="V426" s="5"/>
      <c r="W426" s="5"/>
      <c r="X426" s="5"/>
      <c r="Y426" s="5"/>
    </row>
    <row r="427" spans="13:25" ht="45" x14ac:dyDescent="0.2">
      <c r="M427" s="26" t="s">
        <v>79</v>
      </c>
      <c r="N427" s="25" t="s">
        <v>55</v>
      </c>
      <c r="O427" s="26"/>
      <c r="P427" s="26" t="s">
        <v>477</v>
      </c>
      <c r="Q427" s="26"/>
      <c r="R427" s="5"/>
      <c r="S427" s="5"/>
      <c r="T427" s="5"/>
      <c r="U427" s="5"/>
      <c r="V427" s="5"/>
      <c r="W427" s="5"/>
      <c r="X427" s="5"/>
      <c r="Y427" s="5"/>
    </row>
    <row r="428" spans="13:25" ht="45" x14ac:dyDescent="0.2">
      <c r="M428" s="26" t="s">
        <v>79</v>
      </c>
      <c r="N428" s="25" t="s">
        <v>55</v>
      </c>
      <c r="O428" s="26"/>
      <c r="P428" s="26" t="s">
        <v>442</v>
      </c>
      <c r="Q428" s="26"/>
      <c r="R428" s="5"/>
      <c r="S428" s="5"/>
      <c r="T428" s="5"/>
      <c r="U428" s="5"/>
      <c r="V428" s="5"/>
      <c r="W428" s="5"/>
      <c r="X428" s="5"/>
      <c r="Y428" s="5"/>
    </row>
    <row r="429" spans="13:25" ht="101.25" x14ac:dyDescent="0.2">
      <c r="M429" s="26" t="s">
        <v>79</v>
      </c>
      <c r="N429" s="25" t="s">
        <v>55</v>
      </c>
      <c r="O429" s="26"/>
      <c r="P429" s="26" t="s">
        <v>478</v>
      </c>
      <c r="Q429" s="26"/>
      <c r="R429" s="5"/>
      <c r="S429" s="5"/>
      <c r="T429" s="5"/>
      <c r="U429" s="5"/>
      <c r="V429" s="5"/>
      <c r="W429" s="5"/>
      <c r="X429" s="5"/>
      <c r="Y429" s="5"/>
    </row>
    <row r="430" spans="13:25" ht="90" x14ac:dyDescent="0.2">
      <c r="M430" s="26" t="s">
        <v>79</v>
      </c>
      <c r="N430" s="25" t="s">
        <v>55</v>
      </c>
      <c r="O430" s="26"/>
      <c r="P430" s="26" t="s">
        <v>479</v>
      </c>
      <c r="Q430" s="26"/>
      <c r="R430" s="5"/>
      <c r="S430" s="5"/>
      <c r="T430" s="5"/>
      <c r="U430" s="5"/>
      <c r="V430" s="5"/>
      <c r="W430" s="5"/>
      <c r="X430" s="5"/>
      <c r="Y430" s="5"/>
    </row>
    <row r="431" spans="13:25" ht="22.5" x14ac:dyDescent="0.2">
      <c r="M431" s="26" t="s">
        <v>79</v>
      </c>
      <c r="N431" s="25" t="s">
        <v>51</v>
      </c>
      <c r="O431" s="26"/>
      <c r="P431" s="26" t="s">
        <v>480</v>
      </c>
      <c r="Q431" s="26"/>
      <c r="R431" s="5"/>
      <c r="S431" s="5"/>
      <c r="T431" s="5"/>
      <c r="U431" s="5"/>
      <c r="V431" s="5"/>
      <c r="W431" s="5"/>
      <c r="X431" s="5"/>
      <c r="Y431" s="5"/>
    </row>
    <row r="432" spans="13:25" ht="56.25" x14ac:dyDescent="0.2">
      <c r="M432" s="26" t="s">
        <v>79</v>
      </c>
      <c r="N432" s="25" t="s">
        <v>51</v>
      </c>
      <c r="O432" s="26"/>
      <c r="P432" s="26" t="s">
        <v>481</v>
      </c>
      <c r="Q432" s="26"/>
      <c r="R432" s="5"/>
      <c r="S432" s="5"/>
      <c r="T432" s="5"/>
      <c r="U432" s="5"/>
      <c r="V432" s="5"/>
      <c r="W432" s="5"/>
      <c r="X432" s="5"/>
      <c r="Y432" s="5"/>
    </row>
    <row r="433" spans="13:25" ht="22.5" x14ac:dyDescent="0.2">
      <c r="M433" s="26" t="s">
        <v>79</v>
      </c>
      <c r="N433" s="25" t="s">
        <v>55</v>
      </c>
      <c r="O433" s="26"/>
      <c r="P433" s="26" t="s">
        <v>482</v>
      </c>
      <c r="Q433" s="26"/>
      <c r="R433" s="5"/>
      <c r="S433" s="5"/>
      <c r="T433" s="5"/>
      <c r="U433" s="5"/>
      <c r="V433" s="5"/>
      <c r="W433" s="5"/>
      <c r="X433" s="5"/>
      <c r="Y433" s="5"/>
    </row>
    <row r="434" spans="13:25" ht="22.5" x14ac:dyDescent="0.2">
      <c r="M434" s="26" t="s">
        <v>79</v>
      </c>
      <c r="N434" s="25" t="s">
        <v>55</v>
      </c>
      <c r="O434" s="26"/>
      <c r="P434" s="26" t="s">
        <v>483</v>
      </c>
      <c r="Q434" s="26"/>
      <c r="R434" s="5"/>
      <c r="S434" s="5"/>
      <c r="T434" s="5"/>
      <c r="U434" s="5"/>
      <c r="V434" s="5"/>
      <c r="W434" s="5"/>
      <c r="X434" s="5"/>
      <c r="Y434" s="5"/>
    </row>
    <row r="435" spans="13:25" ht="33.75" x14ac:dyDescent="0.2">
      <c r="M435" s="26" t="s">
        <v>79</v>
      </c>
      <c r="N435" s="25" t="s">
        <v>51</v>
      </c>
      <c r="O435" s="26"/>
      <c r="P435" s="26" t="s">
        <v>484</v>
      </c>
      <c r="Q435" s="26"/>
      <c r="R435" s="5"/>
      <c r="S435" s="5"/>
      <c r="T435" s="5"/>
      <c r="U435" s="5"/>
      <c r="V435" s="5"/>
      <c r="W435" s="5"/>
      <c r="X435" s="5"/>
      <c r="Y435" s="5"/>
    </row>
    <row r="436" spans="13:25" ht="56.25" x14ac:dyDescent="0.2">
      <c r="M436" s="26" t="s">
        <v>79</v>
      </c>
      <c r="N436" s="25" t="s">
        <v>51</v>
      </c>
      <c r="O436" s="26"/>
      <c r="P436" s="26" t="s">
        <v>485</v>
      </c>
      <c r="Q436" s="26"/>
      <c r="R436" s="5"/>
      <c r="S436" s="5"/>
      <c r="T436" s="5"/>
      <c r="U436" s="5"/>
      <c r="V436" s="5"/>
      <c r="W436" s="5"/>
      <c r="X436" s="5"/>
      <c r="Y436" s="5"/>
    </row>
    <row r="437" spans="13:25" ht="56.25" x14ac:dyDescent="0.2">
      <c r="M437" s="26" t="s">
        <v>79</v>
      </c>
      <c r="N437" s="25" t="s">
        <v>55</v>
      </c>
      <c r="O437" s="26"/>
      <c r="P437" s="26" t="s">
        <v>446</v>
      </c>
      <c r="Q437" s="26"/>
      <c r="R437" s="5"/>
      <c r="S437" s="5"/>
      <c r="T437" s="5"/>
      <c r="U437" s="5"/>
      <c r="V437" s="5"/>
      <c r="W437" s="5"/>
      <c r="X437" s="5"/>
      <c r="Y437" s="5"/>
    </row>
    <row r="438" spans="13:25" ht="56.25" x14ac:dyDescent="0.2">
      <c r="M438" s="26" t="s">
        <v>79</v>
      </c>
      <c r="N438" s="25" t="s">
        <v>55</v>
      </c>
      <c r="O438" s="26"/>
      <c r="P438" s="26" t="s">
        <v>467</v>
      </c>
      <c r="Q438" s="26"/>
      <c r="R438" s="5"/>
      <c r="S438" s="5"/>
      <c r="T438" s="5"/>
      <c r="U438" s="5"/>
      <c r="V438" s="5"/>
      <c r="W438" s="5"/>
      <c r="X438" s="5"/>
      <c r="Y438" s="5"/>
    </row>
    <row r="439" spans="13:25" ht="45" x14ac:dyDescent="0.2">
      <c r="M439" s="26" t="s">
        <v>79</v>
      </c>
      <c r="N439" s="25" t="s">
        <v>55</v>
      </c>
      <c r="O439" s="26"/>
      <c r="P439" s="26" t="s">
        <v>477</v>
      </c>
      <c r="Q439" s="26"/>
      <c r="R439" s="5"/>
      <c r="S439" s="5"/>
      <c r="T439" s="5"/>
      <c r="U439" s="5"/>
      <c r="V439" s="5"/>
      <c r="W439" s="5"/>
      <c r="X439" s="5"/>
      <c r="Y439" s="5"/>
    </row>
    <row r="440" spans="13:25" ht="78.75" x14ac:dyDescent="0.2">
      <c r="M440" s="26" t="s">
        <v>79</v>
      </c>
      <c r="N440" s="25" t="s">
        <v>55</v>
      </c>
      <c r="O440" s="26"/>
      <c r="P440" s="26" t="s">
        <v>486</v>
      </c>
      <c r="Q440" s="26"/>
      <c r="R440" s="5"/>
      <c r="S440" s="5"/>
      <c r="T440" s="5"/>
      <c r="U440" s="5"/>
      <c r="V440" s="5"/>
      <c r="W440" s="5"/>
      <c r="X440" s="5"/>
      <c r="Y440" s="5"/>
    </row>
    <row r="441" spans="13:25" ht="22.5" x14ac:dyDescent="0.2">
      <c r="M441" s="26" t="s">
        <v>79</v>
      </c>
      <c r="N441" s="25" t="s">
        <v>51</v>
      </c>
      <c r="O441" s="26" t="s">
        <v>487</v>
      </c>
      <c r="P441" s="26"/>
      <c r="Q441" s="26"/>
      <c r="R441" s="5"/>
      <c r="S441" s="5"/>
      <c r="T441" s="5"/>
      <c r="U441" s="5"/>
      <c r="V441" s="5"/>
      <c r="W441" s="5"/>
      <c r="X441" s="5"/>
      <c r="Y441" s="5"/>
    </row>
    <row r="442" spans="13:25" ht="67.5" x14ac:dyDescent="0.2">
      <c r="M442" s="26" t="s">
        <v>79</v>
      </c>
      <c r="N442" s="25" t="s">
        <v>51</v>
      </c>
      <c r="O442" s="26"/>
      <c r="P442" s="26" t="s">
        <v>488</v>
      </c>
      <c r="Q442" s="26"/>
      <c r="R442" s="5"/>
      <c r="S442" s="5"/>
      <c r="T442" s="5"/>
      <c r="U442" s="5"/>
      <c r="V442" s="5"/>
      <c r="W442" s="5"/>
      <c r="X442" s="5"/>
      <c r="Y442" s="5"/>
    </row>
    <row r="443" spans="13:25" ht="45" x14ac:dyDescent="0.2">
      <c r="M443" s="26" t="s">
        <v>79</v>
      </c>
      <c r="N443" s="25" t="s">
        <v>55</v>
      </c>
      <c r="O443" s="26"/>
      <c r="P443" s="26" t="s">
        <v>489</v>
      </c>
      <c r="Q443" s="26"/>
      <c r="R443" s="5"/>
      <c r="S443" s="5"/>
      <c r="T443" s="5"/>
      <c r="U443" s="5"/>
      <c r="V443" s="5"/>
      <c r="W443" s="5"/>
      <c r="X443" s="5"/>
      <c r="Y443" s="5"/>
    </row>
    <row r="444" spans="13:25" ht="56.25" x14ac:dyDescent="0.2">
      <c r="M444" s="26" t="s">
        <v>79</v>
      </c>
      <c r="N444" s="25" t="s">
        <v>55</v>
      </c>
      <c r="O444" s="26"/>
      <c r="P444" s="26" t="s">
        <v>353</v>
      </c>
      <c r="Q444" s="26"/>
      <c r="R444" s="5"/>
      <c r="S444" s="5"/>
      <c r="T444" s="5"/>
      <c r="U444" s="5"/>
      <c r="V444" s="5"/>
      <c r="W444" s="5"/>
      <c r="X444" s="5"/>
      <c r="Y444" s="5"/>
    </row>
    <row r="445" spans="13:25" ht="56.25" x14ac:dyDescent="0.2">
      <c r="M445" s="26" t="s">
        <v>79</v>
      </c>
      <c r="N445" s="25" t="s">
        <v>55</v>
      </c>
      <c r="O445" s="26"/>
      <c r="P445" s="26" t="s">
        <v>381</v>
      </c>
      <c r="Q445" s="26"/>
      <c r="R445" s="5"/>
      <c r="S445" s="5"/>
      <c r="T445" s="5"/>
      <c r="U445" s="5"/>
      <c r="V445" s="5"/>
      <c r="W445" s="5"/>
      <c r="X445" s="5"/>
      <c r="Y445" s="5"/>
    </row>
    <row r="446" spans="13:25" ht="56.25" x14ac:dyDescent="0.2">
      <c r="M446" s="26" t="s">
        <v>79</v>
      </c>
      <c r="N446" s="25" t="s">
        <v>55</v>
      </c>
      <c r="O446" s="26"/>
      <c r="P446" s="26" t="s">
        <v>353</v>
      </c>
      <c r="Q446" s="26"/>
      <c r="R446" s="5"/>
      <c r="S446" s="5"/>
      <c r="T446" s="5"/>
      <c r="U446" s="5"/>
      <c r="V446" s="5"/>
      <c r="W446" s="5"/>
      <c r="X446" s="5"/>
      <c r="Y446" s="5"/>
    </row>
    <row r="447" spans="13:25" ht="56.25" x14ac:dyDescent="0.2">
      <c r="M447" s="26" t="s">
        <v>79</v>
      </c>
      <c r="N447" s="25" t="s">
        <v>55</v>
      </c>
      <c r="O447" s="26"/>
      <c r="P447" s="26" t="s">
        <v>490</v>
      </c>
      <c r="Q447" s="26"/>
      <c r="R447" s="5"/>
      <c r="S447" s="5"/>
      <c r="T447" s="5"/>
      <c r="U447" s="5"/>
      <c r="V447" s="5"/>
      <c r="W447" s="5"/>
      <c r="X447" s="5"/>
      <c r="Y447" s="5"/>
    </row>
    <row r="448" spans="13:25" ht="56.25" x14ac:dyDescent="0.2">
      <c r="M448" s="26" t="s">
        <v>79</v>
      </c>
      <c r="N448" s="25" t="s">
        <v>55</v>
      </c>
      <c r="O448" s="26"/>
      <c r="P448" s="26" t="s">
        <v>491</v>
      </c>
      <c r="Q448" s="26"/>
      <c r="R448" s="5"/>
      <c r="S448" s="5"/>
      <c r="T448" s="5"/>
      <c r="U448" s="5"/>
      <c r="V448" s="5"/>
      <c r="W448" s="5"/>
      <c r="X448" s="5"/>
      <c r="Y448" s="5"/>
    </row>
    <row r="449" spans="13:25" ht="33.75" x14ac:dyDescent="0.2">
      <c r="M449" s="26" t="s">
        <v>79</v>
      </c>
      <c r="N449" s="25" t="s">
        <v>55</v>
      </c>
      <c r="O449" s="26"/>
      <c r="P449" s="26" t="s">
        <v>492</v>
      </c>
      <c r="Q449" s="26"/>
      <c r="R449" s="5"/>
      <c r="S449" s="5"/>
      <c r="T449" s="5"/>
      <c r="U449" s="5"/>
      <c r="V449" s="5"/>
      <c r="W449" s="5"/>
      <c r="X449" s="5"/>
      <c r="Y449" s="5"/>
    </row>
    <row r="450" spans="13:25" ht="56.25" x14ac:dyDescent="0.2">
      <c r="M450" s="26" t="s">
        <v>79</v>
      </c>
      <c r="N450" s="25" t="s">
        <v>55</v>
      </c>
      <c r="O450" s="26"/>
      <c r="P450" s="26" t="s">
        <v>493</v>
      </c>
      <c r="Q450" s="26"/>
      <c r="R450" s="5"/>
      <c r="S450" s="5"/>
      <c r="T450" s="5"/>
      <c r="U450" s="5"/>
      <c r="V450" s="5"/>
      <c r="W450" s="5"/>
      <c r="X450" s="5"/>
      <c r="Y450" s="5"/>
    </row>
    <row r="451" spans="13:25" ht="22.5" x14ac:dyDescent="0.2">
      <c r="M451" s="26" t="s">
        <v>79</v>
      </c>
      <c r="N451" s="25" t="s">
        <v>55</v>
      </c>
      <c r="O451" s="26"/>
      <c r="P451" s="26" t="s">
        <v>494</v>
      </c>
      <c r="Q451" s="26"/>
      <c r="R451" s="5"/>
      <c r="S451" s="5"/>
      <c r="T451" s="5"/>
      <c r="U451" s="5"/>
      <c r="V451" s="5"/>
      <c r="W451" s="5"/>
      <c r="X451" s="5"/>
      <c r="Y451" s="5"/>
    </row>
    <row r="452" spans="13:25" ht="45" x14ac:dyDescent="0.2">
      <c r="M452" s="26" t="s">
        <v>79</v>
      </c>
      <c r="N452" s="25" t="s">
        <v>55</v>
      </c>
      <c r="O452" s="26"/>
      <c r="P452" s="26" t="s">
        <v>495</v>
      </c>
      <c r="Q452" s="26"/>
      <c r="R452" s="5"/>
      <c r="S452" s="5"/>
      <c r="T452" s="5"/>
      <c r="U452" s="5"/>
      <c r="V452" s="5"/>
      <c r="W452" s="5"/>
      <c r="X452" s="5"/>
      <c r="Y452" s="5"/>
    </row>
    <row r="453" spans="13:25" ht="45" x14ac:dyDescent="0.2">
      <c r="M453" s="26" t="s">
        <v>79</v>
      </c>
      <c r="N453" s="25" t="s">
        <v>55</v>
      </c>
      <c r="O453" s="26"/>
      <c r="P453" s="26" t="s">
        <v>360</v>
      </c>
      <c r="Q453" s="26"/>
      <c r="R453" s="5"/>
      <c r="S453" s="5"/>
      <c r="T453" s="5"/>
      <c r="U453" s="5"/>
      <c r="V453" s="5"/>
      <c r="W453" s="5"/>
      <c r="X453" s="5"/>
      <c r="Y453" s="5"/>
    </row>
    <row r="454" spans="13:25" ht="45" x14ac:dyDescent="0.2">
      <c r="M454" s="26" t="s">
        <v>79</v>
      </c>
      <c r="N454" s="25" t="s">
        <v>55</v>
      </c>
      <c r="O454" s="26"/>
      <c r="P454" s="26" t="s">
        <v>496</v>
      </c>
      <c r="Q454" s="26"/>
      <c r="R454" s="5"/>
      <c r="S454" s="5"/>
      <c r="T454" s="5"/>
      <c r="U454" s="5"/>
      <c r="V454" s="5"/>
      <c r="W454" s="5"/>
      <c r="X454" s="5"/>
      <c r="Y454" s="5"/>
    </row>
    <row r="455" spans="13:25" ht="45" x14ac:dyDescent="0.2">
      <c r="M455" s="26" t="s">
        <v>79</v>
      </c>
      <c r="N455" s="25" t="s">
        <v>55</v>
      </c>
      <c r="O455" s="26"/>
      <c r="P455" s="26" t="s">
        <v>497</v>
      </c>
      <c r="Q455" s="26"/>
      <c r="R455" s="5"/>
      <c r="S455" s="5"/>
      <c r="T455" s="5"/>
      <c r="U455" s="5"/>
      <c r="V455" s="5"/>
      <c r="W455" s="5"/>
      <c r="X455" s="5"/>
      <c r="Y455" s="5"/>
    </row>
    <row r="456" spans="13:25" ht="45" x14ac:dyDescent="0.2">
      <c r="M456" s="26" t="s">
        <v>79</v>
      </c>
      <c r="N456" s="25" t="s">
        <v>55</v>
      </c>
      <c r="O456" s="26"/>
      <c r="P456" s="26" t="s">
        <v>496</v>
      </c>
      <c r="Q456" s="26"/>
      <c r="R456" s="5"/>
      <c r="S456" s="5"/>
      <c r="T456" s="5"/>
      <c r="U456" s="5"/>
      <c r="V456" s="5"/>
      <c r="W456" s="5"/>
      <c r="X456" s="5"/>
      <c r="Y456" s="5"/>
    </row>
    <row r="457" spans="13:25" ht="33.75" x14ac:dyDescent="0.2">
      <c r="M457" s="26" t="s">
        <v>79</v>
      </c>
      <c r="N457" s="25" t="s">
        <v>55</v>
      </c>
      <c r="O457" s="26"/>
      <c r="P457" s="26" t="s">
        <v>498</v>
      </c>
      <c r="Q457" s="26"/>
      <c r="R457" s="5"/>
      <c r="S457" s="5"/>
      <c r="T457" s="5"/>
      <c r="U457" s="5"/>
      <c r="V457" s="5"/>
      <c r="W457" s="5"/>
      <c r="X457" s="5"/>
      <c r="Y457" s="5"/>
    </row>
    <row r="458" spans="13:25" ht="22.5" x14ac:dyDescent="0.2">
      <c r="M458" s="26" t="s">
        <v>79</v>
      </c>
      <c r="N458" s="25" t="s">
        <v>55</v>
      </c>
      <c r="O458" s="26"/>
      <c r="P458" s="26" t="s">
        <v>499</v>
      </c>
      <c r="Q458" s="26"/>
      <c r="R458" s="5"/>
      <c r="S458" s="5"/>
      <c r="T458" s="5"/>
      <c r="U458" s="5"/>
      <c r="V458" s="5"/>
      <c r="W458" s="5"/>
      <c r="X458" s="5"/>
      <c r="Y458" s="5"/>
    </row>
    <row r="459" spans="13:25" ht="45" x14ac:dyDescent="0.2">
      <c r="M459" s="26" t="s">
        <v>79</v>
      </c>
      <c r="N459" s="25" t="s">
        <v>55</v>
      </c>
      <c r="O459" s="26"/>
      <c r="P459" s="26" t="s">
        <v>500</v>
      </c>
      <c r="Q459" s="26"/>
      <c r="R459" s="5"/>
      <c r="S459" s="5"/>
      <c r="T459" s="5"/>
      <c r="U459" s="5"/>
      <c r="V459" s="5"/>
      <c r="W459" s="5"/>
      <c r="X459" s="5"/>
      <c r="Y459" s="5"/>
    </row>
    <row r="460" spans="13:25" ht="22.5" x14ac:dyDescent="0.2">
      <c r="M460" s="26" t="s">
        <v>79</v>
      </c>
      <c r="N460" s="25" t="s">
        <v>55</v>
      </c>
      <c r="O460" s="26"/>
      <c r="P460" s="26" t="s">
        <v>501</v>
      </c>
      <c r="Q460" s="26"/>
      <c r="R460" s="5"/>
      <c r="S460" s="5"/>
      <c r="T460" s="5"/>
      <c r="U460" s="5"/>
      <c r="V460" s="5"/>
      <c r="W460" s="5"/>
      <c r="X460" s="5"/>
      <c r="Y460" s="5"/>
    </row>
    <row r="461" spans="13:25" ht="33.75" x14ac:dyDescent="0.2">
      <c r="M461" s="26" t="s">
        <v>79</v>
      </c>
      <c r="N461" s="25" t="s">
        <v>55</v>
      </c>
      <c r="O461" s="26"/>
      <c r="P461" s="26" t="s">
        <v>502</v>
      </c>
      <c r="Q461" s="26"/>
      <c r="R461" s="5"/>
      <c r="S461" s="5"/>
      <c r="T461" s="5"/>
      <c r="U461" s="5"/>
      <c r="V461" s="5"/>
      <c r="W461" s="5"/>
      <c r="X461" s="5"/>
      <c r="Y461" s="5"/>
    </row>
    <row r="462" spans="13:25" ht="33.75" x14ac:dyDescent="0.2">
      <c r="M462" s="26" t="s">
        <v>79</v>
      </c>
      <c r="N462" s="25" t="s">
        <v>55</v>
      </c>
      <c r="O462" s="26"/>
      <c r="P462" s="26" t="s">
        <v>365</v>
      </c>
      <c r="Q462" s="26"/>
      <c r="R462" s="5"/>
      <c r="S462" s="5"/>
      <c r="T462" s="5"/>
      <c r="U462" s="5"/>
      <c r="V462" s="5"/>
      <c r="W462" s="5"/>
      <c r="X462" s="5"/>
      <c r="Y462" s="5"/>
    </row>
    <row r="463" spans="13:25" ht="33.75" x14ac:dyDescent="0.2">
      <c r="M463" s="26" t="s">
        <v>79</v>
      </c>
      <c r="N463" s="25" t="s">
        <v>55</v>
      </c>
      <c r="O463" s="26"/>
      <c r="P463" s="26" t="s">
        <v>503</v>
      </c>
      <c r="Q463" s="26"/>
      <c r="R463" s="5"/>
      <c r="S463" s="5"/>
      <c r="T463" s="5"/>
      <c r="U463" s="5"/>
      <c r="V463" s="5"/>
      <c r="W463" s="5"/>
      <c r="X463" s="5"/>
      <c r="Y463" s="5"/>
    </row>
    <row r="464" spans="13:25" ht="45" x14ac:dyDescent="0.2">
      <c r="M464" s="26" t="s">
        <v>79</v>
      </c>
      <c r="N464" s="25" t="s">
        <v>55</v>
      </c>
      <c r="O464" s="26"/>
      <c r="P464" s="26" t="s">
        <v>504</v>
      </c>
      <c r="Q464" s="26"/>
      <c r="R464" s="5"/>
      <c r="S464" s="5"/>
      <c r="T464" s="5"/>
      <c r="U464" s="5"/>
      <c r="V464" s="5"/>
      <c r="W464" s="5"/>
      <c r="X464" s="5"/>
      <c r="Y464" s="5"/>
    </row>
    <row r="465" spans="13:25" ht="22.5" x14ac:dyDescent="0.2">
      <c r="M465" s="26" t="s">
        <v>79</v>
      </c>
      <c r="N465" s="25" t="s">
        <v>55</v>
      </c>
      <c r="O465" s="26"/>
      <c r="P465" s="26" t="s">
        <v>505</v>
      </c>
      <c r="Q465" s="26"/>
      <c r="R465" s="5"/>
      <c r="S465" s="5"/>
      <c r="T465" s="5"/>
      <c r="U465" s="5"/>
      <c r="V465" s="5"/>
      <c r="W465" s="5"/>
      <c r="X465" s="5"/>
      <c r="Y465" s="5"/>
    </row>
    <row r="466" spans="13:25" ht="56.25" x14ac:dyDescent="0.2">
      <c r="M466" s="26" t="s">
        <v>79</v>
      </c>
      <c r="N466" s="25" t="s">
        <v>55</v>
      </c>
      <c r="O466" s="26"/>
      <c r="P466" s="26" t="s">
        <v>506</v>
      </c>
      <c r="Q466" s="26"/>
      <c r="R466" s="5"/>
      <c r="S466" s="5"/>
      <c r="T466" s="5"/>
      <c r="U466" s="5"/>
      <c r="V466" s="5"/>
      <c r="W466" s="5"/>
      <c r="X466" s="5"/>
      <c r="Y466" s="5"/>
    </row>
    <row r="467" spans="13:25" ht="22.5" x14ac:dyDescent="0.2">
      <c r="M467" s="26" t="s">
        <v>79</v>
      </c>
      <c r="N467" s="25" t="s">
        <v>55</v>
      </c>
      <c r="O467" s="26"/>
      <c r="P467" s="26" t="s">
        <v>507</v>
      </c>
      <c r="Q467" s="26"/>
      <c r="R467" s="5"/>
      <c r="S467" s="5"/>
      <c r="T467" s="5"/>
      <c r="U467" s="5"/>
      <c r="V467" s="5"/>
      <c r="W467" s="5"/>
      <c r="X467" s="5"/>
      <c r="Y467" s="5"/>
    </row>
    <row r="468" spans="13:25" ht="22.5" x14ac:dyDescent="0.2">
      <c r="M468" s="26" t="s">
        <v>79</v>
      </c>
      <c r="N468" s="25" t="s">
        <v>55</v>
      </c>
      <c r="O468" s="26"/>
      <c r="P468" s="26" t="s">
        <v>508</v>
      </c>
      <c r="Q468" s="26"/>
      <c r="R468" s="5"/>
      <c r="S468" s="5"/>
      <c r="T468" s="5"/>
      <c r="U468" s="5"/>
      <c r="V468" s="5"/>
      <c r="W468" s="5"/>
      <c r="X468" s="5"/>
      <c r="Y468" s="5"/>
    </row>
    <row r="469" spans="13:25" ht="22.5" x14ac:dyDescent="0.2">
      <c r="M469" s="26" t="s">
        <v>79</v>
      </c>
      <c r="N469" s="25" t="s">
        <v>55</v>
      </c>
      <c r="O469" s="26"/>
      <c r="P469" s="26" t="s">
        <v>509</v>
      </c>
      <c r="Q469" s="26"/>
      <c r="R469" s="5"/>
      <c r="S469" s="5"/>
      <c r="T469" s="5"/>
      <c r="U469" s="5"/>
      <c r="V469" s="5"/>
      <c r="W469" s="5"/>
      <c r="X469" s="5"/>
      <c r="Y469" s="5"/>
    </row>
    <row r="470" spans="13:25" ht="22.5" x14ac:dyDescent="0.2">
      <c r="M470" s="26" t="s">
        <v>79</v>
      </c>
      <c r="N470" s="25" t="s">
        <v>55</v>
      </c>
      <c r="O470" s="26"/>
      <c r="P470" s="26" t="s">
        <v>510</v>
      </c>
      <c r="Q470" s="26"/>
      <c r="R470" s="5"/>
      <c r="S470" s="5"/>
      <c r="T470" s="5"/>
      <c r="U470" s="5"/>
      <c r="V470" s="5"/>
      <c r="W470" s="5"/>
      <c r="X470" s="5"/>
      <c r="Y470" s="5"/>
    </row>
    <row r="471" spans="13:25" ht="45" x14ac:dyDescent="0.2">
      <c r="M471" s="26" t="s">
        <v>79</v>
      </c>
      <c r="N471" s="25" t="s">
        <v>55</v>
      </c>
      <c r="O471" s="26"/>
      <c r="P471" s="26" t="s">
        <v>366</v>
      </c>
      <c r="Q471" s="26"/>
      <c r="R471" s="5"/>
      <c r="S471" s="5"/>
      <c r="T471" s="5"/>
      <c r="U471" s="5"/>
      <c r="V471" s="5"/>
      <c r="W471" s="5"/>
      <c r="X471" s="5"/>
      <c r="Y471" s="5"/>
    </row>
    <row r="472" spans="13:25" ht="45" x14ac:dyDescent="0.2">
      <c r="M472" s="26" t="s">
        <v>79</v>
      </c>
      <c r="N472" s="25" t="s">
        <v>55</v>
      </c>
      <c r="O472" s="26"/>
      <c r="P472" s="26" t="s">
        <v>511</v>
      </c>
      <c r="Q472" s="26"/>
      <c r="R472" s="5"/>
      <c r="S472" s="5"/>
      <c r="T472" s="5"/>
      <c r="U472" s="5"/>
      <c r="V472" s="5"/>
      <c r="W472" s="5"/>
      <c r="X472" s="5"/>
      <c r="Y472" s="5"/>
    </row>
    <row r="473" spans="13:25" ht="45" x14ac:dyDescent="0.2">
      <c r="M473" s="26" t="s">
        <v>79</v>
      </c>
      <c r="N473" s="25" t="s">
        <v>55</v>
      </c>
      <c r="O473" s="26"/>
      <c r="P473" s="26" t="s">
        <v>367</v>
      </c>
      <c r="Q473" s="26"/>
      <c r="R473" s="5"/>
      <c r="S473" s="5"/>
      <c r="T473" s="5"/>
      <c r="U473" s="5"/>
      <c r="V473" s="5"/>
      <c r="W473" s="5"/>
      <c r="X473" s="5"/>
      <c r="Y473" s="5"/>
    </row>
    <row r="474" spans="13:25" ht="45" x14ac:dyDescent="0.2">
      <c r="M474" s="26" t="s">
        <v>79</v>
      </c>
      <c r="N474" s="25" t="s">
        <v>55</v>
      </c>
      <c r="O474" s="26"/>
      <c r="P474" s="26" t="s">
        <v>512</v>
      </c>
      <c r="Q474" s="26"/>
      <c r="R474" s="5"/>
      <c r="S474" s="5"/>
      <c r="T474" s="5"/>
      <c r="U474" s="5"/>
      <c r="V474" s="5"/>
      <c r="W474" s="5"/>
      <c r="X474" s="5"/>
      <c r="Y474" s="5"/>
    </row>
    <row r="475" spans="13:25" ht="22.5" x14ac:dyDescent="0.2">
      <c r="M475" s="26" t="s">
        <v>79</v>
      </c>
      <c r="N475" s="25" t="s">
        <v>55</v>
      </c>
      <c r="O475" s="26"/>
      <c r="P475" s="26" t="s">
        <v>513</v>
      </c>
      <c r="Q475" s="26"/>
      <c r="R475" s="5"/>
      <c r="S475" s="5"/>
      <c r="T475" s="5"/>
      <c r="U475" s="5"/>
      <c r="V475" s="5"/>
      <c r="W475" s="5"/>
      <c r="X475" s="5"/>
      <c r="Y475" s="5"/>
    </row>
    <row r="476" spans="13:25" ht="33.75" x14ac:dyDescent="0.2">
      <c r="M476" s="26" t="s">
        <v>79</v>
      </c>
      <c r="N476" s="25" t="s">
        <v>55</v>
      </c>
      <c r="O476" s="26"/>
      <c r="P476" s="26" t="s">
        <v>368</v>
      </c>
      <c r="Q476" s="26"/>
      <c r="R476" s="5"/>
      <c r="S476" s="5"/>
      <c r="T476" s="5"/>
      <c r="U476" s="5"/>
      <c r="V476" s="5"/>
      <c r="W476" s="5"/>
      <c r="X476" s="5"/>
      <c r="Y476" s="5"/>
    </row>
    <row r="477" spans="13:25" ht="33.75" x14ac:dyDescent="0.2">
      <c r="M477" s="26" t="s">
        <v>79</v>
      </c>
      <c r="N477" s="25" t="s">
        <v>55</v>
      </c>
      <c r="O477" s="26"/>
      <c r="P477" s="26" t="s">
        <v>514</v>
      </c>
      <c r="Q477" s="26"/>
      <c r="R477" s="5"/>
      <c r="S477" s="5"/>
      <c r="T477" s="5"/>
      <c r="U477" s="5"/>
      <c r="V477" s="5"/>
      <c r="W477" s="5"/>
      <c r="X477" s="5"/>
      <c r="Y477" s="5"/>
    </row>
    <row r="478" spans="13:25" ht="45" x14ac:dyDescent="0.2">
      <c r="M478" s="26" t="s">
        <v>79</v>
      </c>
      <c r="N478" s="25" t="s">
        <v>55</v>
      </c>
      <c r="O478" s="26"/>
      <c r="P478" s="26" t="s">
        <v>126</v>
      </c>
      <c r="Q478" s="26"/>
      <c r="R478" s="5"/>
      <c r="S478" s="5"/>
      <c r="T478" s="5"/>
      <c r="U478" s="5"/>
      <c r="V478" s="5"/>
      <c r="W478" s="5"/>
      <c r="X478" s="5"/>
      <c r="Y478" s="5"/>
    </row>
    <row r="479" spans="13:25" ht="45" x14ac:dyDescent="0.2">
      <c r="M479" s="26" t="s">
        <v>79</v>
      </c>
      <c r="N479" s="25" t="s">
        <v>55</v>
      </c>
      <c r="O479" s="26"/>
      <c r="P479" s="26" t="s">
        <v>369</v>
      </c>
      <c r="Q479" s="26"/>
      <c r="R479" s="5"/>
      <c r="S479" s="5"/>
      <c r="T479" s="5"/>
      <c r="U479" s="5"/>
      <c r="V479" s="5"/>
      <c r="W479" s="5"/>
      <c r="X479" s="5"/>
      <c r="Y479" s="5"/>
    </row>
    <row r="480" spans="13:25" ht="45" x14ac:dyDescent="0.2">
      <c r="M480" s="26" t="s">
        <v>79</v>
      </c>
      <c r="N480" s="25" t="s">
        <v>55</v>
      </c>
      <c r="O480" s="26"/>
      <c r="P480" s="26" t="s">
        <v>369</v>
      </c>
      <c r="Q480" s="26"/>
      <c r="R480" s="5"/>
      <c r="S480" s="5"/>
      <c r="T480" s="5"/>
      <c r="U480" s="5"/>
      <c r="V480" s="5"/>
      <c r="W480" s="5"/>
      <c r="X480" s="5"/>
      <c r="Y480" s="5"/>
    </row>
    <row r="481" spans="13:25" ht="45" x14ac:dyDescent="0.2">
      <c r="M481" s="26" t="s">
        <v>79</v>
      </c>
      <c r="N481" s="25" t="s">
        <v>55</v>
      </c>
      <c r="O481" s="26"/>
      <c r="P481" s="26" t="s">
        <v>371</v>
      </c>
      <c r="Q481" s="26"/>
      <c r="R481" s="5"/>
      <c r="S481" s="5"/>
      <c r="T481" s="5"/>
      <c r="U481" s="5"/>
      <c r="V481" s="5"/>
      <c r="W481" s="5"/>
      <c r="X481" s="5"/>
      <c r="Y481" s="5"/>
    </row>
    <row r="482" spans="13:25" ht="45" x14ac:dyDescent="0.2">
      <c r="M482" s="26" t="s">
        <v>79</v>
      </c>
      <c r="N482" s="25" t="s">
        <v>55</v>
      </c>
      <c r="O482" s="26"/>
      <c r="P482" s="26" t="s">
        <v>391</v>
      </c>
      <c r="Q482" s="26"/>
      <c r="R482" s="5"/>
      <c r="S482" s="5"/>
      <c r="T482" s="5"/>
      <c r="U482" s="5"/>
      <c r="V482" s="5"/>
      <c r="W482" s="5"/>
      <c r="X482" s="5"/>
      <c r="Y482" s="5"/>
    </row>
    <row r="483" spans="13:25" ht="45" x14ac:dyDescent="0.2">
      <c r="M483" s="26" t="s">
        <v>79</v>
      </c>
      <c r="N483" s="25" t="s">
        <v>55</v>
      </c>
      <c r="O483" s="26"/>
      <c r="P483" s="26" t="s">
        <v>371</v>
      </c>
      <c r="Q483" s="26"/>
      <c r="R483" s="5"/>
      <c r="S483" s="5"/>
      <c r="T483" s="5"/>
      <c r="U483" s="5"/>
      <c r="V483" s="5"/>
      <c r="W483" s="5"/>
      <c r="X483" s="5"/>
      <c r="Y483" s="5"/>
    </row>
    <row r="484" spans="13:25" ht="45" x14ac:dyDescent="0.2">
      <c r="M484" s="26" t="s">
        <v>79</v>
      </c>
      <c r="N484" s="25" t="s">
        <v>55</v>
      </c>
      <c r="O484" s="26"/>
      <c r="P484" s="26" t="s">
        <v>515</v>
      </c>
      <c r="Q484" s="26"/>
      <c r="R484" s="5"/>
      <c r="S484" s="5"/>
      <c r="T484" s="5"/>
      <c r="U484" s="5"/>
      <c r="V484" s="5"/>
      <c r="W484" s="5"/>
      <c r="X484" s="5"/>
      <c r="Y484" s="5"/>
    </row>
    <row r="485" spans="13:25" ht="22.5" x14ac:dyDescent="0.2">
      <c r="M485" s="26" t="s">
        <v>79</v>
      </c>
      <c r="N485" s="25" t="s">
        <v>55</v>
      </c>
      <c r="O485" s="26"/>
      <c r="P485" s="26" t="s">
        <v>516</v>
      </c>
      <c r="Q485" s="26"/>
      <c r="R485" s="5"/>
      <c r="S485" s="5"/>
      <c r="T485" s="5"/>
      <c r="U485" s="5"/>
      <c r="V485" s="5"/>
      <c r="W485" s="5"/>
      <c r="X485" s="5"/>
      <c r="Y485" s="5"/>
    </row>
    <row r="486" spans="13:25" ht="33.75" x14ac:dyDescent="0.2">
      <c r="M486" s="26" t="s">
        <v>79</v>
      </c>
      <c r="N486" s="25" t="s">
        <v>55</v>
      </c>
      <c r="O486" s="26"/>
      <c r="P486" s="26" t="s">
        <v>517</v>
      </c>
      <c r="Q486" s="26"/>
      <c r="R486" s="5"/>
      <c r="S486" s="5"/>
      <c r="T486" s="5"/>
      <c r="U486" s="5"/>
      <c r="V486" s="5"/>
      <c r="W486" s="5"/>
      <c r="X486" s="5"/>
      <c r="Y486" s="5"/>
    </row>
    <row r="487" spans="13:25" ht="33.75" x14ac:dyDescent="0.2">
      <c r="M487" s="26" t="s">
        <v>79</v>
      </c>
      <c r="N487" s="25" t="s">
        <v>55</v>
      </c>
      <c r="O487" s="26"/>
      <c r="P487" s="26" t="s">
        <v>518</v>
      </c>
      <c r="Q487" s="26"/>
      <c r="R487" s="5"/>
      <c r="S487" s="5"/>
      <c r="T487" s="5"/>
      <c r="U487" s="5"/>
      <c r="V487" s="5"/>
      <c r="W487" s="5"/>
      <c r="X487" s="5"/>
      <c r="Y487" s="5"/>
    </row>
    <row r="488" spans="13:25" ht="33.75" x14ac:dyDescent="0.2">
      <c r="M488" s="26" t="s">
        <v>79</v>
      </c>
      <c r="N488" s="25" t="s">
        <v>55</v>
      </c>
      <c r="O488" s="26"/>
      <c r="P488" s="26" t="s">
        <v>519</v>
      </c>
      <c r="Q488" s="26"/>
      <c r="R488" s="5"/>
      <c r="S488" s="5"/>
      <c r="T488" s="5"/>
      <c r="U488" s="5"/>
      <c r="V488" s="5"/>
      <c r="W488" s="5"/>
      <c r="X488" s="5"/>
      <c r="Y488" s="5"/>
    </row>
    <row r="489" spans="13:25" ht="22.5" x14ac:dyDescent="0.2">
      <c r="M489" s="26" t="s">
        <v>79</v>
      </c>
      <c r="N489" s="25" t="s">
        <v>55</v>
      </c>
      <c r="O489" s="26"/>
      <c r="P489" s="26" t="s">
        <v>520</v>
      </c>
      <c r="Q489" s="26"/>
      <c r="R489" s="5"/>
      <c r="S489" s="5"/>
      <c r="T489" s="5"/>
      <c r="U489" s="5"/>
      <c r="V489" s="5"/>
      <c r="W489" s="5"/>
      <c r="X489" s="5"/>
      <c r="Y489" s="5"/>
    </row>
    <row r="490" spans="13:25" ht="22.5" x14ac:dyDescent="0.2">
      <c r="M490" s="26" t="s">
        <v>79</v>
      </c>
      <c r="N490" s="25" t="s">
        <v>51</v>
      </c>
      <c r="O490" s="26" t="s">
        <v>521</v>
      </c>
      <c r="P490" s="26"/>
      <c r="Q490" s="26"/>
      <c r="R490" s="5"/>
      <c r="S490" s="5"/>
      <c r="T490" s="5"/>
      <c r="U490" s="5"/>
      <c r="V490" s="5"/>
      <c r="W490" s="5"/>
      <c r="X490" s="5"/>
      <c r="Y490" s="5"/>
    </row>
    <row r="491" spans="13:25" ht="33.75" x14ac:dyDescent="0.2">
      <c r="M491" s="26" t="s">
        <v>79</v>
      </c>
      <c r="N491" s="25" t="s">
        <v>70</v>
      </c>
      <c r="O491" s="26"/>
      <c r="P491" s="26" t="s">
        <v>522</v>
      </c>
      <c r="Q491" s="26"/>
      <c r="R491" s="5"/>
      <c r="S491" s="5"/>
      <c r="T491" s="5"/>
      <c r="U491" s="5"/>
      <c r="V491" s="5"/>
      <c r="W491" s="5"/>
      <c r="X491" s="5"/>
      <c r="Y491" s="5"/>
    </row>
    <row r="492" spans="13:25" ht="22.5" x14ac:dyDescent="0.2">
      <c r="M492" s="26" t="s">
        <v>79</v>
      </c>
      <c r="N492" s="25" t="s">
        <v>70</v>
      </c>
      <c r="O492" s="26"/>
      <c r="P492" s="26" t="s">
        <v>523</v>
      </c>
      <c r="Q492" s="26"/>
      <c r="R492" s="5"/>
      <c r="S492" s="5"/>
      <c r="T492" s="5"/>
      <c r="U492" s="5"/>
      <c r="V492" s="5"/>
      <c r="W492" s="5"/>
      <c r="X492" s="5"/>
      <c r="Y492" s="5"/>
    </row>
    <row r="493" spans="13:25" ht="22.5" x14ac:dyDescent="0.2">
      <c r="M493" s="26" t="s">
        <v>79</v>
      </c>
      <c r="N493" s="25" t="s">
        <v>70</v>
      </c>
      <c r="O493" s="26"/>
      <c r="P493" s="26" t="s">
        <v>524</v>
      </c>
      <c r="Q493" s="26"/>
      <c r="R493" s="5"/>
      <c r="S493" s="5"/>
      <c r="T493" s="5"/>
      <c r="U493" s="5"/>
      <c r="V493" s="5"/>
      <c r="W493" s="5"/>
      <c r="X493" s="5"/>
      <c r="Y493" s="5"/>
    </row>
    <row r="494" spans="13:25" ht="22.5" x14ac:dyDescent="0.2">
      <c r="M494" s="26" t="s">
        <v>79</v>
      </c>
      <c r="N494" s="25" t="s">
        <v>70</v>
      </c>
      <c r="O494" s="26"/>
      <c r="P494" s="26" t="s">
        <v>525</v>
      </c>
      <c r="Q494" s="26"/>
      <c r="R494" s="5"/>
      <c r="S494" s="5"/>
      <c r="T494" s="5"/>
      <c r="U494" s="5"/>
      <c r="V494" s="5"/>
      <c r="W494" s="5"/>
      <c r="X494" s="5"/>
      <c r="Y494" s="5"/>
    </row>
    <row r="495" spans="13:25" ht="22.5" x14ac:dyDescent="0.2">
      <c r="M495" s="26" t="s">
        <v>79</v>
      </c>
      <c r="N495" s="25" t="s">
        <v>70</v>
      </c>
      <c r="O495" s="26"/>
      <c r="P495" s="26" t="s">
        <v>526</v>
      </c>
      <c r="Q495" s="26"/>
      <c r="R495" s="5"/>
      <c r="S495" s="5"/>
      <c r="T495" s="5"/>
      <c r="U495" s="5"/>
      <c r="V495" s="5"/>
      <c r="W495" s="5"/>
      <c r="X495" s="5"/>
      <c r="Y495" s="5"/>
    </row>
    <row r="496" spans="13:25" ht="22.5" x14ac:dyDescent="0.2">
      <c r="M496" s="26" t="s">
        <v>79</v>
      </c>
      <c r="N496" s="25" t="s">
        <v>70</v>
      </c>
      <c r="O496" s="26"/>
      <c r="P496" s="26" t="s">
        <v>527</v>
      </c>
      <c r="Q496" s="26"/>
      <c r="R496" s="5"/>
      <c r="S496" s="5"/>
      <c r="T496" s="5"/>
      <c r="U496" s="5"/>
      <c r="V496" s="5"/>
      <c r="W496" s="5"/>
      <c r="X496" s="5"/>
      <c r="Y496" s="5"/>
    </row>
    <row r="497" spans="13:25" ht="22.5" x14ac:dyDescent="0.2">
      <c r="M497" s="26" t="s">
        <v>79</v>
      </c>
      <c r="N497" s="25" t="s">
        <v>70</v>
      </c>
      <c r="O497" s="26"/>
      <c r="P497" s="26" t="s">
        <v>528</v>
      </c>
      <c r="Q497" s="26"/>
      <c r="R497" s="5"/>
      <c r="S497" s="5"/>
      <c r="T497" s="5"/>
      <c r="U497" s="5"/>
      <c r="V497" s="5"/>
      <c r="W497" s="5"/>
      <c r="X497" s="5"/>
      <c r="Y497" s="5"/>
    </row>
    <row r="498" spans="13:25" ht="33.75" x14ac:dyDescent="0.2">
      <c r="M498" s="26" t="s">
        <v>79</v>
      </c>
      <c r="N498" s="25" t="s">
        <v>70</v>
      </c>
      <c r="O498" s="26"/>
      <c r="P498" s="26" t="s">
        <v>529</v>
      </c>
      <c r="Q498" s="26"/>
      <c r="R498" s="5"/>
      <c r="S498" s="5"/>
      <c r="T498" s="5"/>
      <c r="U498" s="5"/>
      <c r="V498" s="5"/>
      <c r="W498" s="5"/>
      <c r="X498" s="5"/>
      <c r="Y498" s="5"/>
    </row>
    <row r="499" spans="13:25" ht="22.5" x14ac:dyDescent="0.2">
      <c r="M499" s="26" t="s">
        <v>79</v>
      </c>
      <c r="N499" s="25" t="s">
        <v>70</v>
      </c>
      <c r="O499" s="26"/>
      <c r="P499" s="26" t="s">
        <v>530</v>
      </c>
      <c r="Q499" s="26"/>
      <c r="R499" s="5"/>
      <c r="S499" s="5"/>
      <c r="T499" s="5"/>
      <c r="U499" s="5"/>
      <c r="V499" s="5"/>
      <c r="W499" s="5"/>
      <c r="X499" s="5"/>
      <c r="Y499" s="5"/>
    </row>
    <row r="500" spans="13:25" ht="22.5" x14ac:dyDescent="0.2">
      <c r="M500" s="26" t="s">
        <v>79</v>
      </c>
      <c r="N500" s="25" t="s">
        <v>70</v>
      </c>
      <c r="O500" s="26"/>
      <c r="P500" s="26" t="s">
        <v>531</v>
      </c>
      <c r="Q500" s="26"/>
      <c r="R500" s="5"/>
      <c r="S500" s="5"/>
      <c r="T500" s="5"/>
      <c r="U500" s="5"/>
      <c r="V500" s="5"/>
      <c r="W500" s="5"/>
      <c r="X500" s="5"/>
      <c r="Y500" s="5"/>
    </row>
    <row r="501" spans="13:25" ht="33.75" x14ac:dyDescent="0.2">
      <c r="M501" s="26" t="s">
        <v>79</v>
      </c>
      <c r="N501" s="25" t="s">
        <v>70</v>
      </c>
      <c r="O501" s="26"/>
      <c r="P501" s="26" t="s">
        <v>532</v>
      </c>
      <c r="Q501" s="26"/>
      <c r="R501" s="5"/>
      <c r="S501" s="5"/>
      <c r="T501" s="5"/>
      <c r="U501" s="5"/>
      <c r="V501" s="5"/>
      <c r="W501" s="5"/>
      <c r="X501" s="5"/>
      <c r="Y501" s="5"/>
    </row>
    <row r="502" spans="13:25" ht="22.5" x14ac:dyDescent="0.2">
      <c r="M502" s="26" t="s">
        <v>79</v>
      </c>
      <c r="N502" s="25" t="s">
        <v>70</v>
      </c>
      <c r="O502" s="26"/>
      <c r="P502" s="26" t="s">
        <v>533</v>
      </c>
      <c r="Q502" s="26"/>
      <c r="R502" s="5"/>
      <c r="S502" s="5"/>
      <c r="T502" s="5"/>
      <c r="U502" s="5"/>
      <c r="V502" s="5"/>
      <c r="W502" s="5"/>
      <c r="X502" s="5"/>
      <c r="Y502" s="5"/>
    </row>
    <row r="503" spans="13:25" ht="22.5" x14ac:dyDescent="0.2">
      <c r="M503" s="26" t="s">
        <v>79</v>
      </c>
      <c r="N503" s="25" t="s">
        <v>70</v>
      </c>
      <c r="O503" s="26"/>
      <c r="P503" s="26" t="s">
        <v>534</v>
      </c>
      <c r="Q503" s="26"/>
      <c r="R503" s="5"/>
      <c r="S503" s="5"/>
      <c r="T503" s="5"/>
      <c r="U503" s="5"/>
      <c r="V503" s="5"/>
      <c r="W503" s="5"/>
      <c r="X503" s="5"/>
      <c r="Y503" s="5"/>
    </row>
    <row r="504" spans="13:25" ht="22.5" x14ac:dyDescent="0.2">
      <c r="M504" s="26" t="s">
        <v>79</v>
      </c>
      <c r="N504" s="25" t="s">
        <v>70</v>
      </c>
      <c r="O504" s="26"/>
      <c r="P504" s="26" t="s">
        <v>535</v>
      </c>
      <c r="Q504" s="26"/>
      <c r="R504" s="5"/>
      <c r="S504" s="5"/>
      <c r="T504" s="5"/>
      <c r="U504" s="5"/>
      <c r="V504" s="5"/>
      <c r="W504" s="5"/>
      <c r="X504" s="5"/>
      <c r="Y504" s="5"/>
    </row>
    <row r="505" spans="13:25" ht="22.5" x14ac:dyDescent="0.2">
      <c r="M505" s="26" t="s">
        <v>79</v>
      </c>
      <c r="N505" s="25" t="s">
        <v>70</v>
      </c>
      <c r="O505" s="26"/>
      <c r="P505" s="26" t="s">
        <v>536</v>
      </c>
      <c r="Q505" s="26"/>
      <c r="R505" s="5"/>
      <c r="S505" s="5"/>
      <c r="T505" s="5"/>
      <c r="U505" s="5"/>
      <c r="V505" s="5"/>
      <c r="W505" s="5"/>
      <c r="X505" s="5"/>
      <c r="Y505" s="5"/>
    </row>
    <row r="506" spans="13:25" ht="33.75" x14ac:dyDescent="0.2">
      <c r="M506" s="26" t="s">
        <v>79</v>
      </c>
      <c r="N506" s="25" t="s">
        <v>70</v>
      </c>
      <c r="O506" s="26"/>
      <c r="P506" s="26" t="s">
        <v>537</v>
      </c>
      <c r="Q506" s="26"/>
      <c r="R506" s="5"/>
      <c r="S506" s="5"/>
      <c r="T506" s="5"/>
      <c r="U506" s="5"/>
      <c r="V506" s="5"/>
      <c r="W506" s="5"/>
      <c r="X506" s="5"/>
      <c r="Y506" s="5"/>
    </row>
    <row r="507" spans="13:25" ht="33.75" x14ac:dyDescent="0.2">
      <c r="M507" s="26" t="s">
        <v>79</v>
      </c>
      <c r="N507" s="25" t="s">
        <v>70</v>
      </c>
      <c r="O507" s="26"/>
      <c r="P507" s="26" t="s">
        <v>538</v>
      </c>
      <c r="Q507" s="26"/>
      <c r="R507" s="5"/>
      <c r="S507" s="5"/>
      <c r="T507" s="5"/>
      <c r="U507" s="5"/>
      <c r="V507" s="5"/>
      <c r="W507" s="5"/>
      <c r="X507" s="5"/>
      <c r="Y507" s="5"/>
    </row>
    <row r="508" spans="13:25" ht="33.75" x14ac:dyDescent="0.2">
      <c r="M508" s="26" t="s">
        <v>79</v>
      </c>
      <c r="N508" s="25" t="s">
        <v>70</v>
      </c>
      <c r="O508" s="26"/>
      <c r="P508" s="26" t="s">
        <v>539</v>
      </c>
      <c r="Q508" s="26"/>
      <c r="R508" s="5"/>
      <c r="S508" s="5"/>
      <c r="T508" s="5"/>
      <c r="U508" s="5"/>
      <c r="V508" s="5"/>
      <c r="W508" s="5"/>
      <c r="X508" s="5"/>
      <c r="Y508" s="5"/>
    </row>
    <row r="509" spans="13:25" ht="33.75" x14ac:dyDescent="0.2">
      <c r="M509" s="26" t="s">
        <v>79</v>
      </c>
      <c r="N509" s="25" t="s">
        <v>51</v>
      </c>
      <c r="O509" s="26"/>
      <c r="P509" s="26" t="s">
        <v>540</v>
      </c>
      <c r="Q509" s="26"/>
      <c r="R509" s="5"/>
      <c r="S509" s="5"/>
      <c r="T509" s="5"/>
      <c r="U509" s="5"/>
      <c r="V509" s="5"/>
      <c r="W509" s="5"/>
      <c r="X509" s="5"/>
      <c r="Y509" s="5"/>
    </row>
    <row r="510" spans="13:25" ht="33.75" x14ac:dyDescent="0.2">
      <c r="M510" s="26" t="s">
        <v>79</v>
      </c>
      <c r="N510" s="25" t="s">
        <v>51</v>
      </c>
      <c r="O510" s="26"/>
      <c r="P510" s="26" t="s">
        <v>541</v>
      </c>
      <c r="Q510" s="26"/>
      <c r="R510" s="5"/>
      <c r="S510" s="5"/>
      <c r="T510" s="5"/>
      <c r="U510" s="5"/>
      <c r="V510" s="5"/>
      <c r="W510" s="5"/>
      <c r="X510" s="5"/>
      <c r="Y510" s="5"/>
    </row>
    <row r="511" spans="13:25" ht="33.75" x14ac:dyDescent="0.2">
      <c r="M511" s="26" t="s">
        <v>79</v>
      </c>
      <c r="N511" s="25" t="s">
        <v>55</v>
      </c>
      <c r="O511" s="26"/>
      <c r="P511" s="26" t="s">
        <v>542</v>
      </c>
      <c r="Q511" s="26"/>
      <c r="R511" s="5"/>
      <c r="S511" s="5"/>
      <c r="T511" s="5"/>
      <c r="U511" s="5"/>
      <c r="V511" s="5"/>
      <c r="W511" s="5"/>
      <c r="X511" s="5"/>
      <c r="Y511" s="5"/>
    </row>
    <row r="512" spans="13:25" ht="45" x14ac:dyDescent="0.2">
      <c r="M512" s="26" t="s">
        <v>79</v>
      </c>
      <c r="N512" s="25" t="s">
        <v>70</v>
      </c>
      <c r="O512" s="26"/>
      <c r="P512" s="26" t="s">
        <v>543</v>
      </c>
      <c r="Q512" s="26"/>
      <c r="R512" s="5"/>
      <c r="S512" s="5"/>
      <c r="T512" s="5"/>
      <c r="U512" s="5"/>
      <c r="V512" s="5"/>
      <c r="W512" s="5"/>
      <c r="X512" s="5"/>
      <c r="Y512" s="5"/>
    </row>
    <row r="513" spans="13:25" ht="45" x14ac:dyDescent="0.2">
      <c r="M513" s="26" t="s">
        <v>79</v>
      </c>
      <c r="N513" s="25" t="s">
        <v>70</v>
      </c>
      <c r="O513" s="26"/>
      <c r="P513" s="26" t="s">
        <v>544</v>
      </c>
      <c r="Q513" s="26"/>
      <c r="R513" s="5"/>
      <c r="S513" s="5"/>
      <c r="T513" s="5"/>
      <c r="U513" s="5"/>
      <c r="V513" s="5"/>
      <c r="W513" s="5"/>
      <c r="X513" s="5"/>
      <c r="Y513" s="5"/>
    </row>
    <row r="514" spans="13:25" ht="22.5" x14ac:dyDescent="0.2">
      <c r="M514" s="26" t="s">
        <v>79</v>
      </c>
      <c r="N514" s="25" t="s">
        <v>70</v>
      </c>
      <c r="O514" s="26"/>
      <c r="P514" s="26" t="s">
        <v>545</v>
      </c>
      <c r="Q514" s="26"/>
      <c r="R514" s="5"/>
      <c r="S514" s="5"/>
      <c r="T514" s="5"/>
      <c r="U514" s="5"/>
      <c r="V514" s="5"/>
      <c r="W514" s="5"/>
      <c r="X514" s="5"/>
      <c r="Y514" s="5"/>
    </row>
    <row r="515" spans="13:25" ht="33.75" x14ac:dyDescent="0.2">
      <c r="M515" s="26" t="s">
        <v>79</v>
      </c>
      <c r="N515" s="25" t="s">
        <v>70</v>
      </c>
      <c r="O515" s="26"/>
      <c r="P515" s="26" t="s">
        <v>546</v>
      </c>
      <c r="Q515" s="26"/>
      <c r="R515" s="5"/>
      <c r="S515" s="5"/>
      <c r="T515" s="5"/>
      <c r="U515" s="5"/>
      <c r="V515" s="5"/>
      <c r="W515" s="5"/>
      <c r="X515" s="5"/>
      <c r="Y515" s="5"/>
    </row>
    <row r="516" spans="13:25" ht="22.5" x14ac:dyDescent="0.2">
      <c r="M516" s="26" t="s">
        <v>79</v>
      </c>
      <c r="N516" s="25" t="s">
        <v>70</v>
      </c>
      <c r="O516" s="26"/>
      <c r="P516" s="26" t="s">
        <v>547</v>
      </c>
      <c r="Q516" s="26"/>
      <c r="R516" s="5"/>
      <c r="S516" s="5"/>
      <c r="T516" s="5"/>
      <c r="U516" s="5"/>
      <c r="V516" s="5"/>
      <c r="W516" s="5"/>
      <c r="X516" s="5"/>
      <c r="Y516" s="5"/>
    </row>
    <row r="517" spans="13:25" ht="33.75" x14ac:dyDescent="0.2">
      <c r="M517" s="26" t="s">
        <v>79</v>
      </c>
      <c r="N517" s="25" t="s">
        <v>70</v>
      </c>
      <c r="O517" s="26"/>
      <c r="P517" s="26" t="s">
        <v>548</v>
      </c>
      <c r="Q517" s="26"/>
      <c r="R517" s="5"/>
      <c r="S517" s="5"/>
      <c r="T517" s="5"/>
      <c r="U517" s="5"/>
      <c r="V517" s="5"/>
      <c r="W517" s="5"/>
      <c r="X517" s="5"/>
      <c r="Y517" s="5"/>
    </row>
    <row r="518" spans="13:25" ht="67.5" x14ac:dyDescent="0.2">
      <c r="M518" s="26" t="s">
        <v>79</v>
      </c>
      <c r="N518" s="25" t="s">
        <v>70</v>
      </c>
      <c r="O518" s="26"/>
      <c r="P518" s="26" t="s">
        <v>549</v>
      </c>
      <c r="Q518" s="26"/>
      <c r="R518" s="5"/>
      <c r="S518" s="5"/>
      <c r="T518" s="5"/>
      <c r="U518" s="5"/>
      <c r="V518" s="5"/>
      <c r="W518" s="5"/>
      <c r="X518" s="5"/>
      <c r="Y518" s="5"/>
    </row>
    <row r="519" spans="13:25" ht="67.5" x14ac:dyDescent="0.2">
      <c r="M519" s="26" t="s">
        <v>79</v>
      </c>
      <c r="N519" s="25" t="s">
        <v>70</v>
      </c>
      <c r="O519" s="26"/>
      <c r="P519" s="26" t="s">
        <v>550</v>
      </c>
      <c r="Q519" s="26"/>
      <c r="R519" s="5"/>
      <c r="S519" s="5"/>
      <c r="T519" s="5"/>
      <c r="U519" s="5"/>
      <c r="V519" s="5"/>
      <c r="W519" s="5"/>
      <c r="X519" s="5"/>
      <c r="Y519" s="5"/>
    </row>
    <row r="520" spans="13:25" ht="45" x14ac:dyDescent="0.2">
      <c r="M520" s="26" t="s">
        <v>79</v>
      </c>
      <c r="N520" s="25" t="s">
        <v>51</v>
      </c>
      <c r="O520" s="26"/>
      <c r="P520" s="26" t="s">
        <v>551</v>
      </c>
      <c r="Q520" s="26"/>
      <c r="R520" s="5"/>
      <c r="S520" s="5"/>
      <c r="T520" s="5"/>
      <c r="U520" s="5"/>
      <c r="V520" s="5"/>
      <c r="W520" s="5"/>
      <c r="X520" s="5"/>
      <c r="Y520" s="5"/>
    </row>
    <row r="521" spans="13:25" ht="22.5" x14ac:dyDescent="0.2">
      <c r="M521" s="26" t="s">
        <v>79</v>
      </c>
      <c r="N521" s="25" t="s">
        <v>70</v>
      </c>
      <c r="O521" s="26"/>
      <c r="P521" s="26" t="s">
        <v>552</v>
      </c>
      <c r="Q521" s="26"/>
      <c r="R521" s="5"/>
      <c r="S521" s="5"/>
      <c r="T521" s="5"/>
      <c r="U521" s="5"/>
      <c r="V521" s="5"/>
      <c r="W521" s="5"/>
      <c r="X521" s="5"/>
      <c r="Y521" s="5"/>
    </row>
    <row r="522" spans="13:25" ht="45" x14ac:dyDescent="0.2">
      <c r="M522" s="26" t="s">
        <v>79</v>
      </c>
      <c r="N522" s="25" t="s">
        <v>70</v>
      </c>
      <c r="O522" s="26"/>
      <c r="P522" s="26" t="s">
        <v>553</v>
      </c>
      <c r="Q522" s="26"/>
      <c r="R522" s="5"/>
      <c r="S522" s="5"/>
      <c r="T522" s="5"/>
      <c r="U522" s="5"/>
      <c r="V522" s="5"/>
      <c r="W522" s="5"/>
      <c r="X522" s="5"/>
      <c r="Y522" s="5"/>
    </row>
    <row r="523" spans="13:25" ht="33.75" x14ac:dyDescent="0.2">
      <c r="M523" s="26" t="s">
        <v>79</v>
      </c>
      <c r="N523" s="25" t="s">
        <v>70</v>
      </c>
      <c r="O523" s="26"/>
      <c r="P523" s="26" t="s">
        <v>554</v>
      </c>
      <c r="Q523" s="26"/>
      <c r="R523" s="5"/>
      <c r="S523" s="5"/>
      <c r="T523" s="5"/>
      <c r="U523" s="5"/>
      <c r="V523" s="5"/>
      <c r="W523" s="5"/>
      <c r="X523" s="5"/>
      <c r="Y523" s="5"/>
    </row>
    <row r="524" spans="13:25" ht="33.75" x14ac:dyDescent="0.2">
      <c r="M524" s="26" t="s">
        <v>79</v>
      </c>
      <c r="N524" s="25" t="s">
        <v>70</v>
      </c>
      <c r="O524" s="26"/>
      <c r="P524" s="26" t="s">
        <v>555</v>
      </c>
      <c r="Q524" s="26"/>
      <c r="R524" s="5"/>
      <c r="S524" s="5"/>
      <c r="T524" s="5"/>
      <c r="U524" s="5"/>
      <c r="V524" s="5"/>
      <c r="W524" s="5"/>
      <c r="X524" s="5"/>
      <c r="Y524" s="5"/>
    </row>
    <row r="525" spans="13:25" ht="45" x14ac:dyDescent="0.2">
      <c r="M525" s="26" t="s">
        <v>79</v>
      </c>
      <c r="N525" s="25" t="s">
        <v>51</v>
      </c>
      <c r="O525" s="26"/>
      <c r="P525" s="26" t="s">
        <v>556</v>
      </c>
      <c r="Q525" s="26"/>
      <c r="R525" s="5"/>
      <c r="S525" s="5"/>
      <c r="T525" s="5"/>
      <c r="U525" s="5"/>
      <c r="V525" s="5"/>
      <c r="W525" s="5"/>
      <c r="X525" s="5"/>
      <c r="Y525" s="5"/>
    </row>
    <row r="526" spans="13:25" ht="22.5" x14ac:dyDescent="0.2">
      <c r="M526" s="26" t="s">
        <v>79</v>
      </c>
      <c r="N526" s="25" t="s">
        <v>51</v>
      </c>
      <c r="O526" s="26"/>
      <c r="P526" s="26" t="s">
        <v>557</v>
      </c>
      <c r="Q526" s="26"/>
      <c r="R526" s="5"/>
      <c r="S526" s="5"/>
      <c r="T526" s="5"/>
      <c r="U526" s="5"/>
      <c r="V526" s="5"/>
      <c r="W526" s="5"/>
      <c r="X526" s="5"/>
      <c r="Y526" s="5"/>
    </row>
    <row r="527" spans="13:25" ht="22.5" x14ac:dyDescent="0.2">
      <c r="M527" s="26" t="s">
        <v>79</v>
      </c>
      <c r="N527" s="25" t="s">
        <v>51</v>
      </c>
      <c r="O527" s="26"/>
      <c r="P527" s="26" t="s">
        <v>558</v>
      </c>
      <c r="Q527" s="26"/>
      <c r="R527" s="5"/>
      <c r="S527" s="5"/>
      <c r="T527" s="5"/>
      <c r="U527" s="5"/>
      <c r="V527" s="5"/>
      <c r="W527" s="5"/>
      <c r="X527" s="5"/>
      <c r="Y527" s="5"/>
    </row>
    <row r="528" spans="13:25" ht="45" x14ac:dyDescent="0.2">
      <c r="M528" s="26" t="s">
        <v>79</v>
      </c>
      <c r="N528" s="25" t="s">
        <v>70</v>
      </c>
      <c r="O528" s="26"/>
      <c r="P528" s="26" t="s">
        <v>559</v>
      </c>
      <c r="Q528" s="26"/>
      <c r="R528" s="5"/>
      <c r="S528" s="5"/>
      <c r="T528" s="5"/>
      <c r="U528" s="5"/>
      <c r="V528" s="5"/>
      <c r="W528" s="5"/>
      <c r="X528" s="5"/>
      <c r="Y528" s="5"/>
    </row>
    <row r="529" spans="13:25" ht="45" x14ac:dyDescent="0.2">
      <c r="M529" s="26" t="s">
        <v>79</v>
      </c>
      <c r="N529" s="25" t="s">
        <v>70</v>
      </c>
      <c r="O529" s="26"/>
      <c r="P529" s="26" t="s">
        <v>560</v>
      </c>
      <c r="Q529" s="26"/>
      <c r="R529" s="5"/>
      <c r="S529" s="5"/>
      <c r="T529" s="5"/>
      <c r="U529" s="5"/>
      <c r="V529" s="5"/>
      <c r="W529" s="5"/>
      <c r="X529" s="5"/>
      <c r="Y529" s="5"/>
    </row>
    <row r="530" spans="13:25" ht="22.5" x14ac:dyDescent="0.2">
      <c r="M530" s="26" t="s">
        <v>79</v>
      </c>
      <c r="N530" s="25" t="s">
        <v>70</v>
      </c>
      <c r="O530" s="26"/>
      <c r="P530" s="26" t="s">
        <v>561</v>
      </c>
      <c r="Q530" s="26"/>
      <c r="R530" s="5"/>
      <c r="S530" s="5"/>
      <c r="T530" s="5"/>
      <c r="U530" s="5"/>
      <c r="V530" s="5"/>
      <c r="W530" s="5"/>
      <c r="X530" s="5"/>
      <c r="Y530" s="5"/>
    </row>
    <row r="531" spans="13:25" ht="45" x14ac:dyDescent="0.2">
      <c r="M531" s="26" t="s">
        <v>79</v>
      </c>
      <c r="N531" s="25" t="s">
        <v>51</v>
      </c>
      <c r="O531" s="26"/>
      <c r="P531" s="26" t="s">
        <v>562</v>
      </c>
      <c r="Q531" s="26"/>
      <c r="R531" s="5"/>
      <c r="S531" s="5"/>
      <c r="T531" s="5"/>
      <c r="U531" s="5"/>
      <c r="V531" s="5"/>
      <c r="W531" s="5"/>
      <c r="X531" s="5"/>
      <c r="Y531" s="5"/>
    </row>
    <row r="532" spans="13:25" ht="78.75" x14ac:dyDescent="0.2">
      <c r="M532" s="26" t="s">
        <v>79</v>
      </c>
      <c r="N532" s="25" t="s">
        <v>55</v>
      </c>
      <c r="O532" s="26"/>
      <c r="P532" s="26" t="s">
        <v>563</v>
      </c>
      <c r="Q532" s="26"/>
      <c r="R532" s="5"/>
      <c r="S532" s="5"/>
      <c r="T532" s="5"/>
      <c r="U532" s="5"/>
      <c r="V532" s="5"/>
      <c r="W532" s="5"/>
      <c r="X532" s="5"/>
      <c r="Y532" s="5"/>
    </row>
    <row r="533" spans="13:25" ht="67.5" x14ac:dyDescent="0.2">
      <c r="M533" s="26" t="s">
        <v>79</v>
      </c>
      <c r="N533" s="25" t="s">
        <v>70</v>
      </c>
      <c r="O533" s="26"/>
      <c r="P533" s="26" t="s">
        <v>564</v>
      </c>
      <c r="Q533" s="26"/>
      <c r="R533" s="5"/>
      <c r="S533" s="5"/>
      <c r="T533" s="5"/>
      <c r="U533" s="5"/>
      <c r="V533" s="5"/>
      <c r="W533" s="5"/>
      <c r="X533" s="5"/>
      <c r="Y533" s="5"/>
    </row>
    <row r="534" spans="13:25" ht="67.5" x14ac:dyDescent="0.2">
      <c r="M534" s="26" t="s">
        <v>79</v>
      </c>
      <c r="N534" s="25" t="s">
        <v>70</v>
      </c>
      <c r="O534" s="26"/>
      <c r="P534" s="26" t="s">
        <v>564</v>
      </c>
      <c r="Q534" s="26"/>
      <c r="R534" s="5"/>
      <c r="S534" s="5"/>
      <c r="T534" s="5"/>
      <c r="U534" s="5"/>
      <c r="V534" s="5"/>
      <c r="W534" s="5"/>
      <c r="X534" s="5"/>
      <c r="Y534" s="5"/>
    </row>
    <row r="535" spans="13:25" ht="22.5" x14ac:dyDescent="0.2">
      <c r="M535" s="26" t="s">
        <v>79</v>
      </c>
      <c r="N535" s="25" t="s">
        <v>51</v>
      </c>
      <c r="O535" s="26" t="s">
        <v>565</v>
      </c>
      <c r="P535" s="26"/>
      <c r="Q535" s="26"/>
      <c r="R535" s="5"/>
      <c r="S535" s="5"/>
      <c r="T535" s="5"/>
      <c r="U535" s="5"/>
      <c r="V535" s="5"/>
      <c r="W535" s="5"/>
      <c r="X535" s="5"/>
      <c r="Y535" s="5"/>
    </row>
    <row r="536" spans="13:25" ht="45" x14ac:dyDescent="0.2">
      <c r="M536" s="26" t="s">
        <v>79</v>
      </c>
      <c r="N536" s="25" t="s">
        <v>70</v>
      </c>
      <c r="O536" s="26"/>
      <c r="P536" s="26" t="s">
        <v>566</v>
      </c>
      <c r="Q536" s="26"/>
      <c r="R536" s="5"/>
      <c r="S536" s="5"/>
      <c r="T536" s="5"/>
      <c r="U536" s="5"/>
      <c r="V536" s="5"/>
      <c r="W536" s="5"/>
      <c r="X536" s="5"/>
      <c r="Y536" s="5"/>
    </row>
    <row r="537" spans="13:25" ht="22.5" x14ac:dyDescent="0.2">
      <c r="M537" s="26" t="s">
        <v>79</v>
      </c>
      <c r="N537" s="25" t="s">
        <v>70</v>
      </c>
      <c r="O537" s="26"/>
      <c r="P537" s="26" t="s">
        <v>567</v>
      </c>
      <c r="Q537" s="26"/>
      <c r="R537" s="5"/>
      <c r="S537" s="5"/>
      <c r="T537" s="5"/>
      <c r="U537" s="5"/>
      <c r="V537" s="5"/>
      <c r="W537" s="5"/>
      <c r="X537" s="5"/>
      <c r="Y537" s="5"/>
    </row>
    <row r="538" spans="13:25" ht="45" x14ac:dyDescent="0.2">
      <c r="M538" s="26" t="s">
        <v>79</v>
      </c>
      <c r="N538" s="25" t="s">
        <v>70</v>
      </c>
      <c r="O538" s="26"/>
      <c r="P538" s="26" t="s">
        <v>568</v>
      </c>
      <c r="Q538" s="26"/>
      <c r="R538" s="5"/>
      <c r="S538" s="5"/>
      <c r="T538" s="5"/>
      <c r="U538" s="5"/>
      <c r="V538" s="5"/>
      <c r="W538" s="5"/>
      <c r="X538" s="5"/>
      <c r="Y538" s="5"/>
    </row>
    <row r="539" spans="13:25" ht="22.5" x14ac:dyDescent="0.2">
      <c r="M539" s="26" t="s">
        <v>79</v>
      </c>
      <c r="N539" s="25" t="s">
        <v>55</v>
      </c>
      <c r="O539" s="26"/>
      <c r="P539" s="26" t="s">
        <v>569</v>
      </c>
      <c r="Q539" s="26"/>
      <c r="R539" s="5"/>
      <c r="S539" s="5"/>
      <c r="T539" s="5"/>
      <c r="U539" s="5"/>
      <c r="V539" s="5"/>
      <c r="W539" s="5"/>
      <c r="X539" s="5"/>
      <c r="Y539" s="5"/>
    </row>
    <row r="540" spans="13:25" ht="33.75" x14ac:dyDescent="0.2">
      <c r="M540" s="26" t="s">
        <v>79</v>
      </c>
      <c r="N540" s="25" t="s">
        <v>70</v>
      </c>
      <c r="O540" s="26"/>
      <c r="P540" s="26" t="s">
        <v>570</v>
      </c>
      <c r="Q540" s="26"/>
      <c r="R540" s="5"/>
      <c r="S540" s="5"/>
      <c r="T540" s="5"/>
      <c r="U540" s="5"/>
      <c r="V540" s="5"/>
      <c r="W540" s="5"/>
      <c r="X540" s="5"/>
      <c r="Y540" s="5"/>
    </row>
    <row r="541" spans="13:25" ht="22.5" x14ac:dyDescent="0.2">
      <c r="M541" s="26" t="s">
        <v>79</v>
      </c>
      <c r="N541" s="25" t="s">
        <v>70</v>
      </c>
      <c r="O541" s="26"/>
      <c r="P541" s="26" t="s">
        <v>571</v>
      </c>
      <c r="Q541" s="26"/>
      <c r="R541" s="5"/>
      <c r="S541" s="5"/>
      <c r="T541" s="5"/>
      <c r="U541" s="5"/>
      <c r="V541" s="5"/>
      <c r="W541" s="5"/>
      <c r="X541" s="5"/>
      <c r="Y541" s="5"/>
    </row>
    <row r="542" spans="13:25" ht="56.25" x14ac:dyDescent="0.2">
      <c r="M542" s="26" t="s">
        <v>79</v>
      </c>
      <c r="N542" s="25" t="s">
        <v>70</v>
      </c>
      <c r="O542" s="26"/>
      <c r="P542" s="26" t="s">
        <v>572</v>
      </c>
      <c r="Q542" s="26"/>
      <c r="R542" s="5"/>
      <c r="S542" s="5"/>
      <c r="T542" s="5"/>
      <c r="U542" s="5"/>
      <c r="V542" s="5"/>
      <c r="W542" s="5"/>
      <c r="X542" s="5"/>
      <c r="Y542" s="5"/>
    </row>
    <row r="543" spans="13:25" ht="33.75" x14ac:dyDescent="0.2">
      <c r="M543" s="26" t="s">
        <v>79</v>
      </c>
      <c r="N543" s="25" t="s">
        <v>70</v>
      </c>
      <c r="O543" s="26"/>
      <c r="P543" s="26" t="s">
        <v>573</v>
      </c>
      <c r="Q543" s="26"/>
      <c r="R543" s="5"/>
      <c r="S543" s="5"/>
      <c r="T543" s="5"/>
      <c r="U543" s="5"/>
      <c r="V543" s="5"/>
      <c r="W543" s="5"/>
      <c r="X543" s="5"/>
      <c r="Y543" s="5"/>
    </row>
    <row r="544" spans="13:25" ht="22.5" x14ac:dyDescent="0.2">
      <c r="M544" s="26" t="s">
        <v>79</v>
      </c>
      <c r="N544" s="25" t="s">
        <v>70</v>
      </c>
      <c r="O544" s="26"/>
      <c r="P544" s="26" t="s">
        <v>574</v>
      </c>
      <c r="Q544" s="26"/>
      <c r="R544" s="5"/>
      <c r="S544" s="5"/>
      <c r="T544" s="5"/>
      <c r="U544" s="5"/>
      <c r="V544" s="5"/>
      <c r="W544" s="5"/>
      <c r="X544" s="5"/>
      <c r="Y544" s="5"/>
    </row>
    <row r="545" spans="13:25" ht="22.5" x14ac:dyDescent="0.2">
      <c r="M545" s="26" t="s">
        <v>79</v>
      </c>
      <c r="N545" s="25" t="s">
        <v>70</v>
      </c>
      <c r="O545" s="26"/>
      <c r="P545" s="26" t="s">
        <v>575</v>
      </c>
      <c r="Q545" s="26"/>
      <c r="R545" s="5"/>
      <c r="S545" s="5"/>
      <c r="T545" s="5"/>
      <c r="U545" s="5"/>
      <c r="V545" s="5"/>
      <c r="W545" s="5"/>
      <c r="X545" s="5"/>
      <c r="Y545" s="5"/>
    </row>
    <row r="546" spans="13:25" ht="22.5" x14ac:dyDescent="0.2">
      <c r="M546" s="26" t="s">
        <v>79</v>
      </c>
      <c r="N546" s="25" t="s">
        <v>70</v>
      </c>
      <c r="O546" s="26"/>
      <c r="P546" s="26" t="s">
        <v>576</v>
      </c>
      <c r="Q546" s="26"/>
      <c r="R546" s="5"/>
      <c r="S546" s="5"/>
      <c r="T546" s="5"/>
      <c r="U546" s="5"/>
      <c r="V546" s="5"/>
      <c r="W546" s="5"/>
      <c r="X546" s="5"/>
      <c r="Y546" s="5"/>
    </row>
    <row r="547" spans="13:25" ht="22.5" x14ac:dyDescent="0.2">
      <c r="M547" s="26" t="s">
        <v>79</v>
      </c>
      <c r="N547" s="25" t="s">
        <v>70</v>
      </c>
      <c r="O547" s="26"/>
      <c r="P547" s="26" t="s">
        <v>577</v>
      </c>
      <c r="Q547" s="26"/>
      <c r="R547" s="5"/>
      <c r="S547" s="5"/>
      <c r="T547" s="5"/>
      <c r="U547" s="5"/>
      <c r="V547" s="5"/>
      <c r="W547" s="5"/>
      <c r="X547" s="5"/>
      <c r="Y547" s="5"/>
    </row>
    <row r="548" spans="13:25" ht="22.5" x14ac:dyDescent="0.2">
      <c r="M548" s="26" t="s">
        <v>79</v>
      </c>
      <c r="N548" s="25" t="s">
        <v>70</v>
      </c>
      <c r="O548" s="26"/>
      <c r="P548" s="26" t="s">
        <v>578</v>
      </c>
      <c r="Q548" s="26"/>
      <c r="R548" s="5"/>
      <c r="S548" s="5"/>
      <c r="T548" s="5"/>
      <c r="U548" s="5"/>
      <c r="V548" s="5"/>
      <c r="W548" s="5"/>
      <c r="X548" s="5"/>
      <c r="Y548" s="5"/>
    </row>
    <row r="549" spans="13:25" ht="33.75" x14ac:dyDescent="0.2">
      <c r="M549" s="26" t="s">
        <v>79</v>
      </c>
      <c r="N549" s="25" t="s">
        <v>70</v>
      </c>
      <c r="O549" s="26"/>
      <c r="P549" s="26" t="s">
        <v>579</v>
      </c>
      <c r="Q549" s="26"/>
      <c r="R549" s="5"/>
      <c r="S549" s="5"/>
      <c r="T549" s="5"/>
      <c r="U549" s="5"/>
      <c r="V549" s="5"/>
      <c r="W549" s="5"/>
      <c r="X549" s="5"/>
      <c r="Y549" s="5"/>
    </row>
    <row r="550" spans="13:25" ht="33.75" x14ac:dyDescent="0.2">
      <c r="M550" s="26" t="s">
        <v>79</v>
      </c>
      <c r="N550" s="25" t="s">
        <v>51</v>
      </c>
      <c r="O550" s="26"/>
      <c r="P550" s="26" t="s">
        <v>580</v>
      </c>
      <c r="Q550" s="26"/>
      <c r="R550" s="5"/>
      <c r="S550" s="5"/>
      <c r="T550" s="5"/>
      <c r="U550" s="5"/>
      <c r="V550" s="5"/>
      <c r="W550" s="5"/>
      <c r="X550" s="5"/>
      <c r="Y550" s="5"/>
    </row>
    <row r="551" spans="13:25" ht="33.75" x14ac:dyDescent="0.2">
      <c r="M551" s="26" t="s">
        <v>79</v>
      </c>
      <c r="N551" s="25" t="s">
        <v>51</v>
      </c>
      <c r="O551" s="26"/>
      <c r="P551" s="26" t="s">
        <v>581</v>
      </c>
      <c r="Q551" s="26"/>
      <c r="R551" s="5"/>
      <c r="S551" s="5"/>
      <c r="T551" s="5"/>
      <c r="U551" s="5"/>
      <c r="V551" s="5"/>
      <c r="W551" s="5"/>
      <c r="X551" s="5"/>
      <c r="Y551" s="5"/>
    </row>
    <row r="552" spans="13:25" ht="33.75" x14ac:dyDescent="0.2">
      <c r="M552" s="26" t="s">
        <v>79</v>
      </c>
      <c r="N552" s="25" t="s">
        <v>70</v>
      </c>
      <c r="O552" s="26"/>
      <c r="P552" s="26" t="s">
        <v>582</v>
      </c>
      <c r="Q552" s="26"/>
      <c r="R552" s="5"/>
      <c r="S552" s="5"/>
      <c r="T552" s="5"/>
      <c r="U552" s="5"/>
      <c r="V552" s="5"/>
      <c r="W552" s="5"/>
      <c r="X552" s="5"/>
      <c r="Y552" s="5"/>
    </row>
    <row r="553" spans="13:25" ht="33.75" x14ac:dyDescent="0.2">
      <c r="M553" s="26" t="s">
        <v>79</v>
      </c>
      <c r="N553" s="25" t="s">
        <v>70</v>
      </c>
      <c r="O553" s="26"/>
      <c r="P553" s="26" t="s">
        <v>583</v>
      </c>
      <c r="Q553" s="26"/>
      <c r="R553" s="5"/>
      <c r="S553" s="5"/>
      <c r="T553" s="5"/>
      <c r="U553" s="5"/>
      <c r="V553" s="5"/>
      <c r="W553" s="5"/>
      <c r="X553" s="5"/>
      <c r="Y553" s="5"/>
    </row>
    <row r="554" spans="13:25" ht="22.5" x14ac:dyDescent="0.2">
      <c r="M554" s="26" t="s">
        <v>79</v>
      </c>
      <c r="N554" s="25" t="s">
        <v>70</v>
      </c>
      <c r="O554" s="26"/>
      <c r="P554" s="26" t="s">
        <v>584</v>
      </c>
      <c r="Q554" s="26"/>
      <c r="R554" s="5"/>
      <c r="S554" s="5"/>
      <c r="T554" s="5"/>
      <c r="U554" s="5"/>
      <c r="V554" s="5"/>
      <c r="W554" s="5"/>
      <c r="X554" s="5"/>
      <c r="Y554" s="5"/>
    </row>
    <row r="555" spans="13:25" ht="22.5" x14ac:dyDescent="0.2">
      <c r="M555" s="26" t="s">
        <v>79</v>
      </c>
      <c r="N555" s="25" t="s">
        <v>70</v>
      </c>
      <c r="O555" s="26"/>
      <c r="P555" s="26" t="s">
        <v>585</v>
      </c>
      <c r="Q555" s="26"/>
      <c r="R555" s="5"/>
      <c r="S555" s="5"/>
      <c r="T555" s="5"/>
      <c r="U555" s="5"/>
      <c r="V555" s="5"/>
      <c r="W555" s="5"/>
      <c r="X555" s="5"/>
      <c r="Y555" s="5"/>
    </row>
    <row r="556" spans="13:25" ht="22.5" x14ac:dyDescent="0.2">
      <c r="M556" s="26" t="s">
        <v>79</v>
      </c>
      <c r="N556" s="25" t="s">
        <v>51</v>
      </c>
      <c r="O556" s="26"/>
      <c r="P556" s="26" t="s">
        <v>586</v>
      </c>
      <c r="Q556" s="26"/>
      <c r="R556" s="5"/>
      <c r="S556" s="5"/>
      <c r="T556" s="5"/>
      <c r="U556" s="5"/>
      <c r="V556" s="5"/>
      <c r="W556" s="5"/>
      <c r="X556" s="5"/>
      <c r="Y556" s="5"/>
    </row>
    <row r="557" spans="13:25" ht="22.5" x14ac:dyDescent="0.2">
      <c r="M557" s="26" t="s">
        <v>79</v>
      </c>
      <c r="N557" s="25" t="s">
        <v>51</v>
      </c>
      <c r="O557" s="26"/>
      <c r="P557" s="26" t="s">
        <v>587</v>
      </c>
      <c r="Q557" s="26"/>
      <c r="R557" s="5"/>
      <c r="S557" s="5"/>
      <c r="T557" s="5"/>
      <c r="U557" s="5"/>
      <c r="V557" s="5"/>
      <c r="W557" s="5"/>
      <c r="X557" s="5"/>
      <c r="Y557" s="5"/>
    </row>
    <row r="558" spans="13:25" ht="33.75" x14ac:dyDescent="0.2">
      <c r="M558" s="26" t="s">
        <v>79</v>
      </c>
      <c r="N558" s="25" t="s">
        <v>51</v>
      </c>
      <c r="O558" s="26"/>
      <c r="P558" s="26" t="s">
        <v>174</v>
      </c>
      <c r="Q558" s="26"/>
      <c r="R558" s="5"/>
      <c r="S558" s="5"/>
      <c r="T558" s="5"/>
      <c r="U558" s="5"/>
      <c r="V558" s="5"/>
      <c r="W558" s="5"/>
      <c r="X558" s="5"/>
      <c r="Y558" s="5"/>
    </row>
    <row r="559" spans="13:25" ht="33.75" x14ac:dyDescent="0.2">
      <c r="M559" s="26" t="s">
        <v>79</v>
      </c>
      <c r="N559" s="25" t="s">
        <v>51</v>
      </c>
      <c r="O559" s="26"/>
      <c r="P559" s="26" t="s">
        <v>588</v>
      </c>
      <c r="Q559" s="26"/>
      <c r="R559" s="5"/>
      <c r="S559" s="5"/>
      <c r="T559" s="5"/>
      <c r="U559" s="5"/>
      <c r="V559" s="5"/>
      <c r="W559" s="5"/>
      <c r="X559" s="5"/>
      <c r="Y559" s="5"/>
    </row>
    <row r="560" spans="13:25" ht="33.75" x14ac:dyDescent="0.2">
      <c r="M560" s="26" t="s">
        <v>79</v>
      </c>
      <c r="N560" s="25" t="s">
        <v>70</v>
      </c>
      <c r="O560" s="26"/>
      <c r="P560" s="26" t="s">
        <v>589</v>
      </c>
      <c r="Q560" s="26"/>
      <c r="R560" s="5"/>
      <c r="S560" s="5"/>
      <c r="T560" s="5"/>
      <c r="U560" s="5"/>
      <c r="V560" s="5"/>
      <c r="W560" s="5"/>
      <c r="X560" s="5"/>
      <c r="Y560" s="5"/>
    </row>
    <row r="561" spans="13:25" ht="22.5" x14ac:dyDescent="0.2">
      <c r="M561" s="26" t="s">
        <v>79</v>
      </c>
      <c r="N561" s="25" t="s">
        <v>70</v>
      </c>
      <c r="O561" s="26"/>
      <c r="P561" s="26" t="s">
        <v>590</v>
      </c>
      <c r="Q561" s="26"/>
      <c r="R561" s="5"/>
      <c r="S561" s="5"/>
      <c r="T561" s="5"/>
      <c r="U561" s="5"/>
      <c r="V561" s="5"/>
      <c r="W561" s="5"/>
      <c r="X561" s="5"/>
      <c r="Y561" s="5"/>
    </row>
    <row r="562" spans="13:25" ht="22.5" x14ac:dyDescent="0.2">
      <c r="M562" s="26" t="s">
        <v>79</v>
      </c>
      <c r="N562" s="25" t="s">
        <v>70</v>
      </c>
      <c r="O562" s="26"/>
      <c r="P562" s="26" t="s">
        <v>591</v>
      </c>
      <c r="Q562" s="26"/>
      <c r="R562" s="5"/>
      <c r="S562" s="5"/>
      <c r="T562" s="5"/>
      <c r="U562" s="5"/>
      <c r="V562" s="5"/>
      <c r="W562" s="5"/>
      <c r="X562" s="5"/>
      <c r="Y562" s="5"/>
    </row>
    <row r="563" spans="13:25" ht="67.5" x14ac:dyDescent="0.2">
      <c r="M563" s="26" t="s">
        <v>79</v>
      </c>
      <c r="N563" s="25" t="s">
        <v>70</v>
      </c>
      <c r="O563" s="26"/>
      <c r="P563" s="26" t="s">
        <v>592</v>
      </c>
      <c r="Q563" s="26"/>
      <c r="R563" s="5"/>
      <c r="S563" s="5"/>
      <c r="T563" s="5"/>
      <c r="U563" s="5"/>
      <c r="V563" s="5"/>
      <c r="W563" s="5"/>
      <c r="X563" s="5"/>
      <c r="Y563" s="5"/>
    </row>
    <row r="564" spans="13:25" ht="78.75" x14ac:dyDescent="0.2">
      <c r="M564" s="26" t="s">
        <v>79</v>
      </c>
      <c r="N564" s="25" t="s">
        <v>55</v>
      </c>
      <c r="O564" s="26"/>
      <c r="P564" s="26" t="s">
        <v>593</v>
      </c>
      <c r="Q564" s="26"/>
      <c r="R564" s="5"/>
      <c r="S564" s="5"/>
      <c r="T564" s="5"/>
      <c r="U564" s="5"/>
      <c r="V564" s="5"/>
      <c r="W564" s="5"/>
      <c r="X564" s="5"/>
      <c r="Y564" s="5"/>
    </row>
    <row r="565" spans="13:25" ht="33.75" x14ac:dyDescent="0.2">
      <c r="M565" s="26" t="s">
        <v>79</v>
      </c>
      <c r="N565" s="25" t="s">
        <v>55</v>
      </c>
      <c r="O565" s="26"/>
      <c r="P565" s="26" t="s">
        <v>594</v>
      </c>
      <c r="Q565" s="26"/>
      <c r="R565" s="5"/>
      <c r="S565" s="5"/>
      <c r="T565" s="5"/>
      <c r="U565" s="5"/>
      <c r="V565" s="5"/>
      <c r="W565" s="5"/>
      <c r="X565" s="5"/>
      <c r="Y565" s="5"/>
    </row>
    <row r="566" spans="13:25" ht="56.25" x14ac:dyDescent="0.2">
      <c r="M566" s="26" t="s">
        <v>79</v>
      </c>
      <c r="N566" s="25" t="s">
        <v>51</v>
      </c>
      <c r="O566" s="26"/>
      <c r="P566" s="26" t="s">
        <v>595</v>
      </c>
      <c r="Q566" s="26"/>
      <c r="R566" s="5"/>
      <c r="S566" s="5"/>
      <c r="T566" s="5"/>
      <c r="U566" s="5"/>
      <c r="V566" s="5"/>
      <c r="W566" s="5"/>
      <c r="X566" s="5"/>
      <c r="Y566" s="5"/>
    </row>
    <row r="567" spans="13:25" ht="56.25" x14ac:dyDescent="0.2">
      <c r="M567" s="26" t="s">
        <v>79</v>
      </c>
      <c r="N567" s="25" t="s">
        <v>51</v>
      </c>
      <c r="O567" s="26"/>
      <c r="P567" s="26" t="s">
        <v>596</v>
      </c>
      <c r="Q567" s="26"/>
      <c r="R567" s="5"/>
      <c r="S567" s="5"/>
      <c r="T567" s="5"/>
      <c r="U567" s="5"/>
      <c r="V567" s="5"/>
      <c r="W567" s="5"/>
      <c r="X567" s="5"/>
      <c r="Y567" s="5"/>
    </row>
    <row r="568" spans="13:25" ht="67.5" x14ac:dyDescent="0.2">
      <c r="M568" s="26" t="s">
        <v>79</v>
      </c>
      <c r="N568" s="25" t="s">
        <v>51</v>
      </c>
      <c r="O568" s="26"/>
      <c r="P568" s="26" t="s">
        <v>597</v>
      </c>
      <c r="Q568" s="26"/>
      <c r="R568" s="5"/>
      <c r="S568" s="5"/>
      <c r="T568" s="5"/>
      <c r="U568" s="5"/>
      <c r="V568" s="5"/>
      <c r="W568" s="5"/>
      <c r="X568" s="5"/>
      <c r="Y568" s="5"/>
    </row>
    <row r="569" spans="13:25" ht="78.75" x14ac:dyDescent="0.2">
      <c r="M569" s="26" t="s">
        <v>79</v>
      </c>
      <c r="N569" s="25" t="s">
        <v>55</v>
      </c>
      <c r="O569" s="26"/>
      <c r="P569" s="26" t="s">
        <v>563</v>
      </c>
      <c r="Q569" s="26"/>
      <c r="R569" s="5"/>
      <c r="S569" s="5"/>
      <c r="T569" s="5"/>
      <c r="U569" s="5"/>
      <c r="V569" s="5"/>
      <c r="W569" s="5"/>
      <c r="X569" s="5"/>
      <c r="Y569" s="5"/>
    </row>
    <row r="570" spans="13:25" ht="22.5" x14ac:dyDescent="0.2">
      <c r="M570" s="26" t="s">
        <v>79</v>
      </c>
      <c r="N570" s="25" t="s">
        <v>70</v>
      </c>
      <c r="O570" s="26"/>
      <c r="P570" s="26" t="s">
        <v>598</v>
      </c>
      <c r="Q570" s="26"/>
      <c r="R570" s="5"/>
      <c r="S570" s="5"/>
      <c r="T570" s="5"/>
      <c r="U570" s="5"/>
      <c r="V570" s="5"/>
      <c r="W570" s="5"/>
      <c r="X570" s="5"/>
      <c r="Y570" s="5"/>
    </row>
    <row r="571" spans="13:25" ht="22.5" x14ac:dyDescent="0.2">
      <c r="M571" s="26" t="s">
        <v>79</v>
      </c>
      <c r="N571" s="25" t="s">
        <v>70</v>
      </c>
      <c r="O571" s="26"/>
      <c r="P571" s="26" t="s">
        <v>599</v>
      </c>
      <c r="Q571" s="26"/>
      <c r="R571" s="5"/>
      <c r="S571" s="5"/>
      <c r="T571" s="5"/>
      <c r="U571" s="5"/>
      <c r="V571" s="5"/>
      <c r="W571" s="5"/>
      <c r="X571" s="5"/>
      <c r="Y571" s="5"/>
    </row>
    <row r="572" spans="13:25" ht="33.75" x14ac:dyDescent="0.2">
      <c r="M572" s="26" t="s">
        <v>79</v>
      </c>
      <c r="N572" s="25" t="s">
        <v>70</v>
      </c>
      <c r="O572" s="26"/>
      <c r="P572" s="26" t="s">
        <v>600</v>
      </c>
      <c r="Q572" s="26"/>
      <c r="R572" s="5"/>
      <c r="S572" s="5"/>
      <c r="T572" s="5"/>
      <c r="U572" s="5"/>
      <c r="V572" s="5"/>
      <c r="W572" s="5"/>
      <c r="X572" s="5"/>
      <c r="Y572" s="5"/>
    </row>
    <row r="573" spans="13:25" ht="45" x14ac:dyDescent="0.2">
      <c r="M573" s="26" t="s">
        <v>79</v>
      </c>
      <c r="N573" s="25" t="s">
        <v>51</v>
      </c>
      <c r="O573" s="26"/>
      <c r="P573" s="26" t="s">
        <v>601</v>
      </c>
      <c r="Q573" s="26"/>
      <c r="R573" s="5"/>
      <c r="S573" s="5"/>
      <c r="T573" s="5"/>
      <c r="U573" s="5"/>
      <c r="V573" s="5"/>
      <c r="W573" s="5"/>
      <c r="X573" s="5"/>
      <c r="Y573" s="5"/>
    </row>
    <row r="574" spans="13:25" ht="22.5" x14ac:dyDescent="0.2">
      <c r="M574" s="26" t="s">
        <v>79</v>
      </c>
      <c r="N574" s="25" t="s">
        <v>51</v>
      </c>
      <c r="O574" s="26" t="s">
        <v>602</v>
      </c>
      <c r="P574" s="26"/>
      <c r="Q574" s="26"/>
      <c r="R574" s="5"/>
      <c r="S574" s="5"/>
      <c r="T574" s="5"/>
      <c r="U574" s="5"/>
      <c r="V574" s="5"/>
      <c r="W574" s="5"/>
      <c r="X574" s="5"/>
      <c r="Y574" s="5"/>
    </row>
    <row r="575" spans="13:25" ht="22.5" x14ac:dyDescent="0.2">
      <c r="M575" s="26" t="s">
        <v>79</v>
      </c>
      <c r="N575" s="25" t="s">
        <v>70</v>
      </c>
      <c r="O575" s="26"/>
      <c r="P575" s="26" t="s">
        <v>603</v>
      </c>
      <c r="Q575" s="26"/>
      <c r="R575" s="5"/>
      <c r="S575" s="5"/>
      <c r="T575" s="5"/>
      <c r="U575" s="5"/>
      <c r="V575" s="5"/>
      <c r="W575" s="5"/>
      <c r="X575" s="5"/>
      <c r="Y575" s="5"/>
    </row>
    <row r="576" spans="13:25" ht="22.5" x14ac:dyDescent="0.2">
      <c r="M576" s="26" t="s">
        <v>79</v>
      </c>
      <c r="N576" s="25" t="s">
        <v>70</v>
      </c>
      <c r="O576" s="26"/>
      <c r="P576" s="26" t="s">
        <v>604</v>
      </c>
      <c r="Q576" s="26"/>
      <c r="R576" s="5"/>
      <c r="S576" s="5"/>
      <c r="T576" s="5"/>
      <c r="U576" s="5"/>
      <c r="V576" s="5"/>
      <c r="W576" s="5"/>
      <c r="X576" s="5"/>
      <c r="Y576" s="5"/>
    </row>
    <row r="577" spans="13:25" ht="45" x14ac:dyDescent="0.2">
      <c r="M577" s="26" t="s">
        <v>79</v>
      </c>
      <c r="N577" s="25" t="s">
        <v>70</v>
      </c>
      <c r="O577" s="26"/>
      <c r="P577" s="26" t="s">
        <v>605</v>
      </c>
      <c r="Q577" s="26"/>
      <c r="R577" s="5"/>
      <c r="S577" s="5"/>
      <c r="T577" s="5"/>
      <c r="U577" s="5"/>
      <c r="V577" s="5"/>
      <c r="W577" s="5"/>
      <c r="X577" s="5"/>
      <c r="Y577" s="5"/>
    </row>
    <row r="578" spans="13:25" ht="33.75" x14ac:dyDescent="0.2">
      <c r="M578" s="26" t="s">
        <v>79</v>
      </c>
      <c r="N578" s="25" t="s">
        <v>70</v>
      </c>
      <c r="O578" s="26"/>
      <c r="P578" s="26" t="s">
        <v>606</v>
      </c>
      <c r="Q578" s="26"/>
      <c r="R578" s="5"/>
      <c r="S578" s="5"/>
      <c r="T578" s="5"/>
      <c r="U578" s="5"/>
      <c r="V578" s="5"/>
      <c r="W578" s="5"/>
      <c r="X578" s="5"/>
      <c r="Y578" s="5"/>
    </row>
    <row r="579" spans="13:25" ht="33.75" x14ac:dyDescent="0.2">
      <c r="M579" s="26" t="s">
        <v>79</v>
      </c>
      <c r="N579" s="25" t="s">
        <v>70</v>
      </c>
      <c r="O579" s="26"/>
      <c r="P579" s="26" t="s">
        <v>607</v>
      </c>
      <c r="Q579" s="26"/>
      <c r="R579" s="5"/>
      <c r="S579" s="5"/>
      <c r="T579" s="5"/>
      <c r="U579" s="5"/>
      <c r="V579" s="5"/>
      <c r="W579" s="5"/>
      <c r="X579" s="5"/>
      <c r="Y579" s="5"/>
    </row>
    <row r="580" spans="13:25" ht="22.5" x14ac:dyDescent="0.2">
      <c r="M580" s="26" t="s">
        <v>79</v>
      </c>
      <c r="N580" s="25" t="s">
        <v>70</v>
      </c>
      <c r="O580" s="26"/>
      <c r="P580" s="26" t="s">
        <v>608</v>
      </c>
      <c r="Q580" s="26"/>
      <c r="R580" s="5"/>
      <c r="S580" s="5"/>
      <c r="T580" s="5"/>
      <c r="U580" s="5"/>
      <c r="V580" s="5"/>
      <c r="W580" s="5"/>
      <c r="X580" s="5"/>
      <c r="Y580" s="5"/>
    </row>
    <row r="581" spans="13:25" ht="22.5" x14ac:dyDescent="0.2">
      <c r="M581" s="26" t="s">
        <v>79</v>
      </c>
      <c r="N581" s="25" t="s">
        <v>70</v>
      </c>
      <c r="O581" s="26"/>
      <c r="P581" s="26" t="s">
        <v>609</v>
      </c>
      <c r="Q581" s="26"/>
      <c r="R581" s="5"/>
      <c r="S581" s="5"/>
      <c r="T581" s="5"/>
      <c r="U581" s="5"/>
      <c r="V581" s="5"/>
      <c r="W581" s="5"/>
      <c r="X581" s="5"/>
      <c r="Y581" s="5"/>
    </row>
    <row r="582" spans="13:25" ht="45" x14ac:dyDescent="0.2">
      <c r="M582" s="26" t="s">
        <v>79</v>
      </c>
      <c r="N582" s="25" t="s">
        <v>70</v>
      </c>
      <c r="O582" s="26"/>
      <c r="P582" s="26" t="s">
        <v>610</v>
      </c>
      <c r="Q582" s="26"/>
      <c r="R582" s="5"/>
      <c r="S582" s="5"/>
      <c r="T582" s="5"/>
      <c r="U582" s="5"/>
      <c r="V582" s="5"/>
      <c r="W582" s="5"/>
      <c r="X582" s="5"/>
      <c r="Y582" s="5"/>
    </row>
    <row r="583" spans="13:25" ht="33.75" x14ac:dyDescent="0.2">
      <c r="M583" s="26" t="s">
        <v>79</v>
      </c>
      <c r="N583" s="25" t="s">
        <v>70</v>
      </c>
      <c r="O583" s="26"/>
      <c r="P583" s="26" t="s">
        <v>611</v>
      </c>
      <c r="Q583" s="26"/>
      <c r="R583" s="5"/>
      <c r="S583" s="5"/>
      <c r="T583" s="5"/>
      <c r="U583" s="5"/>
      <c r="V583" s="5"/>
      <c r="W583" s="5"/>
      <c r="X583" s="5"/>
      <c r="Y583" s="5"/>
    </row>
    <row r="584" spans="13:25" ht="33.75" x14ac:dyDescent="0.2">
      <c r="M584" s="26" t="s">
        <v>79</v>
      </c>
      <c r="N584" s="25" t="s">
        <v>70</v>
      </c>
      <c r="O584" s="26"/>
      <c r="P584" s="26" t="s">
        <v>612</v>
      </c>
      <c r="Q584" s="26"/>
      <c r="R584" s="5"/>
      <c r="S584" s="5"/>
      <c r="T584" s="5"/>
      <c r="U584" s="5"/>
      <c r="V584" s="5"/>
      <c r="W584" s="5"/>
      <c r="X584" s="5"/>
      <c r="Y584" s="5"/>
    </row>
    <row r="585" spans="13:25" ht="33.75" x14ac:dyDescent="0.2">
      <c r="M585" s="26" t="s">
        <v>79</v>
      </c>
      <c r="N585" s="25" t="s">
        <v>70</v>
      </c>
      <c r="O585" s="26"/>
      <c r="P585" s="26" t="s">
        <v>613</v>
      </c>
      <c r="Q585" s="26"/>
      <c r="R585" s="5"/>
      <c r="S585" s="5"/>
      <c r="T585" s="5"/>
      <c r="U585" s="5"/>
      <c r="V585" s="5"/>
      <c r="W585" s="5"/>
      <c r="X585" s="5"/>
      <c r="Y585" s="5"/>
    </row>
    <row r="586" spans="13:25" ht="22.5" x14ac:dyDescent="0.2">
      <c r="M586" s="26" t="s">
        <v>79</v>
      </c>
      <c r="N586" s="25" t="s">
        <v>70</v>
      </c>
      <c r="O586" s="26"/>
      <c r="P586" s="26" t="s">
        <v>614</v>
      </c>
      <c r="Q586" s="26"/>
      <c r="R586" s="5"/>
      <c r="S586" s="5"/>
      <c r="T586" s="5"/>
      <c r="U586" s="5"/>
      <c r="V586" s="5"/>
      <c r="W586" s="5"/>
      <c r="X586" s="5"/>
      <c r="Y586" s="5"/>
    </row>
    <row r="587" spans="13:25" ht="56.25" x14ac:dyDescent="0.2">
      <c r="M587" s="26" t="s">
        <v>79</v>
      </c>
      <c r="N587" s="25" t="s">
        <v>70</v>
      </c>
      <c r="O587" s="26"/>
      <c r="P587" s="26" t="s">
        <v>615</v>
      </c>
      <c r="Q587" s="26"/>
      <c r="R587" s="5"/>
      <c r="S587" s="5"/>
      <c r="T587" s="5"/>
      <c r="U587" s="5"/>
      <c r="V587" s="5"/>
      <c r="W587" s="5"/>
      <c r="X587" s="5"/>
      <c r="Y587" s="5"/>
    </row>
    <row r="588" spans="13:25" ht="56.25" x14ac:dyDescent="0.2">
      <c r="M588" s="26" t="s">
        <v>79</v>
      </c>
      <c r="N588" s="25" t="s">
        <v>70</v>
      </c>
      <c r="O588" s="26"/>
      <c r="P588" s="26" t="s">
        <v>616</v>
      </c>
      <c r="Q588" s="26"/>
      <c r="R588" s="5"/>
      <c r="S588" s="5"/>
      <c r="T588" s="5"/>
      <c r="U588" s="5"/>
      <c r="V588" s="5"/>
      <c r="W588" s="5"/>
      <c r="X588" s="5"/>
      <c r="Y588" s="5"/>
    </row>
    <row r="589" spans="13:25" ht="33.75" x14ac:dyDescent="0.2">
      <c r="M589" s="26" t="s">
        <v>79</v>
      </c>
      <c r="N589" s="25" t="s">
        <v>70</v>
      </c>
      <c r="O589" s="26"/>
      <c r="P589" s="26" t="s">
        <v>617</v>
      </c>
      <c r="Q589" s="26"/>
      <c r="R589" s="5"/>
      <c r="S589" s="5"/>
      <c r="T589" s="5"/>
      <c r="U589" s="5"/>
      <c r="V589" s="5"/>
      <c r="W589" s="5"/>
      <c r="X589" s="5"/>
      <c r="Y589" s="5"/>
    </row>
    <row r="590" spans="13:25" ht="22.5" x14ac:dyDescent="0.2">
      <c r="M590" s="26" t="s">
        <v>79</v>
      </c>
      <c r="N590" s="25" t="s">
        <v>70</v>
      </c>
      <c r="O590" s="26"/>
      <c r="P590" s="26" t="s">
        <v>618</v>
      </c>
      <c r="Q590" s="26"/>
      <c r="R590" s="5"/>
      <c r="S590" s="5"/>
      <c r="T590" s="5"/>
      <c r="U590" s="5"/>
      <c r="V590" s="5"/>
      <c r="W590" s="5"/>
      <c r="X590" s="5"/>
      <c r="Y590" s="5"/>
    </row>
    <row r="591" spans="13:25" ht="22.5" x14ac:dyDescent="0.2">
      <c r="M591" s="26" t="s">
        <v>79</v>
      </c>
      <c r="N591" s="25" t="s">
        <v>70</v>
      </c>
      <c r="O591" s="26"/>
      <c r="P591" s="26" t="s">
        <v>619</v>
      </c>
      <c r="Q591" s="26"/>
      <c r="R591" s="5"/>
      <c r="S591" s="5"/>
      <c r="T591" s="5"/>
      <c r="U591" s="5"/>
      <c r="V591" s="5"/>
      <c r="W591" s="5"/>
      <c r="X591" s="5"/>
      <c r="Y591" s="5"/>
    </row>
    <row r="592" spans="13:25" ht="22.5" x14ac:dyDescent="0.2">
      <c r="M592" s="26" t="s">
        <v>79</v>
      </c>
      <c r="N592" s="25" t="s">
        <v>70</v>
      </c>
      <c r="O592" s="26"/>
      <c r="P592" s="26" t="s">
        <v>620</v>
      </c>
      <c r="Q592" s="26"/>
      <c r="R592" s="5"/>
      <c r="S592" s="5"/>
      <c r="T592" s="5"/>
      <c r="U592" s="5"/>
      <c r="V592" s="5"/>
      <c r="W592" s="5"/>
      <c r="X592" s="5"/>
      <c r="Y592" s="5"/>
    </row>
    <row r="593" spans="13:25" ht="67.5" x14ac:dyDescent="0.2">
      <c r="M593" s="26" t="s">
        <v>79</v>
      </c>
      <c r="N593" s="25" t="s">
        <v>70</v>
      </c>
      <c r="O593" s="26"/>
      <c r="P593" s="26" t="s">
        <v>621</v>
      </c>
      <c r="Q593" s="26"/>
      <c r="R593" s="5"/>
      <c r="S593" s="5"/>
      <c r="T593" s="5"/>
      <c r="U593" s="5"/>
      <c r="V593" s="5"/>
      <c r="W593" s="5"/>
      <c r="X593" s="5"/>
      <c r="Y593" s="5"/>
    </row>
    <row r="594" spans="13:25" ht="33.75" x14ac:dyDescent="0.2">
      <c r="M594" s="26" t="s">
        <v>79</v>
      </c>
      <c r="N594" s="25" t="s">
        <v>70</v>
      </c>
      <c r="O594" s="26"/>
      <c r="P594" s="26" t="s">
        <v>622</v>
      </c>
      <c r="Q594" s="26"/>
      <c r="R594" s="5"/>
      <c r="S594" s="5"/>
      <c r="T594" s="5"/>
      <c r="U594" s="5"/>
      <c r="V594" s="5"/>
      <c r="W594" s="5"/>
      <c r="X594" s="5"/>
      <c r="Y594" s="5"/>
    </row>
    <row r="595" spans="13:25" ht="22.5" x14ac:dyDescent="0.2">
      <c r="M595" s="26" t="s">
        <v>79</v>
      </c>
      <c r="N595" s="25" t="s">
        <v>70</v>
      </c>
      <c r="O595" s="26"/>
      <c r="P595" s="26" t="s">
        <v>623</v>
      </c>
      <c r="Q595" s="26"/>
      <c r="R595" s="5"/>
      <c r="S595" s="5"/>
      <c r="T595" s="5"/>
      <c r="U595" s="5"/>
      <c r="V595" s="5"/>
      <c r="W595" s="5"/>
      <c r="X595" s="5"/>
      <c r="Y595" s="5"/>
    </row>
    <row r="596" spans="13:25" ht="56.25" x14ac:dyDescent="0.2">
      <c r="M596" s="26" t="s">
        <v>79</v>
      </c>
      <c r="N596" s="25" t="s">
        <v>55</v>
      </c>
      <c r="O596" s="26"/>
      <c r="P596" s="26" t="s">
        <v>624</v>
      </c>
      <c r="Q596" s="26"/>
      <c r="R596" s="5"/>
      <c r="S596" s="5"/>
      <c r="T596" s="5"/>
      <c r="U596" s="5"/>
      <c r="V596" s="5"/>
      <c r="W596" s="5"/>
      <c r="X596" s="5"/>
      <c r="Y596" s="5"/>
    </row>
    <row r="597" spans="13:25" ht="33.75" x14ac:dyDescent="0.2">
      <c r="M597" s="26" t="s">
        <v>79</v>
      </c>
      <c r="N597" s="25" t="s">
        <v>70</v>
      </c>
      <c r="O597" s="26"/>
      <c r="P597" s="26" t="s">
        <v>625</v>
      </c>
      <c r="Q597" s="26"/>
      <c r="R597" s="5"/>
      <c r="S597" s="5"/>
      <c r="T597" s="5"/>
      <c r="U597" s="5"/>
      <c r="V597" s="5"/>
      <c r="W597" s="5"/>
      <c r="X597" s="5"/>
      <c r="Y597" s="5"/>
    </row>
    <row r="598" spans="13:25" ht="33.75" x14ac:dyDescent="0.2">
      <c r="M598" s="26" t="s">
        <v>79</v>
      </c>
      <c r="N598" s="25" t="s">
        <v>70</v>
      </c>
      <c r="O598" s="26"/>
      <c r="P598" s="26" t="s">
        <v>626</v>
      </c>
      <c r="Q598" s="26"/>
      <c r="R598" s="5"/>
      <c r="S598" s="5"/>
      <c r="T598" s="5"/>
      <c r="U598" s="5"/>
      <c r="V598" s="5"/>
      <c r="W598" s="5"/>
      <c r="X598" s="5"/>
      <c r="Y598" s="5"/>
    </row>
    <row r="599" spans="13:25" ht="33.75" x14ac:dyDescent="0.2">
      <c r="M599" s="26" t="s">
        <v>79</v>
      </c>
      <c r="N599" s="25" t="s">
        <v>70</v>
      </c>
      <c r="O599" s="26"/>
      <c r="P599" s="26" t="s">
        <v>627</v>
      </c>
      <c r="Q599" s="26"/>
      <c r="R599" s="5"/>
      <c r="S599" s="5"/>
      <c r="T599" s="5"/>
      <c r="U599" s="5"/>
      <c r="V599" s="5"/>
      <c r="W599" s="5"/>
      <c r="X599" s="5"/>
      <c r="Y599" s="5"/>
    </row>
    <row r="600" spans="13:25" ht="67.5" x14ac:dyDescent="0.2">
      <c r="M600" s="26" t="s">
        <v>79</v>
      </c>
      <c r="N600" s="25" t="s">
        <v>70</v>
      </c>
      <c r="O600" s="26"/>
      <c r="P600" s="26" t="s">
        <v>628</v>
      </c>
      <c r="Q600" s="26"/>
      <c r="R600" s="5"/>
      <c r="S600" s="5"/>
      <c r="T600" s="5"/>
      <c r="U600" s="5"/>
      <c r="V600" s="5"/>
      <c r="W600" s="5"/>
      <c r="X600" s="5"/>
      <c r="Y600" s="5"/>
    </row>
    <row r="601" spans="13:25" ht="67.5" x14ac:dyDescent="0.2">
      <c r="M601" s="26" t="s">
        <v>79</v>
      </c>
      <c r="N601" s="25" t="s">
        <v>51</v>
      </c>
      <c r="O601" s="26"/>
      <c r="P601" s="26" t="s">
        <v>629</v>
      </c>
      <c r="Q601" s="26"/>
      <c r="R601" s="5"/>
      <c r="S601" s="5"/>
      <c r="T601" s="5"/>
      <c r="U601" s="5"/>
      <c r="V601" s="5"/>
      <c r="W601" s="5"/>
      <c r="X601" s="5"/>
      <c r="Y601" s="5"/>
    </row>
    <row r="602" spans="13:25" ht="22.5" x14ac:dyDescent="0.2">
      <c r="M602" s="26" t="s">
        <v>79</v>
      </c>
      <c r="N602" s="25" t="s">
        <v>51</v>
      </c>
      <c r="O602" s="26"/>
      <c r="P602" s="26" t="s">
        <v>630</v>
      </c>
      <c r="Q602" s="26"/>
      <c r="R602" s="5"/>
      <c r="S602" s="5"/>
      <c r="T602" s="5"/>
      <c r="U602" s="5"/>
      <c r="V602" s="5"/>
      <c r="W602" s="5"/>
      <c r="X602" s="5"/>
      <c r="Y602" s="5"/>
    </row>
    <row r="603" spans="13:25" ht="45" x14ac:dyDescent="0.2">
      <c r="M603" s="26" t="s">
        <v>79</v>
      </c>
      <c r="N603" s="25" t="s">
        <v>51</v>
      </c>
      <c r="O603" s="26"/>
      <c r="P603" s="26" t="s">
        <v>631</v>
      </c>
      <c r="Q603" s="26"/>
      <c r="R603" s="5"/>
      <c r="S603" s="5"/>
      <c r="T603" s="5"/>
      <c r="U603" s="5"/>
      <c r="V603" s="5"/>
      <c r="W603" s="5"/>
      <c r="X603" s="5"/>
      <c r="Y603" s="5"/>
    </row>
    <row r="604" spans="13:25" ht="45" x14ac:dyDescent="0.2">
      <c r="M604" s="26" t="s">
        <v>79</v>
      </c>
      <c r="N604" s="25" t="s">
        <v>70</v>
      </c>
      <c r="O604" s="26"/>
      <c r="P604" s="26" t="s">
        <v>632</v>
      </c>
      <c r="Q604" s="26"/>
      <c r="R604" s="5"/>
      <c r="S604" s="5"/>
      <c r="T604" s="5"/>
      <c r="U604" s="5"/>
      <c r="V604" s="5"/>
      <c r="W604" s="5"/>
      <c r="X604" s="5"/>
      <c r="Y604" s="5"/>
    </row>
    <row r="605" spans="13:25" ht="33.75" x14ac:dyDescent="0.2">
      <c r="M605" s="26" t="s">
        <v>79</v>
      </c>
      <c r="N605" s="25" t="s">
        <v>70</v>
      </c>
      <c r="O605" s="26"/>
      <c r="P605" s="26" t="s">
        <v>548</v>
      </c>
      <c r="Q605" s="26"/>
      <c r="R605" s="5"/>
      <c r="S605" s="5"/>
      <c r="T605" s="5"/>
      <c r="U605" s="5"/>
      <c r="V605" s="5"/>
      <c r="W605" s="5"/>
      <c r="X605" s="5"/>
      <c r="Y605" s="5"/>
    </row>
    <row r="606" spans="13:25" ht="67.5" x14ac:dyDescent="0.2">
      <c r="M606" s="26" t="s">
        <v>79</v>
      </c>
      <c r="N606" s="25" t="s">
        <v>51</v>
      </c>
      <c r="O606" s="26"/>
      <c r="P606" s="26" t="s">
        <v>633</v>
      </c>
      <c r="Q606" s="26"/>
      <c r="R606" s="5"/>
      <c r="S606" s="5"/>
      <c r="T606" s="5"/>
      <c r="U606" s="5"/>
      <c r="V606" s="5"/>
      <c r="W606" s="5"/>
      <c r="X606" s="5"/>
      <c r="Y606" s="5"/>
    </row>
    <row r="607" spans="13:25" ht="67.5" x14ac:dyDescent="0.2">
      <c r="M607" s="26" t="s">
        <v>79</v>
      </c>
      <c r="N607" s="25" t="s">
        <v>51</v>
      </c>
      <c r="O607" s="26"/>
      <c r="P607" s="26" t="s">
        <v>634</v>
      </c>
      <c r="Q607" s="26"/>
      <c r="R607" s="5"/>
      <c r="S607" s="5"/>
      <c r="T607" s="5"/>
      <c r="U607" s="5"/>
      <c r="V607" s="5"/>
      <c r="W607" s="5"/>
      <c r="X607" s="5"/>
      <c r="Y607" s="5"/>
    </row>
    <row r="608" spans="13:25" ht="22.5" x14ac:dyDescent="0.2">
      <c r="M608" s="26" t="s">
        <v>79</v>
      </c>
      <c r="N608" s="25" t="s">
        <v>70</v>
      </c>
      <c r="O608" s="26"/>
      <c r="P608" s="26" t="s">
        <v>635</v>
      </c>
      <c r="Q608" s="26"/>
      <c r="R608" s="5"/>
      <c r="S608" s="5"/>
      <c r="T608" s="5"/>
      <c r="U608" s="5"/>
      <c r="V608" s="5"/>
      <c r="W608" s="5"/>
      <c r="X608" s="5"/>
      <c r="Y608" s="5"/>
    </row>
    <row r="609" spans="13:25" ht="22.5" x14ac:dyDescent="0.2">
      <c r="M609" s="26" t="s">
        <v>79</v>
      </c>
      <c r="N609" s="25" t="s">
        <v>55</v>
      </c>
      <c r="O609" s="26"/>
      <c r="P609" s="26" t="s">
        <v>636</v>
      </c>
      <c r="Q609" s="26"/>
      <c r="R609" s="5"/>
      <c r="S609" s="5"/>
      <c r="T609" s="5"/>
      <c r="U609" s="5"/>
      <c r="V609" s="5"/>
      <c r="W609" s="5"/>
      <c r="X609" s="5"/>
      <c r="Y609" s="5"/>
    </row>
    <row r="610" spans="13:25" ht="78.75" x14ac:dyDescent="0.2">
      <c r="M610" s="26" t="s">
        <v>79</v>
      </c>
      <c r="N610" s="25" t="s">
        <v>55</v>
      </c>
      <c r="O610" s="26"/>
      <c r="P610" s="26" t="s">
        <v>637</v>
      </c>
      <c r="Q610" s="26"/>
      <c r="R610" s="5"/>
      <c r="S610" s="5"/>
      <c r="T610" s="5"/>
      <c r="U610" s="5"/>
      <c r="V610" s="5"/>
      <c r="W610" s="5"/>
      <c r="X610" s="5"/>
      <c r="Y610" s="5"/>
    </row>
    <row r="611" spans="13:25" ht="22.5" x14ac:dyDescent="0.2">
      <c r="M611" s="26" t="s">
        <v>79</v>
      </c>
      <c r="N611" s="25" t="s">
        <v>55</v>
      </c>
      <c r="O611" s="26"/>
      <c r="P611" s="26" t="s">
        <v>638</v>
      </c>
      <c r="Q611" s="26"/>
      <c r="R611" s="5"/>
      <c r="S611" s="5"/>
      <c r="T611" s="5"/>
      <c r="U611" s="5"/>
      <c r="V611" s="5"/>
      <c r="W611" s="5"/>
      <c r="X611" s="5"/>
      <c r="Y611" s="5"/>
    </row>
    <row r="612" spans="13:25" ht="45" x14ac:dyDescent="0.2">
      <c r="M612" s="26" t="s">
        <v>79</v>
      </c>
      <c r="N612" s="25" t="s">
        <v>70</v>
      </c>
      <c r="O612" s="26"/>
      <c r="P612" s="26" t="s">
        <v>639</v>
      </c>
      <c r="Q612" s="26"/>
      <c r="R612" s="5"/>
      <c r="S612" s="5"/>
      <c r="T612" s="5"/>
      <c r="U612" s="5"/>
      <c r="V612" s="5"/>
      <c r="W612" s="5"/>
      <c r="X612" s="5"/>
      <c r="Y612" s="5"/>
    </row>
    <row r="613" spans="13:25" ht="22.5" x14ac:dyDescent="0.2">
      <c r="M613" s="26" t="s">
        <v>79</v>
      </c>
      <c r="N613" s="25" t="s">
        <v>70</v>
      </c>
      <c r="O613" s="26"/>
      <c r="P613" s="26" t="s">
        <v>640</v>
      </c>
      <c r="Q613" s="26"/>
      <c r="R613" s="5"/>
      <c r="S613" s="5"/>
      <c r="T613" s="5"/>
      <c r="U613" s="5"/>
      <c r="V613" s="5"/>
      <c r="W613" s="5"/>
      <c r="X613" s="5"/>
      <c r="Y613" s="5"/>
    </row>
    <row r="614" spans="13:25" ht="33.75" x14ac:dyDescent="0.2">
      <c r="M614" s="26" t="s">
        <v>79</v>
      </c>
      <c r="N614" s="25" t="s">
        <v>70</v>
      </c>
      <c r="O614" s="26"/>
      <c r="P614" s="26" t="s">
        <v>641</v>
      </c>
      <c r="Q614" s="26"/>
      <c r="R614" s="5"/>
      <c r="S614" s="5"/>
      <c r="T614" s="5"/>
      <c r="U614" s="5"/>
      <c r="V614" s="5"/>
      <c r="W614" s="5"/>
      <c r="X614" s="5"/>
      <c r="Y614" s="5"/>
    </row>
    <row r="615" spans="13:25" ht="33.75" x14ac:dyDescent="0.2">
      <c r="M615" s="26" t="s">
        <v>79</v>
      </c>
      <c r="N615" s="25" t="s">
        <v>70</v>
      </c>
      <c r="O615" s="26"/>
      <c r="P615" s="26" t="s">
        <v>642</v>
      </c>
      <c r="Q615" s="26"/>
      <c r="R615" s="5"/>
      <c r="S615" s="5"/>
      <c r="T615" s="5"/>
      <c r="U615" s="5"/>
      <c r="V615" s="5"/>
      <c r="W615" s="5"/>
      <c r="X615" s="5"/>
      <c r="Y615" s="5"/>
    </row>
    <row r="616" spans="13:25" ht="45" x14ac:dyDescent="0.2">
      <c r="M616" s="26" t="s">
        <v>79</v>
      </c>
      <c r="N616" s="25" t="s">
        <v>70</v>
      </c>
      <c r="O616" s="26"/>
      <c r="P616" s="26" t="s">
        <v>643</v>
      </c>
      <c r="Q616" s="26"/>
      <c r="R616" s="5"/>
      <c r="S616" s="5"/>
      <c r="T616" s="5"/>
      <c r="U616" s="5"/>
      <c r="V616" s="5"/>
      <c r="W616" s="5"/>
      <c r="X616" s="5"/>
      <c r="Y616" s="5"/>
    </row>
    <row r="617" spans="13:25" ht="22.5" x14ac:dyDescent="0.2">
      <c r="M617" s="26" t="s">
        <v>79</v>
      </c>
      <c r="N617" s="25" t="s">
        <v>70</v>
      </c>
      <c r="O617" s="26"/>
      <c r="P617" s="26" t="s">
        <v>644</v>
      </c>
      <c r="Q617" s="26"/>
      <c r="R617" s="5"/>
      <c r="S617" s="5"/>
      <c r="T617" s="5"/>
      <c r="U617" s="5"/>
      <c r="V617" s="5"/>
      <c r="W617" s="5"/>
      <c r="X617" s="5"/>
      <c r="Y617" s="5"/>
    </row>
    <row r="618" spans="13:25" ht="45" x14ac:dyDescent="0.2">
      <c r="M618" s="26" t="s">
        <v>79</v>
      </c>
      <c r="N618" s="25" t="s">
        <v>55</v>
      </c>
      <c r="O618" s="26"/>
      <c r="P618" s="26" t="s">
        <v>645</v>
      </c>
      <c r="Q618" s="26"/>
      <c r="R618" s="5"/>
      <c r="S618" s="5"/>
      <c r="T618" s="5"/>
      <c r="U618" s="5"/>
      <c r="V618" s="5"/>
      <c r="W618" s="5"/>
      <c r="X618" s="5"/>
      <c r="Y618" s="5"/>
    </row>
    <row r="619" spans="13:25" ht="33.75" x14ac:dyDescent="0.2">
      <c r="M619" s="26" t="s">
        <v>79</v>
      </c>
      <c r="N619" s="25" t="s">
        <v>55</v>
      </c>
      <c r="O619" s="26"/>
      <c r="P619" s="26" t="s">
        <v>646</v>
      </c>
      <c r="Q619" s="26"/>
      <c r="R619" s="5"/>
      <c r="S619" s="5"/>
      <c r="T619" s="5"/>
      <c r="U619" s="5"/>
      <c r="V619" s="5"/>
      <c r="W619" s="5"/>
      <c r="X619" s="5"/>
      <c r="Y619" s="5"/>
    </row>
    <row r="620" spans="13:25" ht="67.5" x14ac:dyDescent="0.2">
      <c r="M620" s="26" t="s">
        <v>79</v>
      </c>
      <c r="N620" s="25" t="s">
        <v>70</v>
      </c>
      <c r="O620" s="26"/>
      <c r="P620" s="26" t="s">
        <v>647</v>
      </c>
      <c r="Q620" s="26"/>
      <c r="R620" s="5"/>
      <c r="S620" s="5"/>
      <c r="T620" s="5"/>
      <c r="U620" s="5"/>
      <c r="V620" s="5"/>
      <c r="W620" s="5"/>
      <c r="X620" s="5"/>
      <c r="Y620" s="5"/>
    </row>
    <row r="621" spans="13:25" ht="33.75" x14ac:dyDescent="0.2">
      <c r="M621" s="26" t="s">
        <v>79</v>
      </c>
      <c r="N621" s="25" t="s">
        <v>70</v>
      </c>
      <c r="O621" s="26"/>
      <c r="P621" s="26" t="s">
        <v>648</v>
      </c>
      <c r="Q621" s="26"/>
      <c r="R621" s="5"/>
      <c r="S621" s="5"/>
      <c r="T621" s="5"/>
      <c r="U621" s="5"/>
      <c r="V621" s="5"/>
      <c r="W621" s="5"/>
      <c r="X621" s="5"/>
      <c r="Y621" s="5"/>
    </row>
    <row r="622" spans="13:25" ht="45" x14ac:dyDescent="0.2">
      <c r="M622" s="26" t="s">
        <v>79</v>
      </c>
      <c r="N622" s="25" t="s">
        <v>70</v>
      </c>
      <c r="O622" s="26"/>
      <c r="P622" s="26" t="s">
        <v>649</v>
      </c>
      <c r="Q622" s="26"/>
      <c r="R622" s="5"/>
      <c r="S622" s="5"/>
      <c r="T622" s="5"/>
      <c r="U622" s="5"/>
      <c r="V622" s="5"/>
      <c r="W622" s="5"/>
      <c r="X622" s="5"/>
      <c r="Y622" s="5"/>
    </row>
    <row r="623" spans="13:25" ht="22.5" x14ac:dyDescent="0.2">
      <c r="M623" s="26" t="s">
        <v>79</v>
      </c>
      <c r="N623" s="25" t="s">
        <v>70</v>
      </c>
      <c r="O623" s="26"/>
      <c r="P623" s="26" t="s">
        <v>650</v>
      </c>
      <c r="Q623" s="26"/>
      <c r="R623" s="5"/>
      <c r="S623" s="5"/>
      <c r="T623" s="5"/>
      <c r="U623" s="5"/>
      <c r="V623" s="5"/>
      <c r="W623" s="5"/>
      <c r="X623" s="5"/>
      <c r="Y623" s="5"/>
    </row>
    <row r="624" spans="13:25" ht="45" x14ac:dyDescent="0.2">
      <c r="M624" s="26" t="s">
        <v>79</v>
      </c>
      <c r="N624" s="25" t="s">
        <v>70</v>
      </c>
      <c r="O624" s="26"/>
      <c r="P624" s="26" t="s">
        <v>651</v>
      </c>
      <c r="Q624" s="26"/>
      <c r="R624" s="5"/>
      <c r="S624" s="5"/>
      <c r="T624" s="5"/>
      <c r="U624" s="5"/>
      <c r="V624" s="5"/>
      <c r="W624" s="5"/>
      <c r="X624" s="5"/>
      <c r="Y624" s="5"/>
    </row>
    <row r="625" spans="13:25" ht="22.5" x14ac:dyDescent="0.2">
      <c r="M625" s="26" t="s">
        <v>79</v>
      </c>
      <c r="N625" s="25" t="s">
        <v>70</v>
      </c>
      <c r="O625" s="26"/>
      <c r="P625" s="26" t="s">
        <v>652</v>
      </c>
      <c r="Q625" s="26"/>
      <c r="R625" s="5"/>
      <c r="S625" s="5"/>
      <c r="T625" s="5"/>
      <c r="U625" s="5"/>
      <c r="V625" s="5"/>
      <c r="W625" s="5"/>
      <c r="X625" s="5"/>
      <c r="Y625" s="5"/>
    </row>
    <row r="626" spans="13:25" ht="45" x14ac:dyDescent="0.2">
      <c r="M626" s="26" t="s">
        <v>79</v>
      </c>
      <c r="N626" s="25" t="s">
        <v>70</v>
      </c>
      <c r="O626" s="26"/>
      <c r="P626" s="26" t="s">
        <v>653</v>
      </c>
      <c r="Q626" s="26"/>
      <c r="R626" s="5"/>
      <c r="S626" s="5"/>
      <c r="T626" s="5"/>
      <c r="U626" s="5"/>
      <c r="V626" s="5"/>
      <c r="W626" s="5"/>
      <c r="X626" s="5"/>
      <c r="Y626" s="5"/>
    </row>
    <row r="627" spans="13:25" ht="22.5" x14ac:dyDescent="0.2">
      <c r="M627" s="26" t="s">
        <v>79</v>
      </c>
      <c r="N627" s="25" t="s">
        <v>70</v>
      </c>
      <c r="O627" s="26"/>
      <c r="P627" s="26" t="s">
        <v>654</v>
      </c>
      <c r="Q627" s="26"/>
      <c r="R627" s="5"/>
      <c r="S627" s="5"/>
      <c r="T627" s="5"/>
      <c r="U627" s="5"/>
      <c r="V627" s="5"/>
      <c r="W627" s="5"/>
      <c r="X627" s="5"/>
      <c r="Y627" s="5"/>
    </row>
    <row r="628" spans="13:25" ht="67.5" x14ac:dyDescent="0.2">
      <c r="M628" s="26" t="s">
        <v>79</v>
      </c>
      <c r="N628" s="25" t="s">
        <v>51</v>
      </c>
      <c r="O628" s="26"/>
      <c r="P628" s="26" t="s">
        <v>655</v>
      </c>
      <c r="Q628" s="26"/>
      <c r="R628" s="5"/>
      <c r="S628" s="5"/>
      <c r="T628" s="5"/>
      <c r="U628" s="5"/>
      <c r="V628" s="5"/>
      <c r="W628" s="5"/>
      <c r="X628" s="5"/>
      <c r="Y628" s="5"/>
    </row>
    <row r="629" spans="13:25" ht="67.5" x14ac:dyDescent="0.2">
      <c r="M629" s="26" t="s">
        <v>79</v>
      </c>
      <c r="N629" s="25" t="s">
        <v>55</v>
      </c>
      <c r="O629" s="26"/>
      <c r="P629" s="26" t="s">
        <v>656</v>
      </c>
      <c r="Q629" s="26"/>
      <c r="R629" s="5"/>
      <c r="S629" s="5"/>
      <c r="T629" s="5"/>
      <c r="U629" s="5"/>
      <c r="V629" s="5"/>
      <c r="W629" s="5"/>
      <c r="X629" s="5"/>
      <c r="Y629" s="5"/>
    </row>
    <row r="630" spans="13:25" ht="67.5" x14ac:dyDescent="0.2">
      <c r="M630" s="26" t="s">
        <v>79</v>
      </c>
      <c r="N630" s="25" t="s">
        <v>55</v>
      </c>
      <c r="O630" s="26"/>
      <c r="P630" s="26" t="s">
        <v>657</v>
      </c>
      <c r="Q630" s="26"/>
      <c r="R630" s="5"/>
      <c r="S630" s="5"/>
      <c r="T630" s="5"/>
      <c r="U630" s="5"/>
      <c r="V630" s="5"/>
      <c r="W630" s="5"/>
      <c r="X630" s="5"/>
      <c r="Y630" s="5"/>
    </row>
    <row r="631" spans="13:25" ht="22.5" x14ac:dyDescent="0.2">
      <c r="M631" s="26" t="s">
        <v>79</v>
      </c>
      <c r="N631" s="25" t="s">
        <v>70</v>
      </c>
      <c r="O631" s="26"/>
      <c r="P631" s="26" t="s">
        <v>658</v>
      </c>
      <c r="Q631" s="26"/>
      <c r="R631" s="5"/>
      <c r="S631" s="5"/>
      <c r="T631" s="5"/>
      <c r="U631" s="5"/>
      <c r="V631" s="5"/>
      <c r="W631" s="5"/>
      <c r="X631" s="5"/>
      <c r="Y631" s="5"/>
    </row>
    <row r="632" spans="13:25" ht="67.5" x14ac:dyDescent="0.2">
      <c r="M632" s="26" t="s">
        <v>79</v>
      </c>
      <c r="N632" s="25" t="s">
        <v>55</v>
      </c>
      <c r="O632" s="26"/>
      <c r="P632" s="26" t="s">
        <v>659</v>
      </c>
      <c r="Q632" s="26"/>
      <c r="R632" s="5"/>
      <c r="S632" s="5"/>
      <c r="T632" s="5"/>
      <c r="U632" s="5"/>
      <c r="V632" s="5"/>
      <c r="W632" s="5"/>
      <c r="X632" s="5"/>
      <c r="Y632" s="5"/>
    </row>
    <row r="633" spans="13:25" ht="22.5" x14ac:dyDescent="0.2">
      <c r="M633" s="26" t="s">
        <v>79</v>
      </c>
      <c r="N633" s="25" t="s">
        <v>51</v>
      </c>
      <c r="O633" s="26" t="s">
        <v>660</v>
      </c>
      <c r="P633" s="26"/>
      <c r="Q633" s="26"/>
      <c r="R633" s="5"/>
      <c r="S633" s="5"/>
      <c r="T633" s="5"/>
      <c r="U633" s="5"/>
      <c r="V633" s="5"/>
      <c r="W633" s="5"/>
      <c r="X633" s="5"/>
      <c r="Y633" s="5"/>
    </row>
    <row r="634" spans="13:25" ht="33.75" x14ac:dyDescent="0.2">
      <c r="M634" s="26" t="s">
        <v>79</v>
      </c>
      <c r="N634" s="25" t="s">
        <v>55</v>
      </c>
      <c r="O634" s="26"/>
      <c r="P634" s="26" t="s">
        <v>661</v>
      </c>
      <c r="Q634" s="26"/>
      <c r="R634" s="5"/>
      <c r="S634" s="5"/>
      <c r="T634" s="5"/>
      <c r="U634" s="5"/>
      <c r="V634" s="5"/>
      <c r="W634" s="5"/>
      <c r="X634" s="5"/>
      <c r="Y634" s="5"/>
    </row>
    <row r="635" spans="13:25" ht="33.75" x14ac:dyDescent="0.2">
      <c r="M635" s="26" t="s">
        <v>79</v>
      </c>
      <c r="N635" s="25" t="s">
        <v>55</v>
      </c>
      <c r="O635" s="26"/>
      <c r="P635" s="26" t="s">
        <v>662</v>
      </c>
      <c r="Q635" s="26"/>
      <c r="R635" s="5"/>
      <c r="S635" s="5"/>
      <c r="T635" s="5"/>
      <c r="U635" s="5"/>
      <c r="V635" s="5"/>
      <c r="W635" s="5"/>
      <c r="X635" s="5"/>
      <c r="Y635" s="5"/>
    </row>
    <row r="636" spans="13:25" ht="56.25" x14ac:dyDescent="0.2">
      <c r="M636" s="26" t="s">
        <v>79</v>
      </c>
      <c r="N636" s="25" t="s">
        <v>55</v>
      </c>
      <c r="O636" s="26"/>
      <c r="P636" s="26" t="s">
        <v>663</v>
      </c>
      <c r="Q636" s="26"/>
      <c r="R636" s="5"/>
      <c r="S636" s="5"/>
      <c r="T636" s="5"/>
      <c r="U636" s="5"/>
      <c r="V636" s="5"/>
      <c r="W636" s="5"/>
      <c r="X636" s="5"/>
      <c r="Y636" s="5"/>
    </row>
    <row r="637" spans="13:25" ht="56.25" x14ac:dyDescent="0.2">
      <c r="M637" s="26" t="s">
        <v>79</v>
      </c>
      <c r="N637" s="25" t="s">
        <v>55</v>
      </c>
      <c r="O637" s="26"/>
      <c r="P637" s="26" t="s">
        <v>664</v>
      </c>
      <c r="Q637" s="26"/>
      <c r="R637" s="5"/>
      <c r="S637" s="5"/>
      <c r="T637" s="5"/>
      <c r="U637" s="5"/>
      <c r="V637" s="5"/>
      <c r="W637" s="5"/>
      <c r="X637" s="5"/>
      <c r="Y637" s="5"/>
    </row>
    <row r="638" spans="13:25" ht="22.5" x14ac:dyDescent="0.2">
      <c r="M638" s="26" t="s">
        <v>79</v>
      </c>
      <c r="N638" s="25" t="s">
        <v>55</v>
      </c>
      <c r="O638" s="26" t="s">
        <v>665</v>
      </c>
      <c r="P638" s="26"/>
      <c r="Q638" s="26"/>
      <c r="R638" s="5"/>
      <c r="S638" s="5"/>
      <c r="T638" s="5"/>
      <c r="U638" s="5"/>
      <c r="V638" s="5"/>
      <c r="W638" s="5"/>
      <c r="X638" s="5"/>
      <c r="Y638" s="5"/>
    </row>
    <row r="639" spans="13:25" ht="22.5" x14ac:dyDescent="0.2">
      <c r="M639" s="26" t="s">
        <v>79</v>
      </c>
      <c r="N639" s="25" t="s">
        <v>51</v>
      </c>
      <c r="O639" s="26" t="s">
        <v>666</v>
      </c>
      <c r="P639" s="26"/>
      <c r="Q639" s="26"/>
      <c r="R639" s="5"/>
      <c r="S639" s="5"/>
      <c r="T639" s="5"/>
      <c r="U639" s="5"/>
      <c r="V639" s="5"/>
      <c r="W639" s="5"/>
      <c r="X639" s="5"/>
      <c r="Y639" s="5"/>
    </row>
    <row r="640" spans="13:25" ht="45" x14ac:dyDescent="0.2">
      <c r="M640" s="26" t="s">
        <v>79</v>
      </c>
      <c r="N640" s="25" t="s">
        <v>55</v>
      </c>
      <c r="O640" s="26"/>
      <c r="P640" s="26" t="s">
        <v>667</v>
      </c>
      <c r="Q640" s="26"/>
      <c r="R640" s="5"/>
      <c r="S640" s="5"/>
      <c r="T640" s="5"/>
      <c r="U640" s="5"/>
      <c r="V640" s="5"/>
      <c r="W640" s="5"/>
      <c r="X640" s="5"/>
      <c r="Y640" s="5"/>
    </row>
    <row r="641" spans="13:25" ht="22.5" x14ac:dyDescent="0.2">
      <c r="M641" s="26" t="s">
        <v>79</v>
      </c>
      <c r="N641" s="25" t="s">
        <v>55</v>
      </c>
      <c r="O641" s="26"/>
      <c r="P641" s="26" t="s">
        <v>668</v>
      </c>
      <c r="Q641" s="26"/>
      <c r="R641" s="5"/>
      <c r="S641" s="5"/>
      <c r="T641" s="5"/>
      <c r="U641" s="5"/>
      <c r="V641" s="5"/>
      <c r="W641" s="5"/>
      <c r="X641" s="5"/>
      <c r="Y641" s="5"/>
    </row>
    <row r="642" spans="13:25" ht="22.5" x14ac:dyDescent="0.2">
      <c r="M642" s="26" t="s">
        <v>79</v>
      </c>
      <c r="N642" s="25" t="s">
        <v>55</v>
      </c>
      <c r="O642" s="26"/>
      <c r="P642" s="26" t="s">
        <v>669</v>
      </c>
      <c r="Q642" s="26"/>
      <c r="R642" s="5"/>
      <c r="S642" s="5"/>
      <c r="T642" s="5"/>
      <c r="U642" s="5"/>
      <c r="V642" s="5"/>
      <c r="W642" s="5"/>
      <c r="X642" s="5"/>
      <c r="Y642" s="5"/>
    </row>
    <row r="643" spans="13:25" ht="22.5" x14ac:dyDescent="0.2">
      <c r="M643" s="26" t="s">
        <v>79</v>
      </c>
      <c r="N643" s="25" t="s">
        <v>55</v>
      </c>
      <c r="O643" s="26"/>
      <c r="P643" s="26" t="s">
        <v>670</v>
      </c>
      <c r="Q643" s="26"/>
      <c r="R643" s="5"/>
      <c r="S643" s="5"/>
      <c r="T643" s="5"/>
      <c r="U643" s="5"/>
      <c r="V643" s="5"/>
      <c r="W643" s="5"/>
      <c r="X643" s="5"/>
      <c r="Y643" s="5"/>
    </row>
    <row r="644" spans="13:25" ht="33.75" x14ac:dyDescent="0.2">
      <c r="M644" s="26" t="s">
        <v>79</v>
      </c>
      <c r="N644" s="25" t="s">
        <v>55</v>
      </c>
      <c r="O644" s="26"/>
      <c r="P644" s="26" t="s">
        <v>671</v>
      </c>
      <c r="Q644" s="26"/>
      <c r="R644" s="5"/>
      <c r="S644" s="5"/>
      <c r="T644" s="5"/>
      <c r="U644" s="5"/>
      <c r="V644" s="5"/>
      <c r="W644" s="5"/>
      <c r="X644" s="5"/>
      <c r="Y644" s="5"/>
    </row>
    <row r="645" spans="13:25" ht="33.75" x14ac:dyDescent="0.2">
      <c r="M645" s="26" t="s">
        <v>79</v>
      </c>
      <c r="N645" s="25" t="s">
        <v>55</v>
      </c>
      <c r="O645" s="26"/>
      <c r="P645" s="26" t="s">
        <v>672</v>
      </c>
      <c r="Q645" s="26"/>
      <c r="R645" s="5"/>
      <c r="S645" s="5"/>
      <c r="T645" s="5"/>
      <c r="U645" s="5"/>
      <c r="V645" s="5"/>
      <c r="W645" s="5"/>
      <c r="X645" s="5"/>
      <c r="Y645" s="5"/>
    </row>
    <row r="646" spans="13:25" ht="22.5" x14ac:dyDescent="0.2">
      <c r="M646" s="26" t="s">
        <v>79</v>
      </c>
      <c r="N646" s="25" t="s">
        <v>55</v>
      </c>
      <c r="O646" s="26"/>
      <c r="P646" s="26" t="s">
        <v>673</v>
      </c>
      <c r="Q646" s="26"/>
      <c r="R646" s="5"/>
      <c r="S646" s="5"/>
      <c r="T646" s="5"/>
      <c r="U646" s="5"/>
      <c r="V646" s="5"/>
      <c r="W646" s="5"/>
      <c r="X646" s="5"/>
      <c r="Y646" s="5"/>
    </row>
    <row r="647" spans="13:25" ht="33.75" x14ac:dyDescent="0.2">
      <c r="M647" s="26" t="s">
        <v>79</v>
      </c>
      <c r="N647" s="25" t="s">
        <v>55</v>
      </c>
      <c r="O647" s="26"/>
      <c r="P647" s="26" t="s">
        <v>674</v>
      </c>
      <c r="Q647" s="26"/>
      <c r="R647" s="5"/>
      <c r="S647" s="5"/>
      <c r="T647" s="5"/>
      <c r="U647" s="5"/>
      <c r="V647" s="5"/>
      <c r="W647" s="5"/>
      <c r="X647" s="5"/>
      <c r="Y647" s="5"/>
    </row>
    <row r="648" spans="13:25" ht="33.75" x14ac:dyDescent="0.2">
      <c r="M648" s="26" t="s">
        <v>79</v>
      </c>
      <c r="N648" s="25" t="s">
        <v>55</v>
      </c>
      <c r="O648" s="26"/>
      <c r="P648" s="26" t="s">
        <v>675</v>
      </c>
      <c r="Q648" s="26"/>
      <c r="R648" s="5"/>
      <c r="S648" s="5"/>
      <c r="T648" s="5"/>
      <c r="U648" s="5"/>
      <c r="V648" s="5"/>
      <c r="W648" s="5"/>
      <c r="X648" s="5"/>
      <c r="Y648" s="5"/>
    </row>
    <row r="649" spans="13:25" ht="22.5" x14ac:dyDescent="0.2">
      <c r="M649" s="26" t="s">
        <v>79</v>
      </c>
      <c r="N649" s="25" t="s">
        <v>55</v>
      </c>
      <c r="O649" s="26"/>
      <c r="P649" s="26" t="s">
        <v>676</v>
      </c>
      <c r="Q649" s="26"/>
      <c r="R649" s="5"/>
      <c r="S649" s="5"/>
      <c r="T649" s="5"/>
      <c r="U649" s="5"/>
      <c r="V649" s="5"/>
      <c r="W649" s="5"/>
      <c r="X649" s="5"/>
      <c r="Y649" s="5"/>
    </row>
    <row r="650" spans="13:25" ht="22.5" x14ac:dyDescent="0.2">
      <c r="M650" s="26" t="s">
        <v>79</v>
      </c>
      <c r="N650" s="25" t="s">
        <v>55</v>
      </c>
      <c r="O650" s="26"/>
      <c r="P650" s="26" t="s">
        <v>677</v>
      </c>
      <c r="Q650" s="26"/>
      <c r="R650" s="5"/>
      <c r="S650" s="5"/>
      <c r="T650" s="5"/>
      <c r="U650" s="5"/>
      <c r="V650" s="5"/>
      <c r="W650" s="5"/>
      <c r="X650" s="5"/>
      <c r="Y650" s="5"/>
    </row>
    <row r="651" spans="13:25" ht="33.75" x14ac:dyDescent="0.2">
      <c r="M651" s="26" t="s">
        <v>79</v>
      </c>
      <c r="N651" s="25" t="s">
        <v>55</v>
      </c>
      <c r="O651" s="26"/>
      <c r="P651" s="26" t="s">
        <v>678</v>
      </c>
      <c r="Q651" s="26"/>
      <c r="R651" s="5"/>
      <c r="S651" s="5"/>
      <c r="T651" s="5"/>
      <c r="U651" s="5"/>
      <c r="V651" s="5"/>
      <c r="W651" s="5"/>
      <c r="X651" s="5"/>
      <c r="Y651" s="5"/>
    </row>
    <row r="652" spans="13:25" ht="33.75" x14ac:dyDescent="0.2">
      <c r="M652" s="26" t="s">
        <v>79</v>
      </c>
      <c r="N652" s="25" t="s">
        <v>55</v>
      </c>
      <c r="O652" s="26"/>
      <c r="P652" s="26" t="s">
        <v>679</v>
      </c>
      <c r="Q652" s="26"/>
      <c r="R652" s="5"/>
      <c r="S652" s="5"/>
      <c r="T652" s="5"/>
      <c r="U652" s="5"/>
      <c r="V652" s="5"/>
      <c r="W652" s="5"/>
      <c r="X652" s="5"/>
      <c r="Y652" s="5"/>
    </row>
    <row r="653" spans="13:25" ht="45" x14ac:dyDescent="0.2">
      <c r="M653" s="26" t="s">
        <v>79</v>
      </c>
      <c r="N653" s="25" t="s">
        <v>55</v>
      </c>
      <c r="O653" s="26"/>
      <c r="P653" s="26" t="s">
        <v>680</v>
      </c>
      <c r="Q653" s="26"/>
      <c r="R653" s="5"/>
      <c r="S653" s="5"/>
      <c r="T653" s="5"/>
      <c r="U653" s="5"/>
      <c r="V653" s="5"/>
      <c r="W653" s="5"/>
      <c r="X653" s="5"/>
      <c r="Y653" s="5"/>
    </row>
    <row r="654" spans="13:25" ht="45" x14ac:dyDescent="0.2">
      <c r="M654" s="26" t="s">
        <v>79</v>
      </c>
      <c r="N654" s="25" t="s">
        <v>55</v>
      </c>
      <c r="O654" s="26"/>
      <c r="P654" s="26" t="s">
        <v>681</v>
      </c>
      <c r="Q654" s="26"/>
      <c r="R654" s="5"/>
      <c r="S654" s="5"/>
      <c r="T654" s="5"/>
      <c r="U654" s="5"/>
      <c r="V654" s="5"/>
      <c r="W654" s="5"/>
      <c r="X654" s="5"/>
      <c r="Y654" s="5"/>
    </row>
    <row r="655" spans="13:25" ht="45" x14ac:dyDescent="0.2">
      <c r="M655" s="26" t="s">
        <v>79</v>
      </c>
      <c r="N655" s="25" t="s">
        <v>55</v>
      </c>
      <c r="O655" s="26"/>
      <c r="P655" s="26" t="s">
        <v>682</v>
      </c>
      <c r="Q655" s="26"/>
      <c r="R655" s="5"/>
      <c r="S655" s="5"/>
      <c r="T655" s="5"/>
      <c r="U655" s="5"/>
      <c r="V655" s="5"/>
      <c r="W655" s="5"/>
      <c r="X655" s="5"/>
      <c r="Y655" s="5"/>
    </row>
    <row r="656" spans="13:25" ht="45" x14ac:dyDescent="0.2">
      <c r="M656" s="26" t="s">
        <v>79</v>
      </c>
      <c r="N656" s="25" t="s">
        <v>55</v>
      </c>
      <c r="O656" s="26"/>
      <c r="P656" s="26" t="s">
        <v>683</v>
      </c>
      <c r="Q656" s="26"/>
      <c r="R656" s="5"/>
      <c r="S656" s="5"/>
      <c r="T656" s="5"/>
      <c r="U656" s="5"/>
      <c r="V656" s="5"/>
      <c r="W656" s="5"/>
      <c r="X656" s="5"/>
      <c r="Y656" s="5"/>
    </row>
    <row r="657" spans="13:25" ht="45" x14ac:dyDescent="0.2">
      <c r="M657" s="26" t="s">
        <v>79</v>
      </c>
      <c r="N657" s="25" t="s">
        <v>55</v>
      </c>
      <c r="O657" s="26"/>
      <c r="P657" s="26" t="s">
        <v>684</v>
      </c>
      <c r="Q657" s="26"/>
      <c r="R657" s="5"/>
      <c r="S657" s="5"/>
      <c r="T657" s="5"/>
      <c r="U657" s="5"/>
      <c r="V657" s="5"/>
      <c r="W657" s="5"/>
      <c r="X657" s="5"/>
      <c r="Y657" s="5"/>
    </row>
    <row r="658" spans="13:25" ht="45" x14ac:dyDescent="0.2">
      <c r="M658" s="26" t="s">
        <v>79</v>
      </c>
      <c r="N658" s="25" t="s">
        <v>55</v>
      </c>
      <c r="O658" s="26"/>
      <c r="P658" s="26" t="s">
        <v>685</v>
      </c>
      <c r="Q658" s="26"/>
      <c r="R658" s="5"/>
      <c r="S658" s="5"/>
      <c r="T658" s="5"/>
      <c r="U658" s="5"/>
      <c r="V658" s="5"/>
      <c r="W658" s="5"/>
      <c r="X658" s="5"/>
      <c r="Y658" s="5"/>
    </row>
    <row r="659" spans="13:25" ht="22.5" x14ac:dyDescent="0.2">
      <c r="M659" s="26" t="s">
        <v>79</v>
      </c>
      <c r="N659" s="25" t="s">
        <v>55</v>
      </c>
      <c r="O659" s="26"/>
      <c r="P659" s="26" t="s">
        <v>686</v>
      </c>
      <c r="Q659" s="26"/>
      <c r="R659" s="5"/>
      <c r="S659" s="5"/>
      <c r="T659" s="5"/>
      <c r="U659" s="5"/>
      <c r="V659" s="5"/>
      <c r="W659" s="5"/>
      <c r="X659" s="5"/>
      <c r="Y659" s="5"/>
    </row>
    <row r="660" spans="13:25" ht="22.5" x14ac:dyDescent="0.2">
      <c r="M660" s="26" t="s">
        <v>79</v>
      </c>
      <c r="N660" s="25" t="s">
        <v>55</v>
      </c>
      <c r="O660" s="26"/>
      <c r="P660" s="26" t="s">
        <v>687</v>
      </c>
      <c r="Q660" s="26"/>
      <c r="R660" s="5"/>
      <c r="S660" s="5"/>
      <c r="T660" s="5"/>
      <c r="U660" s="5"/>
      <c r="V660" s="5"/>
      <c r="W660" s="5"/>
      <c r="X660" s="5"/>
      <c r="Y660" s="5"/>
    </row>
    <row r="661" spans="13:25" ht="78.75" x14ac:dyDescent="0.2">
      <c r="M661" s="26" t="s">
        <v>79</v>
      </c>
      <c r="N661" s="25" t="s">
        <v>51</v>
      </c>
      <c r="O661" s="26"/>
      <c r="P661" s="26" t="s">
        <v>688</v>
      </c>
      <c r="Q661" s="26"/>
      <c r="R661" s="5"/>
      <c r="S661" s="5"/>
      <c r="T661" s="5"/>
      <c r="U661" s="5"/>
      <c r="V661" s="5"/>
      <c r="W661" s="5"/>
      <c r="X661" s="5"/>
      <c r="Y661" s="5"/>
    </row>
    <row r="662" spans="13:25" ht="67.5" x14ac:dyDescent="0.2">
      <c r="M662" s="26" t="s">
        <v>79</v>
      </c>
      <c r="N662" s="25" t="s">
        <v>51</v>
      </c>
      <c r="O662" s="26"/>
      <c r="P662" s="26" t="s">
        <v>689</v>
      </c>
      <c r="Q662" s="26"/>
      <c r="R662" s="5"/>
      <c r="S662" s="5"/>
      <c r="T662" s="5"/>
      <c r="U662" s="5"/>
      <c r="V662" s="5"/>
      <c r="W662" s="5"/>
      <c r="X662" s="5"/>
      <c r="Y662" s="5"/>
    </row>
    <row r="663" spans="13:25" ht="22.5" x14ac:dyDescent="0.2">
      <c r="M663" s="26" t="s">
        <v>79</v>
      </c>
      <c r="N663" s="25" t="s">
        <v>51</v>
      </c>
      <c r="O663" s="26"/>
      <c r="P663" s="26" t="s">
        <v>690</v>
      </c>
      <c r="Q663" s="26"/>
      <c r="R663" s="5"/>
      <c r="S663" s="5"/>
      <c r="T663" s="5"/>
      <c r="U663" s="5"/>
      <c r="V663" s="5"/>
      <c r="W663" s="5"/>
      <c r="X663" s="5"/>
      <c r="Y663" s="5"/>
    </row>
    <row r="664" spans="13:25" ht="78.75" x14ac:dyDescent="0.2">
      <c r="M664" s="26" t="s">
        <v>79</v>
      </c>
      <c r="N664" s="25" t="s">
        <v>51</v>
      </c>
      <c r="O664" s="26"/>
      <c r="P664" s="26" t="s">
        <v>691</v>
      </c>
      <c r="Q664" s="26"/>
      <c r="R664" s="5"/>
      <c r="S664" s="5"/>
      <c r="T664" s="5"/>
      <c r="U664" s="5"/>
      <c r="V664" s="5"/>
      <c r="W664" s="5"/>
      <c r="X664" s="5"/>
      <c r="Y664" s="5"/>
    </row>
    <row r="665" spans="13:25" ht="45" x14ac:dyDescent="0.2">
      <c r="M665" s="26" t="s">
        <v>79</v>
      </c>
      <c r="N665" s="25" t="s">
        <v>70</v>
      </c>
      <c r="O665" s="26"/>
      <c r="P665" s="26" t="s">
        <v>692</v>
      </c>
      <c r="Q665" s="26"/>
      <c r="R665" s="5"/>
      <c r="S665" s="5"/>
      <c r="T665" s="5"/>
      <c r="U665" s="5"/>
      <c r="V665" s="5"/>
      <c r="W665" s="5"/>
      <c r="X665" s="5"/>
      <c r="Y665" s="5"/>
    </row>
    <row r="666" spans="13:25" ht="67.5" x14ac:dyDescent="0.2">
      <c r="M666" s="26" t="s">
        <v>79</v>
      </c>
      <c r="N666" s="25" t="s">
        <v>51</v>
      </c>
      <c r="O666" s="26"/>
      <c r="P666" s="26" t="s">
        <v>655</v>
      </c>
      <c r="Q666" s="26"/>
      <c r="R666" s="5"/>
      <c r="S666" s="5"/>
      <c r="T666" s="5"/>
      <c r="U666" s="5"/>
      <c r="V666" s="5"/>
      <c r="W666" s="5"/>
      <c r="X666" s="5"/>
      <c r="Y666" s="5"/>
    </row>
    <row r="667" spans="13:25" ht="67.5" x14ac:dyDescent="0.2">
      <c r="M667" s="26" t="s">
        <v>79</v>
      </c>
      <c r="N667" s="25" t="s">
        <v>51</v>
      </c>
      <c r="O667" s="26"/>
      <c r="P667" s="26" t="s">
        <v>693</v>
      </c>
      <c r="Q667" s="26"/>
      <c r="R667" s="5"/>
      <c r="S667" s="5"/>
      <c r="T667" s="5"/>
      <c r="U667" s="5"/>
      <c r="V667" s="5"/>
      <c r="W667" s="5"/>
      <c r="X667" s="5"/>
      <c r="Y667" s="5"/>
    </row>
    <row r="668" spans="13:25" ht="67.5" x14ac:dyDescent="0.2">
      <c r="M668" s="26" t="s">
        <v>79</v>
      </c>
      <c r="N668" s="25" t="s">
        <v>51</v>
      </c>
      <c r="O668" s="26"/>
      <c r="P668" s="26" t="s">
        <v>694</v>
      </c>
      <c r="Q668" s="26"/>
      <c r="R668" s="5"/>
      <c r="S668" s="5"/>
      <c r="T668" s="5"/>
      <c r="U668" s="5"/>
      <c r="V668" s="5"/>
      <c r="W668" s="5"/>
      <c r="X668" s="5"/>
      <c r="Y668" s="5"/>
    </row>
    <row r="669" spans="13:25" ht="78.75" x14ac:dyDescent="0.2">
      <c r="M669" s="26" t="s">
        <v>79</v>
      </c>
      <c r="N669" s="25" t="s">
        <v>51</v>
      </c>
      <c r="O669" s="26"/>
      <c r="P669" s="26" t="s">
        <v>323</v>
      </c>
      <c r="Q669" s="26"/>
      <c r="R669" s="5"/>
      <c r="S669" s="5"/>
      <c r="T669" s="5"/>
      <c r="U669" s="5"/>
      <c r="V669" s="5"/>
      <c r="W669" s="5"/>
      <c r="X669" s="5"/>
      <c r="Y669" s="5"/>
    </row>
    <row r="670" spans="13:25" ht="22.5" x14ac:dyDescent="0.2">
      <c r="M670" s="26" t="s">
        <v>79</v>
      </c>
      <c r="N670" s="25" t="s">
        <v>51</v>
      </c>
      <c r="O670" s="26"/>
      <c r="P670" s="26" t="s">
        <v>695</v>
      </c>
      <c r="Q670" s="26"/>
      <c r="R670" s="5"/>
      <c r="S670" s="5"/>
      <c r="T670" s="5"/>
      <c r="U670" s="5"/>
      <c r="V670" s="5"/>
      <c r="W670" s="5"/>
      <c r="X670" s="5"/>
      <c r="Y670" s="5"/>
    </row>
    <row r="671" spans="13:25" ht="45" x14ac:dyDescent="0.2">
      <c r="M671" s="26" t="s">
        <v>79</v>
      </c>
      <c r="N671" s="25" t="s">
        <v>57</v>
      </c>
      <c r="O671" s="26"/>
      <c r="P671" s="26" t="s">
        <v>696</v>
      </c>
      <c r="Q671" s="26"/>
      <c r="R671" s="5"/>
      <c r="S671" s="5"/>
      <c r="T671" s="5"/>
      <c r="U671" s="5"/>
      <c r="V671" s="5"/>
      <c r="W671" s="5"/>
      <c r="X671" s="5"/>
      <c r="Y671" s="5"/>
    </row>
    <row r="672" spans="13:25" ht="56.25" x14ac:dyDescent="0.2">
      <c r="M672" s="26" t="s">
        <v>79</v>
      </c>
      <c r="N672" s="25" t="s">
        <v>55</v>
      </c>
      <c r="O672" s="26"/>
      <c r="P672" s="26" t="s">
        <v>697</v>
      </c>
      <c r="Q672" s="26"/>
      <c r="R672" s="5"/>
      <c r="S672" s="5"/>
      <c r="T672" s="5"/>
      <c r="U672" s="5"/>
      <c r="V672" s="5"/>
      <c r="W672" s="5"/>
      <c r="X672" s="5"/>
      <c r="Y672" s="5"/>
    </row>
    <row r="673" spans="13:25" ht="56.25" x14ac:dyDescent="0.2">
      <c r="M673" s="26" t="s">
        <v>79</v>
      </c>
      <c r="N673" s="25" t="s">
        <v>51</v>
      </c>
      <c r="O673" s="26"/>
      <c r="P673" s="26" t="s">
        <v>698</v>
      </c>
      <c r="Q673" s="26"/>
      <c r="R673" s="5"/>
      <c r="S673" s="5"/>
      <c r="T673" s="5"/>
      <c r="U673" s="5"/>
      <c r="V673" s="5"/>
      <c r="W673" s="5"/>
      <c r="X673" s="5"/>
      <c r="Y673" s="5"/>
    </row>
    <row r="674" spans="13:25" ht="33.75" x14ac:dyDescent="0.2">
      <c r="M674" s="26" t="s">
        <v>79</v>
      </c>
      <c r="N674" s="25" t="s">
        <v>51</v>
      </c>
      <c r="O674" s="26"/>
      <c r="P674" s="26" t="s">
        <v>699</v>
      </c>
      <c r="Q674" s="26"/>
      <c r="R674" s="5"/>
      <c r="S674" s="5"/>
      <c r="T674" s="5"/>
      <c r="U674" s="5"/>
      <c r="V674" s="5"/>
      <c r="W674" s="5"/>
      <c r="X674" s="5"/>
      <c r="Y674" s="5"/>
    </row>
    <row r="675" spans="13:25" ht="22.5" x14ac:dyDescent="0.2">
      <c r="M675" s="26" t="s">
        <v>79</v>
      </c>
      <c r="N675" s="25" t="s">
        <v>55</v>
      </c>
      <c r="O675" s="26" t="s">
        <v>700</v>
      </c>
      <c r="P675" s="26"/>
      <c r="Q675" s="26"/>
      <c r="R675" s="5"/>
      <c r="S675" s="5"/>
      <c r="T675" s="5"/>
      <c r="U675" s="5"/>
      <c r="V675" s="5"/>
      <c r="W675" s="5"/>
      <c r="X675" s="5"/>
      <c r="Y675" s="5"/>
    </row>
    <row r="676" spans="13:25" ht="22.5" x14ac:dyDescent="0.2">
      <c r="M676" s="26" t="s">
        <v>79</v>
      </c>
      <c r="N676" s="25" t="s">
        <v>51</v>
      </c>
      <c r="O676" s="26" t="s">
        <v>701</v>
      </c>
      <c r="P676" s="26"/>
      <c r="Q676" s="26"/>
      <c r="R676" s="5"/>
      <c r="S676" s="5"/>
      <c r="T676" s="5"/>
      <c r="U676" s="5"/>
      <c r="V676" s="5"/>
      <c r="W676" s="5"/>
      <c r="X676" s="5"/>
      <c r="Y676" s="5"/>
    </row>
    <row r="677" spans="13:25" ht="22.5" x14ac:dyDescent="0.2">
      <c r="M677" s="26" t="s">
        <v>79</v>
      </c>
      <c r="N677" s="25" t="s">
        <v>70</v>
      </c>
      <c r="O677" s="26"/>
      <c r="P677" s="26" t="s">
        <v>702</v>
      </c>
      <c r="Q677" s="26"/>
      <c r="R677" s="5"/>
      <c r="S677" s="5"/>
      <c r="T677" s="5"/>
      <c r="U677" s="5"/>
      <c r="V677" s="5"/>
      <c r="W677" s="5"/>
      <c r="X677" s="5"/>
      <c r="Y677" s="5"/>
    </row>
    <row r="678" spans="13:25" ht="22.5" x14ac:dyDescent="0.2">
      <c r="M678" s="26" t="s">
        <v>79</v>
      </c>
      <c r="N678" s="25" t="s">
        <v>51</v>
      </c>
      <c r="O678" s="26" t="s">
        <v>703</v>
      </c>
      <c r="P678" s="26"/>
      <c r="Q678" s="26"/>
      <c r="R678" s="5"/>
      <c r="S678" s="5"/>
      <c r="T678" s="5"/>
      <c r="U678" s="5"/>
      <c r="V678" s="5"/>
      <c r="W678" s="5"/>
      <c r="X678" s="5"/>
      <c r="Y678" s="5"/>
    </row>
    <row r="679" spans="13:25" ht="45" x14ac:dyDescent="0.2">
      <c r="M679" s="26" t="s">
        <v>79</v>
      </c>
      <c r="N679" s="25" t="s">
        <v>70</v>
      </c>
      <c r="O679" s="26"/>
      <c r="P679" s="26" t="s">
        <v>704</v>
      </c>
      <c r="Q679" s="26"/>
      <c r="R679" s="5"/>
      <c r="S679" s="5"/>
      <c r="T679" s="5"/>
      <c r="U679" s="5"/>
      <c r="V679" s="5"/>
      <c r="W679" s="5"/>
      <c r="X679" s="5"/>
      <c r="Y679" s="5"/>
    </row>
    <row r="680" spans="13:25" ht="22.5" x14ac:dyDescent="0.2">
      <c r="M680" s="26" t="s">
        <v>79</v>
      </c>
      <c r="N680" s="25" t="s">
        <v>70</v>
      </c>
      <c r="O680" s="26"/>
      <c r="P680" s="26" t="s">
        <v>705</v>
      </c>
      <c r="Q680" s="26"/>
      <c r="R680" s="5"/>
      <c r="S680" s="5"/>
      <c r="T680" s="5"/>
      <c r="U680" s="5"/>
      <c r="V680" s="5"/>
      <c r="W680" s="5"/>
      <c r="X680" s="5"/>
      <c r="Y680" s="5"/>
    </row>
    <row r="681" spans="13:25" ht="45" x14ac:dyDescent="0.2">
      <c r="M681" s="26" t="s">
        <v>79</v>
      </c>
      <c r="N681" s="25" t="s">
        <v>70</v>
      </c>
      <c r="O681" s="26"/>
      <c r="P681" s="26" t="s">
        <v>706</v>
      </c>
      <c r="Q681" s="26"/>
      <c r="R681" s="5"/>
      <c r="S681" s="5"/>
      <c r="T681" s="5"/>
      <c r="U681" s="5"/>
      <c r="V681" s="5"/>
      <c r="W681" s="5"/>
      <c r="X681" s="5"/>
      <c r="Y681" s="5"/>
    </row>
    <row r="682" spans="13:25" ht="33.75" x14ac:dyDescent="0.2">
      <c r="M682" s="26" t="s">
        <v>79</v>
      </c>
      <c r="N682" s="25" t="s">
        <v>70</v>
      </c>
      <c r="O682" s="26"/>
      <c r="P682" s="26" t="s">
        <v>707</v>
      </c>
      <c r="Q682" s="26"/>
      <c r="R682" s="5"/>
      <c r="S682" s="5"/>
      <c r="T682" s="5"/>
      <c r="U682" s="5"/>
      <c r="V682" s="5"/>
      <c r="W682" s="5"/>
      <c r="X682" s="5"/>
      <c r="Y682" s="5"/>
    </row>
    <row r="683" spans="13:25" ht="33.75" x14ac:dyDescent="0.2">
      <c r="M683" s="26" t="s">
        <v>79</v>
      </c>
      <c r="N683" s="25" t="s">
        <v>70</v>
      </c>
      <c r="O683" s="26"/>
      <c r="P683" s="26" t="s">
        <v>612</v>
      </c>
      <c r="Q683" s="26"/>
      <c r="R683" s="5"/>
      <c r="S683" s="5"/>
      <c r="T683" s="5"/>
      <c r="U683" s="5"/>
      <c r="V683" s="5"/>
      <c r="W683" s="5"/>
      <c r="X683" s="5"/>
      <c r="Y683" s="5"/>
    </row>
    <row r="684" spans="13:25" ht="33.75" x14ac:dyDescent="0.2">
      <c r="M684" s="26" t="s">
        <v>79</v>
      </c>
      <c r="N684" s="25" t="s">
        <v>70</v>
      </c>
      <c r="O684" s="26"/>
      <c r="P684" s="26" t="s">
        <v>708</v>
      </c>
      <c r="Q684" s="26"/>
      <c r="R684" s="5"/>
      <c r="S684" s="5"/>
      <c r="T684" s="5"/>
      <c r="U684" s="5"/>
      <c r="V684" s="5"/>
      <c r="W684" s="5"/>
      <c r="X684" s="5"/>
      <c r="Y684" s="5"/>
    </row>
    <row r="685" spans="13:25" ht="56.25" x14ac:dyDescent="0.2">
      <c r="M685" s="26" t="s">
        <v>79</v>
      </c>
      <c r="N685" s="25" t="s">
        <v>70</v>
      </c>
      <c r="O685" s="26"/>
      <c r="P685" s="26" t="s">
        <v>615</v>
      </c>
      <c r="Q685" s="26"/>
      <c r="R685" s="5"/>
      <c r="S685" s="5"/>
      <c r="T685" s="5"/>
      <c r="U685" s="5"/>
      <c r="V685" s="5"/>
      <c r="W685" s="5"/>
      <c r="X685" s="5"/>
      <c r="Y685" s="5"/>
    </row>
    <row r="686" spans="13:25" ht="56.25" x14ac:dyDescent="0.2">
      <c r="M686" s="26" t="s">
        <v>79</v>
      </c>
      <c r="N686" s="25" t="s">
        <v>70</v>
      </c>
      <c r="O686" s="26"/>
      <c r="P686" s="26" t="s">
        <v>709</v>
      </c>
      <c r="Q686" s="26"/>
      <c r="R686" s="5"/>
      <c r="S686" s="5"/>
      <c r="T686" s="5"/>
      <c r="U686" s="5"/>
      <c r="V686" s="5"/>
      <c r="W686" s="5"/>
      <c r="X686" s="5"/>
      <c r="Y686" s="5"/>
    </row>
    <row r="687" spans="13:25" ht="33.75" x14ac:dyDescent="0.2">
      <c r="M687" s="26" t="s">
        <v>79</v>
      </c>
      <c r="N687" s="25" t="s">
        <v>70</v>
      </c>
      <c r="O687" s="26"/>
      <c r="P687" s="26" t="s">
        <v>710</v>
      </c>
      <c r="Q687" s="26"/>
      <c r="R687" s="5"/>
      <c r="S687" s="5"/>
      <c r="T687" s="5"/>
      <c r="U687" s="5"/>
      <c r="V687" s="5"/>
      <c r="W687" s="5"/>
      <c r="X687" s="5"/>
      <c r="Y687" s="5"/>
    </row>
    <row r="688" spans="13:25" ht="33.75" x14ac:dyDescent="0.2">
      <c r="M688" s="26" t="s">
        <v>79</v>
      </c>
      <c r="N688" s="25" t="s">
        <v>70</v>
      </c>
      <c r="O688" s="26"/>
      <c r="P688" s="26" t="s">
        <v>711</v>
      </c>
      <c r="Q688" s="26"/>
      <c r="R688" s="5"/>
      <c r="S688" s="5"/>
      <c r="T688" s="5"/>
      <c r="U688" s="5"/>
      <c r="V688" s="5"/>
      <c r="W688" s="5"/>
      <c r="X688" s="5"/>
      <c r="Y688" s="5"/>
    </row>
    <row r="689" spans="13:25" ht="33.75" x14ac:dyDescent="0.2">
      <c r="M689" s="26" t="s">
        <v>79</v>
      </c>
      <c r="N689" s="25" t="s">
        <v>70</v>
      </c>
      <c r="O689" s="26"/>
      <c r="P689" s="26" t="s">
        <v>712</v>
      </c>
      <c r="Q689" s="26"/>
      <c r="R689" s="5"/>
      <c r="S689" s="5"/>
      <c r="T689" s="5"/>
      <c r="U689" s="5"/>
      <c r="V689" s="5"/>
      <c r="W689" s="5"/>
      <c r="X689" s="5"/>
      <c r="Y689" s="5"/>
    </row>
    <row r="690" spans="13:25" ht="33.75" x14ac:dyDescent="0.2">
      <c r="M690" s="26" t="s">
        <v>79</v>
      </c>
      <c r="N690" s="25" t="s">
        <v>70</v>
      </c>
      <c r="O690" s="26"/>
      <c r="P690" s="26" t="s">
        <v>713</v>
      </c>
      <c r="Q690" s="26"/>
      <c r="R690" s="5"/>
      <c r="S690" s="5"/>
      <c r="T690" s="5"/>
      <c r="U690" s="5"/>
      <c r="V690" s="5"/>
      <c r="W690" s="5"/>
      <c r="X690" s="5"/>
      <c r="Y690" s="5"/>
    </row>
    <row r="691" spans="13:25" ht="33.75" x14ac:dyDescent="0.2">
      <c r="M691" s="26" t="s">
        <v>79</v>
      </c>
      <c r="N691" s="25" t="s">
        <v>70</v>
      </c>
      <c r="O691" s="26"/>
      <c r="P691" s="26" t="s">
        <v>714</v>
      </c>
      <c r="Q691" s="26"/>
      <c r="R691" s="5"/>
      <c r="S691" s="5"/>
      <c r="T691" s="5"/>
      <c r="U691" s="5"/>
      <c r="V691" s="5"/>
      <c r="W691" s="5"/>
      <c r="X691" s="5"/>
      <c r="Y691" s="5"/>
    </row>
    <row r="692" spans="13:25" ht="33.75" x14ac:dyDescent="0.2">
      <c r="M692" s="26" t="s">
        <v>79</v>
      </c>
      <c r="N692" s="25" t="s">
        <v>70</v>
      </c>
      <c r="O692" s="26"/>
      <c r="P692" s="26" t="s">
        <v>715</v>
      </c>
      <c r="Q692" s="26"/>
      <c r="R692" s="5"/>
      <c r="S692" s="5"/>
      <c r="T692" s="5"/>
      <c r="U692" s="5"/>
      <c r="V692" s="5"/>
      <c r="W692" s="5"/>
      <c r="X692" s="5"/>
      <c r="Y692" s="5"/>
    </row>
    <row r="693" spans="13:25" ht="33.75" x14ac:dyDescent="0.2">
      <c r="M693" s="26" t="s">
        <v>79</v>
      </c>
      <c r="N693" s="25" t="s">
        <v>70</v>
      </c>
      <c r="O693" s="26"/>
      <c r="P693" s="26" t="s">
        <v>716</v>
      </c>
      <c r="Q693" s="26"/>
      <c r="R693" s="5"/>
      <c r="S693" s="5"/>
      <c r="T693" s="5"/>
      <c r="U693" s="5"/>
      <c r="V693" s="5"/>
      <c r="W693" s="5"/>
      <c r="X693" s="5"/>
      <c r="Y693" s="5"/>
    </row>
    <row r="694" spans="13:25" ht="22.5" x14ac:dyDescent="0.2">
      <c r="M694" s="26" t="s">
        <v>79</v>
      </c>
      <c r="N694" s="25" t="s">
        <v>55</v>
      </c>
      <c r="O694" s="26"/>
      <c r="P694" s="26" t="s">
        <v>717</v>
      </c>
      <c r="Q694" s="26"/>
      <c r="R694" s="5"/>
      <c r="S694" s="5"/>
      <c r="T694" s="5"/>
      <c r="U694" s="5"/>
      <c r="V694" s="5"/>
      <c r="W694" s="5"/>
      <c r="X694" s="5"/>
      <c r="Y694" s="5"/>
    </row>
    <row r="695" spans="13:25" ht="56.25" x14ac:dyDescent="0.2">
      <c r="M695" s="26" t="s">
        <v>79</v>
      </c>
      <c r="N695" s="25" t="s">
        <v>55</v>
      </c>
      <c r="O695" s="26"/>
      <c r="P695" s="26" t="s">
        <v>718</v>
      </c>
      <c r="Q695" s="26"/>
      <c r="R695" s="5"/>
      <c r="S695" s="5"/>
      <c r="T695" s="5"/>
      <c r="U695" s="5"/>
      <c r="V695" s="5"/>
      <c r="W695" s="5"/>
      <c r="X695" s="5"/>
      <c r="Y695" s="5"/>
    </row>
    <row r="696" spans="13:25" ht="33.75" x14ac:dyDescent="0.2">
      <c r="M696" s="26" t="s">
        <v>79</v>
      </c>
      <c r="N696" s="25" t="s">
        <v>70</v>
      </c>
      <c r="O696" s="26"/>
      <c r="P696" s="26" t="s">
        <v>719</v>
      </c>
      <c r="Q696" s="26"/>
      <c r="R696" s="5"/>
      <c r="S696" s="5"/>
      <c r="T696" s="5"/>
      <c r="U696" s="5"/>
      <c r="V696" s="5"/>
      <c r="W696" s="5"/>
      <c r="X696" s="5"/>
      <c r="Y696" s="5"/>
    </row>
    <row r="697" spans="13:25" ht="22.5" x14ac:dyDescent="0.2">
      <c r="M697" s="26" t="s">
        <v>79</v>
      </c>
      <c r="N697" s="25" t="s">
        <v>70</v>
      </c>
      <c r="O697" s="26"/>
      <c r="P697" s="26" t="s">
        <v>720</v>
      </c>
      <c r="Q697" s="26"/>
      <c r="R697" s="5"/>
      <c r="S697" s="5"/>
      <c r="T697" s="5"/>
      <c r="U697" s="5"/>
      <c r="V697" s="5"/>
      <c r="W697" s="5"/>
      <c r="X697" s="5"/>
      <c r="Y697" s="5"/>
    </row>
    <row r="698" spans="13:25" ht="22.5" x14ac:dyDescent="0.2">
      <c r="M698" s="26" t="s">
        <v>79</v>
      </c>
      <c r="N698" s="25" t="s">
        <v>70</v>
      </c>
      <c r="O698" s="26"/>
      <c r="P698" s="26" t="s">
        <v>721</v>
      </c>
      <c r="Q698" s="26"/>
      <c r="R698" s="5"/>
      <c r="S698" s="5"/>
      <c r="T698" s="5"/>
      <c r="U698" s="5"/>
      <c r="V698" s="5"/>
      <c r="W698" s="5"/>
      <c r="X698" s="5"/>
      <c r="Y698" s="5"/>
    </row>
    <row r="699" spans="13:25" ht="22.5" x14ac:dyDescent="0.2">
      <c r="M699" s="26" t="s">
        <v>79</v>
      </c>
      <c r="N699" s="25" t="s">
        <v>70</v>
      </c>
      <c r="O699" s="26"/>
      <c r="P699" s="26" t="s">
        <v>722</v>
      </c>
      <c r="Q699" s="26"/>
      <c r="R699" s="5"/>
      <c r="S699" s="5"/>
      <c r="T699" s="5"/>
      <c r="U699" s="5"/>
      <c r="V699" s="5"/>
      <c r="W699" s="5"/>
      <c r="X699" s="5"/>
      <c r="Y699" s="5"/>
    </row>
    <row r="700" spans="13:25" ht="45" x14ac:dyDescent="0.2">
      <c r="M700" s="26" t="s">
        <v>79</v>
      </c>
      <c r="N700" s="25" t="s">
        <v>70</v>
      </c>
      <c r="O700" s="26"/>
      <c r="P700" s="26" t="s">
        <v>723</v>
      </c>
      <c r="Q700" s="26"/>
      <c r="R700" s="5"/>
      <c r="S700" s="5"/>
      <c r="T700" s="5"/>
      <c r="U700" s="5"/>
      <c r="V700" s="5"/>
      <c r="W700" s="5"/>
      <c r="X700" s="5"/>
      <c r="Y700" s="5"/>
    </row>
    <row r="701" spans="13:25" ht="22.5" x14ac:dyDescent="0.2">
      <c r="M701" s="26" t="s">
        <v>79</v>
      </c>
      <c r="N701" s="25" t="s">
        <v>70</v>
      </c>
      <c r="O701" s="26"/>
      <c r="P701" s="26" t="s">
        <v>724</v>
      </c>
      <c r="Q701" s="26"/>
      <c r="R701" s="5"/>
      <c r="S701" s="5"/>
      <c r="T701" s="5"/>
      <c r="U701" s="5"/>
      <c r="V701" s="5"/>
      <c r="W701" s="5"/>
      <c r="X701" s="5"/>
      <c r="Y701" s="5"/>
    </row>
    <row r="702" spans="13:25" ht="22.5" x14ac:dyDescent="0.2">
      <c r="M702" s="26" t="s">
        <v>79</v>
      </c>
      <c r="N702" s="25" t="s">
        <v>70</v>
      </c>
      <c r="O702" s="26"/>
      <c r="P702" s="26" t="s">
        <v>725</v>
      </c>
      <c r="Q702" s="26"/>
      <c r="R702" s="5"/>
      <c r="S702" s="5"/>
      <c r="T702" s="5"/>
      <c r="U702" s="5"/>
      <c r="V702" s="5"/>
      <c r="W702" s="5"/>
      <c r="X702" s="5"/>
      <c r="Y702" s="5"/>
    </row>
    <row r="703" spans="13:25" ht="22.5" x14ac:dyDescent="0.2">
      <c r="M703" s="26" t="s">
        <v>79</v>
      </c>
      <c r="N703" s="25" t="s">
        <v>70</v>
      </c>
      <c r="O703" s="26"/>
      <c r="P703" s="26" t="s">
        <v>726</v>
      </c>
      <c r="Q703" s="26"/>
      <c r="R703" s="5"/>
      <c r="S703" s="5"/>
      <c r="T703" s="5"/>
      <c r="U703" s="5"/>
      <c r="V703" s="5"/>
      <c r="W703" s="5"/>
      <c r="X703" s="5"/>
      <c r="Y703" s="5"/>
    </row>
    <row r="704" spans="13:25" ht="22.5" x14ac:dyDescent="0.2">
      <c r="M704" s="26" t="s">
        <v>79</v>
      </c>
      <c r="N704" s="25" t="s">
        <v>70</v>
      </c>
      <c r="O704" s="26"/>
      <c r="P704" s="26" t="s">
        <v>727</v>
      </c>
      <c r="Q704" s="26"/>
      <c r="R704" s="5"/>
      <c r="S704" s="5"/>
      <c r="T704" s="5"/>
      <c r="U704" s="5"/>
      <c r="V704" s="5"/>
      <c r="W704" s="5"/>
      <c r="X704" s="5"/>
      <c r="Y704" s="5"/>
    </row>
    <row r="705" spans="13:25" ht="22.5" x14ac:dyDescent="0.2">
      <c r="M705" s="26" t="s">
        <v>79</v>
      </c>
      <c r="N705" s="25" t="s">
        <v>70</v>
      </c>
      <c r="O705" s="26"/>
      <c r="P705" s="26" t="s">
        <v>728</v>
      </c>
      <c r="Q705" s="26"/>
      <c r="R705" s="5"/>
      <c r="S705" s="5"/>
      <c r="T705" s="5"/>
      <c r="U705" s="5"/>
      <c r="V705" s="5"/>
      <c r="W705" s="5"/>
      <c r="X705" s="5"/>
      <c r="Y705" s="5"/>
    </row>
    <row r="706" spans="13:25" ht="22.5" x14ac:dyDescent="0.2">
      <c r="M706" s="26" t="s">
        <v>79</v>
      </c>
      <c r="N706" s="25" t="s">
        <v>70</v>
      </c>
      <c r="O706" s="26"/>
      <c r="P706" s="26" t="s">
        <v>729</v>
      </c>
      <c r="Q706" s="26"/>
      <c r="R706" s="5"/>
      <c r="S706" s="5"/>
      <c r="T706" s="5"/>
      <c r="U706" s="5"/>
      <c r="V706" s="5"/>
      <c r="W706" s="5"/>
      <c r="X706" s="5"/>
      <c r="Y706" s="5"/>
    </row>
    <row r="707" spans="13:25" ht="22.5" x14ac:dyDescent="0.2">
      <c r="M707" s="26" t="s">
        <v>79</v>
      </c>
      <c r="N707" s="25" t="s">
        <v>70</v>
      </c>
      <c r="O707" s="26"/>
      <c r="P707" s="26" t="s">
        <v>730</v>
      </c>
      <c r="Q707" s="26"/>
      <c r="R707" s="5"/>
      <c r="S707" s="5"/>
      <c r="T707" s="5"/>
      <c r="U707" s="5"/>
      <c r="V707" s="5"/>
      <c r="W707" s="5"/>
      <c r="X707" s="5"/>
      <c r="Y707" s="5"/>
    </row>
    <row r="708" spans="13:25" ht="22.5" x14ac:dyDescent="0.2">
      <c r="M708" s="26" t="s">
        <v>79</v>
      </c>
      <c r="N708" s="25" t="s">
        <v>70</v>
      </c>
      <c r="O708" s="26"/>
      <c r="P708" s="26" t="s">
        <v>731</v>
      </c>
      <c r="Q708" s="26"/>
      <c r="R708" s="5"/>
      <c r="S708" s="5"/>
      <c r="T708" s="5"/>
      <c r="U708" s="5"/>
      <c r="V708" s="5"/>
      <c r="W708" s="5"/>
      <c r="X708" s="5"/>
      <c r="Y708" s="5"/>
    </row>
    <row r="709" spans="13:25" ht="22.5" x14ac:dyDescent="0.2">
      <c r="M709" s="26" t="s">
        <v>79</v>
      </c>
      <c r="N709" s="25" t="s">
        <v>70</v>
      </c>
      <c r="O709" s="26"/>
      <c r="P709" s="26" t="s">
        <v>732</v>
      </c>
      <c r="Q709" s="26"/>
      <c r="R709" s="5"/>
      <c r="S709" s="5"/>
      <c r="T709" s="5"/>
      <c r="U709" s="5"/>
      <c r="V709" s="5"/>
      <c r="W709" s="5"/>
      <c r="X709" s="5"/>
      <c r="Y709" s="5"/>
    </row>
    <row r="710" spans="13:25" ht="22.5" x14ac:dyDescent="0.2">
      <c r="M710" s="26" t="s">
        <v>79</v>
      </c>
      <c r="N710" s="25" t="s">
        <v>70</v>
      </c>
      <c r="O710" s="26"/>
      <c r="P710" s="26" t="s">
        <v>733</v>
      </c>
      <c r="Q710" s="26"/>
      <c r="R710" s="5"/>
      <c r="S710" s="5"/>
      <c r="T710" s="5"/>
      <c r="U710" s="5"/>
      <c r="V710" s="5"/>
      <c r="W710" s="5"/>
      <c r="X710" s="5"/>
      <c r="Y710" s="5"/>
    </row>
    <row r="711" spans="13:25" ht="33.75" x14ac:dyDescent="0.2">
      <c r="M711" s="26" t="s">
        <v>79</v>
      </c>
      <c r="N711" s="25" t="s">
        <v>70</v>
      </c>
      <c r="O711" s="26"/>
      <c r="P711" s="26" t="s">
        <v>734</v>
      </c>
      <c r="Q711" s="26"/>
      <c r="R711" s="5"/>
      <c r="S711" s="5"/>
      <c r="T711" s="5"/>
      <c r="U711" s="5"/>
      <c r="V711" s="5"/>
      <c r="W711" s="5"/>
      <c r="X711" s="5"/>
      <c r="Y711" s="5"/>
    </row>
    <row r="712" spans="13:25" ht="22.5" x14ac:dyDescent="0.2">
      <c r="M712" s="26" t="s">
        <v>79</v>
      </c>
      <c r="N712" s="25" t="s">
        <v>51</v>
      </c>
      <c r="O712" s="26" t="s">
        <v>735</v>
      </c>
      <c r="P712" s="26"/>
      <c r="Q712" s="26"/>
      <c r="R712" s="5"/>
      <c r="S712" s="5"/>
      <c r="T712" s="5"/>
      <c r="U712" s="5"/>
      <c r="V712" s="5"/>
      <c r="W712" s="5"/>
      <c r="X712" s="5"/>
      <c r="Y712" s="5"/>
    </row>
    <row r="713" spans="13:25" ht="22.5" x14ac:dyDescent="0.2">
      <c r="M713" s="26" t="s">
        <v>79</v>
      </c>
      <c r="N713" s="25" t="s">
        <v>55</v>
      </c>
      <c r="O713" s="26"/>
      <c r="P713" s="26" t="s">
        <v>736</v>
      </c>
      <c r="Q713" s="26"/>
      <c r="R713" s="5"/>
      <c r="S713" s="5"/>
      <c r="T713" s="5"/>
      <c r="U713" s="5"/>
      <c r="V713" s="5"/>
      <c r="W713" s="5"/>
      <c r="X713" s="5"/>
      <c r="Y713" s="5"/>
    </row>
    <row r="714" spans="13:25" ht="22.5" x14ac:dyDescent="0.2">
      <c r="M714" s="26" t="s">
        <v>79</v>
      </c>
      <c r="N714" s="25" t="s">
        <v>55</v>
      </c>
      <c r="O714" s="26"/>
      <c r="P714" s="26" t="s">
        <v>737</v>
      </c>
      <c r="Q714" s="26"/>
      <c r="R714" s="5"/>
      <c r="S714" s="5"/>
      <c r="T714" s="5"/>
      <c r="U714" s="5"/>
      <c r="V714" s="5"/>
      <c r="W714" s="5"/>
      <c r="X714" s="5"/>
      <c r="Y714" s="5"/>
    </row>
    <row r="715" spans="13:25" ht="45" x14ac:dyDescent="0.2">
      <c r="M715" s="26" t="s">
        <v>79</v>
      </c>
      <c r="N715" s="25" t="s">
        <v>55</v>
      </c>
      <c r="O715" s="26"/>
      <c r="P715" s="26" t="s">
        <v>738</v>
      </c>
      <c r="Q715" s="26"/>
      <c r="R715" s="5"/>
      <c r="S715" s="5"/>
      <c r="T715" s="5"/>
      <c r="U715" s="5"/>
      <c r="V715" s="5"/>
      <c r="W715" s="5"/>
      <c r="X715" s="5"/>
      <c r="Y715" s="5"/>
    </row>
    <row r="716" spans="13:25" ht="45" x14ac:dyDescent="0.2">
      <c r="M716" s="26" t="s">
        <v>79</v>
      </c>
      <c r="N716" s="25" t="s">
        <v>55</v>
      </c>
      <c r="O716" s="26"/>
      <c r="P716" s="26" t="s">
        <v>739</v>
      </c>
      <c r="Q716" s="26"/>
      <c r="R716" s="5"/>
      <c r="S716" s="5"/>
      <c r="T716" s="5"/>
      <c r="U716" s="5"/>
      <c r="V716" s="5"/>
      <c r="W716" s="5"/>
      <c r="X716" s="5"/>
      <c r="Y716" s="5"/>
    </row>
    <row r="717" spans="13:25" ht="22.5" x14ac:dyDescent="0.2">
      <c r="M717" s="26" t="s">
        <v>79</v>
      </c>
      <c r="N717" s="25" t="s">
        <v>55</v>
      </c>
      <c r="O717" s="26"/>
      <c r="P717" s="26" t="s">
        <v>740</v>
      </c>
      <c r="Q717" s="26"/>
      <c r="R717" s="5"/>
      <c r="S717" s="5"/>
      <c r="T717" s="5"/>
      <c r="U717" s="5"/>
      <c r="V717" s="5"/>
      <c r="W717" s="5"/>
      <c r="X717" s="5"/>
      <c r="Y717" s="5"/>
    </row>
    <row r="718" spans="13:25" ht="22.5" x14ac:dyDescent="0.2">
      <c r="M718" s="26" t="s">
        <v>79</v>
      </c>
      <c r="N718" s="25" t="s">
        <v>55</v>
      </c>
      <c r="O718" s="26"/>
      <c r="P718" s="26" t="s">
        <v>741</v>
      </c>
      <c r="Q718" s="26"/>
      <c r="R718" s="5"/>
      <c r="S718" s="5"/>
      <c r="T718" s="5"/>
      <c r="U718" s="5"/>
      <c r="V718" s="5"/>
      <c r="W718" s="5"/>
      <c r="X718" s="5"/>
      <c r="Y718" s="5"/>
    </row>
    <row r="719" spans="13:25" ht="22.5" x14ac:dyDescent="0.2">
      <c r="M719" s="26" t="s">
        <v>79</v>
      </c>
      <c r="N719" s="25" t="s">
        <v>55</v>
      </c>
      <c r="O719" s="26"/>
      <c r="P719" s="26" t="s">
        <v>742</v>
      </c>
      <c r="Q719" s="26"/>
      <c r="R719" s="5"/>
      <c r="S719" s="5"/>
      <c r="T719" s="5"/>
      <c r="U719" s="5"/>
      <c r="V719" s="5"/>
      <c r="W719" s="5"/>
      <c r="X719" s="5"/>
      <c r="Y719" s="5"/>
    </row>
    <row r="720" spans="13:25" ht="33.75" x14ac:dyDescent="0.2">
      <c r="M720" s="26" t="s">
        <v>79</v>
      </c>
      <c r="N720" s="25" t="s">
        <v>55</v>
      </c>
      <c r="O720" s="26"/>
      <c r="P720" s="26" t="s">
        <v>743</v>
      </c>
      <c r="Q720" s="26"/>
      <c r="R720" s="5"/>
      <c r="S720" s="5"/>
      <c r="T720" s="5"/>
      <c r="U720" s="5"/>
      <c r="V720" s="5"/>
      <c r="W720" s="5"/>
      <c r="X720" s="5"/>
      <c r="Y720" s="5"/>
    </row>
    <row r="721" spans="13:25" ht="33.75" x14ac:dyDescent="0.2">
      <c r="M721" s="26" t="s">
        <v>79</v>
      </c>
      <c r="N721" s="25" t="s">
        <v>55</v>
      </c>
      <c r="O721" s="26"/>
      <c r="P721" s="26" t="s">
        <v>744</v>
      </c>
      <c r="Q721" s="26"/>
      <c r="R721" s="5"/>
      <c r="S721" s="5"/>
      <c r="T721" s="5"/>
      <c r="U721" s="5"/>
      <c r="V721" s="5"/>
      <c r="W721" s="5"/>
      <c r="X721" s="5"/>
      <c r="Y721" s="5"/>
    </row>
    <row r="722" spans="13:25" ht="67.5" x14ac:dyDescent="0.2">
      <c r="M722" s="26" t="s">
        <v>79</v>
      </c>
      <c r="N722" s="25" t="s">
        <v>55</v>
      </c>
      <c r="O722" s="26"/>
      <c r="P722" s="26" t="s">
        <v>745</v>
      </c>
      <c r="Q722" s="26"/>
      <c r="R722" s="5"/>
      <c r="S722" s="5"/>
      <c r="T722" s="5"/>
      <c r="U722" s="5"/>
      <c r="V722" s="5"/>
      <c r="W722" s="5"/>
      <c r="X722" s="5"/>
      <c r="Y722" s="5"/>
    </row>
    <row r="723" spans="13:25" ht="67.5" x14ac:dyDescent="0.2">
      <c r="M723" s="26" t="s">
        <v>79</v>
      </c>
      <c r="N723" s="25" t="s">
        <v>55</v>
      </c>
      <c r="O723" s="26"/>
      <c r="P723" s="26" t="s">
        <v>746</v>
      </c>
      <c r="Q723" s="26"/>
      <c r="R723" s="5"/>
      <c r="S723" s="5"/>
      <c r="T723" s="5"/>
      <c r="U723" s="5"/>
      <c r="V723" s="5"/>
      <c r="W723" s="5"/>
      <c r="X723" s="5"/>
      <c r="Y723" s="5"/>
    </row>
    <row r="724" spans="13:25" ht="33.75" x14ac:dyDescent="0.2">
      <c r="M724" s="26" t="s">
        <v>79</v>
      </c>
      <c r="N724" s="25" t="s">
        <v>55</v>
      </c>
      <c r="O724" s="26"/>
      <c r="P724" s="26" t="s">
        <v>747</v>
      </c>
      <c r="Q724" s="26"/>
      <c r="R724" s="5"/>
      <c r="S724" s="5"/>
      <c r="T724" s="5"/>
      <c r="U724" s="5"/>
      <c r="V724" s="5"/>
      <c r="W724" s="5"/>
      <c r="X724" s="5"/>
      <c r="Y724" s="5"/>
    </row>
    <row r="725" spans="13:25" ht="22.5" x14ac:dyDescent="0.2">
      <c r="M725" s="26" t="s">
        <v>79</v>
      </c>
      <c r="N725" s="25" t="s">
        <v>55</v>
      </c>
      <c r="O725" s="26"/>
      <c r="P725" s="26" t="s">
        <v>748</v>
      </c>
      <c r="Q725" s="26"/>
      <c r="R725" s="5"/>
      <c r="S725" s="5"/>
      <c r="T725" s="5"/>
      <c r="U725" s="5"/>
      <c r="V725" s="5"/>
      <c r="W725" s="5"/>
      <c r="X725" s="5"/>
      <c r="Y725" s="5"/>
    </row>
    <row r="726" spans="13:25" ht="22.5" x14ac:dyDescent="0.2">
      <c r="M726" s="26" t="s">
        <v>79</v>
      </c>
      <c r="N726" s="25" t="s">
        <v>55</v>
      </c>
      <c r="O726" s="26"/>
      <c r="P726" s="26" t="s">
        <v>749</v>
      </c>
      <c r="Q726" s="26"/>
      <c r="R726" s="5"/>
      <c r="S726" s="5"/>
      <c r="T726" s="5"/>
      <c r="U726" s="5"/>
      <c r="V726" s="5"/>
      <c r="W726" s="5"/>
      <c r="X726" s="5"/>
      <c r="Y726" s="5"/>
    </row>
    <row r="727" spans="13:25" ht="22.5" x14ac:dyDescent="0.2">
      <c r="M727" s="26" t="s">
        <v>79</v>
      </c>
      <c r="N727" s="25" t="s">
        <v>51</v>
      </c>
      <c r="O727" s="26"/>
      <c r="P727" s="26" t="s">
        <v>750</v>
      </c>
      <c r="Q727" s="26"/>
      <c r="R727" s="5"/>
      <c r="S727" s="5"/>
      <c r="T727" s="5"/>
      <c r="U727" s="5"/>
      <c r="V727" s="5"/>
      <c r="W727" s="5"/>
      <c r="X727" s="5"/>
      <c r="Y727" s="5"/>
    </row>
    <row r="728" spans="13:25" ht="22.5" x14ac:dyDescent="0.2">
      <c r="M728" s="26" t="s">
        <v>79</v>
      </c>
      <c r="N728" s="25" t="s">
        <v>51</v>
      </c>
      <c r="O728" s="26" t="s">
        <v>751</v>
      </c>
      <c r="P728" s="26"/>
      <c r="Q728" s="26"/>
      <c r="R728" s="5"/>
      <c r="S728" s="5"/>
      <c r="T728" s="5"/>
      <c r="U728" s="5"/>
      <c r="V728" s="5"/>
      <c r="W728" s="5"/>
      <c r="X728" s="5"/>
      <c r="Y728" s="5"/>
    </row>
    <row r="729" spans="13:25" ht="56.25" x14ac:dyDescent="0.2">
      <c r="M729" s="26" t="s">
        <v>79</v>
      </c>
      <c r="N729" s="25" t="s">
        <v>55</v>
      </c>
      <c r="O729" s="26"/>
      <c r="P729" s="26" t="s">
        <v>752</v>
      </c>
      <c r="Q729" s="26"/>
      <c r="R729" s="5"/>
      <c r="S729" s="5"/>
      <c r="T729" s="5"/>
      <c r="U729" s="5"/>
      <c r="V729" s="5"/>
      <c r="W729" s="5"/>
      <c r="X729" s="5"/>
      <c r="Y729" s="5"/>
    </row>
    <row r="730" spans="13:25" ht="56.25" x14ac:dyDescent="0.2">
      <c r="M730" s="26" t="s">
        <v>79</v>
      </c>
      <c r="N730" s="25" t="s">
        <v>55</v>
      </c>
      <c r="O730" s="26"/>
      <c r="P730" s="26" t="s">
        <v>753</v>
      </c>
      <c r="Q730" s="26"/>
      <c r="R730" s="5"/>
      <c r="S730" s="5"/>
      <c r="T730" s="5"/>
      <c r="U730" s="5"/>
      <c r="V730" s="5"/>
      <c r="W730" s="5"/>
      <c r="X730" s="5"/>
      <c r="Y730" s="5"/>
    </row>
    <row r="731" spans="13:25" ht="56.25" x14ac:dyDescent="0.2">
      <c r="M731" s="26" t="s">
        <v>79</v>
      </c>
      <c r="N731" s="25" t="s">
        <v>55</v>
      </c>
      <c r="O731" s="26"/>
      <c r="P731" s="26" t="s">
        <v>752</v>
      </c>
      <c r="Q731" s="26"/>
      <c r="R731" s="5"/>
      <c r="S731" s="5"/>
      <c r="T731" s="5"/>
      <c r="U731" s="5"/>
      <c r="V731" s="5"/>
      <c r="W731" s="5"/>
      <c r="X731" s="5"/>
      <c r="Y731" s="5"/>
    </row>
    <row r="732" spans="13:25" ht="56.25" x14ac:dyDescent="0.2">
      <c r="M732" s="26" t="s">
        <v>79</v>
      </c>
      <c r="N732" s="25" t="s">
        <v>55</v>
      </c>
      <c r="O732" s="26"/>
      <c r="P732" s="26" t="s">
        <v>754</v>
      </c>
      <c r="Q732" s="26"/>
      <c r="R732" s="5"/>
      <c r="S732" s="5"/>
      <c r="T732" s="5"/>
      <c r="U732" s="5"/>
      <c r="V732" s="5"/>
      <c r="W732" s="5"/>
      <c r="X732" s="5"/>
      <c r="Y732" s="5"/>
    </row>
    <row r="733" spans="13:25" ht="56.25" x14ac:dyDescent="0.2">
      <c r="M733" s="26" t="s">
        <v>79</v>
      </c>
      <c r="N733" s="25" t="s">
        <v>55</v>
      </c>
      <c r="O733" s="26"/>
      <c r="P733" s="26" t="s">
        <v>755</v>
      </c>
      <c r="Q733" s="26"/>
      <c r="R733" s="5"/>
      <c r="S733" s="5"/>
      <c r="T733" s="5"/>
      <c r="U733" s="5"/>
      <c r="V733" s="5"/>
      <c r="W733" s="5"/>
      <c r="X733" s="5"/>
      <c r="Y733" s="5"/>
    </row>
    <row r="734" spans="13:25" ht="56.25" x14ac:dyDescent="0.2">
      <c r="M734" s="26" t="s">
        <v>79</v>
      </c>
      <c r="N734" s="25" t="s">
        <v>55</v>
      </c>
      <c r="O734" s="26"/>
      <c r="P734" s="26" t="s">
        <v>756</v>
      </c>
      <c r="Q734" s="26"/>
      <c r="R734" s="5"/>
      <c r="S734" s="5"/>
      <c r="T734" s="5"/>
      <c r="U734" s="5"/>
      <c r="V734" s="5"/>
      <c r="W734" s="5"/>
      <c r="X734" s="5"/>
      <c r="Y734" s="5"/>
    </row>
    <row r="735" spans="13:25" ht="56.25" x14ac:dyDescent="0.2">
      <c r="M735" s="26" t="s">
        <v>79</v>
      </c>
      <c r="N735" s="25" t="s">
        <v>55</v>
      </c>
      <c r="O735" s="26"/>
      <c r="P735" s="26" t="s">
        <v>755</v>
      </c>
      <c r="Q735" s="26"/>
      <c r="R735" s="5"/>
      <c r="S735" s="5"/>
      <c r="T735" s="5"/>
      <c r="U735" s="5"/>
      <c r="V735" s="5"/>
      <c r="W735" s="5"/>
      <c r="X735" s="5"/>
      <c r="Y735" s="5"/>
    </row>
    <row r="736" spans="13:25" ht="56.25" x14ac:dyDescent="0.2">
      <c r="M736" s="26" t="s">
        <v>79</v>
      </c>
      <c r="N736" s="25" t="s">
        <v>55</v>
      </c>
      <c r="O736" s="26"/>
      <c r="P736" s="26" t="s">
        <v>757</v>
      </c>
      <c r="Q736" s="26"/>
      <c r="R736" s="5"/>
      <c r="S736" s="5"/>
      <c r="T736" s="5"/>
      <c r="U736" s="5"/>
      <c r="V736" s="5"/>
      <c r="W736" s="5"/>
      <c r="X736" s="5"/>
      <c r="Y736" s="5"/>
    </row>
    <row r="737" spans="13:25" ht="33.75" x14ac:dyDescent="0.2">
      <c r="M737" s="26" t="s">
        <v>79</v>
      </c>
      <c r="N737" s="25" t="s">
        <v>55</v>
      </c>
      <c r="O737" s="26"/>
      <c r="P737" s="26" t="s">
        <v>758</v>
      </c>
      <c r="Q737" s="26"/>
      <c r="R737" s="5"/>
      <c r="S737" s="5"/>
      <c r="T737" s="5"/>
      <c r="U737" s="5"/>
      <c r="V737" s="5"/>
      <c r="W737" s="5"/>
      <c r="X737" s="5"/>
      <c r="Y737" s="5"/>
    </row>
    <row r="738" spans="13:25" ht="33.75" x14ac:dyDescent="0.2">
      <c r="M738" s="26" t="s">
        <v>79</v>
      </c>
      <c r="N738" s="25" t="s">
        <v>55</v>
      </c>
      <c r="O738" s="26"/>
      <c r="P738" s="26" t="s">
        <v>759</v>
      </c>
      <c r="Q738" s="26"/>
      <c r="R738" s="5"/>
      <c r="S738" s="5"/>
      <c r="T738" s="5"/>
      <c r="U738" s="5"/>
      <c r="V738" s="5"/>
      <c r="W738" s="5"/>
      <c r="X738" s="5"/>
      <c r="Y738" s="5"/>
    </row>
    <row r="739" spans="13:25" ht="22.5" x14ac:dyDescent="0.2">
      <c r="M739" s="26" t="s">
        <v>79</v>
      </c>
      <c r="N739" s="25" t="s">
        <v>51</v>
      </c>
      <c r="O739" s="26" t="s">
        <v>760</v>
      </c>
      <c r="P739" s="26"/>
      <c r="Q739" s="26"/>
      <c r="R739" s="5"/>
      <c r="S739" s="5"/>
      <c r="T739" s="5"/>
      <c r="U739" s="5"/>
      <c r="V739" s="5"/>
      <c r="W739" s="5"/>
      <c r="X739" s="5"/>
      <c r="Y739" s="5"/>
    </row>
    <row r="740" spans="13:25" ht="22.5" x14ac:dyDescent="0.2">
      <c r="M740" s="26" t="s">
        <v>79</v>
      </c>
      <c r="N740" s="25" t="s">
        <v>55</v>
      </c>
      <c r="O740" s="26"/>
      <c r="P740" s="26" t="s">
        <v>761</v>
      </c>
      <c r="Q740" s="26"/>
      <c r="R740" s="5"/>
      <c r="S740" s="5"/>
      <c r="T740" s="5"/>
      <c r="U740" s="5"/>
      <c r="V740" s="5"/>
      <c r="W740" s="5"/>
      <c r="X740" s="5"/>
      <c r="Y740" s="5"/>
    </row>
    <row r="741" spans="13:25" ht="22.5" x14ac:dyDescent="0.2">
      <c r="M741" s="26" t="s">
        <v>79</v>
      </c>
      <c r="N741" s="25" t="s">
        <v>55</v>
      </c>
      <c r="O741" s="26"/>
      <c r="P741" s="26" t="s">
        <v>762</v>
      </c>
      <c r="Q741" s="26"/>
      <c r="R741" s="5"/>
      <c r="S741" s="5"/>
      <c r="T741" s="5"/>
      <c r="U741" s="5"/>
      <c r="V741" s="5"/>
      <c r="W741" s="5"/>
      <c r="X741" s="5"/>
      <c r="Y741" s="5"/>
    </row>
    <row r="742" spans="13:25" ht="22.5" x14ac:dyDescent="0.2">
      <c r="M742" s="26" t="s">
        <v>79</v>
      </c>
      <c r="N742" s="25" t="s">
        <v>55</v>
      </c>
      <c r="O742" s="26"/>
      <c r="P742" s="26" t="s">
        <v>763</v>
      </c>
      <c r="Q742" s="26"/>
      <c r="R742" s="5"/>
      <c r="S742" s="5"/>
      <c r="T742" s="5"/>
      <c r="U742" s="5"/>
      <c r="V742" s="5"/>
      <c r="W742" s="5"/>
      <c r="X742" s="5"/>
      <c r="Y742" s="5"/>
    </row>
    <row r="743" spans="13:25" ht="22.5" x14ac:dyDescent="0.2">
      <c r="M743" s="26" t="s">
        <v>79</v>
      </c>
      <c r="N743" s="25" t="s">
        <v>55</v>
      </c>
      <c r="O743" s="26"/>
      <c r="P743" s="26" t="s">
        <v>764</v>
      </c>
      <c r="Q743" s="26"/>
      <c r="R743" s="5"/>
      <c r="S743" s="5"/>
      <c r="T743" s="5"/>
      <c r="U743" s="5"/>
      <c r="V743" s="5"/>
      <c r="W743" s="5"/>
      <c r="X743" s="5"/>
      <c r="Y743" s="5"/>
    </row>
    <row r="744" spans="13:25" ht="22.5" x14ac:dyDescent="0.2">
      <c r="M744" s="26" t="s">
        <v>79</v>
      </c>
      <c r="N744" s="25" t="s">
        <v>51</v>
      </c>
      <c r="O744" s="26" t="s">
        <v>765</v>
      </c>
      <c r="P744" s="26"/>
      <c r="Q744" s="26"/>
      <c r="R744" s="5"/>
      <c r="S744" s="5"/>
      <c r="T744" s="5"/>
      <c r="U744" s="5"/>
      <c r="V744" s="5"/>
      <c r="W744" s="5"/>
      <c r="X744" s="5"/>
      <c r="Y744" s="5"/>
    </row>
    <row r="745" spans="13:25" ht="22.5" x14ac:dyDescent="0.2">
      <c r="M745" s="26" t="s">
        <v>79</v>
      </c>
      <c r="N745" s="25" t="s">
        <v>51</v>
      </c>
      <c r="O745" s="26"/>
      <c r="P745" s="26" t="s">
        <v>766</v>
      </c>
      <c r="Q745" s="26"/>
      <c r="R745" s="5"/>
      <c r="S745" s="5"/>
      <c r="T745" s="5"/>
      <c r="U745" s="5"/>
      <c r="V745" s="5"/>
      <c r="W745" s="5"/>
      <c r="X745" s="5"/>
      <c r="Y745" s="5"/>
    </row>
    <row r="746" spans="13:25" ht="22.5" x14ac:dyDescent="0.2">
      <c r="M746" s="26" t="s">
        <v>79</v>
      </c>
      <c r="N746" s="25" t="s">
        <v>51</v>
      </c>
      <c r="O746" s="26"/>
      <c r="P746" s="26" t="s">
        <v>767</v>
      </c>
      <c r="Q746" s="26"/>
      <c r="R746" s="5"/>
      <c r="S746" s="5"/>
      <c r="T746" s="5"/>
      <c r="U746" s="5"/>
      <c r="V746" s="5"/>
      <c r="W746" s="5"/>
      <c r="X746" s="5"/>
      <c r="Y746" s="5"/>
    </row>
    <row r="747" spans="13:25" ht="33.75" x14ac:dyDescent="0.2">
      <c r="M747" s="26" t="s">
        <v>79</v>
      </c>
      <c r="N747" s="25" t="s">
        <v>51</v>
      </c>
      <c r="O747" s="26"/>
      <c r="P747" s="26" t="s">
        <v>768</v>
      </c>
      <c r="Q747" s="26"/>
      <c r="R747" s="5"/>
      <c r="S747" s="5"/>
      <c r="T747" s="5"/>
      <c r="U747" s="5"/>
      <c r="V747" s="5"/>
      <c r="W747" s="5"/>
      <c r="X747" s="5"/>
      <c r="Y747" s="5"/>
    </row>
    <row r="748" spans="13:25" ht="33.75" x14ac:dyDescent="0.2">
      <c r="M748" s="26" t="s">
        <v>79</v>
      </c>
      <c r="N748" s="25" t="s">
        <v>51</v>
      </c>
      <c r="O748" s="26"/>
      <c r="P748" s="26" t="s">
        <v>769</v>
      </c>
      <c r="Q748" s="26"/>
      <c r="R748" s="5"/>
      <c r="S748" s="5"/>
      <c r="T748" s="5"/>
      <c r="U748" s="5"/>
      <c r="V748" s="5"/>
      <c r="W748" s="5"/>
      <c r="X748" s="5"/>
      <c r="Y748" s="5"/>
    </row>
    <row r="749" spans="13:25" ht="22.5" x14ac:dyDescent="0.2">
      <c r="M749" s="26" t="s">
        <v>79</v>
      </c>
      <c r="N749" s="25" t="s">
        <v>51</v>
      </c>
      <c r="O749" s="26"/>
      <c r="P749" s="26" t="s">
        <v>770</v>
      </c>
      <c r="Q749" s="26"/>
      <c r="R749" s="5"/>
      <c r="S749" s="5"/>
      <c r="T749" s="5"/>
      <c r="U749" s="5"/>
      <c r="V749" s="5"/>
      <c r="W749" s="5"/>
      <c r="X749" s="5"/>
      <c r="Y749" s="5"/>
    </row>
    <row r="750" spans="13:25" ht="22.5" x14ac:dyDescent="0.2">
      <c r="M750" s="26" t="s">
        <v>79</v>
      </c>
      <c r="N750" s="25" t="s">
        <v>51</v>
      </c>
      <c r="O750" s="26"/>
      <c r="P750" s="26" t="s">
        <v>771</v>
      </c>
      <c r="Q750" s="26"/>
      <c r="R750" s="5"/>
      <c r="S750" s="5"/>
      <c r="T750" s="5"/>
      <c r="U750" s="5"/>
      <c r="V750" s="5"/>
      <c r="W750" s="5"/>
      <c r="X750" s="5"/>
      <c r="Y750" s="5"/>
    </row>
    <row r="751" spans="13:25" ht="22.5" x14ac:dyDescent="0.2">
      <c r="M751" s="26" t="s">
        <v>79</v>
      </c>
      <c r="N751" s="25" t="s">
        <v>51</v>
      </c>
      <c r="O751" s="26" t="s">
        <v>772</v>
      </c>
      <c r="P751" s="26"/>
      <c r="Q751" s="26"/>
      <c r="R751" s="5"/>
      <c r="S751" s="5"/>
      <c r="T751" s="5"/>
      <c r="U751" s="5"/>
      <c r="V751" s="5"/>
      <c r="W751" s="5"/>
      <c r="X751" s="5"/>
      <c r="Y751" s="5"/>
    </row>
    <row r="752" spans="13:25" ht="22.5" x14ac:dyDescent="0.2">
      <c r="M752" s="26" t="s">
        <v>79</v>
      </c>
      <c r="N752" s="25" t="s">
        <v>55</v>
      </c>
      <c r="O752" s="26"/>
      <c r="P752" s="26" t="s">
        <v>773</v>
      </c>
      <c r="Q752" s="26"/>
      <c r="R752" s="5"/>
      <c r="S752" s="5"/>
      <c r="T752" s="5"/>
      <c r="U752" s="5"/>
      <c r="V752" s="5"/>
      <c r="W752" s="5"/>
      <c r="X752" s="5"/>
      <c r="Y752" s="5"/>
    </row>
    <row r="753" spans="13:25" ht="33.75" x14ac:dyDescent="0.2">
      <c r="M753" s="26" t="s">
        <v>79</v>
      </c>
      <c r="N753" s="25" t="s">
        <v>55</v>
      </c>
      <c r="O753" s="26"/>
      <c r="P753" s="26" t="s">
        <v>774</v>
      </c>
      <c r="Q753" s="26"/>
      <c r="R753" s="5"/>
      <c r="S753" s="5"/>
      <c r="T753" s="5"/>
      <c r="U753" s="5"/>
      <c r="V753" s="5"/>
      <c r="W753" s="5"/>
      <c r="X753" s="5"/>
      <c r="Y753" s="5"/>
    </row>
    <row r="754" spans="13:25" ht="45" x14ac:dyDescent="0.2">
      <c r="M754" s="26" t="s">
        <v>79</v>
      </c>
      <c r="N754" s="25" t="s">
        <v>55</v>
      </c>
      <c r="O754" s="26"/>
      <c r="P754" s="26" t="s">
        <v>775</v>
      </c>
      <c r="Q754" s="26"/>
      <c r="R754" s="5"/>
      <c r="S754" s="5"/>
      <c r="T754" s="5"/>
      <c r="U754" s="5"/>
      <c r="V754" s="5"/>
      <c r="W754" s="5"/>
      <c r="X754" s="5"/>
      <c r="Y754" s="5"/>
    </row>
    <row r="755" spans="13:25" ht="22.5" x14ac:dyDescent="0.2">
      <c r="M755" s="26" t="s">
        <v>79</v>
      </c>
      <c r="N755" s="25" t="s">
        <v>55</v>
      </c>
      <c r="O755" s="26"/>
      <c r="P755" s="26" t="s">
        <v>776</v>
      </c>
      <c r="Q755" s="26"/>
      <c r="R755" s="5"/>
      <c r="S755" s="5"/>
      <c r="T755" s="5"/>
      <c r="U755" s="5"/>
      <c r="V755" s="5"/>
      <c r="W755" s="5"/>
      <c r="X755" s="5"/>
      <c r="Y755" s="5"/>
    </row>
    <row r="756" spans="13:25" ht="22.5" x14ac:dyDescent="0.2">
      <c r="M756" s="26" t="s">
        <v>79</v>
      </c>
      <c r="N756" s="25" t="s">
        <v>55</v>
      </c>
      <c r="O756" s="26"/>
      <c r="P756" s="26" t="s">
        <v>777</v>
      </c>
      <c r="Q756" s="26"/>
      <c r="R756" s="5"/>
      <c r="S756" s="5"/>
      <c r="T756" s="5"/>
      <c r="U756" s="5"/>
      <c r="V756" s="5"/>
      <c r="W756" s="5"/>
      <c r="X756" s="5"/>
      <c r="Y756" s="5"/>
    </row>
    <row r="757" spans="13:25" ht="33.75" x14ac:dyDescent="0.2">
      <c r="M757" s="26" t="s">
        <v>79</v>
      </c>
      <c r="N757" s="25" t="s">
        <v>55</v>
      </c>
      <c r="O757" s="26"/>
      <c r="P757" s="26" t="s">
        <v>143</v>
      </c>
      <c r="Q757" s="26"/>
      <c r="R757" s="5"/>
      <c r="S757" s="5"/>
      <c r="T757" s="5"/>
      <c r="U757" s="5"/>
      <c r="V757" s="5"/>
      <c r="W757" s="5"/>
      <c r="X757" s="5"/>
      <c r="Y757" s="5"/>
    </row>
    <row r="758" spans="13:25" ht="33.75" x14ac:dyDescent="0.2">
      <c r="M758" s="26" t="s">
        <v>79</v>
      </c>
      <c r="N758" s="25" t="s">
        <v>55</v>
      </c>
      <c r="O758" s="26"/>
      <c r="P758" s="26" t="s">
        <v>144</v>
      </c>
      <c r="Q758" s="26"/>
      <c r="R758" s="5"/>
      <c r="S758" s="5"/>
      <c r="T758" s="5"/>
      <c r="U758" s="5"/>
      <c r="V758" s="5"/>
      <c r="W758" s="5"/>
      <c r="X758" s="5"/>
      <c r="Y758" s="5"/>
    </row>
    <row r="759" spans="13:25" ht="33.75" x14ac:dyDescent="0.2">
      <c r="M759" s="26" t="s">
        <v>79</v>
      </c>
      <c r="N759" s="25" t="s">
        <v>55</v>
      </c>
      <c r="O759" s="26"/>
      <c r="P759" s="26" t="s">
        <v>778</v>
      </c>
      <c r="Q759" s="26"/>
      <c r="R759" s="5"/>
      <c r="S759" s="5"/>
      <c r="T759" s="5"/>
      <c r="U759" s="5"/>
      <c r="V759" s="5"/>
      <c r="W759" s="5"/>
      <c r="X759" s="5"/>
      <c r="Y759" s="5"/>
    </row>
    <row r="760" spans="13:25" ht="22.5" x14ac:dyDescent="0.2">
      <c r="M760" s="26" t="s">
        <v>79</v>
      </c>
      <c r="N760" s="25" t="s">
        <v>55</v>
      </c>
      <c r="O760" s="26"/>
      <c r="P760" s="26" t="s">
        <v>779</v>
      </c>
      <c r="Q760" s="26"/>
      <c r="R760" s="5"/>
      <c r="S760" s="5"/>
      <c r="T760" s="5"/>
      <c r="U760" s="5"/>
      <c r="V760" s="5"/>
      <c r="W760" s="5"/>
      <c r="X760" s="5"/>
      <c r="Y760" s="5"/>
    </row>
    <row r="761" spans="13:25" ht="22.5" x14ac:dyDescent="0.2">
      <c r="M761" s="26" t="s">
        <v>79</v>
      </c>
      <c r="N761" s="25" t="s">
        <v>55</v>
      </c>
      <c r="O761" s="26"/>
      <c r="P761" s="26" t="s">
        <v>779</v>
      </c>
      <c r="Q761" s="26"/>
      <c r="R761" s="5"/>
      <c r="S761" s="5"/>
      <c r="T761" s="5"/>
      <c r="U761" s="5"/>
      <c r="V761" s="5"/>
      <c r="W761" s="5"/>
      <c r="X761" s="5"/>
      <c r="Y761" s="5"/>
    </row>
    <row r="762" spans="13:25" ht="33.75" x14ac:dyDescent="0.2">
      <c r="M762" s="26" t="s">
        <v>79</v>
      </c>
      <c r="N762" s="25" t="s">
        <v>55</v>
      </c>
      <c r="O762" s="26"/>
      <c r="P762" s="26" t="s">
        <v>780</v>
      </c>
      <c r="Q762" s="26"/>
      <c r="R762" s="5"/>
      <c r="S762" s="5"/>
      <c r="T762" s="5"/>
      <c r="U762" s="5"/>
      <c r="V762" s="5"/>
      <c r="W762" s="5"/>
      <c r="X762" s="5"/>
      <c r="Y762" s="5"/>
    </row>
    <row r="763" spans="13:25" ht="22.5" x14ac:dyDescent="0.2">
      <c r="M763" s="26" t="s">
        <v>79</v>
      </c>
      <c r="N763" s="25" t="s">
        <v>55</v>
      </c>
      <c r="O763" s="26"/>
      <c r="P763" s="26" t="s">
        <v>781</v>
      </c>
      <c r="Q763" s="26"/>
      <c r="R763" s="5"/>
      <c r="S763" s="5"/>
      <c r="T763" s="5"/>
      <c r="U763" s="5"/>
      <c r="V763" s="5"/>
      <c r="W763" s="5"/>
      <c r="X763" s="5"/>
      <c r="Y763" s="5"/>
    </row>
    <row r="764" spans="13:25" ht="22.5" x14ac:dyDescent="0.2">
      <c r="M764" s="26" t="s">
        <v>79</v>
      </c>
      <c r="N764" s="25" t="s">
        <v>51</v>
      </c>
      <c r="O764" s="26" t="s">
        <v>782</v>
      </c>
      <c r="P764" s="26"/>
      <c r="Q764" s="26"/>
      <c r="R764" s="5"/>
      <c r="S764" s="5"/>
      <c r="T764" s="5"/>
      <c r="U764" s="5"/>
      <c r="V764" s="5"/>
      <c r="W764" s="5"/>
      <c r="X764" s="5"/>
      <c r="Y764" s="5"/>
    </row>
    <row r="765" spans="13:25" ht="22.5" x14ac:dyDescent="0.2">
      <c r="M765" s="26" t="s">
        <v>79</v>
      </c>
      <c r="N765" s="25" t="s">
        <v>70</v>
      </c>
      <c r="O765" s="26"/>
      <c r="P765" s="26" t="s">
        <v>783</v>
      </c>
      <c r="Q765" s="26"/>
      <c r="R765" s="5"/>
      <c r="S765" s="5"/>
      <c r="T765" s="5"/>
      <c r="U765" s="5"/>
      <c r="V765" s="5"/>
      <c r="W765" s="5"/>
      <c r="X765" s="5"/>
      <c r="Y765" s="5"/>
    </row>
    <row r="766" spans="13:25" ht="56.25" x14ac:dyDescent="0.2">
      <c r="M766" s="26" t="s">
        <v>79</v>
      </c>
      <c r="N766" s="25" t="s">
        <v>70</v>
      </c>
      <c r="O766" s="26"/>
      <c r="P766" s="26" t="s">
        <v>784</v>
      </c>
      <c r="Q766" s="26"/>
      <c r="R766" s="5"/>
      <c r="S766" s="5"/>
      <c r="T766" s="5"/>
      <c r="U766" s="5"/>
      <c r="V766" s="5"/>
      <c r="W766" s="5"/>
      <c r="X766" s="5"/>
      <c r="Y766" s="5"/>
    </row>
    <row r="767" spans="13:25" ht="56.25" x14ac:dyDescent="0.2">
      <c r="M767" s="26" t="s">
        <v>79</v>
      </c>
      <c r="N767" s="25" t="s">
        <v>55</v>
      </c>
      <c r="O767" s="26"/>
      <c r="P767" s="26" t="s">
        <v>785</v>
      </c>
      <c r="Q767" s="26"/>
      <c r="R767" s="5"/>
      <c r="S767" s="5"/>
      <c r="T767" s="5"/>
      <c r="U767" s="5"/>
      <c r="V767" s="5"/>
      <c r="W767" s="5"/>
      <c r="X767" s="5"/>
      <c r="Y767" s="5"/>
    </row>
    <row r="768" spans="13:25" ht="33.75" x14ac:dyDescent="0.2">
      <c r="M768" s="26" t="s">
        <v>79</v>
      </c>
      <c r="N768" s="25" t="s">
        <v>70</v>
      </c>
      <c r="O768" s="26"/>
      <c r="P768" s="26" t="s">
        <v>786</v>
      </c>
      <c r="Q768" s="26"/>
      <c r="R768" s="5"/>
      <c r="S768" s="5"/>
      <c r="T768" s="5"/>
      <c r="U768" s="5"/>
      <c r="V768" s="5"/>
      <c r="W768" s="5"/>
      <c r="X768" s="5"/>
      <c r="Y768" s="5"/>
    </row>
    <row r="769" spans="13:25" ht="33.75" x14ac:dyDescent="0.2">
      <c r="M769" s="26" t="s">
        <v>79</v>
      </c>
      <c r="N769" s="25" t="s">
        <v>51</v>
      </c>
      <c r="O769" s="26"/>
      <c r="P769" s="26" t="s">
        <v>787</v>
      </c>
      <c r="Q769" s="26"/>
      <c r="R769" s="5"/>
      <c r="S769" s="5"/>
      <c r="T769" s="5"/>
      <c r="U769" s="5"/>
      <c r="V769" s="5"/>
      <c r="W769" s="5"/>
      <c r="X769" s="5"/>
      <c r="Y769" s="5"/>
    </row>
    <row r="770" spans="13:25" ht="33.75" x14ac:dyDescent="0.2">
      <c r="M770" s="26" t="s">
        <v>79</v>
      </c>
      <c r="N770" s="25" t="s">
        <v>51</v>
      </c>
      <c r="O770" s="26"/>
      <c r="P770" s="26" t="s">
        <v>788</v>
      </c>
      <c r="Q770" s="26"/>
      <c r="R770" s="5"/>
      <c r="S770" s="5"/>
      <c r="T770" s="5"/>
      <c r="U770" s="5"/>
      <c r="V770" s="5"/>
      <c r="W770" s="5"/>
      <c r="X770" s="5"/>
      <c r="Y770" s="5"/>
    </row>
    <row r="771" spans="13:25" ht="33.75" x14ac:dyDescent="0.2">
      <c r="M771" s="26" t="s">
        <v>79</v>
      </c>
      <c r="N771" s="25" t="s">
        <v>70</v>
      </c>
      <c r="O771" s="26"/>
      <c r="P771" s="26" t="s">
        <v>789</v>
      </c>
      <c r="Q771" s="26"/>
      <c r="R771" s="5"/>
      <c r="S771" s="5"/>
      <c r="T771" s="5"/>
      <c r="U771" s="5"/>
      <c r="V771" s="5"/>
      <c r="W771" s="5"/>
      <c r="X771" s="5"/>
      <c r="Y771" s="5"/>
    </row>
    <row r="772" spans="13:25" ht="33.75" x14ac:dyDescent="0.2">
      <c r="M772" s="26" t="s">
        <v>79</v>
      </c>
      <c r="N772" s="25" t="s">
        <v>70</v>
      </c>
      <c r="O772" s="26"/>
      <c r="P772" s="26" t="s">
        <v>790</v>
      </c>
      <c r="Q772" s="26"/>
      <c r="R772" s="5"/>
      <c r="S772" s="5"/>
      <c r="T772" s="5"/>
      <c r="U772" s="5"/>
      <c r="V772" s="5"/>
      <c r="W772" s="5"/>
      <c r="X772" s="5"/>
      <c r="Y772" s="5"/>
    </row>
    <row r="773" spans="13:25" ht="45" x14ac:dyDescent="0.2">
      <c r="M773" s="26" t="s">
        <v>79</v>
      </c>
      <c r="N773" s="25" t="s">
        <v>70</v>
      </c>
      <c r="O773" s="26"/>
      <c r="P773" s="26" t="s">
        <v>723</v>
      </c>
      <c r="Q773" s="26"/>
      <c r="R773" s="5"/>
      <c r="S773" s="5"/>
      <c r="T773" s="5"/>
      <c r="U773" s="5"/>
      <c r="V773" s="5"/>
      <c r="W773" s="5"/>
      <c r="X773" s="5"/>
      <c r="Y773" s="5"/>
    </row>
    <row r="774" spans="13:25" ht="45" x14ac:dyDescent="0.2">
      <c r="M774" s="26" t="s">
        <v>79</v>
      </c>
      <c r="N774" s="25" t="s">
        <v>70</v>
      </c>
      <c r="O774" s="26"/>
      <c r="P774" s="26" t="s">
        <v>723</v>
      </c>
      <c r="Q774" s="26"/>
      <c r="R774" s="5"/>
      <c r="S774" s="5"/>
      <c r="T774" s="5"/>
      <c r="U774" s="5"/>
      <c r="V774" s="5"/>
      <c r="W774" s="5"/>
      <c r="X774" s="5"/>
      <c r="Y774" s="5"/>
    </row>
    <row r="775" spans="13:25" ht="22.5" x14ac:dyDescent="0.2">
      <c r="M775" s="26" t="s">
        <v>79</v>
      </c>
      <c r="N775" s="25" t="s">
        <v>70</v>
      </c>
      <c r="O775" s="26"/>
      <c r="P775" s="26" t="s">
        <v>791</v>
      </c>
      <c r="Q775" s="26"/>
      <c r="R775" s="5"/>
      <c r="S775" s="5"/>
      <c r="T775" s="5"/>
      <c r="U775" s="5"/>
      <c r="V775" s="5"/>
      <c r="W775" s="5"/>
      <c r="X775" s="5"/>
      <c r="Y775" s="5"/>
    </row>
    <row r="776" spans="13:25" ht="22.5" x14ac:dyDescent="0.2">
      <c r="M776" s="26" t="s">
        <v>79</v>
      </c>
      <c r="N776" s="25" t="s">
        <v>57</v>
      </c>
      <c r="O776" s="26" t="s">
        <v>792</v>
      </c>
      <c r="P776" s="26"/>
      <c r="Q776" s="26"/>
      <c r="R776" s="5"/>
      <c r="S776" s="5"/>
      <c r="T776" s="5"/>
      <c r="U776" s="5"/>
      <c r="V776" s="5"/>
      <c r="W776" s="5"/>
      <c r="X776" s="5"/>
      <c r="Y776" s="5"/>
    </row>
    <row r="777" spans="13:25" ht="22.5" x14ac:dyDescent="0.2">
      <c r="M777" s="26" t="s">
        <v>79</v>
      </c>
      <c r="N777" s="25" t="s">
        <v>51</v>
      </c>
      <c r="O777" s="26" t="s">
        <v>793</v>
      </c>
      <c r="P777" s="26"/>
      <c r="Q777" s="26"/>
      <c r="R777" s="5"/>
      <c r="S777" s="5"/>
      <c r="T777" s="5"/>
      <c r="U777" s="5"/>
      <c r="V777" s="5"/>
      <c r="W777" s="5"/>
      <c r="X777" s="5"/>
      <c r="Y777" s="5"/>
    </row>
    <row r="778" spans="13:25" ht="33.75" x14ac:dyDescent="0.2">
      <c r="M778" s="26" t="s">
        <v>79</v>
      </c>
      <c r="N778" s="25" t="s">
        <v>70</v>
      </c>
      <c r="O778" s="26"/>
      <c r="P778" s="26" t="s">
        <v>794</v>
      </c>
      <c r="Q778" s="26"/>
      <c r="R778" s="5"/>
      <c r="S778" s="5"/>
      <c r="T778" s="5"/>
      <c r="U778" s="5"/>
      <c r="V778" s="5"/>
      <c r="W778" s="5"/>
      <c r="X778" s="5"/>
      <c r="Y778" s="5"/>
    </row>
    <row r="779" spans="13:25" ht="45" x14ac:dyDescent="0.2">
      <c r="M779" s="26" t="s">
        <v>79</v>
      </c>
      <c r="N779" s="25" t="s">
        <v>70</v>
      </c>
      <c r="O779" s="26"/>
      <c r="P779" s="26" t="s">
        <v>723</v>
      </c>
      <c r="Q779" s="26"/>
      <c r="R779" s="5"/>
      <c r="S779" s="5"/>
      <c r="T779" s="5"/>
      <c r="U779" s="5"/>
      <c r="V779" s="5"/>
      <c r="W779" s="5"/>
      <c r="X779" s="5"/>
      <c r="Y779" s="5"/>
    </row>
    <row r="780" spans="13:25" ht="45" x14ac:dyDescent="0.2">
      <c r="M780" s="26" t="s">
        <v>79</v>
      </c>
      <c r="N780" s="25" t="s">
        <v>70</v>
      </c>
      <c r="O780" s="26"/>
      <c r="P780" s="26" t="s">
        <v>723</v>
      </c>
      <c r="Q780" s="26"/>
      <c r="R780" s="5"/>
      <c r="S780" s="5"/>
      <c r="T780" s="5"/>
      <c r="U780" s="5"/>
      <c r="V780" s="5"/>
      <c r="W780" s="5"/>
      <c r="X780" s="5"/>
      <c r="Y780" s="5"/>
    </row>
    <row r="781" spans="13:25" ht="22.5" x14ac:dyDescent="0.2">
      <c r="M781" s="26" t="s">
        <v>79</v>
      </c>
      <c r="N781" s="25" t="s">
        <v>70</v>
      </c>
      <c r="O781" s="26"/>
      <c r="P781" s="26" t="s">
        <v>795</v>
      </c>
      <c r="Q781" s="26"/>
      <c r="R781" s="5"/>
      <c r="S781" s="5"/>
      <c r="T781" s="5"/>
      <c r="U781" s="5"/>
      <c r="V781" s="5"/>
      <c r="W781" s="5"/>
      <c r="X781" s="5"/>
      <c r="Y781" s="5"/>
    </row>
    <row r="782" spans="13:25" ht="22.5" x14ac:dyDescent="0.2">
      <c r="M782" s="26" t="s">
        <v>79</v>
      </c>
      <c r="N782" s="25" t="s">
        <v>70</v>
      </c>
      <c r="O782" s="26"/>
      <c r="P782" s="26" t="s">
        <v>796</v>
      </c>
      <c r="Q782" s="26"/>
      <c r="R782" s="5"/>
      <c r="S782" s="5"/>
      <c r="T782" s="5"/>
      <c r="U782" s="5"/>
      <c r="V782" s="5"/>
      <c r="W782" s="5"/>
      <c r="X782" s="5"/>
      <c r="Y782" s="5"/>
    </row>
    <row r="783" spans="13:25" ht="22.5" x14ac:dyDescent="0.2">
      <c r="M783" s="26" t="s">
        <v>79</v>
      </c>
      <c r="N783" s="25" t="s">
        <v>70</v>
      </c>
      <c r="O783" s="26"/>
      <c r="P783" s="26" t="s">
        <v>797</v>
      </c>
      <c r="Q783" s="26"/>
      <c r="R783" s="5"/>
      <c r="S783" s="5"/>
      <c r="T783" s="5"/>
      <c r="U783" s="5"/>
      <c r="V783" s="5"/>
      <c r="W783" s="5"/>
      <c r="X783" s="5"/>
      <c r="Y783" s="5"/>
    </row>
    <row r="784" spans="13:25" ht="22.5" x14ac:dyDescent="0.2">
      <c r="M784" s="26" t="s">
        <v>79</v>
      </c>
      <c r="N784" s="25" t="s">
        <v>70</v>
      </c>
      <c r="O784" s="26"/>
      <c r="P784" s="26" t="s">
        <v>798</v>
      </c>
      <c r="Q784" s="26"/>
      <c r="R784" s="5"/>
      <c r="S784" s="5"/>
      <c r="T784" s="5"/>
      <c r="U784" s="5"/>
      <c r="V784" s="5"/>
      <c r="W784" s="5"/>
      <c r="X784" s="5"/>
      <c r="Y784" s="5"/>
    </row>
    <row r="785" spans="13:25" ht="22.5" x14ac:dyDescent="0.2">
      <c r="M785" s="26" t="s">
        <v>79</v>
      </c>
      <c r="N785" s="25" t="s">
        <v>57</v>
      </c>
      <c r="O785" s="26" t="s">
        <v>799</v>
      </c>
      <c r="P785" s="26"/>
      <c r="Q785" s="26"/>
      <c r="R785" s="5"/>
      <c r="S785" s="5"/>
      <c r="T785" s="5"/>
      <c r="U785" s="5"/>
      <c r="V785" s="5"/>
      <c r="W785" s="5"/>
      <c r="X785" s="5"/>
      <c r="Y785" s="5"/>
    </row>
    <row r="786" spans="13:25" ht="22.5" x14ac:dyDescent="0.2">
      <c r="M786" s="26" t="s">
        <v>79</v>
      </c>
      <c r="N786" s="25" t="s">
        <v>57</v>
      </c>
      <c r="O786" s="26" t="s">
        <v>800</v>
      </c>
      <c r="P786" s="26"/>
      <c r="Q786" s="26"/>
      <c r="R786" s="5"/>
      <c r="S786" s="5"/>
      <c r="T786" s="5"/>
      <c r="U786" s="5"/>
      <c r="V786" s="5"/>
      <c r="W786" s="5"/>
      <c r="X786" s="5"/>
      <c r="Y786" s="5"/>
    </row>
    <row r="787" spans="13:25" ht="22.5" x14ac:dyDescent="0.2">
      <c r="M787" s="26" t="s">
        <v>79</v>
      </c>
      <c r="N787" s="25" t="s">
        <v>57</v>
      </c>
      <c r="O787" s="26" t="s">
        <v>801</v>
      </c>
      <c r="P787" s="26"/>
      <c r="Q787" s="26"/>
      <c r="R787" s="5"/>
      <c r="S787" s="5"/>
      <c r="T787" s="5"/>
      <c r="U787" s="5"/>
      <c r="V787" s="5"/>
      <c r="W787" s="5"/>
      <c r="X787" s="5"/>
      <c r="Y787" s="5"/>
    </row>
    <row r="788" spans="13:25" ht="22.5" x14ac:dyDescent="0.2">
      <c r="M788" s="26" t="s">
        <v>79</v>
      </c>
      <c r="N788" s="25" t="s">
        <v>66</v>
      </c>
      <c r="O788" s="26" t="s">
        <v>802</v>
      </c>
      <c r="P788" s="26"/>
      <c r="Q788" s="26"/>
      <c r="R788" s="5"/>
      <c r="S788" s="5"/>
      <c r="T788" s="5"/>
      <c r="U788" s="5"/>
      <c r="V788" s="5"/>
      <c r="W788" s="5"/>
      <c r="X788" s="5"/>
      <c r="Y788" s="5"/>
    </row>
    <row r="789" spans="13:25" ht="22.5" x14ac:dyDescent="0.2">
      <c r="M789" s="26" t="s">
        <v>79</v>
      </c>
      <c r="N789" s="25" t="s">
        <v>66</v>
      </c>
      <c r="O789" s="26" t="s">
        <v>802</v>
      </c>
      <c r="P789" s="26"/>
      <c r="Q789" s="26"/>
      <c r="R789" s="5"/>
      <c r="S789" s="5"/>
      <c r="T789" s="5"/>
      <c r="U789" s="5"/>
      <c r="V789" s="5"/>
      <c r="W789" s="5"/>
      <c r="X789" s="5"/>
      <c r="Y789" s="5"/>
    </row>
    <row r="790" spans="13:25" ht="22.5" x14ac:dyDescent="0.2">
      <c r="M790" s="26" t="s">
        <v>79</v>
      </c>
      <c r="N790" s="25" t="s">
        <v>66</v>
      </c>
      <c r="O790" s="26" t="s">
        <v>803</v>
      </c>
      <c r="P790" s="26"/>
      <c r="Q790" s="26"/>
      <c r="R790" s="5"/>
      <c r="S790" s="5"/>
      <c r="T790" s="5"/>
      <c r="U790" s="5"/>
      <c r="V790" s="5"/>
      <c r="W790" s="5"/>
      <c r="X790" s="5"/>
      <c r="Y790" s="5"/>
    </row>
    <row r="791" spans="13:25" ht="22.5" x14ac:dyDescent="0.2">
      <c r="M791" s="26" t="s">
        <v>79</v>
      </c>
      <c r="N791" s="25" t="s">
        <v>66</v>
      </c>
      <c r="O791" s="26" t="s">
        <v>804</v>
      </c>
      <c r="P791" s="26"/>
      <c r="Q791" s="26"/>
      <c r="R791" s="5"/>
      <c r="S791" s="5"/>
      <c r="T791" s="5"/>
      <c r="U791" s="5"/>
      <c r="V791" s="5"/>
      <c r="W791" s="5"/>
      <c r="X791" s="5"/>
      <c r="Y791" s="5"/>
    </row>
    <row r="792" spans="13:25" ht="22.5" x14ac:dyDescent="0.2">
      <c r="M792" s="26" t="s">
        <v>79</v>
      </c>
      <c r="N792" s="25" t="s">
        <v>66</v>
      </c>
      <c r="O792" s="26" t="s">
        <v>804</v>
      </c>
      <c r="P792" s="26"/>
      <c r="Q792" s="26"/>
      <c r="R792" s="5"/>
      <c r="S792" s="5"/>
      <c r="T792" s="5"/>
      <c r="U792" s="5"/>
      <c r="V792" s="5"/>
      <c r="W792" s="5"/>
      <c r="X792" s="5"/>
      <c r="Y792" s="5"/>
    </row>
    <row r="793" spans="13:25" ht="22.5" x14ac:dyDescent="0.2">
      <c r="M793" s="26" t="s">
        <v>79</v>
      </c>
      <c r="N793" s="25" t="s">
        <v>55</v>
      </c>
      <c r="O793" s="26" t="s">
        <v>805</v>
      </c>
      <c r="P793" s="26"/>
      <c r="Q793" s="26"/>
      <c r="R793" s="5"/>
      <c r="S793" s="5"/>
      <c r="T793" s="5"/>
      <c r="U793" s="5"/>
      <c r="V793" s="5"/>
      <c r="W793" s="5"/>
      <c r="X793" s="5"/>
      <c r="Y793" s="5"/>
    </row>
    <row r="794" spans="13:25" ht="22.5" x14ac:dyDescent="0.2">
      <c r="M794" s="26" t="s">
        <v>79</v>
      </c>
      <c r="N794" s="25" t="s">
        <v>55</v>
      </c>
      <c r="O794" s="26" t="s">
        <v>806</v>
      </c>
      <c r="P794" s="26"/>
      <c r="Q794" s="26"/>
      <c r="R794" s="5"/>
      <c r="S794" s="5"/>
      <c r="T794" s="5"/>
      <c r="U794" s="5"/>
      <c r="V794" s="5"/>
      <c r="W794" s="5"/>
      <c r="X794" s="5"/>
      <c r="Y794" s="5"/>
    </row>
    <row r="795" spans="13:25" ht="22.5" x14ac:dyDescent="0.2">
      <c r="M795" s="26" t="s">
        <v>79</v>
      </c>
      <c r="N795" s="25" t="s">
        <v>51</v>
      </c>
      <c r="O795" s="26" t="s">
        <v>807</v>
      </c>
      <c r="P795" s="26"/>
      <c r="Q795" s="26"/>
      <c r="R795" s="5"/>
      <c r="S795" s="5"/>
      <c r="T795" s="5"/>
      <c r="U795" s="5"/>
      <c r="V795" s="5"/>
      <c r="W795" s="5"/>
      <c r="X795" s="5"/>
      <c r="Y795" s="5"/>
    </row>
    <row r="796" spans="13:25" ht="22.5" x14ac:dyDescent="0.2">
      <c r="M796" s="26" t="s">
        <v>79</v>
      </c>
      <c r="N796" s="25" t="s">
        <v>57</v>
      </c>
      <c r="O796" s="26" t="s">
        <v>808</v>
      </c>
      <c r="P796" s="26"/>
      <c r="Q796" s="26"/>
      <c r="R796" s="5"/>
      <c r="S796" s="5"/>
      <c r="T796" s="5"/>
      <c r="U796" s="5"/>
      <c r="V796" s="5"/>
      <c r="W796" s="5"/>
      <c r="X796" s="5"/>
      <c r="Y796" s="5"/>
    </row>
    <row r="797" spans="13:25" ht="22.5" x14ac:dyDescent="0.2">
      <c r="M797" s="26" t="s">
        <v>79</v>
      </c>
      <c r="N797" s="25" t="s">
        <v>57</v>
      </c>
      <c r="O797" s="26" t="s">
        <v>809</v>
      </c>
      <c r="P797" s="26"/>
      <c r="Q797" s="26"/>
      <c r="R797" s="5"/>
      <c r="S797" s="5"/>
      <c r="T797" s="5"/>
      <c r="U797" s="5"/>
      <c r="V797" s="5"/>
      <c r="W797" s="5"/>
      <c r="X797" s="5"/>
      <c r="Y797" s="5"/>
    </row>
    <row r="798" spans="13:25" ht="22.5" x14ac:dyDescent="0.2">
      <c r="M798" s="26" t="s">
        <v>79</v>
      </c>
      <c r="N798" s="25" t="s">
        <v>51</v>
      </c>
      <c r="O798" s="26" t="s">
        <v>810</v>
      </c>
      <c r="P798" s="26"/>
      <c r="Q798" s="26"/>
      <c r="R798" s="5"/>
      <c r="S798" s="5"/>
      <c r="T798" s="5"/>
      <c r="U798" s="5"/>
      <c r="V798" s="5"/>
      <c r="W798" s="5"/>
      <c r="X798" s="5"/>
      <c r="Y798" s="5"/>
    </row>
    <row r="799" spans="13:25" ht="33.75" x14ac:dyDescent="0.2">
      <c r="M799" s="26" t="s">
        <v>79</v>
      </c>
      <c r="N799" s="25" t="s">
        <v>55</v>
      </c>
      <c r="O799" s="26"/>
      <c r="P799" s="26" t="s">
        <v>811</v>
      </c>
      <c r="Q799" s="26"/>
      <c r="R799" s="5"/>
      <c r="S799" s="5"/>
      <c r="T799" s="5"/>
      <c r="U799" s="5"/>
      <c r="V799" s="5"/>
      <c r="W799" s="5"/>
      <c r="X799" s="5"/>
      <c r="Y799" s="5"/>
    </row>
    <row r="800" spans="13:25" ht="33.75" x14ac:dyDescent="0.2">
      <c r="M800" s="26" t="s">
        <v>79</v>
      </c>
      <c r="N800" s="25" t="s">
        <v>70</v>
      </c>
      <c r="O800" s="26" t="s">
        <v>570</v>
      </c>
      <c r="P800" s="26"/>
      <c r="Q800" s="26"/>
      <c r="R800" s="5"/>
      <c r="S800" s="5"/>
      <c r="T800" s="5"/>
      <c r="U800" s="5"/>
      <c r="V800" s="5"/>
      <c r="W800" s="5"/>
      <c r="X800" s="5"/>
      <c r="Y800" s="5"/>
    </row>
    <row r="801" spans="13:25" ht="22.5" x14ac:dyDescent="0.2">
      <c r="M801" s="26" t="s">
        <v>79</v>
      </c>
      <c r="N801" s="25" t="s">
        <v>51</v>
      </c>
      <c r="O801" s="26" t="s">
        <v>812</v>
      </c>
      <c r="P801" s="26"/>
      <c r="Q801" s="26"/>
      <c r="R801" s="5"/>
      <c r="S801" s="5"/>
      <c r="T801" s="5"/>
      <c r="U801" s="5"/>
      <c r="V801" s="5"/>
      <c r="W801" s="5"/>
      <c r="X801" s="5"/>
      <c r="Y801" s="5"/>
    </row>
    <row r="802" spans="13:25" ht="33.75" x14ac:dyDescent="0.2">
      <c r="M802" s="26" t="s">
        <v>79</v>
      </c>
      <c r="N802" s="25" t="s">
        <v>70</v>
      </c>
      <c r="O802" s="26"/>
      <c r="P802" s="26" t="s">
        <v>713</v>
      </c>
      <c r="Q802" s="26"/>
      <c r="R802" s="5"/>
      <c r="S802" s="5"/>
      <c r="T802" s="5"/>
      <c r="U802" s="5"/>
      <c r="V802" s="5"/>
      <c r="W802" s="5"/>
      <c r="X802" s="5"/>
      <c r="Y802" s="5"/>
    </row>
    <row r="803" spans="13:25" ht="33.75" x14ac:dyDescent="0.2">
      <c r="M803" s="26" t="s">
        <v>79</v>
      </c>
      <c r="N803" s="25" t="s">
        <v>70</v>
      </c>
      <c r="O803" s="26"/>
      <c r="P803" s="26" t="s">
        <v>813</v>
      </c>
      <c r="Q803" s="26"/>
      <c r="R803" s="5"/>
      <c r="S803" s="5"/>
      <c r="T803" s="5"/>
      <c r="U803" s="5"/>
      <c r="V803" s="5"/>
      <c r="W803" s="5"/>
      <c r="X803" s="5"/>
      <c r="Y803" s="5"/>
    </row>
    <row r="804" spans="13:25" ht="22.5" x14ac:dyDescent="0.2">
      <c r="M804" s="26" t="s">
        <v>79</v>
      </c>
      <c r="N804" s="25" t="s">
        <v>57</v>
      </c>
      <c r="O804" s="26" t="s">
        <v>814</v>
      </c>
      <c r="P804" s="26"/>
      <c r="Q804" s="26"/>
      <c r="R804" s="5"/>
      <c r="S804" s="5"/>
      <c r="T804" s="5"/>
      <c r="U804" s="5"/>
      <c r="V804" s="5"/>
      <c r="W804" s="5"/>
      <c r="X804" s="5"/>
      <c r="Y804" s="5"/>
    </row>
    <row r="805" spans="13:25" ht="22.5" x14ac:dyDescent="0.2">
      <c r="M805" s="26" t="s">
        <v>79</v>
      </c>
      <c r="N805" s="25" t="s">
        <v>55</v>
      </c>
      <c r="O805" s="26" t="s">
        <v>815</v>
      </c>
      <c r="P805" s="26"/>
      <c r="Q805" s="26"/>
      <c r="R805" s="5"/>
      <c r="S805" s="5"/>
      <c r="T805" s="5"/>
      <c r="U805" s="5"/>
      <c r="V805" s="5"/>
      <c r="W805" s="5"/>
      <c r="X805" s="5"/>
      <c r="Y805" s="5"/>
    </row>
    <row r="806" spans="13:25" ht="22.5" x14ac:dyDescent="0.2">
      <c r="M806" s="26" t="s">
        <v>79</v>
      </c>
      <c r="N806" s="25" t="s">
        <v>57</v>
      </c>
      <c r="O806" s="26" t="s">
        <v>816</v>
      </c>
      <c r="P806" s="26"/>
      <c r="Q806" s="26"/>
      <c r="R806" s="5"/>
      <c r="S806" s="5"/>
      <c r="T806" s="5"/>
      <c r="U806" s="5"/>
      <c r="V806" s="5"/>
      <c r="W806" s="5"/>
      <c r="X806" s="5"/>
      <c r="Y806" s="5"/>
    </row>
    <row r="807" spans="13:25" ht="22.5" x14ac:dyDescent="0.2">
      <c r="M807" s="26" t="s">
        <v>79</v>
      </c>
      <c r="N807" s="25" t="s">
        <v>57</v>
      </c>
      <c r="O807" s="26" t="s">
        <v>817</v>
      </c>
      <c r="P807" s="26"/>
      <c r="Q807" s="26"/>
      <c r="R807" s="5"/>
      <c r="S807" s="5"/>
      <c r="T807" s="5"/>
      <c r="U807" s="5"/>
      <c r="V807" s="5"/>
      <c r="W807" s="5"/>
      <c r="X807" s="5"/>
      <c r="Y807" s="5"/>
    </row>
    <row r="808" spans="13:25" ht="22.5" x14ac:dyDescent="0.2">
      <c r="M808" s="26" t="s">
        <v>79</v>
      </c>
      <c r="N808" s="25" t="s">
        <v>57</v>
      </c>
      <c r="O808" s="26" t="s">
        <v>818</v>
      </c>
      <c r="P808" s="26"/>
      <c r="Q808" s="26"/>
      <c r="R808" s="5"/>
      <c r="S808" s="5"/>
      <c r="T808" s="5"/>
      <c r="U808" s="5"/>
      <c r="V808" s="5"/>
      <c r="W808" s="5"/>
      <c r="X808" s="5"/>
      <c r="Y808" s="5"/>
    </row>
    <row r="809" spans="13:25" ht="22.5" x14ac:dyDescent="0.2">
      <c r="M809" s="26" t="s">
        <v>79</v>
      </c>
      <c r="N809" s="25" t="s">
        <v>57</v>
      </c>
      <c r="O809" s="26" t="s">
        <v>819</v>
      </c>
      <c r="P809" s="26"/>
      <c r="Q809" s="26"/>
      <c r="R809" s="5"/>
      <c r="S809" s="5"/>
      <c r="T809" s="5"/>
      <c r="U809" s="5"/>
      <c r="V809" s="5"/>
      <c r="W809" s="5"/>
      <c r="X809" s="5"/>
      <c r="Y809" s="5"/>
    </row>
    <row r="810" spans="13:25" ht="22.5" x14ac:dyDescent="0.2">
      <c r="M810" s="26" t="s">
        <v>79</v>
      </c>
      <c r="N810" s="25" t="s">
        <v>51</v>
      </c>
      <c r="O810" s="26" t="s">
        <v>820</v>
      </c>
      <c r="P810" s="26"/>
      <c r="Q810" s="26"/>
      <c r="R810" s="5"/>
      <c r="S810" s="5"/>
      <c r="T810" s="5"/>
      <c r="U810" s="5"/>
      <c r="V810" s="5"/>
      <c r="W810" s="5"/>
      <c r="X810" s="5"/>
      <c r="Y810" s="5"/>
    </row>
    <row r="811" spans="13:25" ht="22.5" x14ac:dyDescent="0.2">
      <c r="M811" s="26" t="s">
        <v>79</v>
      </c>
      <c r="N811" s="25" t="s">
        <v>55</v>
      </c>
      <c r="O811" s="26" t="s">
        <v>821</v>
      </c>
      <c r="P811" s="26"/>
      <c r="Q811" s="26"/>
      <c r="R811" s="5"/>
      <c r="S811" s="5"/>
      <c r="T811" s="5"/>
      <c r="U811" s="5"/>
      <c r="V811" s="5"/>
      <c r="W811" s="5"/>
      <c r="X811" s="5"/>
      <c r="Y811" s="5"/>
    </row>
    <row r="812" spans="13:25" ht="22.5" x14ac:dyDescent="0.2">
      <c r="M812" s="26" t="s">
        <v>79</v>
      </c>
      <c r="N812" s="25" t="s">
        <v>51</v>
      </c>
      <c r="O812" s="26" t="s">
        <v>822</v>
      </c>
      <c r="P812" s="26"/>
      <c r="Q812" s="26"/>
      <c r="R812" s="5"/>
      <c r="S812" s="5"/>
      <c r="T812" s="5"/>
      <c r="U812" s="5"/>
      <c r="V812" s="5"/>
      <c r="W812" s="5"/>
      <c r="X812" s="5"/>
      <c r="Y812" s="5"/>
    </row>
    <row r="813" spans="13:25" ht="22.5" x14ac:dyDescent="0.2">
      <c r="M813" s="26" t="s">
        <v>79</v>
      </c>
      <c r="N813" s="25" t="s">
        <v>70</v>
      </c>
      <c r="O813" s="26"/>
      <c r="P813" s="26" t="s">
        <v>823</v>
      </c>
      <c r="Q813" s="26"/>
      <c r="R813" s="5"/>
      <c r="S813" s="5"/>
      <c r="T813" s="5"/>
      <c r="U813" s="5"/>
      <c r="V813" s="5"/>
      <c r="W813" s="5"/>
      <c r="X813" s="5"/>
      <c r="Y813" s="5"/>
    </row>
    <row r="814" spans="13:25" ht="22.5" x14ac:dyDescent="0.2">
      <c r="M814" s="26" t="s">
        <v>79</v>
      </c>
      <c r="N814" s="25" t="s">
        <v>51</v>
      </c>
      <c r="O814" s="26" t="s">
        <v>824</v>
      </c>
      <c r="P814" s="26"/>
      <c r="Q814" s="26"/>
      <c r="R814" s="5"/>
      <c r="S814" s="5"/>
      <c r="T814" s="5"/>
      <c r="U814" s="5"/>
      <c r="V814" s="5"/>
      <c r="W814" s="5"/>
      <c r="X814" s="5"/>
      <c r="Y814" s="5"/>
    </row>
    <row r="815" spans="13:25" ht="22.5" x14ac:dyDescent="0.2">
      <c r="M815" s="26" t="s">
        <v>79</v>
      </c>
      <c r="N815" s="25" t="s">
        <v>70</v>
      </c>
      <c r="O815" s="26"/>
      <c r="P815" s="26" t="s">
        <v>825</v>
      </c>
      <c r="Q815" s="26"/>
      <c r="R815" s="5"/>
      <c r="S815" s="5"/>
      <c r="T815" s="5"/>
      <c r="U815" s="5"/>
      <c r="V815" s="5"/>
      <c r="W815" s="5"/>
      <c r="X815" s="5"/>
      <c r="Y815" s="5"/>
    </row>
    <row r="816" spans="13:25" ht="45" x14ac:dyDescent="0.2">
      <c r="M816" s="26" t="s">
        <v>79</v>
      </c>
      <c r="N816" s="25" t="s">
        <v>70</v>
      </c>
      <c r="O816" s="26"/>
      <c r="P816" s="26" t="s">
        <v>826</v>
      </c>
      <c r="Q816" s="26"/>
      <c r="R816" s="5"/>
      <c r="S816" s="5"/>
      <c r="T816" s="5"/>
      <c r="U816" s="5"/>
      <c r="V816" s="5"/>
      <c r="W816" s="5"/>
      <c r="X816" s="5"/>
      <c r="Y816" s="5"/>
    </row>
    <row r="817" spans="13:25" ht="22.5" x14ac:dyDescent="0.2">
      <c r="M817" s="26" t="s">
        <v>79</v>
      </c>
      <c r="N817" s="25" t="s">
        <v>51</v>
      </c>
      <c r="O817" s="26" t="s">
        <v>827</v>
      </c>
      <c r="P817" s="26"/>
      <c r="Q817" s="26"/>
      <c r="R817" s="5"/>
      <c r="S817" s="5"/>
      <c r="T817" s="5"/>
      <c r="U817" s="5"/>
      <c r="V817" s="5"/>
      <c r="W817" s="5"/>
      <c r="X817" s="5"/>
      <c r="Y817" s="5"/>
    </row>
    <row r="818" spans="13:25" ht="22.5" x14ac:dyDescent="0.2">
      <c r="M818" s="26" t="s">
        <v>79</v>
      </c>
      <c r="N818" s="25" t="s">
        <v>70</v>
      </c>
      <c r="O818" s="26"/>
      <c r="P818" s="26" t="s">
        <v>828</v>
      </c>
      <c r="Q818" s="26"/>
      <c r="R818" s="5"/>
      <c r="S818" s="5"/>
      <c r="T818" s="5"/>
      <c r="U818" s="5"/>
      <c r="V818" s="5"/>
      <c r="W818" s="5"/>
      <c r="X818" s="5"/>
      <c r="Y818" s="5"/>
    </row>
    <row r="819" spans="13:25" ht="22.5" x14ac:dyDescent="0.2">
      <c r="M819" s="26" t="s">
        <v>79</v>
      </c>
      <c r="N819" s="25" t="s">
        <v>70</v>
      </c>
      <c r="O819" s="26"/>
      <c r="P819" s="26" t="s">
        <v>829</v>
      </c>
      <c r="Q819" s="26"/>
      <c r="R819" s="5"/>
      <c r="S819" s="5"/>
      <c r="T819" s="5"/>
      <c r="U819" s="5"/>
      <c r="V819" s="5"/>
      <c r="W819" s="5"/>
      <c r="X819" s="5"/>
      <c r="Y819" s="5"/>
    </row>
    <row r="820" spans="13:25" ht="22.5" x14ac:dyDescent="0.2">
      <c r="M820" s="26" t="s">
        <v>79</v>
      </c>
      <c r="N820" s="25" t="s">
        <v>55</v>
      </c>
      <c r="O820" s="26" t="s">
        <v>830</v>
      </c>
      <c r="P820" s="26"/>
      <c r="Q820" s="26"/>
      <c r="R820" s="5"/>
      <c r="S820" s="5"/>
      <c r="T820" s="5"/>
      <c r="U820" s="5"/>
      <c r="V820" s="5"/>
      <c r="W820" s="5"/>
      <c r="X820" s="5"/>
      <c r="Y820" s="5"/>
    </row>
    <row r="821" spans="13:25" ht="22.5" x14ac:dyDescent="0.2">
      <c r="M821" s="26" t="s">
        <v>79</v>
      </c>
      <c r="N821" s="25" t="s">
        <v>57</v>
      </c>
      <c r="O821" s="26" t="s">
        <v>831</v>
      </c>
      <c r="P821" s="26"/>
      <c r="Q821" s="26"/>
      <c r="R821" s="5"/>
      <c r="S821" s="5"/>
      <c r="T821" s="5"/>
      <c r="U821" s="5"/>
      <c r="V821" s="5"/>
      <c r="W821" s="5"/>
      <c r="X821" s="5"/>
      <c r="Y821" s="5"/>
    </row>
    <row r="822" spans="13:25" ht="33.75" x14ac:dyDescent="0.2">
      <c r="M822" s="26" t="s">
        <v>79</v>
      </c>
      <c r="N822" s="25" t="s">
        <v>70</v>
      </c>
      <c r="O822" s="26" t="s">
        <v>617</v>
      </c>
      <c r="P822" s="26"/>
      <c r="Q822" s="26"/>
      <c r="R822" s="5"/>
      <c r="S822" s="5"/>
      <c r="T822" s="5"/>
      <c r="U822" s="5"/>
      <c r="V822" s="5"/>
      <c r="W822" s="5"/>
      <c r="X822" s="5"/>
      <c r="Y822" s="5"/>
    </row>
    <row r="823" spans="13:25" ht="33.75" x14ac:dyDescent="0.2">
      <c r="M823" s="26" t="s">
        <v>79</v>
      </c>
      <c r="N823" s="25" t="s">
        <v>70</v>
      </c>
      <c r="O823" s="26" t="s">
        <v>832</v>
      </c>
      <c r="P823" s="26"/>
      <c r="Q823" s="26"/>
      <c r="R823" s="5"/>
      <c r="S823" s="5"/>
      <c r="T823" s="5"/>
      <c r="U823" s="5"/>
      <c r="V823" s="5"/>
      <c r="W823" s="5"/>
      <c r="X823" s="5"/>
      <c r="Y823" s="5"/>
    </row>
    <row r="824" spans="13:25" ht="22.5" x14ac:dyDescent="0.2">
      <c r="M824" s="26" t="s">
        <v>79</v>
      </c>
      <c r="N824" s="25" t="s">
        <v>51</v>
      </c>
      <c r="O824" s="26" t="s">
        <v>833</v>
      </c>
      <c r="P824" s="26"/>
      <c r="Q824" s="26"/>
      <c r="R824" s="5"/>
      <c r="S824" s="5"/>
      <c r="T824" s="5"/>
      <c r="U824" s="5"/>
      <c r="V824" s="5"/>
      <c r="W824" s="5"/>
      <c r="X824" s="5"/>
      <c r="Y824" s="5"/>
    </row>
    <row r="825" spans="13:25" ht="22.5" x14ac:dyDescent="0.2">
      <c r="M825" s="26" t="s">
        <v>79</v>
      </c>
      <c r="N825" s="25" t="s">
        <v>70</v>
      </c>
      <c r="O825" s="26"/>
      <c r="P825" s="26" t="s">
        <v>834</v>
      </c>
      <c r="Q825" s="26"/>
      <c r="R825" s="5"/>
      <c r="S825" s="5"/>
      <c r="T825" s="5"/>
      <c r="U825" s="5"/>
      <c r="V825" s="5"/>
      <c r="W825" s="5"/>
      <c r="X825" s="5"/>
      <c r="Y825" s="5"/>
    </row>
    <row r="826" spans="13:25" ht="33.75" x14ac:dyDescent="0.2">
      <c r="M826" s="26" t="s">
        <v>79</v>
      </c>
      <c r="N826" s="25" t="s">
        <v>70</v>
      </c>
      <c r="O826" s="26"/>
      <c r="P826" s="26" t="s">
        <v>835</v>
      </c>
      <c r="Q826" s="26"/>
      <c r="R826" s="5"/>
      <c r="S826" s="5"/>
      <c r="T826" s="5"/>
      <c r="U826" s="5"/>
      <c r="V826" s="5"/>
      <c r="W826" s="5"/>
      <c r="X826" s="5"/>
      <c r="Y826" s="5"/>
    </row>
    <row r="827" spans="13:25" ht="56.25" x14ac:dyDescent="0.2">
      <c r="M827" s="26" t="s">
        <v>79</v>
      </c>
      <c r="N827" s="25" t="s">
        <v>55</v>
      </c>
      <c r="O827" s="26"/>
      <c r="P827" s="26" t="s">
        <v>785</v>
      </c>
      <c r="Q827" s="26"/>
      <c r="R827" s="5"/>
      <c r="S827" s="5"/>
      <c r="T827" s="5"/>
      <c r="U827" s="5"/>
      <c r="V827" s="5"/>
      <c r="W827" s="5"/>
      <c r="X827" s="5"/>
      <c r="Y827" s="5"/>
    </row>
    <row r="828" spans="13:25" ht="22.5" x14ac:dyDescent="0.2">
      <c r="M828" s="26" t="s">
        <v>79</v>
      </c>
      <c r="N828" s="25" t="s">
        <v>55</v>
      </c>
      <c r="O828" s="26" t="s">
        <v>836</v>
      </c>
      <c r="P828" s="26"/>
      <c r="Q828" s="26"/>
      <c r="R828" s="5"/>
      <c r="S828" s="5"/>
      <c r="T828" s="5"/>
      <c r="U828" s="5"/>
      <c r="V828" s="5"/>
      <c r="W828" s="5"/>
      <c r="X828" s="5"/>
      <c r="Y828" s="5"/>
    </row>
    <row r="829" spans="13:25" ht="22.5" x14ac:dyDescent="0.2">
      <c r="M829" s="26" t="s">
        <v>79</v>
      </c>
      <c r="N829" s="25" t="s">
        <v>57</v>
      </c>
      <c r="O829" s="26" t="s">
        <v>837</v>
      </c>
      <c r="P829" s="26"/>
      <c r="Q829" s="26"/>
      <c r="R829" s="5"/>
      <c r="S829" s="5"/>
      <c r="T829" s="5"/>
      <c r="U829" s="5"/>
      <c r="V829" s="5"/>
      <c r="W829" s="5"/>
      <c r="X829" s="5"/>
      <c r="Y829" s="5"/>
    </row>
    <row r="830" spans="13:25" ht="22.5" x14ac:dyDescent="0.2">
      <c r="M830" s="26" t="s">
        <v>79</v>
      </c>
      <c r="N830" s="25" t="s">
        <v>51</v>
      </c>
      <c r="O830" s="26" t="s">
        <v>838</v>
      </c>
      <c r="P830" s="26"/>
      <c r="Q830" s="26"/>
      <c r="R830" s="5"/>
      <c r="S830" s="5"/>
      <c r="T830" s="5"/>
      <c r="U830" s="5"/>
      <c r="V830" s="5"/>
      <c r="W830" s="5"/>
      <c r="X830" s="5"/>
      <c r="Y830" s="5"/>
    </row>
    <row r="831" spans="13:25" ht="45" x14ac:dyDescent="0.2">
      <c r="M831" s="26" t="s">
        <v>79</v>
      </c>
      <c r="N831" s="25" t="s">
        <v>70</v>
      </c>
      <c r="O831" s="26"/>
      <c r="P831" s="26" t="s">
        <v>839</v>
      </c>
      <c r="Q831" s="26"/>
      <c r="R831" s="5"/>
      <c r="S831" s="5"/>
      <c r="T831" s="5"/>
      <c r="U831" s="5"/>
      <c r="V831" s="5"/>
      <c r="W831" s="5"/>
      <c r="X831" s="5"/>
      <c r="Y831" s="5"/>
    </row>
    <row r="832" spans="13:25" ht="33.75" x14ac:dyDescent="0.2">
      <c r="M832" s="26" t="s">
        <v>79</v>
      </c>
      <c r="N832" s="25" t="s">
        <v>70</v>
      </c>
      <c r="O832" s="26" t="s">
        <v>840</v>
      </c>
      <c r="P832" s="26"/>
      <c r="Q832" s="26"/>
      <c r="R832" s="5"/>
      <c r="S832" s="5"/>
      <c r="T832" s="5"/>
      <c r="U832" s="5"/>
      <c r="V832" s="5"/>
      <c r="W832" s="5"/>
      <c r="X832" s="5"/>
      <c r="Y832" s="5"/>
    </row>
    <row r="833" spans="13:25" ht="22.5" x14ac:dyDescent="0.2">
      <c r="M833" s="26" t="s">
        <v>79</v>
      </c>
      <c r="N833" s="25" t="s">
        <v>51</v>
      </c>
      <c r="O833" s="26" t="s">
        <v>841</v>
      </c>
      <c r="P833" s="26"/>
      <c r="Q833" s="26"/>
      <c r="R833" s="5"/>
      <c r="S833" s="5"/>
      <c r="T833" s="5"/>
      <c r="U833" s="5"/>
      <c r="V833" s="5"/>
      <c r="W833" s="5"/>
      <c r="X833" s="5"/>
      <c r="Y833" s="5"/>
    </row>
    <row r="834" spans="13:25" ht="22.5" x14ac:dyDescent="0.2">
      <c r="M834" s="26" t="s">
        <v>79</v>
      </c>
      <c r="N834" s="25" t="s">
        <v>70</v>
      </c>
      <c r="O834" s="26"/>
      <c r="P834" s="26" t="s">
        <v>842</v>
      </c>
      <c r="Q834" s="26"/>
      <c r="R834" s="5"/>
      <c r="S834" s="5"/>
      <c r="T834" s="5"/>
      <c r="U834" s="5"/>
      <c r="V834" s="5"/>
      <c r="W834" s="5"/>
      <c r="X834" s="5"/>
      <c r="Y834" s="5"/>
    </row>
    <row r="835" spans="13:25" ht="22.5" x14ac:dyDescent="0.2">
      <c r="M835" s="26" t="s">
        <v>79</v>
      </c>
      <c r="N835" s="25" t="s">
        <v>55</v>
      </c>
      <c r="O835" s="26" t="s">
        <v>843</v>
      </c>
      <c r="P835" s="26"/>
      <c r="Q835" s="26"/>
      <c r="R835" s="5"/>
      <c r="S835" s="5"/>
      <c r="T835" s="5"/>
      <c r="U835" s="5"/>
      <c r="V835" s="5"/>
      <c r="W835" s="5"/>
      <c r="X835" s="5"/>
      <c r="Y835" s="5"/>
    </row>
    <row r="836" spans="13:25" ht="33.75" x14ac:dyDescent="0.2">
      <c r="M836" s="26" t="s">
        <v>79</v>
      </c>
      <c r="N836" s="25" t="s">
        <v>55</v>
      </c>
      <c r="O836" s="26" t="s">
        <v>811</v>
      </c>
      <c r="P836" s="26"/>
      <c r="Q836" s="26"/>
      <c r="R836" s="5"/>
      <c r="S836" s="5"/>
      <c r="T836" s="5"/>
      <c r="U836" s="5"/>
      <c r="V836" s="5"/>
      <c r="W836" s="5"/>
      <c r="X836" s="5"/>
      <c r="Y836" s="5"/>
    </row>
    <row r="837" spans="13:25" ht="33.75" x14ac:dyDescent="0.2">
      <c r="M837" s="26" t="s">
        <v>79</v>
      </c>
      <c r="N837" s="25" t="s">
        <v>55</v>
      </c>
      <c r="O837" s="26" t="s">
        <v>844</v>
      </c>
      <c r="P837" s="26"/>
      <c r="Q837" s="26"/>
      <c r="R837" s="5"/>
      <c r="S837" s="5"/>
      <c r="T837" s="5"/>
      <c r="U837" s="5"/>
      <c r="V837" s="5"/>
      <c r="W837" s="5"/>
      <c r="X837" s="5"/>
      <c r="Y837" s="5"/>
    </row>
    <row r="838" spans="13:25" ht="33.75" x14ac:dyDescent="0.2">
      <c r="M838" s="26" t="s">
        <v>79</v>
      </c>
      <c r="N838" s="25" t="s">
        <v>55</v>
      </c>
      <c r="O838" s="26" t="s">
        <v>811</v>
      </c>
      <c r="P838" s="26"/>
      <c r="Q838" s="26"/>
      <c r="R838" s="5"/>
      <c r="S838" s="5"/>
      <c r="T838" s="5"/>
      <c r="U838" s="5"/>
      <c r="V838" s="5"/>
      <c r="W838" s="5"/>
      <c r="X838" s="5"/>
      <c r="Y838" s="5"/>
    </row>
    <row r="839" spans="13:25" ht="33.75" x14ac:dyDescent="0.2">
      <c r="M839" s="26" t="s">
        <v>79</v>
      </c>
      <c r="N839" s="25" t="s">
        <v>55</v>
      </c>
      <c r="O839" s="26" t="s">
        <v>845</v>
      </c>
      <c r="P839" s="26"/>
      <c r="Q839" s="26"/>
      <c r="R839" s="5"/>
      <c r="S839" s="5"/>
      <c r="T839" s="5"/>
      <c r="U839" s="5"/>
      <c r="V839" s="5"/>
      <c r="W839" s="5"/>
      <c r="X839" s="5"/>
      <c r="Y839" s="5"/>
    </row>
    <row r="840" spans="13:25" ht="33.75" x14ac:dyDescent="0.2">
      <c r="M840" s="26" t="s">
        <v>79</v>
      </c>
      <c r="N840" s="25" t="s">
        <v>55</v>
      </c>
      <c r="O840" s="26" t="s">
        <v>846</v>
      </c>
      <c r="P840" s="26"/>
      <c r="Q840" s="26"/>
      <c r="R840" s="5"/>
      <c r="S840" s="5"/>
      <c r="T840" s="5"/>
      <c r="U840" s="5"/>
      <c r="V840" s="5"/>
      <c r="W840" s="5"/>
      <c r="X840" s="5"/>
      <c r="Y840" s="5"/>
    </row>
    <row r="841" spans="13:25" ht="33.75" x14ac:dyDescent="0.2">
      <c r="M841" s="26" t="s">
        <v>79</v>
      </c>
      <c r="N841" s="25" t="s">
        <v>55</v>
      </c>
      <c r="O841" s="26" t="s">
        <v>847</v>
      </c>
      <c r="P841" s="26"/>
      <c r="Q841" s="26"/>
      <c r="R841" s="5"/>
      <c r="S841" s="5"/>
      <c r="T841" s="5"/>
      <c r="U841" s="5"/>
      <c r="V841" s="5"/>
      <c r="W841" s="5"/>
      <c r="X841" s="5"/>
      <c r="Y841" s="5"/>
    </row>
    <row r="842" spans="13:25" ht="45" x14ac:dyDescent="0.2">
      <c r="M842" s="26" t="s">
        <v>79</v>
      </c>
      <c r="N842" s="25" t="s">
        <v>55</v>
      </c>
      <c r="O842" s="26" t="s">
        <v>680</v>
      </c>
      <c r="P842" s="26"/>
      <c r="Q842" s="26"/>
      <c r="R842" s="5"/>
      <c r="S842" s="5"/>
      <c r="T842" s="5"/>
      <c r="U842" s="5"/>
      <c r="V842" s="5"/>
      <c r="W842" s="5"/>
      <c r="X842" s="5"/>
      <c r="Y842" s="5"/>
    </row>
    <row r="843" spans="13:25" ht="45" x14ac:dyDescent="0.2">
      <c r="M843" s="26" t="s">
        <v>79</v>
      </c>
      <c r="N843" s="25" t="s">
        <v>55</v>
      </c>
      <c r="O843" s="26" t="s">
        <v>848</v>
      </c>
      <c r="P843" s="26"/>
      <c r="Q843" s="26"/>
      <c r="R843" s="5"/>
      <c r="S843" s="5"/>
      <c r="T843" s="5"/>
      <c r="U843" s="5"/>
      <c r="V843" s="5"/>
      <c r="W843" s="5"/>
      <c r="X843" s="5"/>
      <c r="Y843" s="5"/>
    </row>
    <row r="844" spans="13:25" ht="22.5" x14ac:dyDescent="0.2">
      <c r="M844" s="26" t="s">
        <v>79</v>
      </c>
      <c r="N844" s="25" t="s">
        <v>51</v>
      </c>
      <c r="O844" s="26" t="s">
        <v>849</v>
      </c>
      <c r="P844" s="26"/>
      <c r="Q844" s="26"/>
      <c r="R844" s="5"/>
      <c r="S844" s="5"/>
      <c r="T844" s="5"/>
      <c r="U844" s="5"/>
      <c r="V844" s="5"/>
      <c r="W844" s="5"/>
      <c r="X844" s="5"/>
      <c r="Y844" s="5"/>
    </row>
    <row r="845" spans="13:25" ht="22.5" x14ac:dyDescent="0.2">
      <c r="M845" s="26" t="s">
        <v>79</v>
      </c>
      <c r="N845" s="25" t="s">
        <v>70</v>
      </c>
      <c r="O845" s="26"/>
      <c r="P845" s="26" t="s">
        <v>850</v>
      </c>
      <c r="Q845" s="26"/>
      <c r="R845" s="5"/>
      <c r="S845" s="5"/>
      <c r="T845" s="5"/>
      <c r="U845" s="5"/>
      <c r="V845" s="5"/>
      <c r="W845" s="5"/>
      <c r="X845" s="5"/>
      <c r="Y845" s="5"/>
    </row>
    <row r="846" spans="13:25" ht="22.5" x14ac:dyDescent="0.2">
      <c r="M846" s="26" t="s">
        <v>79</v>
      </c>
      <c r="N846" s="25" t="s">
        <v>70</v>
      </c>
      <c r="O846" s="26" t="s">
        <v>851</v>
      </c>
      <c r="P846" s="26"/>
      <c r="Q846" s="26"/>
      <c r="R846" s="5"/>
      <c r="S846" s="5"/>
      <c r="T846" s="5"/>
      <c r="U846" s="5"/>
      <c r="V846" s="5"/>
      <c r="W846" s="5"/>
      <c r="X846" s="5"/>
      <c r="Y846" s="5"/>
    </row>
    <row r="847" spans="13:25" ht="22.5" x14ac:dyDescent="0.2">
      <c r="M847" s="26" t="s">
        <v>79</v>
      </c>
      <c r="N847" s="25" t="s">
        <v>51</v>
      </c>
      <c r="O847" s="26" t="s">
        <v>852</v>
      </c>
      <c r="P847" s="26"/>
      <c r="Q847" s="26"/>
      <c r="R847" s="5"/>
      <c r="S847" s="5"/>
      <c r="T847" s="5"/>
      <c r="U847" s="5"/>
      <c r="V847" s="5"/>
      <c r="W847" s="5"/>
      <c r="X847" s="5"/>
      <c r="Y847" s="5"/>
    </row>
    <row r="848" spans="13:25" ht="22.5" x14ac:dyDescent="0.2">
      <c r="M848" s="26" t="s">
        <v>79</v>
      </c>
      <c r="N848" s="25" t="s">
        <v>70</v>
      </c>
      <c r="O848" s="26"/>
      <c r="P848" s="26" t="s">
        <v>853</v>
      </c>
      <c r="Q848" s="26"/>
      <c r="R848" s="5"/>
      <c r="S848" s="5"/>
      <c r="T848" s="5"/>
      <c r="U848" s="5"/>
      <c r="V848" s="5"/>
      <c r="W848" s="5"/>
      <c r="X848" s="5"/>
      <c r="Y848" s="5"/>
    </row>
    <row r="849" spans="13:25" ht="45" x14ac:dyDescent="0.2">
      <c r="M849" s="26" t="s">
        <v>79</v>
      </c>
      <c r="N849" s="25" t="s">
        <v>70</v>
      </c>
      <c r="O849" s="26" t="s">
        <v>854</v>
      </c>
      <c r="P849" s="26"/>
      <c r="Q849" s="26"/>
      <c r="R849" s="5"/>
      <c r="S849" s="5"/>
      <c r="T849" s="5"/>
      <c r="U849" s="5"/>
      <c r="V849" s="5"/>
      <c r="W849" s="5"/>
      <c r="X849" s="5"/>
      <c r="Y849" s="5"/>
    </row>
    <row r="850" spans="13:25" ht="33.75" x14ac:dyDescent="0.2">
      <c r="M850" s="26" t="s">
        <v>79</v>
      </c>
      <c r="N850" s="25" t="s">
        <v>70</v>
      </c>
      <c r="O850" s="26" t="s">
        <v>855</v>
      </c>
      <c r="P850" s="26"/>
      <c r="Q850" s="26"/>
      <c r="R850" s="5"/>
      <c r="S850" s="5"/>
      <c r="T850" s="5"/>
      <c r="U850" s="5"/>
      <c r="V850" s="5"/>
      <c r="W850" s="5"/>
      <c r="X850" s="5"/>
      <c r="Y850" s="5"/>
    </row>
    <row r="851" spans="13:25" ht="22.5" x14ac:dyDescent="0.2">
      <c r="M851" s="26" t="s">
        <v>79</v>
      </c>
      <c r="N851" s="25" t="s">
        <v>51</v>
      </c>
      <c r="O851" s="26" t="s">
        <v>856</v>
      </c>
      <c r="P851" s="26"/>
      <c r="Q851" s="26"/>
      <c r="R851" s="5"/>
      <c r="S851" s="5"/>
      <c r="T851" s="5"/>
      <c r="U851" s="5"/>
      <c r="V851" s="5"/>
      <c r="W851" s="5"/>
      <c r="X851" s="5"/>
      <c r="Y851" s="5"/>
    </row>
    <row r="852" spans="13:25" ht="45" x14ac:dyDescent="0.2">
      <c r="M852" s="26" t="s">
        <v>79</v>
      </c>
      <c r="N852" s="25" t="s">
        <v>55</v>
      </c>
      <c r="O852" s="26"/>
      <c r="P852" s="26" t="s">
        <v>857</v>
      </c>
      <c r="Q852" s="26"/>
      <c r="R852" s="5"/>
      <c r="S852" s="5"/>
      <c r="T852" s="5"/>
      <c r="U852" s="5"/>
      <c r="V852" s="5"/>
      <c r="W852" s="5"/>
      <c r="X852" s="5"/>
      <c r="Y852" s="5"/>
    </row>
    <row r="853" spans="13:25" ht="33.75" x14ac:dyDescent="0.2">
      <c r="M853" s="26" t="s">
        <v>79</v>
      </c>
      <c r="N853" s="25" t="s">
        <v>66</v>
      </c>
      <c r="O853" s="26" t="s">
        <v>858</v>
      </c>
      <c r="P853" s="26"/>
      <c r="Q853" s="26"/>
      <c r="R853" s="5"/>
      <c r="S853" s="5"/>
      <c r="T853" s="5"/>
      <c r="U853" s="5"/>
      <c r="V853" s="5"/>
      <c r="W853" s="5"/>
      <c r="X853" s="5"/>
      <c r="Y853" s="5"/>
    </row>
    <row r="854" spans="13:25" ht="22.5" x14ac:dyDescent="0.2">
      <c r="M854" s="26" t="s">
        <v>60</v>
      </c>
      <c r="N854" s="25" t="s">
        <v>51</v>
      </c>
      <c r="O854" s="26" t="s">
        <v>859</v>
      </c>
      <c r="P854" s="26"/>
      <c r="Q854" s="26"/>
      <c r="R854" s="5"/>
      <c r="S854" s="5"/>
      <c r="T854" s="5"/>
      <c r="U854" s="5"/>
      <c r="V854" s="5"/>
      <c r="W854" s="5"/>
      <c r="X854" s="5"/>
      <c r="Y854" s="5"/>
    </row>
    <row r="855" spans="13:25" ht="22.5" x14ac:dyDescent="0.2">
      <c r="M855" s="26" t="s">
        <v>60</v>
      </c>
      <c r="N855" s="25" t="s">
        <v>51</v>
      </c>
      <c r="O855" s="26"/>
      <c r="P855" s="26" t="s">
        <v>860</v>
      </c>
      <c r="Q855" s="26"/>
      <c r="R855" s="5"/>
      <c r="S855" s="5"/>
      <c r="T855" s="5"/>
      <c r="U855" s="5"/>
      <c r="V855" s="5"/>
      <c r="W855" s="5"/>
      <c r="X855" s="5"/>
      <c r="Y855" s="5"/>
    </row>
    <row r="856" spans="13:25" ht="22.5" x14ac:dyDescent="0.2">
      <c r="M856" s="26" t="s">
        <v>60</v>
      </c>
      <c r="N856" s="25" t="s">
        <v>57</v>
      </c>
      <c r="O856" s="26"/>
      <c r="P856" s="26" t="s">
        <v>861</v>
      </c>
      <c r="Q856" s="26"/>
      <c r="R856" s="5"/>
      <c r="S856" s="5"/>
      <c r="T856" s="5"/>
      <c r="U856" s="5"/>
      <c r="V856" s="5"/>
      <c r="W856" s="5"/>
      <c r="X856" s="5"/>
      <c r="Y856" s="5"/>
    </row>
    <row r="857" spans="13:25" ht="22.5" x14ac:dyDescent="0.2">
      <c r="M857" s="26" t="s">
        <v>60</v>
      </c>
      <c r="N857" s="25" t="s">
        <v>51</v>
      </c>
      <c r="O857" s="26" t="s">
        <v>862</v>
      </c>
      <c r="P857" s="26"/>
      <c r="Q857" s="26"/>
      <c r="R857" s="5"/>
      <c r="S857" s="5"/>
      <c r="T857" s="5"/>
      <c r="U857" s="5"/>
      <c r="V857" s="5"/>
      <c r="W857" s="5"/>
      <c r="X857" s="5"/>
      <c r="Y857" s="5"/>
    </row>
    <row r="858" spans="13:25" ht="22.5" x14ac:dyDescent="0.2">
      <c r="M858" s="26" t="s">
        <v>60</v>
      </c>
      <c r="N858" s="25" t="s">
        <v>51</v>
      </c>
      <c r="O858" s="26"/>
      <c r="P858" s="26" t="s">
        <v>863</v>
      </c>
      <c r="Q858" s="26"/>
      <c r="R858" s="5"/>
      <c r="S858" s="5"/>
      <c r="T858" s="5"/>
      <c r="U858" s="5"/>
      <c r="V858" s="5"/>
      <c r="W858" s="5"/>
      <c r="X858" s="5"/>
      <c r="Y858" s="5"/>
    </row>
    <row r="859" spans="13:25" ht="22.5" x14ac:dyDescent="0.2">
      <c r="M859" s="26" t="s">
        <v>60</v>
      </c>
      <c r="N859" s="25" t="s">
        <v>51</v>
      </c>
      <c r="O859" s="26"/>
      <c r="P859" s="26" t="s">
        <v>864</v>
      </c>
      <c r="Q859" s="26"/>
      <c r="R859" s="5"/>
      <c r="S859" s="5"/>
      <c r="T859" s="5"/>
      <c r="U859" s="5"/>
      <c r="V859" s="5"/>
      <c r="W859" s="5"/>
      <c r="X859" s="5"/>
      <c r="Y859" s="5"/>
    </row>
    <row r="860" spans="13:25" ht="22.5" x14ac:dyDescent="0.2">
      <c r="M860" s="26" t="s">
        <v>60</v>
      </c>
      <c r="N860" s="25" t="s">
        <v>57</v>
      </c>
      <c r="O860" s="26"/>
      <c r="P860" s="26" t="s">
        <v>865</v>
      </c>
      <c r="Q860" s="26"/>
      <c r="R860" s="5"/>
      <c r="S860" s="5"/>
      <c r="T860" s="5"/>
      <c r="U860" s="5"/>
      <c r="V860" s="5"/>
      <c r="W860" s="5"/>
      <c r="X860" s="5"/>
      <c r="Y860" s="5"/>
    </row>
    <row r="861" spans="13:25" ht="22.5" x14ac:dyDescent="0.2">
      <c r="M861" s="26" t="s">
        <v>60</v>
      </c>
      <c r="N861" s="25" t="s">
        <v>51</v>
      </c>
      <c r="O861" s="26" t="s">
        <v>866</v>
      </c>
      <c r="P861" s="26"/>
      <c r="Q861" s="26"/>
      <c r="R861" s="5"/>
      <c r="S861" s="5"/>
      <c r="T861" s="5"/>
      <c r="U861" s="5"/>
      <c r="V861" s="5"/>
      <c r="W861" s="5"/>
      <c r="X861" s="5"/>
      <c r="Y861" s="5"/>
    </row>
    <row r="862" spans="13:25" ht="22.5" x14ac:dyDescent="0.2">
      <c r="M862" s="26" t="s">
        <v>60</v>
      </c>
      <c r="N862" s="25" t="s">
        <v>51</v>
      </c>
      <c r="O862" s="26"/>
      <c r="P862" s="26" t="s">
        <v>867</v>
      </c>
      <c r="Q862" s="26"/>
      <c r="R862" s="5"/>
      <c r="S862" s="5"/>
      <c r="T862" s="5"/>
      <c r="U862" s="5"/>
      <c r="V862" s="5"/>
      <c r="W862" s="5"/>
      <c r="X862" s="5"/>
      <c r="Y862" s="5"/>
    </row>
    <row r="863" spans="13:25" ht="22.5" x14ac:dyDescent="0.2">
      <c r="M863" s="26" t="s">
        <v>60</v>
      </c>
      <c r="N863" s="25" t="s">
        <v>51</v>
      </c>
      <c r="O863" s="26"/>
      <c r="P863" s="26" t="s">
        <v>868</v>
      </c>
      <c r="Q863" s="26"/>
      <c r="R863" s="5"/>
      <c r="S863" s="5"/>
      <c r="T863" s="5"/>
      <c r="U863" s="5"/>
      <c r="V863" s="5"/>
      <c r="W863" s="5"/>
      <c r="X863" s="5"/>
      <c r="Y863" s="5"/>
    </row>
    <row r="864" spans="13:25" ht="67.5" x14ac:dyDescent="0.2">
      <c r="M864" s="26" t="s">
        <v>60</v>
      </c>
      <c r="N864" s="25" t="s">
        <v>51</v>
      </c>
      <c r="O864" s="26"/>
      <c r="P864" s="26" t="s">
        <v>869</v>
      </c>
      <c r="Q864" s="26"/>
      <c r="R864" s="5"/>
      <c r="S864" s="5"/>
      <c r="T864" s="5"/>
      <c r="U864" s="5"/>
      <c r="V864" s="5"/>
      <c r="W864" s="5"/>
      <c r="X864" s="5"/>
      <c r="Y864" s="5"/>
    </row>
    <row r="865" spans="13:25" ht="22.5" x14ac:dyDescent="0.2">
      <c r="M865" s="26" t="s">
        <v>60</v>
      </c>
      <c r="N865" s="25" t="s">
        <v>51</v>
      </c>
      <c r="O865" s="26"/>
      <c r="P865" s="26" t="s">
        <v>870</v>
      </c>
      <c r="Q865" s="26"/>
      <c r="R865" s="5"/>
      <c r="S865" s="5"/>
      <c r="T865" s="5"/>
      <c r="U865" s="5"/>
      <c r="V865" s="5"/>
      <c r="W865" s="5"/>
      <c r="X865" s="5"/>
      <c r="Y865" s="5"/>
    </row>
    <row r="866" spans="13:25" ht="33.75" x14ac:dyDescent="0.2">
      <c r="M866" s="26" t="s">
        <v>60</v>
      </c>
      <c r="N866" s="25" t="s">
        <v>57</v>
      </c>
      <c r="O866" s="26"/>
      <c r="P866" s="26" t="s">
        <v>871</v>
      </c>
      <c r="Q866" s="26"/>
      <c r="R866" s="5"/>
      <c r="S866" s="5"/>
      <c r="T866" s="5"/>
      <c r="U866" s="5"/>
      <c r="V866" s="5"/>
      <c r="W866" s="5"/>
      <c r="X866" s="5"/>
      <c r="Y866" s="5"/>
    </row>
    <row r="867" spans="13:25" ht="33.75" x14ac:dyDescent="0.2">
      <c r="M867" s="26" t="s">
        <v>60</v>
      </c>
      <c r="N867" s="25" t="s">
        <v>57</v>
      </c>
      <c r="O867" s="26"/>
      <c r="P867" s="26" t="s">
        <v>871</v>
      </c>
      <c r="Q867" s="26"/>
      <c r="R867" s="5"/>
      <c r="S867" s="5"/>
      <c r="T867" s="5"/>
      <c r="U867" s="5"/>
      <c r="V867" s="5"/>
      <c r="W867" s="5"/>
      <c r="X867" s="5"/>
      <c r="Y867" s="5"/>
    </row>
    <row r="868" spans="13:25" ht="56.25" x14ac:dyDescent="0.2">
      <c r="M868" s="26" t="s">
        <v>60</v>
      </c>
      <c r="N868" s="25" t="s">
        <v>51</v>
      </c>
      <c r="O868" s="26"/>
      <c r="P868" s="26" t="s">
        <v>872</v>
      </c>
      <c r="Q868" s="26"/>
      <c r="R868" s="5"/>
      <c r="S868" s="5"/>
      <c r="T868" s="5"/>
      <c r="U868" s="5"/>
      <c r="V868" s="5"/>
      <c r="W868" s="5"/>
      <c r="X868" s="5"/>
      <c r="Y868" s="5"/>
    </row>
    <row r="869" spans="13:25" ht="56.25" x14ac:dyDescent="0.2">
      <c r="M869" s="26" t="s">
        <v>60</v>
      </c>
      <c r="N869" s="25" t="s">
        <v>51</v>
      </c>
      <c r="O869" s="26"/>
      <c r="P869" s="26" t="s">
        <v>873</v>
      </c>
      <c r="Q869" s="26"/>
      <c r="R869" s="5"/>
      <c r="S869" s="5"/>
      <c r="T869" s="5"/>
      <c r="U869" s="5"/>
      <c r="V869" s="5"/>
      <c r="W869" s="5"/>
      <c r="X869" s="5"/>
      <c r="Y869" s="5"/>
    </row>
    <row r="870" spans="13:25" ht="67.5" x14ac:dyDescent="0.2">
      <c r="M870" s="26" t="s">
        <v>60</v>
      </c>
      <c r="N870" s="25" t="s">
        <v>51</v>
      </c>
      <c r="O870" s="26"/>
      <c r="P870" s="26" t="s">
        <v>874</v>
      </c>
      <c r="Q870" s="26"/>
      <c r="R870" s="5"/>
      <c r="S870" s="5"/>
      <c r="T870" s="5"/>
      <c r="U870" s="5"/>
      <c r="V870" s="5"/>
      <c r="W870" s="5"/>
      <c r="X870" s="5"/>
      <c r="Y870" s="5"/>
    </row>
    <row r="871" spans="13:25" ht="22.5" x14ac:dyDescent="0.2">
      <c r="M871" s="26" t="s">
        <v>60</v>
      </c>
      <c r="N871" s="25" t="s">
        <v>57</v>
      </c>
      <c r="O871" s="26" t="s">
        <v>875</v>
      </c>
      <c r="P871" s="26"/>
      <c r="Q871" s="26"/>
      <c r="R871" s="5"/>
      <c r="S871" s="5"/>
      <c r="T871" s="5"/>
      <c r="U871" s="5"/>
      <c r="V871" s="5"/>
      <c r="W871" s="5"/>
      <c r="X871" s="5"/>
      <c r="Y871" s="5"/>
    </row>
    <row r="872" spans="13:25" ht="22.5" x14ac:dyDescent="0.2">
      <c r="M872" s="26" t="s">
        <v>60</v>
      </c>
      <c r="N872" s="25" t="s">
        <v>57</v>
      </c>
      <c r="O872" s="26" t="s">
        <v>876</v>
      </c>
      <c r="P872" s="26"/>
      <c r="Q872" s="26"/>
      <c r="R872" s="5"/>
      <c r="S872" s="5"/>
      <c r="T872" s="5"/>
      <c r="U872" s="5"/>
      <c r="V872" s="5"/>
      <c r="W872" s="5"/>
      <c r="X872" s="5"/>
      <c r="Y872" s="5"/>
    </row>
    <row r="873" spans="13:25" ht="22.5" x14ac:dyDescent="0.2">
      <c r="M873" s="26" t="s">
        <v>60</v>
      </c>
      <c r="N873" s="25" t="s">
        <v>57</v>
      </c>
      <c r="O873" s="26" t="s">
        <v>877</v>
      </c>
      <c r="P873" s="26"/>
      <c r="Q873" s="26"/>
      <c r="R873" s="5"/>
      <c r="S873" s="5"/>
      <c r="T873" s="5"/>
      <c r="U873" s="5"/>
      <c r="V873" s="5"/>
      <c r="W873" s="5"/>
      <c r="X873" s="5"/>
      <c r="Y873" s="5"/>
    </row>
    <row r="874" spans="13:25" ht="22.5" x14ac:dyDescent="0.2">
      <c r="M874" s="26" t="s">
        <v>60</v>
      </c>
      <c r="N874" s="25" t="s">
        <v>51</v>
      </c>
      <c r="O874" s="26" t="s">
        <v>878</v>
      </c>
      <c r="P874" s="26"/>
      <c r="Q874" s="26"/>
      <c r="R874" s="5"/>
      <c r="S874" s="5"/>
      <c r="T874" s="5"/>
      <c r="U874" s="5"/>
      <c r="V874" s="5"/>
      <c r="W874" s="5"/>
      <c r="X874" s="5"/>
      <c r="Y874" s="5"/>
    </row>
    <row r="875" spans="13:25" ht="22.5" x14ac:dyDescent="0.2">
      <c r="M875" s="26" t="s">
        <v>60</v>
      </c>
      <c r="N875" s="25" t="s">
        <v>51</v>
      </c>
      <c r="O875" s="26" t="s">
        <v>879</v>
      </c>
      <c r="P875" s="26"/>
      <c r="Q875" s="26"/>
      <c r="R875" s="5"/>
      <c r="S875" s="5"/>
      <c r="T875" s="5"/>
      <c r="U875" s="5"/>
      <c r="V875" s="5"/>
      <c r="W875" s="5"/>
      <c r="X875" s="5"/>
      <c r="Y875" s="5"/>
    </row>
    <row r="876" spans="13:25" ht="67.5" x14ac:dyDescent="0.2">
      <c r="M876" s="26" t="s">
        <v>60</v>
      </c>
      <c r="N876" s="25" t="s">
        <v>51</v>
      </c>
      <c r="O876" s="26"/>
      <c r="P876" s="26" t="s">
        <v>880</v>
      </c>
      <c r="Q876" s="26"/>
      <c r="R876" s="5"/>
      <c r="S876" s="5"/>
      <c r="T876" s="5"/>
      <c r="U876" s="5"/>
      <c r="V876" s="5"/>
      <c r="W876" s="5"/>
      <c r="X876" s="5"/>
      <c r="Y876" s="5"/>
    </row>
    <row r="877" spans="13:25" ht="22.5" x14ac:dyDescent="0.2">
      <c r="M877" s="26" t="s">
        <v>60</v>
      </c>
      <c r="N877" s="25" t="s">
        <v>57</v>
      </c>
      <c r="O877" s="26"/>
      <c r="P877" s="26" t="s">
        <v>881</v>
      </c>
      <c r="Q877" s="26"/>
      <c r="R877" s="5"/>
      <c r="S877" s="5"/>
      <c r="T877" s="5"/>
      <c r="U877" s="5"/>
      <c r="V877" s="5"/>
      <c r="W877" s="5"/>
      <c r="X877" s="5"/>
      <c r="Y877" s="5"/>
    </row>
    <row r="878" spans="13:25" ht="56.25" x14ac:dyDescent="0.2">
      <c r="M878" s="26" t="s">
        <v>60</v>
      </c>
      <c r="N878" s="25" t="s">
        <v>51</v>
      </c>
      <c r="O878" s="26"/>
      <c r="P878" s="26" t="s">
        <v>882</v>
      </c>
      <c r="Q878" s="26"/>
      <c r="R878" s="5"/>
      <c r="S878" s="5"/>
      <c r="T878" s="5"/>
      <c r="U878" s="5"/>
      <c r="V878" s="5"/>
      <c r="W878" s="5"/>
      <c r="X878" s="5"/>
      <c r="Y878" s="5"/>
    </row>
    <row r="879" spans="13:25" ht="67.5" x14ac:dyDescent="0.2">
      <c r="M879" s="26" t="s">
        <v>60</v>
      </c>
      <c r="N879" s="25" t="s">
        <v>51</v>
      </c>
      <c r="O879" s="26"/>
      <c r="P879" s="26" t="s">
        <v>883</v>
      </c>
      <c r="Q879" s="26"/>
      <c r="R879" s="5"/>
      <c r="S879" s="5"/>
      <c r="T879" s="5"/>
      <c r="U879" s="5"/>
      <c r="V879" s="5"/>
      <c r="W879" s="5"/>
      <c r="X879" s="5"/>
      <c r="Y879" s="5"/>
    </row>
    <row r="880" spans="13:25" ht="56.25" x14ac:dyDescent="0.2">
      <c r="M880" s="26" t="s">
        <v>60</v>
      </c>
      <c r="N880" s="25" t="s">
        <v>51</v>
      </c>
      <c r="O880" s="26"/>
      <c r="P880" s="26" t="s">
        <v>884</v>
      </c>
      <c r="Q880" s="26"/>
      <c r="R880" s="5"/>
      <c r="S880" s="5"/>
      <c r="T880" s="5"/>
      <c r="U880" s="5"/>
      <c r="V880" s="5"/>
      <c r="W880" s="5"/>
      <c r="X880" s="5"/>
      <c r="Y880" s="5"/>
    </row>
    <row r="881" spans="13:25" ht="22.5" x14ac:dyDescent="0.2">
      <c r="M881" s="26" t="s">
        <v>60</v>
      </c>
      <c r="N881" s="25" t="s">
        <v>51</v>
      </c>
      <c r="O881" s="26" t="s">
        <v>885</v>
      </c>
      <c r="P881" s="26"/>
      <c r="Q881" s="26"/>
      <c r="R881" s="5"/>
      <c r="S881" s="5"/>
      <c r="T881" s="5"/>
      <c r="U881" s="5"/>
      <c r="V881" s="5"/>
      <c r="W881" s="5"/>
      <c r="X881" s="5"/>
      <c r="Y881" s="5"/>
    </row>
    <row r="882" spans="13:25" ht="67.5" x14ac:dyDescent="0.2">
      <c r="M882" s="26" t="s">
        <v>60</v>
      </c>
      <c r="N882" s="25" t="s">
        <v>51</v>
      </c>
      <c r="O882" s="26"/>
      <c r="P882" s="26" t="s">
        <v>886</v>
      </c>
      <c r="Q882" s="26"/>
      <c r="R882" s="5"/>
      <c r="S882" s="5"/>
      <c r="T882" s="5"/>
      <c r="U882" s="5"/>
      <c r="V882" s="5"/>
      <c r="W882" s="5"/>
      <c r="X882" s="5"/>
      <c r="Y882" s="5"/>
    </row>
    <row r="883" spans="13:25" ht="22.5" x14ac:dyDescent="0.2">
      <c r="M883" s="26" t="s">
        <v>60</v>
      </c>
      <c r="N883" s="25" t="s">
        <v>57</v>
      </c>
      <c r="O883" s="26"/>
      <c r="P883" s="26" t="s">
        <v>887</v>
      </c>
      <c r="Q883" s="26"/>
      <c r="R883" s="5"/>
      <c r="S883" s="5"/>
      <c r="T883" s="5"/>
      <c r="U883" s="5"/>
      <c r="V883" s="5"/>
      <c r="W883" s="5"/>
      <c r="X883" s="5"/>
      <c r="Y883" s="5"/>
    </row>
    <row r="884" spans="13:25" ht="56.25" x14ac:dyDescent="0.2">
      <c r="M884" s="26" t="s">
        <v>60</v>
      </c>
      <c r="N884" s="25" t="s">
        <v>51</v>
      </c>
      <c r="O884" s="26"/>
      <c r="P884" s="26" t="s">
        <v>888</v>
      </c>
      <c r="Q884" s="26"/>
      <c r="R884" s="5"/>
      <c r="S884" s="5"/>
      <c r="T884" s="5"/>
      <c r="U884" s="5"/>
      <c r="V884" s="5"/>
      <c r="W884" s="5"/>
      <c r="X884" s="5"/>
      <c r="Y884" s="5"/>
    </row>
    <row r="885" spans="13:25" ht="56.25" x14ac:dyDescent="0.2">
      <c r="M885" s="26" t="s">
        <v>60</v>
      </c>
      <c r="N885" s="25" t="s">
        <v>51</v>
      </c>
      <c r="O885" s="26"/>
      <c r="P885" s="26" t="s">
        <v>889</v>
      </c>
      <c r="Q885" s="26"/>
      <c r="R885" s="5"/>
      <c r="S885" s="5"/>
      <c r="T885" s="5"/>
      <c r="U885" s="5"/>
      <c r="V885" s="5"/>
      <c r="W885" s="5"/>
      <c r="X885" s="5"/>
      <c r="Y885" s="5"/>
    </row>
    <row r="886" spans="13:25" ht="67.5" x14ac:dyDescent="0.2">
      <c r="M886" s="26" t="s">
        <v>60</v>
      </c>
      <c r="N886" s="25" t="s">
        <v>51</v>
      </c>
      <c r="O886" s="26"/>
      <c r="P886" s="26" t="s">
        <v>890</v>
      </c>
      <c r="Q886" s="26"/>
      <c r="R886" s="5"/>
      <c r="S886" s="5"/>
      <c r="T886" s="5"/>
      <c r="U886" s="5"/>
      <c r="V886" s="5"/>
      <c r="W886" s="5"/>
      <c r="X886" s="5"/>
      <c r="Y886" s="5"/>
    </row>
    <row r="887" spans="13:25" ht="33.75" x14ac:dyDescent="0.2">
      <c r="M887" s="26" t="s">
        <v>60</v>
      </c>
      <c r="N887" s="25" t="s">
        <v>57</v>
      </c>
      <c r="O887" s="26" t="s">
        <v>891</v>
      </c>
      <c r="P887" s="26"/>
      <c r="Q887" s="26"/>
      <c r="R887" s="5"/>
      <c r="S887" s="5"/>
      <c r="T887" s="5"/>
      <c r="U887" s="5"/>
      <c r="V887" s="5"/>
      <c r="W887" s="5"/>
      <c r="X887" s="5"/>
      <c r="Y887" s="5"/>
    </row>
    <row r="888" spans="13:25" ht="33.75" x14ac:dyDescent="0.2">
      <c r="M888" s="26" t="s">
        <v>60</v>
      </c>
      <c r="N888" s="25" t="s">
        <v>57</v>
      </c>
      <c r="O888" s="26" t="s">
        <v>892</v>
      </c>
      <c r="P888" s="26"/>
      <c r="Q888" s="26"/>
      <c r="R888" s="5"/>
      <c r="S888" s="5"/>
      <c r="T888" s="5"/>
      <c r="U888" s="5"/>
      <c r="V888" s="5"/>
      <c r="W888" s="5"/>
      <c r="X888" s="5"/>
      <c r="Y888" s="5"/>
    </row>
    <row r="889" spans="13:25" ht="22.5" x14ac:dyDescent="0.2">
      <c r="M889" s="26" t="s">
        <v>60</v>
      </c>
      <c r="N889" s="25" t="s">
        <v>51</v>
      </c>
      <c r="O889" s="26" t="s">
        <v>893</v>
      </c>
      <c r="P889" s="26"/>
      <c r="Q889" s="26"/>
      <c r="R889" s="5"/>
      <c r="S889" s="5"/>
      <c r="T889" s="5"/>
      <c r="U889" s="5"/>
      <c r="V889" s="5"/>
      <c r="W889" s="5"/>
      <c r="X889" s="5"/>
      <c r="Y889" s="5"/>
    </row>
    <row r="890" spans="13:25" ht="33.75" x14ac:dyDescent="0.2">
      <c r="M890" s="26" t="s">
        <v>60</v>
      </c>
      <c r="N890" s="25" t="s">
        <v>51</v>
      </c>
      <c r="O890" s="26"/>
      <c r="P890" s="26" t="s">
        <v>894</v>
      </c>
      <c r="Q890" s="26"/>
      <c r="R890" s="5"/>
      <c r="S890" s="5"/>
      <c r="T890" s="5"/>
      <c r="U890" s="5"/>
      <c r="V890" s="5"/>
      <c r="W890" s="5"/>
      <c r="X890" s="5"/>
      <c r="Y890" s="5"/>
    </row>
    <row r="891" spans="13:25" ht="22.5" x14ac:dyDescent="0.2">
      <c r="M891" s="26" t="s">
        <v>60</v>
      </c>
      <c r="N891" s="25" t="s">
        <v>57</v>
      </c>
      <c r="O891" s="26"/>
      <c r="P891" s="26" t="s">
        <v>895</v>
      </c>
      <c r="Q891" s="26"/>
      <c r="R891" s="5"/>
      <c r="S891" s="5"/>
      <c r="T891" s="5"/>
      <c r="U891" s="5"/>
      <c r="V891" s="5"/>
      <c r="W891" s="5"/>
      <c r="X891" s="5"/>
      <c r="Y891" s="5"/>
    </row>
    <row r="892" spans="13:25" ht="22.5" x14ac:dyDescent="0.2">
      <c r="M892" s="26" t="s">
        <v>60</v>
      </c>
      <c r="N892" s="25" t="s">
        <v>51</v>
      </c>
      <c r="O892" s="26" t="s">
        <v>896</v>
      </c>
      <c r="P892" s="26"/>
      <c r="Q892" s="26"/>
      <c r="R892" s="5"/>
      <c r="S892" s="5"/>
      <c r="T892" s="5"/>
      <c r="U892" s="5"/>
      <c r="V892" s="5"/>
      <c r="W892" s="5"/>
      <c r="X892" s="5"/>
      <c r="Y892" s="5"/>
    </row>
    <row r="893" spans="13:25" ht="33.75" x14ac:dyDescent="0.2">
      <c r="M893" s="26" t="s">
        <v>60</v>
      </c>
      <c r="N893" s="25" t="s">
        <v>51</v>
      </c>
      <c r="O893" s="26"/>
      <c r="P893" s="26" t="s">
        <v>897</v>
      </c>
      <c r="Q893" s="26"/>
      <c r="R893" s="5"/>
      <c r="S893" s="5"/>
      <c r="T893" s="5"/>
      <c r="U893" s="5"/>
      <c r="V893" s="5"/>
      <c r="W893" s="5"/>
      <c r="X893" s="5"/>
      <c r="Y893" s="5"/>
    </row>
    <row r="894" spans="13:25" ht="22.5" x14ac:dyDescent="0.2">
      <c r="M894" s="26" t="s">
        <v>60</v>
      </c>
      <c r="N894" s="25" t="s">
        <v>57</v>
      </c>
      <c r="O894" s="26"/>
      <c r="P894" s="26" t="s">
        <v>898</v>
      </c>
      <c r="Q894" s="26"/>
      <c r="R894" s="5"/>
      <c r="S894" s="5"/>
      <c r="T894" s="5"/>
      <c r="U894" s="5"/>
      <c r="V894" s="5"/>
      <c r="W894" s="5"/>
      <c r="X894" s="5"/>
      <c r="Y894" s="5"/>
    </row>
    <row r="895" spans="13:25" ht="22.5" x14ac:dyDescent="0.2">
      <c r="M895" s="26" t="s">
        <v>60</v>
      </c>
      <c r="N895" s="25" t="s">
        <v>51</v>
      </c>
      <c r="O895" s="26" t="s">
        <v>899</v>
      </c>
      <c r="P895" s="26"/>
      <c r="Q895" s="26"/>
      <c r="R895" s="5"/>
      <c r="S895" s="5"/>
      <c r="T895" s="5"/>
      <c r="U895" s="5"/>
      <c r="V895" s="5"/>
      <c r="W895" s="5"/>
      <c r="X895" s="5"/>
      <c r="Y895" s="5"/>
    </row>
    <row r="896" spans="13:25" ht="22.5" x14ac:dyDescent="0.2">
      <c r="M896" s="26" t="s">
        <v>60</v>
      </c>
      <c r="N896" s="25" t="s">
        <v>51</v>
      </c>
      <c r="O896" s="26" t="s">
        <v>900</v>
      </c>
      <c r="P896" s="26"/>
      <c r="Q896" s="26"/>
      <c r="R896" s="5"/>
      <c r="S896" s="5"/>
      <c r="T896" s="5"/>
      <c r="U896" s="5"/>
      <c r="V896" s="5"/>
      <c r="W896" s="5"/>
      <c r="X896" s="5"/>
      <c r="Y896" s="5"/>
    </row>
    <row r="897" spans="13:25" ht="22.5" x14ac:dyDescent="0.2">
      <c r="M897" s="26" t="s">
        <v>60</v>
      </c>
      <c r="N897" s="25" t="s">
        <v>51</v>
      </c>
      <c r="O897" s="26" t="s">
        <v>901</v>
      </c>
      <c r="P897" s="26"/>
      <c r="Q897" s="26"/>
      <c r="R897" s="5"/>
      <c r="S897" s="5"/>
      <c r="T897" s="5"/>
      <c r="U897" s="5"/>
      <c r="V897" s="5"/>
      <c r="W897" s="5"/>
      <c r="X897" s="5"/>
      <c r="Y897" s="5"/>
    </row>
    <row r="898" spans="13:25" ht="22.5" x14ac:dyDescent="0.2">
      <c r="M898" s="26" t="s">
        <v>60</v>
      </c>
      <c r="N898" s="25" t="s">
        <v>57</v>
      </c>
      <c r="O898" s="26" t="s">
        <v>902</v>
      </c>
      <c r="P898" s="26"/>
      <c r="Q898" s="26"/>
      <c r="R898" s="5"/>
      <c r="S898" s="5"/>
      <c r="T898" s="5"/>
      <c r="U898" s="5"/>
      <c r="V898" s="5"/>
      <c r="W898" s="5"/>
      <c r="X898" s="5"/>
      <c r="Y898" s="5"/>
    </row>
    <row r="899" spans="13:25" ht="22.5" x14ac:dyDescent="0.2">
      <c r="M899" s="26" t="s">
        <v>60</v>
      </c>
      <c r="N899" s="25" t="s">
        <v>57</v>
      </c>
      <c r="O899" s="26" t="s">
        <v>903</v>
      </c>
      <c r="P899" s="26"/>
      <c r="Q899" s="26"/>
      <c r="R899" s="5"/>
      <c r="S899" s="5"/>
      <c r="T899" s="5"/>
      <c r="U899" s="5"/>
      <c r="V899" s="5"/>
      <c r="W899" s="5"/>
      <c r="X899" s="5"/>
      <c r="Y899" s="5"/>
    </row>
    <row r="900" spans="13:25" ht="22.5" x14ac:dyDescent="0.2">
      <c r="M900" s="26" t="s">
        <v>60</v>
      </c>
      <c r="N900" s="25" t="s">
        <v>57</v>
      </c>
      <c r="O900" s="26" t="s">
        <v>904</v>
      </c>
      <c r="P900" s="26"/>
      <c r="Q900" s="26"/>
      <c r="R900" s="5"/>
      <c r="S900" s="5"/>
      <c r="T900" s="5"/>
      <c r="U900" s="5"/>
      <c r="V900" s="5"/>
      <c r="W900" s="5"/>
      <c r="X900" s="5"/>
      <c r="Y900" s="5"/>
    </row>
    <row r="901" spans="13:25" ht="22.5" x14ac:dyDescent="0.2">
      <c r="M901" s="26" t="s">
        <v>60</v>
      </c>
      <c r="N901" s="25" t="s">
        <v>57</v>
      </c>
      <c r="O901" s="26" t="s">
        <v>905</v>
      </c>
      <c r="P901" s="26"/>
      <c r="Q901" s="26"/>
      <c r="R901" s="5"/>
      <c r="S901" s="5"/>
      <c r="T901" s="5"/>
      <c r="U901" s="5"/>
      <c r="V901" s="5"/>
      <c r="W901" s="5"/>
      <c r="X901" s="5"/>
      <c r="Y901" s="5"/>
    </row>
    <row r="902" spans="13:25" ht="22.5" x14ac:dyDescent="0.2">
      <c r="M902" s="26" t="s">
        <v>60</v>
      </c>
      <c r="N902" s="25" t="s">
        <v>57</v>
      </c>
      <c r="O902" s="26" t="s">
        <v>906</v>
      </c>
      <c r="P902" s="26"/>
      <c r="Q902" s="26"/>
      <c r="R902" s="5"/>
      <c r="S902" s="5"/>
      <c r="T902" s="5"/>
      <c r="U902" s="5"/>
      <c r="V902" s="5"/>
      <c r="W902" s="5"/>
      <c r="X902" s="5"/>
      <c r="Y902" s="5"/>
    </row>
    <row r="903" spans="13:25" ht="22.5" x14ac:dyDescent="0.2">
      <c r="M903" s="26" t="s">
        <v>60</v>
      </c>
      <c r="N903" s="25" t="s">
        <v>57</v>
      </c>
      <c r="O903" s="26" t="s">
        <v>907</v>
      </c>
      <c r="P903" s="26"/>
      <c r="Q903" s="26"/>
      <c r="R903" s="5"/>
      <c r="S903" s="5"/>
      <c r="T903" s="5"/>
      <c r="U903" s="5"/>
      <c r="V903" s="5"/>
      <c r="W903" s="5"/>
      <c r="X903" s="5"/>
      <c r="Y903" s="5"/>
    </row>
    <row r="904" spans="13:25" ht="22.5" x14ac:dyDescent="0.2">
      <c r="M904" s="26" t="s">
        <v>60</v>
      </c>
      <c r="N904" s="25" t="s">
        <v>51</v>
      </c>
      <c r="O904" s="26" t="s">
        <v>908</v>
      </c>
      <c r="P904" s="26"/>
      <c r="Q904" s="26"/>
      <c r="R904" s="5"/>
      <c r="S904" s="5"/>
      <c r="T904" s="5"/>
      <c r="U904" s="5"/>
      <c r="V904" s="5"/>
      <c r="W904" s="5"/>
      <c r="X904" s="5"/>
      <c r="Y904" s="5"/>
    </row>
    <row r="905" spans="13:25" ht="22.5" x14ac:dyDescent="0.2">
      <c r="M905" s="26" t="s">
        <v>60</v>
      </c>
      <c r="N905" s="25" t="s">
        <v>57</v>
      </c>
      <c r="O905" s="26"/>
      <c r="P905" s="26" t="s">
        <v>909</v>
      </c>
      <c r="Q905" s="26"/>
      <c r="R905" s="5"/>
      <c r="S905" s="5"/>
      <c r="T905" s="5"/>
      <c r="U905" s="5"/>
      <c r="V905" s="5"/>
      <c r="W905" s="5"/>
      <c r="X905" s="5"/>
      <c r="Y905" s="5"/>
    </row>
    <row r="906" spans="13:25" ht="22.5" x14ac:dyDescent="0.2">
      <c r="M906" s="26" t="s">
        <v>60</v>
      </c>
      <c r="N906" s="25" t="s">
        <v>51</v>
      </c>
      <c r="O906" s="26" t="s">
        <v>910</v>
      </c>
      <c r="P906" s="26"/>
      <c r="Q906" s="26"/>
      <c r="R906" s="5"/>
      <c r="S906" s="5"/>
      <c r="T906" s="5"/>
      <c r="U906" s="5"/>
      <c r="V906" s="5"/>
      <c r="W906" s="5"/>
      <c r="X906" s="5"/>
      <c r="Y906" s="5"/>
    </row>
    <row r="907" spans="13:25" ht="33.75" x14ac:dyDescent="0.2">
      <c r="M907" s="26" t="s">
        <v>60</v>
      </c>
      <c r="N907" s="25" t="s">
        <v>51</v>
      </c>
      <c r="O907" s="26"/>
      <c r="P907" s="26" t="s">
        <v>911</v>
      </c>
      <c r="Q907" s="26"/>
      <c r="R907" s="5"/>
      <c r="S907" s="5"/>
      <c r="T907" s="5"/>
      <c r="U907" s="5"/>
      <c r="V907" s="5"/>
      <c r="W907" s="5"/>
      <c r="X907" s="5"/>
      <c r="Y907" s="5"/>
    </row>
    <row r="908" spans="13:25" ht="22.5" x14ac:dyDescent="0.2">
      <c r="M908" s="26" t="s">
        <v>60</v>
      </c>
      <c r="N908" s="25" t="s">
        <v>51</v>
      </c>
      <c r="O908" s="26"/>
      <c r="P908" s="26" t="s">
        <v>912</v>
      </c>
      <c r="Q908" s="26"/>
      <c r="R908" s="5"/>
      <c r="S908" s="5"/>
      <c r="T908" s="5"/>
      <c r="U908" s="5"/>
      <c r="V908" s="5"/>
      <c r="W908" s="5"/>
      <c r="X908" s="5"/>
      <c r="Y908" s="5"/>
    </row>
    <row r="909" spans="13:25" ht="22.5" x14ac:dyDescent="0.2">
      <c r="M909" s="26" t="s">
        <v>60</v>
      </c>
      <c r="N909" s="25" t="s">
        <v>51</v>
      </c>
      <c r="O909" s="26"/>
      <c r="P909" s="26" t="s">
        <v>913</v>
      </c>
      <c r="Q909" s="26"/>
      <c r="R909" s="5"/>
      <c r="S909" s="5"/>
      <c r="T909" s="5"/>
      <c r="U909" s="5"/>
      <c r="V909" s="5"/>
      <c r="W909" s="5"/>
      <c r="X909" s="5"/>
      <c r="Y909" s="5"/>
    </row>
    <row r="910" spans="13:25" ht="22.5" x14ac:dyDescent="0.2">
      <c r="M910" s="26" t="s">
        <v>60</v>
      </c>
      <c r="N910" s="25" t="s">
        <v>51</v>
      </c>
      <c r="O910" s="26"/>
      <c r="P910" s="26" t="s">
        <v>914</v>
      </c>
      <c r="Q910" s="26"/>
      <c r="R910" s="5"/>
      <c r="S910" s="5"/>
      <c r="T910" s="5"/>
      <c r="U910" s="5"/>
      <c r="V910" s="5"/>
      <c r="W910" s="5"/>
      <c r="X910" s="5"/>
      <c r="Y910" s="5"/>
    </row>
    <row r="911" spans="13:25" ht="22.5" x14ac:dyDescent="0.2">
      <c r="M911" s="26" t="s">
        <v>60</v>
      </c>
      <c r="N911" s="25" t="s">
        <v>51</v>
      </c>
      <c r="O911" s="26"/>
      <c r="P911" s="26" t="s">
        <v>915</v>
      </c>
      <c r="Q911" s="26"/>
      <c r="R911" s="5"/>
      <c r="S911" s="5"/>
      <c r="T911" s="5"/>
      <c r="U911" s="5"/>
      <c r="V911" s="5"/>
      <c r="W911" s="5"/>
      <c r="X911" s="5"/>
      <c r="Y911" s="5"/>
    </row>
    <row r="912" spans="13:25" ht="22.5" x14ac:dyDescent="0.2">
      <c r="M912" s="26" t="s">
        <v>60</v>
      </c>
      <c r="N912" s="25" t="s">
        <v>51</v>
      </c>
      <c r="O912" s="26"/>
      <c r="P912" s="26" t="s">
        <v>916</v>
      </c>
      <c r="Q912" s="26"/>
      <c r="R912" s="5"/>
      <c r="S912" s="5"/>
      <c r="T912" s="5"/>
      <c r="U912" s="5"/>
      <c r="V912" s="5"/>
      <c r="W912" s="5"/>
      <c r="X912" s="5"/>
      <c r="Y912" s="5"/>
    </row>
    <row r="913" spans="13:25" ht="22.5" x14ac:dyDescent="0.2">
      <c r="M913" s="26" t="s">
        <v>60</v>
      </c>
      <c r="N913" s="25" t="s">
        <v>51</v>
      </c>
      <c r="O913" s="26"/>
      <c r="P913" s="26" t="s">
        <v>917</v>
      </c>
      <c r="Q913" s="26"/>
      <c r="R913" s="5"/>
      <c r="S913" s="5"/>
      <c r="T913" s="5"/>
      <c r="U913" s="5"/>
      <c r="V913" s="5"/>
      <c r="W913" s="5"/>
      <c r="X913" s="5"/>
      <c r="Y913" s="5"/>
    </row>
    <row r="914" spans="13:25" ht="22.5" x14ac:dyDescent="0.2">
      <c r="M914" s="26" t="s">
        <v>60</v>
      </c>
      <c r="N914" s="25" t="s">
        <v>57</v>
      </c>
      <c r="O914" s="26"/>
      <c r="P914" s="26" t="s">
        <v>918</v>
      </c>
      <c r="Q914" s="26"/>
      <c r="R914" s="5"/>
      <c r="S914" s="5"/>
      <c r="T914" s="5"/>
      <c r="U914" s="5"/>
      <c r="V914" s="5"/>
      <c r="W914" s="5"/>
      <c r="X914" s="5"/>
      <c r="Y914" s="5"/>
    </row>
    <row r="915" spans="13:25" ht="22.5" x14ac:dyDescent="0.2">
      <c r="M915" s="26" t="s">
        <v>60</v>
      </c>
      <c r="N915" s="25" t="s">
        <v>51</v>
      </c>
      <c r="O915" s="26"/>
      <c r="P915" s="26" t="s">
        <v>919</v>
      </c>
      <c r="Q915" s="26"/>
      <c r="R915" s="5"/>
      <c r="S915" s="5"/>
      <c r="T915" s="5"/>
      <c r="U915" s="5"/>
      <c r="V915" s="5"/>
      <c r="W915" s="5"/>
      <c r="X915" s="5"/>
      <c r="Y915" s="5"/>
    </row>
    <row r="916" spans="13:25" ht="22.5" x14ac:dyDescent="0.2">
      <c r="M916" s="26" t="s">
        <v>60</v>
      </c>
      <c r="N916" s="25" t="s">
        <v>51</v>
      </c>
      <c r="O916" s="26" t="s">
        <v>920</v>
      </c>
      <c r="P916" s="26"/>
      <c r="Q916" s="26"/>
      <c r="R916" s="5"/>
      <c r="S916" s="5"/>
      <c r="T916" s="5"/>
      <c r="U916" s="5"/>
      <c r="V916" s="5"/>
      <c r="W916" s="5"/>
      <c r="X916" s="5"/>
      <c r="Y916" s="5"/>
    </row>
    <row r="917" spans="13:25" ht="22.5" x14ac:dyDescent="0.2">
      <c r="M917" s="26" t="s">
        <v>60</v>
      </c>
      <c r="N917" s="25" t="s">
        <v>55</v>
      </c>
      <c r="O917" s="26"/>
      <c r="P917" s="26" t="s">
        <v>921</v>
      </c>
      <c r="Q917" s="26"/>
      <c r="R917" s="5"/>
      <c r="S917" s="5"/>
      <c r="T917" s="5"/>
      <c r="U917" s="5"/>
      <c r="V917" s="5"/>
      <c r="W917" s="5"/>
      <c r="X917" s="5"/>
      <c r="Y917" s="5"/>
    </row>
    <row r="918" spans="13:25" ht="45" x14ac:dyDescent="0.2">
      <c r="M918" s="26" t="s">
        <v>60</v>
      </c>
      <c r="N918" s="25" t="s">
        <v>55</v>
      </c>
      <c r="O918" s="26"/>
      <c r="P918" s="26" t="s">
        <v>922</v>
      </c>
      <c r="Q918" s="26"/>
      <c r="R918" s="5"/>
      <c r="S918" s="5"/>
      <c r="T918" s="5"/>
      <c r="U918" s="5"/>
      <c r="V918" s="5"/>
      <c r="W918" s="5"/>
      <c r="X918" s="5"/>
      <c r="Y918" s="5"/>
    </row>
    <row r="919" spans="13:25" ht="45" x14ac:dyDescent="0.2">
      <c r="M919" s="26" t="s">
        <v>60</v>
      </c>
      <c r="N919" s="25" t="s">
        <v>55</v>
      </c>
      <c r="O919" s="26"/>
      <c r="P919" s="26" t="s">
        <v>923</v>
      </c>
      <c r="Q919" s="26"/>
      <c r="R919" s="5"/>
      <c r="S919" s="5"/>
      <c r="T919" s="5"/>
      <c r="U919" s="5"/>
      <c r="V919" s="5"/>
      <c r="W919" s="5"/>
      <c r="X919" s="5"/>
      <c r="Y919" s="5"/>
    </row>
    <row r="920" spans="13:25" ht="22.5" x14ac:dyDescent="0.2">
      <c r="M920" s="26" t="s">
        <v>60</v>
      </c>
      <c r="N920" s="25" t="s">
        <v>57</v>
      </c>
      <c r="O920" s="26"/>
      <c r="P920" s="26" t="s">
        <v>924</v>
      </c>
      <c r="Q920" s="26"/>
      <c r="R920" s="5"/>
      <c r="S920" s="5"/>
      <c r="T920" s="5"/>
      <c r="U920" s="5"/>
      <c r="V920" s="5"/>
      <c r="W920" s="5"/>
      <c r="X920" s="5"/>
      <c r="Y920" s="5"/>
    </row>
    <row r="921" spans="13:25" ht="22.5" x14ac:dyDescent="0.2">
      <c r="M921" s="26" t="s">
        <v>60</v>
      </c>
      <c r="N921" s="25" t="s">
        <v>57</v>
      </c>
      <c r="O921" s="26"/>
      <c r="P921" s="26" t="s">
        <v>925</v>
      </c>
      <c r="Q921" s="26"/>
      <c r="R921" s="5"/>
      <c r="S921" s="5"/>
      <c r="T921" s="5"/>
      <c r="U921" s="5"/>
      <c r="V921" s="5"/>
      <c r="W921" s="5"/>
      <c r="X921" s="5"/>
      <c r="Y921" s="5"/>
    </row>
    <row r="922" spans="13:25" ht="22.5" x14ac:dyDescent="0.2">
      <c r="M922" s="26" t="s">
        <v>60</v>
      </c>
      <c r="N922" s="25" t="s">
        <v>51</v>
      </c>
      <c r="O922" s="26" t="s">
        <v>926</v>
      </c>
      <c r="P922" s="26"/>
      <c r="Q922" s="26"/>
      <c r="R922" s="5"/>
      <c r="S922" s="5"/>
      <c r="T922" s="5"/>
      <c r="U922" s="5"/>
      <c r="V922" s="5"/>
      <c r="W922" s="5"/>
      <c r="X922" s="5"/>
      <c r="Y922" s="5"/>
    </row>
    <row r="923" spans="13:25" ht="22.5" x14ac:dyDescent="0.2">
      <c r="M923" s="26" t="s">
        <v>60</v>
      </c>
      <c r="N923" s="25" t="s">
        <v>57</v>
      </c>
      <c r="O923" s="26"/>
      <c r="P923" s="26" t="s">
        <v>927</v>
      </c>
      <c r="Q923" s="26"/>
      <c r="R923" s="5"/>
      <c r="S923" s="5"/>
      <c r="T923" s="5"/>
      <c r="U923" s="5"/>
      <c r="V923" s="5"/>
      <c r="W923" s="5"/>
      <c r="X923" s="5"/>
      <c r="Y923" s="5"/>
    </row>
    <row r="924" spans="13:25" ht="22.5" x14ac:dyDescent="0.2">
      <c r="M924" s="26" t="s">
        <v>60</v>
      </c>
      <c r="N924" s="25" t="s">
        <v>51</v>
      </c>
      <c r="O924" s="26"/>
      <c r="P924" s="26" t="s">
        <v>928</v>
      </c>
      <c r="Q924" s="26"/>
      <c r="R924" s="5"/>
      <c r="S924" s="5"/>
      <c r="T924" s="5"/>
      <c r="U924" s="5"/>
      <c r="V924" s="5"/>
      <c r="W924" s="5"/>
      <c r="X924" s="5"/>
      <c r="Y924" s="5"/>
    </row>
    <row r="925" spans="13:25" ht="22.5" x14ac:dyDescent="0.2">
      <c r="M925" s="26" t="s">
        <v>60</v>
      </c>
      <c r="N925" s="25" t="s">
        <v>51</v>
      </c>
      <c r="O925" s="26"/>
      <c r="P925" s="26" t="s">
        <v>929</v>
      </c>
      <c r="Q925" s="26"/>
      <c r="R925" s="5"/>
      <c r="S925" s="5"/>
      <c r="T925" s="5"/>
      <c r="U925" s="5"/>
      <c r="V925" s="5"/>
      <c r="W925" s="5"/>
      <c r="X925" s="5"/>
      <c r="Y925" s="5"/>
    </row>
    <row r="926" spans="13:25" ht="22.5" x14ac:dyDescent="0.2">
      <c r="M926" s="26" t="s">
        <v>60</v>
      </c>
      <c r="N926" s="25" t="s">
        <v>57</v>
      </c>
      <c r="O926" s="26" t="s">
        <v>930</v>
      </c>
      <c r="P926" s="26"/>
      <c r="Q926" s="26"/>
      <c r="R926" s="5"/>
      <c r="S926" s="5"/>
      <c r="T926" s="5"/>
      <c r="U926" s="5"/>
      <c r="V926" s="5"/>
      <c r="W926" s="5"/>
      <c r="X926" s="5"/>
      <c r="Y926" s="5"/>
    </row>
    <row r="927" spans="13:25" ht="22.5" x14ac:dyDescent="0.2">
      <c r="M927" s="26" t="s">
        <v>60</v>
      </c>
      <c r="N927" s="25" t="s">
        <v>57</v>
      </c>
      <c r="O927" s="26" t="s">
        <v>931</v>
      </c>
      <c r="P927" s="26"/>
      <c r="Q927" s="26"/>
      <c r="R927" s="5"/>
      <c r="S927" s="5"/>
      <c r="T927" s="5"/>
      <c r="U927" s="5"/>
      <c r="V927" s="5"/>
      <c r="W927" s="5"/>
      <c r="X927" s="5"/>
      <c r="Y927" s="5"/>
    </row>
    <row r="928" spans="13:25" ht="22.5" x14ac:dyDescent="0.2">
      <c r="M928" s="26" t="s">
        <v>60</v>
      </c>
      <c r="N928" s="25" t="s">
        <v>51</v>
      </c>
      <c r="O928" s="26" t="s">
        <v>932</v>
      </c>
      <c r="P928" s="26"/>
      <c r="Q928" s="26"/>
      <c r="R928" s="5"/>
      <c r="S928" s="5"/>
      <c r="T928" s="5"/>
      <c r="U928" s="5"/>
      <c r="V928" s="5"/>
      <c r="W928" s="5"/>
      <c r="X928" s="5"/>
      <c r="Y928" s="5"/>
    </row>
    <row r="929" spans="13:25" ht="56.25" x14ac:dyDescent="0.2">
      <c r="M929" s="26" t="s">
        <v>60</v>
      </c>
      <c r="N929" s="25" t="s">
        <v>55</v>
      </c>
      <c r="O929" s="26"/>
      <c r="P929" s="26" t="s">
        <v>933</v>
      </c>
      <c r="Q929" s="26"/>
      <c r="R929" s="5"/>
      <c r="S929" s="5"/>
      <c r="T929" s="5"/>
      <c r="U929" s="5"/>
      <c r="V929" s="5"/>
      <c r="W929" s="5"/>
      <c r="X929" s="5"/>
      <c r="Y929" s="5"/>
    </row>
    <row r="930" spans="13:25" ht="67.5" x14ac:dyDescent="0.2">
      <c r="M930" s="26" t="s">
        <v>60</v>
      </c>
      <c r="N930" s="25" t="s">
        <v>55</v>
      </c>
      <c r="O930" s="26"/>
      <c r="P930" s="26" t="s">
        <v>934</v>
      </c>
      <c r="Q930" s="26"/>
      <c r="R930" s="5"/>
      <c r="S930" s="5"/>
      <c r="T930" s="5"/>
      <c r="U930" s="5"/>
      <c r="V930" s="5"/>
      <c r="W930" s="5"/>
      <c r="X930" s="5"/>
      <c r="Y930" s="5"/>
    </row>
    <row r="931" spans="13:25" ht="22.5" x14ac:dyDescent="0.2">
      <c r="M931" s="26" t="s">
        <v>60</v>
      </c>
      <c r="N931" s="25" t="s">
        <v>57</v>
      </c>
      <c r="O931" s="26"/>
      <c r="P931" s="26" t="s">
        <v>935</v>
      </c>
      <c r="Q931" s="26"/>
      <c r="R931" s="5"/>
      <c r="S931" s="5"/>
      <c r="T931" s="5"/>
      <c r="U931" s="5"/>
      <c r="V931" s="5"/>
      <c r="W931" s="5"/>
      <c r="X931" s="5"/>
      <c r="Y931" s="5"/>
    </row>
    <row r="932" spans="13:25" ht="22.5" x14ac:dyDescent="0.2">
      <c r="M932" s="26" t="s">
        <v>60</v>
      </c>
      <c r="N932" s="25" t="s">
        <v>57</v>
      </c>
      <c r="O932" s="26"/>
      <c r="P932" s="26" t="s">
        <v>936</v>
      </c>
      <c r="Q932" s="26"/>
      <c r="R932" s="5"/>
      <c r="S932" s="5"/>
      <c r="T932" s="5"/>
      <c r="U932" s="5"/>
      <c r="V932" s="5"/>
      <c r="W932" s="5"/>
      <c r="X932" s="5"/>
      <c r="Y932" s="5"/>
    </row>
    <row r="933" spans="13:25" ht="22.5" x14ac:dyDescent="0.2">
      <c r="M933" s="26" t="s">
        <v>60</v>
      </c>
      <c r="N933" s="25" t="s">
        <v>51</v>
      </c>
      <c r="O933" s="26" t="s">
        <v>937</v>
      </c>
      <c r="P933" s="26"/>
      <c r="Q933" s="26"/>
      <c r="R933" s="5"/>
      <c r="S933" s="5"/>
      <c r="T933" s="5"/>
      <c r="U933" s="5"/>
      <c r="V933" s="5"/>
      <c r="W933" s="5"/>
      <c r="X933" s="5"/>
      <c r="Y933" s="5"/>
    </row>
    <row r="934" spans="13:25" ht="56.25" x14ac:dyDescent="0.2">
      <c r="M934" s="26" t="s">
        <v>60</v>
      </c>
      <c r="N934" s="25" t="s">
        <v>55</v>
      </c>
      <c r="O934" s="26"/>
      <c r="P934" s="26" t="s">
        <v>938</v>
      </c>
      <c r="Q934" s="26"/>
      <c r="R934" s="5"/>
      <c r="S934" s="5"/>
      <c r="T934" s="5"/>
      <c r="U934" s="5"/>
      <c r="V934" s="5"/>
      <c r="W934" s="5"/>
      <c r="X934" s="5"/>
      <c r="Y934" s="5"/>
    </row>
    <row r="935" spans="13:25" ht="67.5" x14ac:dyDescent="0.2">
      <c r="M935" s="26" t="s">
        <v>60</v>
      </c>
      <c r="N935" s="25" t="s">
        <v>55</v>
      </c>
      <c r="O935" s="26"/>
      <c r="P935" s="26" t="s">
        <v>939</v>
      </c>
      <c r="Q935" s="26"/>
      <c r="R935" s="5"/>
      <c r="S935" s="5"/>
      <c r="T935" s="5"/>
      <c r="U935" s="5"/>
      <c r="V935" s="5"/>
      <c r="W935" s="5"/>
      <c r="X935" s="5"/>
      <c r="Y935" s="5"/>
    </row>
    <row r="936" spans="13:25" ht="22.5" x14ac:dyDescent="0.2">
      <c r="M936" s="26" t="s">
        <v>60</v>
      </c>
      <c r="N936" s="25" t="s">
        <v>57</v>
      </c>
      <c r="O936" s="26"/>
      <c r="P936" s="26" t="s">
        <v>940</v>
      </c>
      <c r="Q936" s="26"/>
      <c r="R936" s="5"/>
      <c r="S936" s="5"/>
      <c r="T936" s="5"/>
      <c r="U936" s="5"/>
      <c r="V936" s="5"/>
      <c r="W936" s="5"/>
      <c r="X936" s="5"/>
      <c r="Y936" s="5"/>
    </row>
    <row r="937" spans="13:25" ht="22.5" x14ac:dyDescent="0.2">
      <c r="M937" s="26" t="s">
        <v>60</v>
      </c>
      <c r="N937" s="25" t="s">
        <v>57</v>
      </c>
      <c r="O937" s="26"/>
      <c r="P937" s="26" t="s">
        <v>941</v>
      </c>
      <c r="Q937" s="26"/>
      <c r="R937" s="5"/>
      <c r="S937" s="5"/>
      <c r="T937" s="5"/>
      <c r="U937" s="5"/>
      <c r="V937" s="5"/>
      <c r="W937" s="5"/>
      <c r="X937" s="5"/>
      <c r="Y937" s="5"/>
    </row>
    <row r="938" spans="13:25" ht="22.5" x14ac:dyDescent="0.2">
      <c r="M938" s="26" t="s">
        <v>60</v>
      </c>
      <c r="N938" s="25" t="s">
        <v>51</v>
      </c>
      <c r="O938" s="26" t="s">
        <v>942</v>
      </c>
      <c r="P938" s="26"/>
      <c r="Q938" s="26"/>
      <c r="R938" s="5"/>
      <c r="S938" s="5"/>
      <c r="T938" s="5"/>
      <c r="U938" s="5"/>
      <c r="V938" s="5"/>
      <c r="W938" s="5"/>
      <c r="X938" s="5"/>
      <c r="Y938" s="5"/>
    </row>
    <row r="939" spans="13:25" ht="56.25" x14ac:dyDescent="0.2">
      <c r="M939" s="26" t="s">
        <v>60</v>
      </c>
      <c r="N939" s="25" t="s">
        <v>55</v>
      </c>
      <c r="O939" s="26"/>
      <c r="P939" s="26" t="s">
        <v>943</v>
      </c>
      <c r="Q939" s="26"/>
      <c r="R939" s="5"/>
      <c r="S939" s="5"/>
      <c r="T939" s="5"/>
      <c r="U939" s="5"/>
      <c r="V939" s="5"/>
      <c r="W939" s="5"/>
      <c r="X939" s="5"/>
      <c r="Y939" s="5"/>
    </row>
    <row r="940" spans="13:25" ht="67.5" x14ac:dyDescent="0.2">
      <c r="M940" s="26" t="s">
        <v>60</v>
      </c>
      <c r="N940" s="25" t="s">
        <v>55</v>
      </c>
      <c r="O940" s="26"/>
      <c r="P940" s="26" t="s">
        <v>944</v>
      </c>
      <c r="Q940" s="26"/>
      <c r="R940" s="5"/>
      <c r="S940" s="5"/>
      <c r="T940" s="5"/>
      <c r="U940" s="5"/>
      <c r="V940" s="5"/>
      <c r="W940" s="5"/>
      <c r="X940" s="5"/>
      <c r="Y940" s="5"/>
    </row>
    <row r="941" spans="13:25" ht="22.5" x14ac:dyDescent="0.2">
      <c r="M941" s="26" t="s">
        <v>60</v>
      </c>
      <c r="N941" s="25" t="s">
        <v>57</v>
      </c>
      <c r="O941" s="26"/>
      <c r="P941" s="26" t="s">
        <v>945</v>
      </c>
      <c r="Q941" s="26"/>
      <c r="R941" s="5"/>
      <c r="S941" s="5"/>
      <c r="T941" s="5"/>
      <c r="U941" s="5"/>
      <c r="V941" s="5"/>
      <c r="W941" s="5"/>
      <c r="X941" s="5"/>
      <c r="Y941" s="5"/>
    </row>
    <row r="942" spans="13:25" ht="22.5" x14ac:dyDescent="0.2">
      <c r="M942" s="26" t="s">
        <v>60</v>
      </c>
      <c r="N942" s="25" t="s">
        <v>57</v>
      </c>
      <c r="O942" s="26"/>
      <c r="P942" s="26" t="s">
        <v>946</v>
      </c>
      <c r="Q942" s="26"/>
      <c r="R942" s="5"/>
      <c r="S942" s="5"/>
      <c r="T942" s="5"/>
      <c r="U942" s="5"/>
      <c r="V942" s="5"/>
      <c r="W942" s="5"/>
      <c r="X942" s="5"/>
      <c r="Y942" s="5"/>
    </row>
    <row r="943" spans="13:25" ht="22.5" x14ac:dyDescent="0.2">
      <c r="M943" s="26" t="s">
        <v>60</v>
      </c>
      <c r="N943" s="25" t="s">
        <v>51</v>
      </c>
      <c r="O943" s="26" t="s">
        <v>947</v>
      </c>
      <c r="P943" s="26"/>
      <c r="Q943" s="26"/>
      <c r="R943" s="5"/>
      <c r="S943" s="5"/>
      <c r="T943" s="5"/>
      <c r="U943" s="5"/>
      <c r="V943" s="5"/>
      <c r="W943" s="5"/>
      <c r="X943" s="5"/>
      <c r="Y943" s="5"/>
    </row>
    <row r="944" spans="13:25" ht="33.75" x14ac:dyDescent="0.2">
      <c r="M944" s="26" t="s">
        <v>60</v>
      </c>
      <c r="N944" s="25" t="s">
        <v>51</v>
      </c>
      <c r="O944" s="26"/>
      <c r="P944" s="26" t="s">
        <v>948</v>
      </c>
      <c r="Q944" s="26"/>
      <c r="R944" s="5"/>
      <c r="S944" s="5"/>
      <c r="T944" s="5"/>
      <c r="U944" s="5"/>
      <c r="V944" s="5"/>
      <c r="W944" s="5"/>
      <c r="X944" s="5"/>
      <c r="Y944" s="5"/>
    </row>
    <row r="945" spans="13:25" ht="45" x14ac:dyDescent="0.2">
      <c r="M945" s="26" t="s">
        <v>60</v>
      </c>
      <c r="N945" s="25" t="s">
        <v>51</v>
      </c>
      <c r="O945" s="26"/>
      <c r="P945" s="26" t="s">
        <v>949</v>
      </c>
      <c r="Q945" s="26"/>
      <c r="R945" s="5"/>
      <c r="S945" s="5"/>
      <c r="T945" s="5"/>
      <c r="U945" s="5"/>
      <c r="V945" s="5"/>
      <c r="W945" s="5"/>
      <c r="X945" s="5"/>
      <c r="Y945" s="5"/>
    </row>
    <row r="946" spans="13:25" ht="22.5" x14ac:dyDescent="0.2">
      <c r="M946" s="26" t="s">
        <v>60</v>
      </c>
      <c r="N946" s="25" t="s">
        <v>57</v>
      </c>
      <c r="O946" s="26"/>
      <c r="P946" s="26" t="s">
        <v>950</v>
      </c>
      <c r="Q946" s="26"/>
      <c r="R946" s="5"/>
      <c r="S946" s="5"/>
      <c r="T946" s="5"/>
      <c r="U946" s="5"/>
      <c r="V946" s="5"/>
      <c r="W946" s="5"/>
      <c r="X946" s="5"/>
      <c r="Y946" s="5"/>
    </row>
    <row r="947" spans="13:25" ht="22.5" x14ac:dyDescent="0.2">
      <c r="M947" s="26" t="s">
        <v>60</v>
      </c>
      <c r="N947" s="25" t="s">
        <v>51</v>
      </c>
      <c r="O947" s="26" t="s">
        <v>951</v>
      </c>
      <c r="P947" s="26"/>
      <c r="Q947" s="26"/>
      <c r="R947" s="5"/>
      <c r="S947" s="5"/>
      <c r="T947" s="5"/>
      <c r="U947" s="5"/>
      <c r="V947" s="5"/>
      <c r="W947" s="5"/>
      <c r="X947" s="5"/>
      <c r="Y947" s="5"/>
    </row>
    <row r="948" spans="13:25" ht="22.5" x14ac:dyDescent="0.2">
      <c r="M948" s="26" t="s">
        <v>60</v>
      </c>
      <c r="N948" s="25" t="s">
        <v>51</v>
      </c>
      <c r="O948" s="26"/>
      <c r="P948" s="26" t="s">
        <v>952</v>
      </c>
      <c r="Q948" s="26"/>
      <c r="R948" s="5"/>
      <c r="S948" s="5"/>
      <c r="T948" s="5"/>
      <c r="U948" s="5"/>
      <c r="V948" s="5"/>
      <c r="W948" s="5"/>
      <c r="X948" s="5"/>
      <c r="Y948" s="5"/>
    </row>
    <row r="949" spans="13:25" ht="22.5" x14ac:dyDescent="0.2">
      <c r="M949" s="26" t="s">
        <v>60</v>
      </c>
      <c r="N949" s="25" t="s">
        <v>51</v>
      </c>
      <c r="O949" s="26"/>
      <c r="P949" s="26" t="s">
        <v>953</v>
      </c>
      <c r="Q949" s="26"/>
      <c r="R949" s="5"/>
      <c r="S949" s="5"/>
      <c r="T949" s="5"/>
      <c r="U949" s="5"/>
      <c r="V949" s="5"/>
      <c r="W949" s="5"/>
      <c r="X949" s="5"/>
      <c r="Y949" s="5"/>
    </row>
    <row r="950" spans="13:25" ht="22.5" x14ac:dyDescent="0.2">
      <c r="M950" s="26" t="s">
        <v>60</v>
      </c>
      <c r="N950" s="25" t="s">
        <v>57</v>
      </c>
      <c r="O950" s="26" t="s">
        <v>954</v>
      </c>
      <c r="P950" s="26"/>
      <c r="Q950" s="26"/>
      <c r="R950" s="5"/>
      <c r="S950" s="5"/>
      <c r="T950" s="5"/>
      <c r="U950" s="5"/>
      <c r="V950" s="5"/>
      <c r="W950" s="5"/>
      <c r="X950" s="5"/>
      <c r="Y950" s="5"/>
    </row>
    <row r="951" spans="13:25" ht="22.5" x14ac:dyDescent="0.2">
      <c r="M951" s="26" t="s">
        <v>60</v>
      </c>
      <c r="N951" s="25" t="s">
        <v>57</v>
      </c>
      <c r="O951" s="26" t="s">
        <v>955</v>
      </c>
      <c r="P951" s="26"/>
      <c r="Q951" s="26"/>
      <c r="R951" s="5"/>
      <c r="S951" s="5"/>
      <c r="T951" s="5"/>
      <c r="U951" s="5"/>
      <c r="V951" s="5"/>
      <c r="W951" s="5"/>
      <c r="X951" s="5"/>
      <c r="Y951" s="5"/>
    </row>
    <row r="952" spans="13:25" ht="22.5" x14ac:dyDescent="0.2">
      <c r="M952" s="26" t="s">
        <v>60</v>
      </c>
      <c r="N952" s="25" t="s">
        <v>57</v>
      </c>
      <c r="O952" s="26" t="s">
        <v>956</v>
      </c>
      <c r="P952" s="26"/>
      <c r="Q952" s="26"/>
      <c r="R952" s="5"/>
      <c r="S952" s="5"/>
      <c r="T952" s="5"/>
      <c r="U952" s="5"/>
      <c r="V952" s="5"/>
      <c r="W952" s="5"/>
      <c r="X952" s="5"/>
      <c r="Y952" s="5"/>
    </row>
    <row r="953" spans="13:25" ht="22.5" x14ac:dyDescent="0.2">
      <c r="M953" s="26" t="s">
        <v>60</v>
      </c>
      <c r="N953" s="25" t="s">
        <v>57</v>
      </c>
      <c r="O953" s="26" t="s">
        <v>957</v>
      </c>
      <c r="P953" s="26"/>
      <c r="Q953" s="26"/>
      <c r="R953" s="5"/>
      <c r="S953" s="5"/>
      <c r="T953" s="5"/>
      <c r="U953" s="5"/>
      <c r="V953" s="5"/>
      <c r="W953" s="5"/>
      <c r="X953" s="5"/>
      <c r="Y953" s="5"/>
    </row>
    <row r="954" spans="13:25" ht="22.5" x14ac:dyDescent="0.2">
      <c r="M954" s="26" t="s">
        <v>60</v>
      </c>
      <c r="N954" s="25" t="s">
        <v>51</v>
      </c>
      <c r="O954" s="26" t="s">
        <v>958</v>
      </c>
      <c r="P954" s="26"/>
      <c r="Q954" s="26"/>
      <c r="R954" s="5"/>
      <c r="S954" s="5"/>
      <c r="T954" s="5"/>
      <c r="U954" s="5"/>
      <c r="V954" s="5"/>
      <c r="W954" s="5"/>
      <c r="X954" s="5"/>
      <c r="Y954" s="5"/>
    </row>
    <row r="955" spans="13:25" ht="33.75" x14ac:dyDescent="0.2">
      <c r="M955" s="26" t="s">
        <v>60</v>
      </c>
      <c r="N955" s="25" t="s">
        <v>51</v>
      </c>
      <c r="O955" s="26"/>
      <c r="P955" s="26" t="s">
        <v>959</v>
      </c>
      <c r="Q955" s="26"/>
      <c r="R955" s="5"/>
      <c r="S955" s="5"/>
      <c r="T955" s="5"/>
      <c r="U955" s="5"/>
      <c r="V955" s="5"/>
      <c r="W955" s="5"/>
      <c r="X955" s="5"/>
      <c r="Y955" s="5"/>
    </row>
    <row r="956" spans="13:25" ht="33.75" x14ac:dyDescent="0.2">
      <c r="M956" s="26" t="s">
        <v>60</v>
      </c>
      <c r="N956" s="25" t="s">
        <v>51</v>
      </c>
      <c r="O956" s="26"/>
      <c r="P956" s="26" t="s">
        <v>960</v>
      </c>
      <c r="Q956" s="26"/>
      <c r="R956" s="5"/>
      <c r="S956" s="5"/>
      <c r="T956" s="5"/>
      <c r="U956" s="5"/>
      <c r="V956" s="5"/>
      <c r="W956" s="5"/>
      <c r="X956" s="5"/>
      <c r="Y956" s="5"/>
    </row>
    <row r="957" spans="13:25" ht="33.75" x14ac:dyDescent="0.2">
      <c r="M957" s="26" t="s">
        <v>60</v>
      </c>
      <c r="N957" s="25" t="s">
        <v>51</v>
      </c>
      <c r="O957" s="26"/>
      <c r="P957" s="26" t="s">
        <v>961</v>
      </c>
      <c r="Q957" s="26"/>
      <c r="R957" s="5"/>
      <c r="S957" s="5"/>
      <c r="T957" s="5"/>
      <c r="U957" s="5"/>
      <c r="V957" s="5"/>
      <c r="W957" s="5"/>
      <c r="X957" s="5"/>
      <c r="Y957" s="5"/>
    </row>
    <row r="958" spans="13:25" ht="22.5" x14ac:dyDescent="0.2">
      <c r="M958" s="26" t="s">
        <v>60</v>
      </c>
      <c r="N958" s="25" t="s">
        <v>57</v>
      </c>
      <c r="O958" s="26" t="s">
        <v>962</v>
      </c>
      <c r="P958" s="26"/>
      <c r="Q958" s="26"/>
      <c r="R958" s="5"/>
      <c r="S958" s="5"/>
      <c r="T958" s="5"/>
      <c r="U958" s="5"/>
      <c r="V958" s="5"/>
      <c r="W958" s="5"/>
      <c r="X958" s="5"/>
      <c r="Y958" s="5"/>
    </row>
    <row r="959" spans="13:25" ht="22.5" x14ac:dyDescent="0.2">
      <c r="M959" s="26" t="s">
        <v>60</v>
      </c>
      <c r="N959" s="25" t="s">
        <v>57</v>
      </c>
      <c r="O959" s="26" t="s">
        <v>963</v>
      </c>
      <c r="P959" s="26"/>
      <c r="Q959" s="26"/>
      <c r="R959" s="5"/>
      <c r="S959" s="5"/>
      <c r="T959" s="5"/>
      <c r="U959" s="5"/>
      <c r="V959" s="5"/>
      <c r="W959" s="5"/>
      <c r="X959" s="5"/>
      <c r="Y959" s="5"/>
    </row>
    <row r="960" spans="13:25" ht="22.5" x14ac:dyDescent="0.2">
      <c r="M960" s="26" t="s">
        <v>60</v>
      </c>
      <c r="N960" s="25" t="s">
        <v>57</v>
      </c>
      <c r="O960" s="26" t="s">
        <v>964</v>
      </c>
      <c r="P960" s="26"/>
      <c r="Q960" s="26"/>
      <c r="R960" s="5"/>
      <c r="S960" s="5"/>
      <c r="T960" s="5"/>
      <c r="U960" s="5"/>
      <c r="V960" s="5"/>
      <c r="W960" s="5"/>
      <c r="X960" s="5"/>
      <c r="Y960" s="5"/>
    </row>
    <row r="961" spans="13:25" ht="22.5" x14ac:dyDescent="0.2">
      <c r="M961" s="26" t="s">
        <v>60</v>
      </c>
      <c r="N961" s="25" t="s">
        <v>51</v>
      </c>
      <c r="O961" s="26" t="s">
        <v>965</v>
      </c>
      <c r="P961" s="26"/>
      <c r="Q961" s="26"/>
      <c r="R961" s="5"/>
      <c r="S961" s="5"/>
      <c r="T961" s="5"/>
      <c r="U961" s="5"/>
      <c r="V961" s="5"/>
      <c r="W961" s="5"/>
      <c r="X961" s="5"/>
      <c r="Y961" s="5"/>
    </row>
    <row r="962" spans="13:25" ht="33.75" x14ac:dyDescent="0.2">
      <c r="M962" s="26" t="s">
        <v>60</v>
      </c>
      <c r="N962" s="25" t="s">
        <v>51</v>
      </c>
      <c r="O962" s="26"/>
      <c r="P962" s="26" t="s">
        <v>966</v>
      </c>
      <c r="Q962" s="26"/>
      <c r="R962" s="5"/>
      <c r="S962" s="5"/>
      <c r="T962" s="5"/>
      <c r="U962" s="5"/>
      <c r="V962" s="5"/>
      <c r="W962" s="5"/>
      <c r="X962" s="5"/>
      <c r="Y962" s="5"/>
    </row>
    <row r="963" spans="13:25" ht="67.5" x14ac:dyDescent="0.2">
      <c r="M963" s="26" t="s">
        <v>60</v>
      </c>
      <c r="N963" s="25" t="s">
        <v>51</v>
      </c>
      <c r="O963" s="26"/>
      <c r="P963" s="26" t="s">
        <v>967</v>
      </c>
      <c r="Q963" s="26"/>
      <c r="R963" s="5"/>
      <c r="S963" s="5"/>
      <c r="T963" s="5"/>
      <c r="U963" s="5"/>
      <c r="V963" s="5"/>
      <c r="W963" s="5"/>
      <c r="X963" s="5"/>
      <c r="Y963" s="5"/>
    </row>
    <row r="964" spans="13:25" ht="45" x14ac:dyDescent="0.2">
      <c r="M964" s="26" t="s">
        <v>60</v>
      </c>
      <c r="N964" s="25" t="s">
        <v>51</v>
      </c>
      <c r="O964" s="26"/>
      <c r="P964" s="26" t="s">
        <v>968</v>
      </c>
      <c r="Q964" s="26"/>
      <c r="R964" s="5"/>
      <c r="S964" s="5"/>
      <c r="T964" s="5"/>
      <c r="U964" s="5"/>
      <c r="V964" s="5"/>
      <c r="W964" s="5"/>
      <c r="X964" s="5"/>
      <c r="Y964" s="5"/>
    </row>
    <row r="965" spans="13:25" ht="56.25" x14ac:dyDescent="0.2">
      <c r="M965" s="26" t="s">
        <v>60</v>
      </c>
      <c r="N965" s="25" t="s">
        <v>51</v>
      </c>
      <c r="O965" s="26"/>
      <c r="P965" s="26" t="s">
        <v>969</v>
      </c>
      <c r="Q965" s="26"/>
      <c r="R965" s="5"/>
      <c r="S965" s="5"/>
      <c r="T965" s="5"/>
      <c r="U965" s="5"/>
      <c r="V965" s="5"/>
      <c r="W965" s="5"/>
      <c r="X965" s="5"/>
      <c r="Y965" s="5"/>
    </row>
    <row r="966" spans="13:25" ht="56.25" x14ac:dyDescent="0.2">
      <c r="M966" s="26" t="s">
        <v>60</v>
      </c>
      <c r="N966" s="25" t="s">
        <v>51</v>
      </c>
      <c r="O966" s="26"/>
      <c r="P966" s="26" t="s">
        <v>970</v>
      </c>
      <c r="Q966" s="26"/>
      <c r="R966" s="5"/>
      <c r="S966" s="5"/>
      <c r="T966" s="5"/>
      <c r="U966" s="5"/>
      <c r="V966" s="5"/>
      <c r="W966" s="5"/>
      <c r="X966" s="5"/>
      <c r="Y966" s="5"/>
    </row>
    <row r="967" spans="13:25" ht="56.25" x14ac:dyDescent="0.2">
      <c r="M967" s="26" t="s">
        <v>60</v>
      </c>
      <c r="N967" s="25" t="s">
        <v>51</v>
      </c>
      <c r="O967" s="26"/>
      <c r="P967" s="26" t="s">
        <v>971</v>
      </c>
      <c r="Q967" s="26"/>
      <c r="R967" s="5"/>
      <c r="S967" s="5"/>
      <c r="T967" s="5"/>
      <c r="U967" s="5"/>
      <c r="V967" s="5"/>
      <c r="W967" s="5"/>
      <c r="X967" s="5"/>
      <c r="Y967" s="5"/>
    </row>
    <row r="968" spans="13:25" ht="45" x14ac:dyDescent="0.2">
      <c r="M968" s="26" t="s">
        <v>60</v>
      </c>
      <c r="N968" s="25" t="s">
        <v>51</v>
      </c>
      <c r="O968" s="26"/>
      <c r="P968" s="26" t="s">
        <v>972</v>
      </c>
      <c r="Q968" s="26"/>
      <c r="R968" s="5"/>
      <c r="S968" s="5"/>
      <c r="T968" s="5"/>
      <c r="U968" s="5"/>
      <c r="V968" s="5"/>
      <c r="W968" s="5"/>
      <c r="X968" s="5"/>
      <c r="Y968" s="5"/>
    </row>
    <row r="969" spans="13:25" ht="22.5" x14ac:dyDescent="0.2">
      <c r="M969" s="26" t="s">
        <v>60</v>
      </c>
      <c r="N969" s="25" t="s">
        <v>70</v>
      </c>
      <c r="O969" s="26"/>
      <c r="P969" s="26" t="s">
        <v>973</v>
      </c>
      <c r="Q969" s="26"/>
      <c r="R969" s="5"/>
      <c r="S969" s="5"/>
      <c r="T969" s="5"/>
      <c r="U969" s="5"/>
      <c r="V969" s="5"/>
      <c r="W969" s="5"/>
      <c r="X969" s="5"/>
      <c r="Y969" s="5"/>
    </row>
    <row r="970" spans="13:25" ht="22.5" x14ac:dyDescent="0.2">
      <c r="M970" s="26" t="s">
        <v>60</v>
      </c>
      <c r="N970" s="25" t="s">
        <v>51</v>
      </c>
      <c r="O970" s="26"/>
      <c r="P970" s="26" t="s">
        <v>974</v>
      </c>
      <c r="Q970" s="26"/>
      <c r="R970" s="5"/>
      <c r="S970" s="5"/>
      <c r="T970" s="5"/>
      <c r="U970" s="5"/>
      <c r="V970" s="5"/>
      <c r="W970" s="5"/>
      <c r="X970" s="5"/>
      <c r="Y970" s="5"/>
    </row>
    <row r="971" spans="13:25" ht="22.5" x14ac:dyDescent="0.2">
      <c r="M971" s="26" t="s">
        <v>60</v>
      </c>
      <c r="N971" s="25" t="s">
        <v>51</v>
      </c>
      <c r="O971" s="26"/>
      <c r="P971" s="26" t="s">
        <v>975</v>
      </c>
      <c r="Q971" s="26"/>
      <c r="R971" s="5"/>
      <c r="S971" s="5"/>
      <c r="T971" s="5"/>
      <c r="U971" s="5"/>
      <c r="V971" s="5"/>
      <c r="W971" s="5"/>
      <c r="X971" s="5"/>
      <c r="Y971" s="5"/>
    </row>
    <row r="972" spans="13:25" ht="22.5" x14ac:dyDescent="0.2">
      <c r="M972" s="26" t="s">
        <v>60</v>
      </c>
      <c r="N972" s="25" t="s">
        <v>57</v>
      </c>
      <c r="O972" s="26"/>
      <c r="P972" s="26" t="s">
        <v>976</v>
      </c>
      <c r="Q972" s="26"/>
      <c r="R972" s="5"/>
      <c r="S972" s="5"/>
      <c r="T972" s="5"/>
      <c r="U972" s="5"/>
      <c r="V972" s="5"/>
      <c r="W972" s="5"/>
      <c r="X972" s="5"/>
      <c r="Y972" s="5"/>
    </row>
    <row r="973" spans="13:25" ht="22.5" x14ac:dyDescent="0.2">
      <c r="M973" s="26" t="s">
        <v>60</v>
      </c>
      <c r="N973" s="25" t="s">
        <v>57</v>
      </c>
      <c r="O973" s="26" t="s">
        <v>977</v>
      </c>
      <c r="P973" s="26"/>
      <c r="Q973" s="26"/>
      <c r="R973" s="5"/>
      <c r="S973" s="5"/>
      <c r="T973" s="5"/>
      <c r="U973" s="5"/>
      <c r="V973" s="5"/>
      <c r="W973" s="5"/>
      <c r="X973" s="5"/>
      <c r="Y973" s="5"/>
    </row>
    <row r="974" spans="13:25" ht="22.5" x14ac:dyDescent="0.2">
      <c r="M974" s="26" t="s">
        <v>60</v>
      </c>
      <c r="N974" s="25" t="s">
        <v>57</v>
      </c>
      <c r="O974" s="26" t="s">
        <v>978</v>
      </c>
      <c r="P974" s="26"/>
      <c r="Q974" s="26"/>
      <c r="R974" s="5"/>
      <c r="S974" s="5"/>
      <c r="T974" s="5"/>
      <c r="U974" s="5"/>
      <c r="V974" s="5"/>
      <c r="W974" s="5"/>
      <c r="X974" s="5"/>
      <c r="Y974" s="5"/>
    </row>
    <row r="975" spans="13:25" ht="22.5" x14ac:dyDescent="0.2">
      <c r="M975" s="26" t="s">
        <v>60</v>
      </c>
      <c r="N975" s="25" t="s">
        <v>57</v>
      </c>
      <c r="O975" s="26" t="s">
        <v>979</v>
      </c>
      <c r="P975" s="26"/>
      <c r="Q975" s="26"/>
      <c r="R975" s="5"/>
      <c r="S975" s="5"/>
      <c r="T975" s="5"/>
      <c r="U975" s="5"/>
      <c r="V975" s="5"/>
      <c r="W975" s="5"/>
      <c r="X975" s="5"/>
      <c r="Y975" s="5"/>
    </row>
    <row r="976" spans="13:25" ht="22.5" x14ac:dyDescent="0.2">
      <c r="M976" s="26" t="s">
        <v>60</v>
      </c>
      <c r="N976" s="25" t="s">
        <v>57</v>
      </c>
      <c r="O976" s="26" t="s">
        <v>980</v>
      </c>
      <c r="P976" s="26"/>
      <c r="Q976" s="26"/>
      <c r="R976" s="5"/>
      <c r="S976" s="5"/>
      <c r="T976" s="5"/>
      <c r="U976" s="5"/>
      <c r="V976" s="5"/>
      <c r="W976" s="5"/>
      <c r="X976" s="5"/>
      <c r="Y976" s="5"/>
    </row>
    <row r="977" spans="13:25" ht="22.5" x14ac:dyDescent="0.2">
      <c r="M977" s="26" t="s">
        <v>60</v>
      </c>
      <c r="N977" s="25" t="s">
        <v>57</v>
      </c>
      <c r="O977" s="26" t="s">
        <v>981</v>
      </c>
      <c r="P977" s="26"/>
      <c r="Q977" s="26"/>
      <c r="R977" s="5"/>
      <c r="S977" s="5"/>
      <c r="T977" s="5"/>
      <c r="U977" s="5"/>
      <c r="V977" s="5"/>
      <c r="W977" s="5"/>
      <c r="X977" s="5"/>
      <c r="Y977" s="5"/>
    </row>
    <row r="978" spans="13:25" ht="22.5" x14ac:dyDescent="0.2">
      <c r="M978" s="26" t="s">
        <v>60</v>
      </c>
      <c r="N978" s="25" t="s">
        <v>51</v>
      </c>
      <c r="O978" s="26" t="s">
        <v>982</v>
      </c>
      <c r="P978" s="26"/>
      <c r="Q978" s="26"/>
      <c r="R978" s="5"/>
      <c r="S978" s="5"/>
      <c r="T978" s="5"/>
      <c r="U978" s="5"/>
      <c r="V978" s="5"/>
      <c r="W978" s="5"/>
      <c r="X978" s="5"/>
      <c r="Y978" s="5"/>
    </row>
    <row r="979" spans="13:25" ht="33.75" x14ac:dyDescent="0.2">
      <c r="M979" s="26" t="s">
        <v>60</v>
      </c>
      <c r="N979" s="25" t="s">
        <v>51</v>
      </c>
      <c r="O979" s="26"/>
      <c r="P979" s="26" t="s">
        <v>983</v>
      </c>
      <c r="Q979" s="26"/>
      <c r="R979" s="5"/>
      <c r="S979" s="5"/>
      <c r="T979" s="5"/>
      <c r="U979" s="5"/>
      <c r="V979" s="5"/>
      <c r="W979" s="5"/>
      <c r="X979" s="5"/>
      <c r="Y979" s="5"/>
    </row>
    <row r="980" spans="13:25" ht="22.5" x14ac:dyDescent="0.2">
      <c r="M980" s="26" t="s">
        <v>60</v>
      </c>
      <c r="N980" s="25" t="s">
        <v>57</v>
      </c>
      <c r="O980" s="26"/>
      <c r="P980" s="26" t="s">
        <v>984</v>
      </c>
      <c r="Q980" s="26"/>
      <c r="R980" s="5"/>
      <c r="S980" s="5"/>
      <c r="T980" s="5"/>
      <c r="U980" s="5"/>
      <c r="V980" s="5"/>
      <c r="W980" s="5"/>
      <c r="X980" s="5"/>
      <c r="Y980" s="5"/>
    </row>
    <row r="981" spans="13:25" ht="22.5" x14ac:dyDescent="0.2">
      <c r="M981" s="26" t="s">
        <v>60</v>
      </c>
      <c r="N981" s="25" t="s">
        <v>51</v>
      </c>
      <c r="O981" s="26" t="s">
        <v>985</v>
      </c>
      <c r="P981" s="26"/>
      <c r="Q981" s="26"/>
      <c r="R981" s="5"/>
      <c r="S981" s="5"/>
      <c r="T981" s="5"/>
      <c r="U981" s="5"/>
      <c r="V981" s="5"/>
      <c r="W981" s="5"/>
      <c r="X981" s="5"/>
      <c r="Y981" s="5"/>
    </row>
    <row r="982" spans="13:25" ht="67.5" x14ac:dyDescent="0.2">
      <c r="M982" s="26" t="s">
        <v>60</v>
      </c>
      <c r="N982" s="25" t="s">
        <v>51</v>
      </c>
      <c r="O982" s="26"/>
      <c r="P982" s="26" t="s">
        <v>986</v>
      </c>
      <c r="Q982" s="26"/>
      <c r="R982" s="5"/>
      <c r="S982" s="5"/>
      <c r="T982" s="5"/>
      <c r="U982" s="5"/>
      <c r="V982" s="5"/>
      <c r="W982" s="5"/>
      <c r="X982" s="5"/>
      <c r="Y982" s="5"/>
    </row>
    <row r="983" spans="13:25" ht="22.5" x14ac:dyDescent="0.2">
      <c r="M983" s="26" t="s">
        <v>60</v>
      </c>
      <c r="N983" s="25" t="s">
        <v>57</v>
      </c>
      <c r="O983" s="26"/>
      <c r="P983" s="26" t="s">
        <v>987</v>
      </c>
      <c r="Q983" s="26"/>
      <c r="R983" s="5"/>
      <c r="S983" s="5"/>
      <c r="T983" s="5"/>
      <c r="U983" s="5"/>
      <c r="V983" s="5"/>
      <c r="W983" s="5"/>
      <c r="X983" s="5"/>
      <c r="Y983" s="5"/>
    </row>
    <row r="984" spans="13:25" ht="22.5" x14ac:dyDescent="0.2">
      <c r="M984" s="26" t="s">
        <v>60</v>
      </c>
      <c r="N984" s="25" t="s">
        <v>51</v>
      </c>
      <c r="O984" s="26" t="s">
        <v>988</v>
      </c>
      <c r="P984" s="26"/>
      <c r="Q984" s="26"/>
      <c r="R984" s="5"/>
      <c r="S984" s="5"/>
      <c r="T984" s="5"/>
      <c r="U984" s="5"/>
      <c r="V984" s="5"/>
      <c r="W984" s="5"/>
      <c r="X984" s="5"/>
      <c r="Y984" s="5"/>
    </row>
    <row r="985" spans="13:25" ht="67.5" x14ac:dyDescent="0.2">
      <c r="M985" s="26" t="s">
        <v>60</v>
      </c>
      <c r="N985" s="25" t="s">
        <v>51</v>
      </c>
      <c r="O985" s="26"/>
      <c r="P985" s="26" t="s">
        <v>986</v>
      </c>
      <c r="Q985" s="26"/>
      <c r="R985" s="5"/>
      <c r="S985" s="5"/>
      <c r="T985" s="5"/>
      <c r="U985" s="5"/>
      <c r="V985" s="5"/>
      <c r="W985" s="5"/>
      <c r="X985" s="5"/>
      <c r="Y985" s="5"/>
    </row>
    <row r="986" spans="13:25" ht="33.75" x14ac:dyDescent="0.2">
      <c r="M986" s="26" t="s">
        <v>60</v>
      </c>
      <c r="N986" s="25" t="s">
        <v>51</v>
      </c>
      <c r="O986" s="26"/>
      <c r="P986" s="26" t="s">
        <v>989</v>
      </c>
      <c r="Q986" s="26"/>
      <c r="R986" s="5"/>
      <c r="S986" s="5"/>
      <c r="T986" s="5"/>
      <c r="U986" s="5"/>
      <c r="V986" s="5"/>
      <c r="W986" s="5"/>
      <c r="X986" s="5"/>
      <c r="Y986" s="5"/>
    </row>
    <row r="987" spans="13:25" ht="22.5" x14ac:dyDescent="0.2">
      <c r="M987" s="26" t="s">
        <v>60</v>
      </c>
      <c r="N987" s="25" t="s">
        <v>57</v>
      </c>
      <c r="O987" s="26"/>
      <c r="P987" s="26" t="s">
        <v>990</v>
      </c>
      <c r="Q987" s="26"/>
      <c r="R987" s="5"/>
      <c r="S987" s="5"/>
      <c r="T987" s="5"/>
      <c r="U987" s="5"/>
      <c r="V987" s="5"/>
      <c r="W987" s="5"/>
      <c r="X987" s="5"/>
      <c r="Y987" s="5"/>
    </row>
    <row r="988" spans="13:25" ht="22.5" x14ac:dyDescent="0.2">
      <c r="M988" s="26" t="s">
        <v>60</v>
      </c>
      <c r="N988" s="25" t="s">
        <v>57</v>
      </c>
      <c r="O988" s="26" t="s">
        <v>991</v>
      </c>
      <c r="P988" s="26"/>
      <c r="Q988" s="26"/>
      <c r="R988" s="5"/>
      <c r="S988" s="5"/>
      <c r="T988" s="5"/>
      <c r="U988" s="5"/>
      <c r="V988" s="5"/>
      <c r="W988" s="5"/>
      <c r="X988" s="5"/>
      <c r="Y988" s="5"/>
    </row>
    <row r="989" spans="13:25" ht="22.5" x14ac:dyDescent="0.2">
      <c r="M989" s="26" t="s">
        <v>60</v>
      </c>
      <c r="N989" s="25" t="s">
        <v>51</v>
      </c>
      <c r="O989" s="26" t="s">
        <v>992</v>
      </c>
      <c r="P989" s="26"/>
      <c r="Q989" s="26"/>
      <c r="R989" s="5"/>
      <c r="S989" s="5"/>
      <c r="T989" s="5"/>
      <c r="U989" s="5"/>
      <c r="V989" s="5"/>
      <c r="W989" s="5"/>
      <c r="X989" s="5"/>
      <c r="Y989" s="5"/>
    </row>
    <row r="990" spans="13:25" ht="22.5" x14ac:dyDescent="0.2">
      <c r="M990" s="26" t="s">
        <v>60</v>
      </c>
      <c r="N990" s="25" t="s">
        <v>51</v>
      </c>
      <c r="O990" s="26"/>
      <c r="P990" s="26" t="s">
        <v>993</v>
      </c>
      <c r="Q990" s="26"/>
      <c r="R990" s="5"/>
      <c r="S990" s="5"/>
      <c r="T990" s="5"/>
      <c r="U990" s="5"/>
      <c r="V990" s="5"/>
      <c r="W990" s="5"/>
      <c r="X990" s="5"/>
      <c r="Y990" s="5"/>
    </row>
    <row r="991" spans="13:25" ht="22.5" x14ac:dyDescent="0.2">
      <c r="M991" s="26" t="s">
        <v>60</v>
      </c>
      <c r="N991" s="25" t="s">
        <v>51</v>
      </c>
      <c r="O991" s="26"/>
      <c r="P991" s="26" t="s">
        <v>994</v>
      </c>
      <c r="Q991" s="26"/>
      <c r="R991" s="5"/>
      <c r="S991" s="5"/>
      <c r="T991" s="5"/>
      <c r="U991" s="5"/>
      <c r="V991" s="5"/>
      <c r="W991" s="5"/>
      <c r="X991" s="5"/>
      <c r="Y991" s="5"/>
    </row>
    <row r="992" spans="13:25" ht="67.5" x14ac:dyDescent="0.2">
      <c r="M992" s="26" t="s">
        <v>60</v>
      </c>
      <c r="N992" s="25" t="s">
        <v>51</v>
      </c>
      <c r="O992" s="26"/>
      <c r="P992" s="26" t="s">
        <v>995</v>
      </c>
      <c r="Q992" s="26"/>
      <c r="R992" s="5"/>
      <c r="S992" s="5"/>
      <c r="T992" s="5"/>
      <c r="U992" s="5"/>
      <c r="V992" s="5"/>
      <c r="W992" s="5"/>
      <c r="X992" s="5"/>
      <c r="Y992" s="5"/>
    </row>
    <row r="993" spans="13:25" ht="33.75" x14ac:dyDescent="0.2">
      <c r="M993" s="26" t="s">
        <v>60</v>
      </c>
      <c r="N993" s="25" t="s">
        <v>55</v>
      </c>
      <c r="O993" s="26"/>
      <c r="P993" s="26" t="s">
        <v>996</v>
      </c>
      <c r="Q993" s="26"/>
      <c r="R993" s="5"/>
      <c r="S993" s="5"/>
      <c r="T993" s="5"/>
      <c r="U993" s="5"/>
      <c r="V993" s="5"/>
      <c r="W993" s="5"/>
      <c r="X993" s="5"/>
      <c r="Y993" s="5"/>
    </row>
    <row r="994" spans="13:25" ht="22.5" x14ac:dyDescent="0.2">
      <c r="M994" s="26" t="s">
        <v>60</v>
      </c>
      <c r="N994" s="25" t="s">
        <v>51</v>
      </c>
      <c r="O994" s="26"/>
      <c r="P994" s="26" t="s">
        <v>997</v>
      </c>
      <c r="Q994" s="26"/>
      <c r="R994" s="5"/>
      <c r="S994" s="5"/>
      <c r="T994" s="5"/>
      <c r="U994" s="5"/>
      <c r="V994" s="5"/>
      <c r="W994" s="5"/>
      <c r="X994" s="5"/>
      <c r="Y994" s="5"/>
    </row>
    <row r="995" spans="13:25" ht="45" x14ac:dyDescent="0.2">
      <c r="M995" s="26" t="s">
        <v>60</v>
      </c>
      <c r="N995" s="25" t="s">
        <v>55</v>
      </c>
      <c r="O995" s="26"/>
      <c r="P995" s="26" t="s">
        <v>998</v>
      </c>
      <c r="Q995" s="26"/>
      <c r="R995" s="5"/>
      <c r="S995" s="5"/>
      <c r="T995" s="5"/>
      <c r="U995" s="5"/>
      <c r="V995" s="5"/>
      <c r="W995" s="5"/>
      <c r="X995" s="5"/>
      <c r="Y995" s="5"/>
    </row>
    <row r="996" spans="13:25" ht="45" x14ac:dyDescent="0.2">
      <c r="M996" s="26" t="s">
        <v>60</v>
      </c>
      <c r="N996" s="25" t="s">
        <v>55</v>
      </c>
      <c r="O996" s="26"/>
      <c r="P996" s="26" t="s">
        <v>999</v>
      </c>
      <c r="Q996" s="26"/>
      <c r="R996" s="5"/>
      <c r="S996" s="5"/>
      <c r="T996" s="5"/>
      <c r="U996" s="5"/>
      <c r="V996" s="5"/>
      <c r="W996" s="5"/>
      <c r="X996" s="5"/>
      <c r="Y996" s="5"/>
    </row>
    <row r="997" spans="13:25" ht="22.5" x14ac:dyDescent="0.2">
      <c r="M997" s="26" t="s">
        <v>60</v>
      </c>
      <c r="N997" s="25" t="s">
        <v>51</v>
      </c>
      <c r="O997" s="26"/>
      <c r="P997" s="26" t="s">
        <v>1000</v>
      </c>
      <c r="Q997" s="26"/>
      <c r="R997" s="5"/>
      <c r="S997" s="5"/>
      <c r="T997" s="5"/>
      <c r="U997" s="5"/>
      <c r="V997" s="5"/>
      <c r="W997" s="5"/>
      <c r="X997" s="5"/>
      <c r="Y997" s="5"/>
    </row>
    <row r="998" spans="13:25" ht="22.5" x14ac:dyDescent="0.2">
      <c r="M998" s="26" t="s">
        <v>60</v>
      </c>
      <c r="N998" s="25" t="s">
        <v>51</v>
      </c>
      <c r="O998" s="26"/>
      <c r="P998" s="26" t="s">
        <v>1001</v>
      </c>
      <c r="Q998" s="26"/>
      <c r="R998" s="5"/>
      <c r="S998" s="5"/>
      <c r="T998" s="5"/>
      <c r="U998" s="5"/>
      <c r="V998" s="5"/>
      <c r="W998" s="5"/>
      <c r="X998" s="5"/>
      <c r="Y998" s="5"/>
    </row>
    <row r="999" spans="13:25" ht="22.5" x14ac:dyDescent="0.2">
      <c r="M999" s="26" t="s">
        <v>60</v>
      </c>
      <c r="N999" s="25" t="s">
        <v>51</v>
      </c>
      <c r="O999" s="26"/>
      <c r="P999" s="26" t="s">
        <v>1002</v>
      </c>
      <c r="Q999" s="26"/>
      <c r="R999" s="5"/>
      <c r="S999" s="5"/>
      <c r="T999" s="5"/>
      <c r="U999" s="5"/>
      <c r="V999" s="5"/>
      <c r="W999" s="5"/>
      <c r="X999" s="5"/>
      <c r="Y999" s="5"/>
    </row>
    <row r="1000" spans="13:25" ht="22.5" x14ac:dyDescent="0.2">
      <c r="M1000" s="26" t="s">
        <v>60</v>
      </c>
      <c r="N1000" s="25" t="s">
        <v>51</v>
      </c>
      <c r="O1000" s="26"/>
      <c r="P1000" s="26" t="s">
        <v>1003</v>
      </c>
      <c r="Q1000" s="26"/>
      <c r="R1000" s="5"/>
      <c r="S1000" s="5"/>
      <c r="T1000" s="5"/>
      <c r="U1000" s="5"/>
      <c r="V1000" s="5"/>
      <c r="W1000" s="5"/>
      <c r="X1000" s="5"/>
      <c r="Y1000" s="5"/>
    </row>
    <row r="1001" spans="13:25" ht="22.5" x14ac:dyDescent="0.2">
      <c r="M1001" s="26" t="s">
        <v>60</v>
      </c>
      <c r="N1001" s="25" t="s">
        <v>51</v>
      </c>
      <c r="O1001" s="26"/>
      <c r="P1001" s="26" t="s">
        <v>1004</v>
      </c>
      <c r="Q1001" s="26"/>
      <c r="R1001" s="5"/>
      <c r="S1001" s="5"/>
      <c r="T1001" s="5"/>
      <c r="U1001" s="5"/>
      <c r="V1001" s="5"/>
      <c r="W1001" s="5"/>
      <c r="X1001" s="5"/>
      <c r="Y1001" s="5"/>
    </row>
    <row r="1002" spans="13:25" ht="22.5" x14ac:dyDescent="0.2">
      <c r="M1002" s="26" t="s">
        <v>60</v>
      </c>
      <c r="N1002" s="25" t="s">
        <v>51</v>
      </c>
      <c r="O1002" s="26"/>
      <c r="P1002" s="26" t="s">
        <v>1005</v>
      </c>
      <c r="Q1002" s="26"/>
      <c r="R1002" s="5"/>
      <c r="S1002" s="5"/>
      <c r="T1002" s="5"/>
      <c r="U1002" s="5"/>
      <c r="V1002" s="5"/>
      <c r="W1002" s="5"/>
      <c r="X1002" s="5"/>
      <c r="Y1002" s="5"/>
    </row>
    <row r="1003" spans="13:25" ht="33.75" x14ac:dyDescent="0.2">
      <c r="M1003" s="26" t="s">
        <v>60</v>
      </c>
      <c r="N1003" s="25" t="s">
        <v>51</v>
      </c>
      <c r="O1003" s="26"/>
      <c r="P1003" s="26" t="s">
        <v>1006</v>
      </c>
      <c r="Q1003" s="26"/>
      <c r="R1003" s="5"/>
      <c r="S1003" s="5"/>
      <c r="T1003" s="5"/>
      <c r="U1003" s="5"/>
      <c r="V1003" s="5"/>
      <c r="W1003" s="5"/>
      <c r="X1003" s="5"/>
      <c r="Y1003" s="5"/>
    </row>
    <row r="1004" spans="13:25" ht="33.75" x14ac:dyDescent="0.2">
      <c r="M1004" s="26" t="s">
        <v>60</v>
      </c>
      <c r="N1004" s="25" t="s">
        <v>55</v>
      </c>
      <c r="O1004" s="26"/>
      <c r="P1004" s="26" t="s">
        <v>1007</v>
      </c>
      <c r="Q1004" s="26"/>
      <c r="R1004" s="5"/>
      <c r="S1004" s="5"/>
      <c r="T1004" s="5"/>
      <c r="U1004" s="5"/>
      <c r="V1004" s="5"/>
      <c r="W1004" s="5"/>
      <c r="X1004" s="5"/>
      <c r="Y1004" s="5"/>
    </row>
    <row r="1005" spans="13:25" ht="22.5" x14ac:dyDescent="0.2">
      <c r="M1005" s="26" t="s">
        <v>60</v>
      </c>
      <c r="N1005" s="25" t="s">
        <v>55</v>
      </c>
      <c r="O1005" s="26"/>
      <c r="P1005" s="26" t="s">
        <v>1008</v>
      </c>
      <c r="Q1005" s="26"/>
      <c r="R1005" s="5"/>
      <c r="S1005" s="5"/>
      <c r="T1005" s="5"/>
      <c r="U1005" s="5"/>
      <c r="V1005" s="5"/>
      <c r="W1005" s="5"/>
      <c r="X1005" s="5"/>
      <c r="Y1005" s="5"/>
    </row>
    <row r="1006" spans="13:25" ht="22.5" x14ac:dyDescent="0.2">
      <c r="M1006" s="26" t="s">
        <v>60</v>
      </c>
      <c r="N1006" s="25" t="s">
        <v>51</v>
      </c>
      <c r="O1006" s="26"/>
      <c r="P1006" s="26" t="s">
        <v>1009</v>
      </c>
      <c r="Q1006" s="26"/>
      <c r="R1006" s="5"/>
      <c r="S1006" s="5"/>
      <c r="T1006" s="5"/>
      <c r="U1006" s="5"/>
      <c r="V1006" s="5"/>
      <c r="W1006" s="5"/>
      <c r="X1006" s="5"/>
      <c r="Y1006" s="5"/>
    </row>
    <row r="1007" spans="13:25" ht="22.5" x14ac:dyDescent="0.2">
      <c r="M1007" s="26" t="s">
        <v>60</v>
      </c>
      <c r="N1007" s="25" t="s">
        <v>51</v>
      </c>
      <c r="O1007" s="26"/>
      <c r="P1007" s="26" t="s">
        <v>1010</v>
      </c>
      <c r="Q1007" s="26"/>
      <c r="R1007" s="5"/>
      <c r="S1007" s="5"/>
      <c r="T1007" s="5"/>
      <c r="U1007" s="5"/>
      <c r="V1007" s="5"/>
      <c r="W1007" s="5"/>
      <c r="X1007" s="5"/>
      <c r="Y1007" s="5"/>
    </row>
    <row r="1008" spans="13:25" ht="22.5" x14ac:dyDescent="0.2">
      <c r="M1008" s="26" t="s">
        <v>60</v>
      </c>
      <c r="N1008" s="25" t="s">
        <v>57</v>
      </c>
      <c r="O1008" s="26"/>
      <c r="P1008" s="26" t="s">
        <v>1011</v>
      </c>
      <c r="Q1008" s="26"/>
      <c r="R1008" s="5"/>
      <c r="S1008" s="5"/>
      <c r="T1008" s="5"/>
      <c r="U1008" s="5"/>
      <c r="V1008" s="5"/>
      <c r="W1008" s="5"/>
      <c r="X1008" s="5"/>
      <c r="Y1008" s="5"/>
    </row>
    <row r="1009" spans="13:25" ht="22.5" x14ac:dyDescent="0.2">
      <c r="M1009" s="26" t="s">
        <v>60</v>
      </c>
      <c r="N1009" s="25" t="s">
        <v>51</v>
      </c>
      <c r="O1009" s="26"/>
      <c r="P1009" s="26" t="s">
        <v>1012</v>
      </c>
      <c r="Q1009" s="26"/>
      <c r="R1009" s="5"/>
      <c r="S1009" s="5"/>
      <c r="T1009" s="5"/>
      <c r="U1009" s="5"/>
      <c r="V1009" s="5"/>
      <c r="W1009" s="5"/>
      <c r="X1009" s="5"/>
      <c r="Y1009" s="5"/>
    </row>
    <row r="1010" spans="13:25" ht="67.5" x14ac:dyDescent="0.2">
      <c r="M1010" s="26" t="s">
        <v>60</v>
      </c>
      <c r="N1010" s="25" t="s">
        <v>51</v>
      </c>
      <c r="O1010" s="26"/>
      <c r="P1010" s="26" t="s">
        <v>1013</v>
      </c>
      <c r="Q1010" s="26"/>
      <c r="R1010" s="5"/>
      <c r="S1010" s="5"/>
      <c r="T1010" s="5"/>
      <c r="U1010" s="5"/>
      <c r="V1010" s="5"/>
      <c r="W1010" s="5"/>
      <c r="X1010" s="5"/>
      <c r="Y1010" s="5"/>
    </row>
    <row r="1011" spans="13:25" ht="56.25" x14ac:dyDescent="0.2">
      <c r="M1011" s="26" t="s">
        <v>60</v>
      </c>
      <c r="N1011" s="25" t="s">
        <v>51</v>
      </c>
      <c r="O1011" s="26"/>
      <c r="P1011" s="26" t="s">
        <v>1014</v>
      </c>
      <c r="Q1011" s="26"/>
      <c r="R1011" s="5"/>
      <c r="S1011" s="5"/>
      <c r="T1011" s="5"/>
      <c r="U1011" s="5"/>
      <c r="V1011" s="5"/>
      <c r="W1011" s="5"/>
      <c r="X1011" s="5"/>
      <c r="Y1011" s="5"/>
    </row>
    <row r="1012" spans="13:25" ht="67.5" x14ac:dyDescent="0.2">
      <c r="M1012" s="26" t="s">
        <v>60</v>
      </c>
      <c r="N1012" s="25" t="s">
        <v>51</v>
      </c>
      <c r="O1012" s="26"/>
      <c r="P1012" s="26" t="s">
        <v>1015</v>
      </c>
      <c r="Q1012" s="26"/>
      <c r="R1012" s="5"/>
      <c r="S1012" s="5"/>
      <c r="T1012" s="5"/>
      <c r="U1012" s="5"/>
      <c r="V1012" s="5"/>
      <c r="W1012" s="5"/>
      <c r="X1012" s="5"/>
      <c r="Y1012" s="5"/>
    </row>
    <row r="1013" spans="13:25" ht="56.25" x14ac:dyDescent="0.2">
      <c r="M1013" s="26" t="s">
        <v>60</v>
      </c>
      <c r="N1013" s="25" t="s">
        <v>51</v>
      </c>
      <c r="O1013" s="26"/>
      <c r="P1013" s="26" t="s">
        <v>1016</v>
      </c>
      <c r="Q1013" s="26"/>
      <c r="R1013" s="5"/>
      <c r="S1013" s="5"/>
      <c r="T1013" s="5"/>
      <c r="U1013" s="5"/>
      <c r="V1013" s="5"/>
      <c r="W1013" s="5"/>
      <c r="X1013" s="5"/>
      <c r="Y1013" s="5"/>
    </row>
    <row r="1014" spans="13:25" ht="22.5" x14ac:dyDescent="0.2">
      <c r="M1014" s="26" t="s">
        <v>60</v>
      </c>
      <c r="N1014" s="25" t="s">
        <v>51</v>
      </c>
      <c r="O1014" s="26" t="s">
        <v>1017</v>
      </c>
      <c r="P1014" s="26"/>
      <c r="Q1014" s="26"/>
      <c r="R1014" s="5"/>
      <c r="S1014" s="5"/>
      <c r="T1014" s="5"/>
      <c r="U1014" s="5"/>
      <c r="V1014" s="5"/>
      <c r="W1014" s="5"/>
      <c r="X1014" s="5"/>
      <c r="Y1014" s="5"/>
    </row>
    <row r="1015" spans="13:25" ht="45" x14ac:dyDescent="0.2">
      <c r="M1015" s="26" t="s">
        <v>60</v>
      </c>
      <c r="N1015" s="25" t="s">
        <v>55</v>
      </c>
      <c r="O1015" s="26"/>
      <c r="P1015" s="26" t="s">
        <v>1018</v>
      </c>
      <c r="Q1015" s="26"/>
      <c r="R1015" s="5"/>
      <c r="S1015" s="5"/>
      <c r="T1015" s="5"/>
      <c r="U1015" s="5"/>
      <c r="V1015" s="5"/>
      <c r="W1015" s="5"/>
      <c r="X1015" s="5"/>
      <c r="Y1015" s="5"/>
    </row>
    <row r="1016" spans="13:25" ht="45" x14ac:dyDescent="0.2">
      <c r="M1016" s="26" t="s">
        <v>60</v>
      </c>
      <c r="N1016" s="25" t="s">
        <v>55</v>
      </c>
      <c r="O1016" s="26"/>
      <c r="P1016" s="26" t="s">
        <v>1019</v>
      </c>
      <c r="Q1016" s="26"/>
      <c r="R1016" s="5"/>
      <c r="S1016" s="5"/>
      <c r="T1016" s="5"/>
      <c r="U1016" s="5"/>
      <c r="V1016" s="5"/>
      <c r="W1016" s="5"/>
      <c r="X1016" s="5"/>
      <c r="Y1016" s="5"/>
    </row>
    <row r="1017" spans="13:25" ht="33.75" x14ac:dyDescent="0.2">
      <c r="M1017" s="26" t="s">
        <v>60</v>
      </c>
      <c r="N1017" s="25" t="s">
        <v>55</v>
      </c>
      <c r="O1017" s="26"/>
      <c r="P1017" s="26" t="s">
        <v>1007</v>
      </c>
      <c r="Q1017" s="26"/>
      <c r="R1017" s="5"/>
      <c r="S1017" s="5"/>
      <c r="T1017" s="5"/>
      <c r="U1017" s="5"/>
      <c r="V1017" s="5"/>
      <c r="W1017" s="5"/>
      <c r="X1017" s="5"/>
      <c r="Y1017" s="5"/>
    </row>
    <row r="1018" spans="13:25" ht="33.75" x14ac:dyDescent="0.2">
      <c r="M1018" s="26" t="s">
        <v>60</v>
      </c>
      <c r="N1018" s="25" t="s">
        <v>55</v>
      </c>
      <c r="O1018" s="26"/>
      <c r="P1018" s="26" t="s">
        <v>1007</v>
      </c>
      <c r="Q1018" s="26"/>
      <c r="R1018" s="5"/>
      <c r="S1018" s="5"/>
      <c r="T1018" s="5"/>
      <c r="U1018" s="5"/>
      <c r="V1018" s="5"/>
      <c r="W1018" s="5"/>
      <c r="X1018" s="5"/>
      <c r="Y1018" s="5"/>
    </row>
    <row r="1019" spans="13:25" ht="22.5" x14ac:dyDescent="0.2">
      <c r="M1019" s="26" t="s">
        <v>60</v>
      </c>
      <c r="N1019" s="25" t="s">
        <v>57</v>
      </c>
      <c r="O1019" s="26" t="s">
        <v>1020</v>
      </c>
      <c r="P1019" s="26"/>
      <c r="Q1019" s="26"/>
      <c r="R1019" s="5"/>
      <c r="S1019" s="5"/>
      <c r="T1019" s="5"/>
      <c r="U1019" s="5"/>
      <c r="V1019" s="5"/>
      <c r="W1019" s="5"/>
      <c r="X1019" s="5"/>
      <c r="Y1019" s="5"/>
    </row>
    <row r="1020" spans="13:25" ht="22.5" x14ac:dyDescent="0.2">
      <c r="M1020" s="26" t="s">
        <v>60</v>
      </c>
      <c r="N1020" s="25" t="s">
        <v>57</v>
      </c>
      <c r="O1020" s="26" t="s">
        <v>1021</v>
      </c>
      <c r="P1020" s="26"/>
      <c r="Q1020" s="26"/>
      <c r="R1020" s="5"/>
      <c r="S1020" s="5"/>
      <c r="T1020" s="5"/>
      <c r="U1020" s="5"/>
      <c r="V1020" s="5"/>
      <c r="W1020" s="5"/>
      <c r="X1020" s="5"/>
      <c r="Y1020" s="5"/>
    </row>
    <row r="1021" spans="13:25" ht="22.5" x14ac:dyDescent="0.2">
      <c r="M1021" s="26" t="s">
        <v>60</v>
      </c>
      <c r="N1021" s="25" t="s">
        <v>51</v>
      </c>
      <c r="O1021" s="26" t="s">
        <v>1022</v>
      </c>
      <c r="P1021" s="26"/>
      <c r="Q1021" s="26"/>
      <c r="R1021" s="5"/>
      <c r="S1021" s="5"/>
      <c r="T1021" s="5"/>
      <c r="U1021" s="5"/>
      <c r="V1021" s="5"/>
      <c r="W1021" s="5"/>
      <c r="X1021" s="5"/>
      <c r="Y1021" s="5"/>
    </row>
    <row r="1022" spans="13:25" ht="22.5" x14ac:dyDescent="0.2">
      <c r="M1022" s="26" t="s">
        <v>60</v>
      </c>
      <c r="N1022" s="25" t="s">
        <v>51</v>
      </c>
      <c r="O1022" s="26" t="s">
        <v>1023</v>
      </c>
      <c r="P1022" s="26"/>
      <c r="Q1022" s="26"/>
      <c r="R1022" s="5"/>
      <c r="S1022" s="5"/>
      <c r="T1022" s="5"/>
      <c r="U1022" s="5"/>
      <c r="V1022" s="5"/>
      <c r="W1022" s="5"/>
      <c r="X1022" s="5"/>
      <c r="Y1022" s="5"/>
    </row>
    <row r="1023" spans="13:25" ht="33.75" x14ac:dyDescent="0.2">
      <c r="M1023" s="26" t="s">
        <v>60</v>
      </c>
      <c r="N1023" s="25" t="s">
        <v>51</v>
      </c>
      <c r="O1023" s="26"/>
      <c r="P1023" s="26" t="s">
        <v>959</v>
      </c>
      <c r="Q1023" s="26"/>
      <c r="R1023" s="5"/>
      <c r="S1023" s="5"/>
      <c r="T1023" s="5"/>
      <c r="U1023" s="5"/>
      <c r="V1023" s="5"/>
      <c r="W1023" s="5"/>
      <c r="X1023" s="5"/>
      <c r="Y1023" s="5"/>
    </row>
    <row r="1024" spans="13:25" ht="33.75" x14ac:dyDescent="0.2">
      <c r="M1024" s="26" t="s">
        <v>60</v>
      </c>
      <c r="N1024" s="25" t="s">
        <v>51</v>
      </c>
      <c r="O1024" s="26"/>
      <c r="P1024" s="26" t="s">
        <v>1024</v>
      </c>
      <c r="Q1024" s="26"/>
      <c r="R1024" s="5"/>
      <c r="S1024" s="5"/>
      <c r="T1024" s="5"/>
      <c r="U1024" s="5"/>
      <c r="V1024" s="5"/>
      <c r="W1024" s="5"/>
      <c r="X1024" s="5"/>
      <c r="Y1024" s="5"/>
    </row>
    <row r="1025" spans="13:25" ht="33.75" x14ac:dyDescent="0.2">
      <c r="M1025" s="26" t="s">
        <v>60</v>
      </c>
      <c r="N1025" s="25" t="s">
        <v>51</v>
      </c>
      <c r="O1025" s="26"/>
      <c r="P1025" s="26" t="s">
        <v>960</v>
      </c>
      <c r="Q1025" s="26"/>
      <c r="R1025" s="5"/>
      <c r="S1025" s="5"/>
      <c r="T1025" s="5"/>
      <c r="U1025" s="5"/>
      <c r="V1025" s="5"/>
      <c r="W1025" s="5"/>
      <c r="X1025" s="5"/>
      <c r="Y1025" s="5"/>
    </row>
    <row r="1026" spans="13:25" ht="33.75" x14ac:dyDescent="0.2">
      <c r="M1026" s="26" t="s">
        <v>60</v>
      </c>
      <c r="N1026" s="25" t="s">
        <v>51</v>
      </c>
      <c r="O1026" s="26"/>
      <c r="P1026" s="26" t="s">
        <v>1025</v>
      </c>
      <c r="Q1026" s="26"/>
      <c r="R1026" s="5"/>
      <c r="S1026" s="5"/>
      <c r="T1026" s="5"/>
      <c r="U1026" s="5"/>
      <c r="V1026" s="5"/>
      <c r="W1026" s="5"/>
      <c r="X1026" s="5"/>
      <c r="Y1026" s="5"/>
    </row>
    <row r="1027" spans="13:25" ht="33.75" x14ac:dyDescent="0.2">
      <c r="M1027" s="26" t="s">
        <v>60</v>
      </c>
      <c r="N1027" s="25" t="s">
        <v>51</v>
      </c>
      <c r="O1027" s="26"/>
      <c r="P1027" s="26" t="s">
        <v>961</v>
      </c>
      <c r="Q1027" s="26"/>
      <c r="R1027" s="5"/>
      <c r="S1027" s="5"/>
      <c r="T1027" s="5"/>
      <c r="U1027" s="5"/>
      <c r="V1027" s="5"/>
      <c r="W1027" s="5"/>
      <c r="X1027" s="5"/>
      <c r="Y1027" s="5"/>
    </row>
    <row r="1028" spans="13:25" ht="33.75" x14ac:dyDescent="0.2">
      <c r="M1028" s="26" t="s">
        <v>60</v>
      </c>
      <c r="N1028" s="25" t="s">
        <v>51</v>
      </c>
      <c r="O1028" s="26"/>
      <c r="P1028" s="26" t="s">
        <v>1026</v>
      </c>
      <c r="Q1028" s="26"/>
      <c r="R1028" s="5"/>
      <c r="S1028" s="5"/>
      <c r="T1028" s="5"/>
      <c r="U1028" s="5"/>
      <c r="V1028" s="5"/>
      <c r="W1028" s="5"/>
      <c r="X1028" s="5"/>
      <c r="Y1028" s="5"/>
    </row>
    <row r="1029" spans="13:25" ht="22.5" x14ac:dyDescent="0.2">
      <c r="M1029" s="26" t="s">
        <v>60</v>
      </c>
      <c r="N1029" s="25" t="s">
        <v>57</v>
      </c>
      <c r="O1029" s="26" t="s">
        <v>1027</v>
      </c>
      <c r="P1029" s="26"/>
      <c r="Q1029" s="26"/>
      <c r="R1029" s="5"/>
      <c r="S1029" s="5"/>
      <c r="T1029" s="5"/>
      <c r="U1029" s="5"/>
      <c r="V1029" s="5"/>
      <c r="W1029" s="5"/>
      <c r="X1029" s="5"/>
      <c r="Y1029" s="5"/>
    </row>
    <row r="1030" spans="13:25" ht="22.5" x14ac:dyDescent="0.2">
      <c r="M1030" s="26" t="s">
        <v>60</v>
      </c>
      <c r="N1030" s="25" t="s">
        <v>57</v>
      </c>
      <c r="O1030" s="26" t="s">
        <v>1028</v>
      </c>
      <c r="P1030" s="26"/>
      <c r="Q1030" s="26"/>
      <c r="R1030" s="5"/>
      <c r="S1030" s="5"/>
      <c r="T1030" s="5"/>
      <c r="U1030" s="5"/>
      <c r="V1030" s="5"/>
      <c r="W1030" s="5"/>
      <c r="X1030" s="5"/>
      <c r="Y1030" s="5"/>
    </row>
    <row r="1031" spans="13:25" ht="22.5" x14ac:dyDescent="0.2">
      <c r="M1031" s="26" t="s">
        <v>60</v>
      </c>
      <c r="N1031" s="25" t="s">
        <v>57</v>
      </c>
      <c r="O1031" s="26" t="s">
        <v>1029</v>
      </c>
      <c r="P1031" s="26"/>
      <c r="Q1031" s="26"/>
      <c r="R1031" s="5"/>
      <c r="S1031" s="5"/>
      <c r="T1031" s="5"/>
      <c r="U1031" s="5"/>
      <c r="V1031" s="5"/>
      <c r="W1031" s="5"/>
      <c r="X1031" s="5"/>
      <c r="Y1031" s="5"/>
    </row>
    <row r="1032" spans="13:25" ht="22.5" x14ac:dyDescent="0.2">
      <c r="M1032" s="26" t="s">
        <v>60</v>
      </c>
      <c r="N1032" s="25" t="s">
        <v>57</v>
      </c>
      <c r="O1032" s="26" t="s">
        <v>1030</v>
      </c>
      <c r="P1032" s="26"/>
      <c r="Q1032" s="26"/>
      <c r="R1032" s="5"/>
      <c r="S1032" s="5"/>
      <c r="T1032" s="5"/>
      <c r="U1032" s="5"/>
      <c r="V1032" s="5"/>
      <c r="W1032" s="5"/>
      <c r="X1032" s="5"/>
      <c r="Y1032" s="5"/>
    </row>
    <row r="1033" spans="13:25" ht="22.5" x14ac:dyDescent="0.2">
      <c r="M1033" s="26" t="s">
        <v>60</v>
      </c>
      <c r="N1033" s="25" t="s">
        <v>57</v>
      </c>
      <c r="O1033" s="26" t="s">
        <v>1031</v>
      </c>
      <c r="P1033" s="26"/>
      <c r="Q1033" s="26"/>
      <c r="R1033" s="5"/>
      <c r="S1033" s="5"/>
      <c r="T1033" s="5"/>
      <c r="U1033" s="5"/>
      <c r="V1033" s="5"/>
      <c r="W1033" s="5"/>
      <c r="X1033" s="5"/>
      <c r="Y1033" s="5"/>
    </row>
    <row r="1034" spans="13:25" ht="22.5" x14ac:dyDescent="0.2">
      <c r="M1034" s="26" t="s">
        <v>60</v>
      </c>
      <c r="N1034" s="25" t="s">
        <v>57</v>
      </c>
      <c r="O1034" s="26" t="s">
        <v>1032</v>
      </c>
      <c r="P1034" s="26"/>
      <c r="Q1034" s="26"/>
      <c r="R1034" s="5"/>
      <c r="S1034" s="5"/>
      <c r="T1034" s="5"/>
      <c r="U1034" s="5"/>
      <c r="V1034" s="5"/>
      <c r="W1034" s="5"/>
      <c r="X1034" s="5"/>
      <c r="Y1034" s="5"/>
    </row>
    <row r="1035" spans="13:25" ht="22.5" x14ac:dyDescent="0.2">
      <c r="M1035" s="26" t="s">
        <v>60</v>
      </c>
      <c r="N1035" s="25" t="s">
        <v>57</v>
      </c>
      <c r="O1035" s="26" t="s">
        <v>1033</v>
      </c>
      <c r="P1035" s="26"/>
      <c r="Q1035" s="26"/>
      <c r="R1035" s="5"/>
      <c r="S1035" s="5"/>
      <c r="T1035" s="5"/>
      <c r="U1035" s="5"/>
      <c r="V1035" s="5"/>
      <c r="W1035" s="5"/>
      <c r="X1035" s="5"/>
      <c r="Y1035" s="5"/>
    </row>
    <row r="1036" spans="13:25" ht="22.5" x14ac:dyDescent="0.2">
      <c r="M1036" s="26" t="s">
        <v>60</v>
      </c>
      <c r="N1036" s="25" t="s">
        <v>51</v>
      </c>
      <c r="O1036" s="26" t="s">
        <v>1034</v>
      </c>
      <c r="P1036" s="26"/>
      <c r="Q1036" s="26"/>
      <c r="R1036" s="5"/>
      <c r="S1036" s="5"/>
      <c r="T1036" s="5"/>
      <c r="U1036" s="5"/>
      <c r="V1036" s="5"/>
      <c r="W1036" s="5"/>
      <c r="X1036" s="5"/>
      <c r="Y1036" s="5"/>
    </row>
    <row r="1037" spans="13:25" ht="22.5" x14ac:dyDescent="0.2">
      <c r="M1037" s="26" t="s">
        <v>60</v>
      </c>
      <c r="N1037" s="25" t="s">
        <v>51</v>
      </c>
      <c r="O1037" s="26"/>
      <c r="P1037" s="26" t="s">
        <v>1035</v>
      </c>
      <c r="Q1037" s="26"/>
      <c r="R1037" s="5"/>
      <c r="S1037" s="5"/>
      <c r="T1037" s="5"/>
      <c r="U1037" s="5"/>
      <c r="V1037" s="5"/>
      <c r="W1037" s="5"/>
      <c r="X1037" s="5"/>
      <c r="Y1037" s="5"/>
    </row>
    <row r="1038" spans="13:25" ht="22.5" x14ac:dyDescent="0.2">
      <c r="M1038" s="26" t="s">
        <v>60</v>
      </c>
      <c r="N1038" s="25" t="s">
        <v>51</v>
      </c>
      <c r="O1038" s="26"/>
      <c r="P1038" s="26" t="s">
        <v>1036</v>
      </c>
      <c r="Q1038" s="26"/>
      <c r="R1038" s="5"/>
      <c r="S1038" s="5"/>
      <c r="T1038" s="5"/>
      <c r="U1038" s="5"/>
      <c r="V1038" s="5"/>
      <c r="W1038" s="5"/>
      <c r="X1038" s="5"/>
      <c r="Y1038" s="5"/>
    </row>
    <row r="1039" spans="13:25" ht="33.75" x14ac:dyDescent="0.2">
      <c r="M1039" s="26" t="s">
        <v>60</v>
      </c>
      <c r="N1039" s="25" t="s">
        <v>51</v>
      </c>
      <c r="O1039" s="26"/>
      <c r="P1039" s="26" t="s">
        <v>966</v>
      </c>
      <c r="Q1039" s="26"/>
      <c r="R1039" s="5"/>
      <c r="S1039" s="5"/>
      <c r="T1039" s="5"/>
      <c r="U1039" s="5"/>
      <c r="V1039" s="5"/>
      <c r="W1039" s="5"/>
      <c r="X1039" s="5"/>
      <c r="Y1039" s="5"/>
    </row>
    <row r="1040" spans="13:25" ht="33.75" x14ac:dyDescent="0.2">
      <c r="M1040" s="26" t="s">
        <v>60</v>
      </c>
      <c r="N1040" s="25" t="s">
        <v>51</v>
      </c>
      <c r="O1040" s="26"/>
      <c r="P1040" s="26" t="s">
        <v>1037</v>
      </c>
      <c r="Q1040" s="26"/>
      <c r="R1040" s="5"/>
      <c r="S1040" s="5"/>
      <c r="T1040" s="5"/>
      <c r="U1040" s="5"/>
      <c r="V1040" s="5"/>
      <c r="W1040" s="5"/>
      <c r="X1040" s="5"/>
      <c r="Y1040" s="5"/>
    </row>
    <row r="1041" spans="13:25" ht="22.5" x14ac:dyDescent="0.2">
      <c r="M1041" s="26" t="s">
        <v>60</v>
      </c>
      <c r="N1041" s="25" t="s">
        <v>51</v>
      </c>
      <c r="O1041" s="26"/>
      <c r="P1041" s="26" t="s">
        <v>1038</v>
      </c>
      <c r="Q1041" s="26"/>
      <c r="R1041" s="5"/>
      <c r="S1041" s="5"/>
      <c r="T1041" s="5"/>
      <c r="U1041" s="5"/>
      <c r="V1041" s="5"/>
      <c r="W1041" s="5"/>
      <c r="X1041" s="5"/>
      <c r="Y1041" s="5"/>
    </row>
    <row r="1042" spans="13:25" ht="22.5" x14ac:dyDescent="0.2">
      <c r="M1042" s="26" t="s">
        <v>60</v>
      </c>
      <c r="N1042" s="25" t="s">
        <v>51</v>
      </c>
      <c r="O1042" s="26"/>
      <c r="P1042" s="26" t="s">
        <v>1039</v>
      </c>
      <c r="Q1042" s="26"/>
      <c r="R1042" s="5"/>
      <c r="S1042" s="5"/>
      <c r="T1042" s="5"/>
      <c r="U1042" s="5"/>
      <c r="V1042" s="5"/>
      <c r="W1042" s="5"/>
      <c r="X1042" s="5"/>
      <c r="Y1042" s="5"/>
    </row>
    <row r="1043" spans="13:25" ht="45" x14ac:dyDescent="0.2">
      <c r="M1043" s="26" t="s">
        <v>60</v>
      </c>
      <c r="N1043" s="25" t="s">
        <v>51</v>
      </c>
      <c r="O1043" s="26"/>
      <c r="P1043" s="26" t="s">
        <v>1040</v>
      </c>
      <c r="Q1043" s="26"/>
      <c r="R1043" s="5"/>
      <c r="S1043" s="5"/>
      <c r="T1043" s="5"/>
      <c r="U1043" s="5"/>
      <c r="V1043" s="5"/>
      <c r="W1043" s="5"/>
      <c r="X1043" s="5"/>
      <c r="Y1043" s="5"/>
    </row>
    <row r="1044" spans="13:25" ht="22.5" x14ac:dyDescent="0.2">
      <c r="M1044" s="26" t="s">
        <v>60</v>
      </c>
      <c r="N1044" s="25" t="s">
        <v>51</v>
      </c>
      <c r="O1044" s="26"/>
      <c r="P1044" s="26" t="s">
        <v>1041</v>
      </c>
      <c r="Q1044" s="26"/>
      <c r="R1044" s="5"/>
      <c r="S1044" s="5"/>
      <c r="T1044" s="5"/>
      <c r="U1044" s="5"/>
      <c r="V1044" s="5"/>
      <c r="W1044" s="5"/>
      <c r="X1044" s="5"/>
      <c r="Y1044" s="5"/>
    </row>
    <row r="1045" spans="13:25" ht="22.5" x14ac:dyDescent="0.2">
      <c r="M1045" s="26" t="s">
        <v>60</v>
      </c>
      <c r="N1045" s="25" t="s">
        <v>57</v>
      </c>
      <c r="O1045" s="26"/>
      <c r="P1045" s="26" t="s">
        <v>1042</v>
      </c>
      <c r="Q1045" s="26"/>
      <c r="R1045" s="5"/>
      <c r="S1045" s="5"/>
      <c r="T1045" s="5"/>
      <c r="U1045" s="5"/>
      <c r="V1045" s="5"/>
      <c r="W1045" s="5"/>
      <c r="X1045" s="5"/>
      <c r="Y1045" s="5"/>
    </row>
    <row r="1046" spans="13:25" ht="22.5" x14ac:dyDescent="0.2">
      <c r="M1046" s="26" t="s">
        <v>60</v>
      </c>
      <c r="N1046" s="25" t="s">
        <v>51</v>
      </c>
      <c r="O1046" s="26" t="s">
        <v>1043</v>
      </c>
      <c r="P1046" s="26"/>
      <c r="Q1046" s="26"/>
      <c r="R1046" s="5"/>
      <c r="S1046" s="5"/>
      <c r="T1046" s="5"/>
      <c r="U1046" s="5"/>
      <c r="V1046" s="5"/>
      <c r="W1046" s="5"/>
      <c r="X1046" s="5"/>
      <c r="Y1046" s="5"/>
    </row>
    <row r="1047" spans="13:25" ht="22.5" x14ac:dyDescent="0.2">
      <c r="M1047" s="26" t="s">
        <v>60</v>
      </c>
      <c r="N1047" s="25" t="s">
        <v>57</v>
      </c>
      <c r="O1047" s="26" t="s">
        <v>1044</v>
      </c>
      <c r="P1047" s="26"/>
      <c r="Q1047" s="26"/>
      <c r="R1047" s="5"/>
      <c r="S1047" s="5"/>
      <c r="T1047" s="5"/>
      <c r="U1047" s="5"/>
      <c r="V1047" s="5"/>
      <c r="W1047" s="5"/>
      <c r="X1047" s="5"/>
      <c r="Y1047" s="5"/>
    </row>
    <row r="1048" spans="13:25" ht="22.5" x14ac:dyDescent="0.2">
      <c r="M1048" s="26" t="s">
        <v>60</v>
      </c>
      <c r="N1048" s="25" t="s">
        <v>57</v>
      </c>
      <c r="O1048" s="26" t="s">
        <v>1045</v>
      </c>
      <c r="P1048" s="26"/>
      <c r="Q1048" s="26"/>
      <c r="R1048" s="5"/>
      <c r="S1048" s="5"/>
      <c r="T1048" s="5"/>
      <c r="U1048" s="5"/>
      <c r="V1048" s="5"/>
      <c r="W1048" s="5"/>
      <c r="X1048" s="5"/>
      <c r="Y1048" s="5"/>
    </row>
    <row r="1049" spans="13:25" ht="22.5" x14ac:dyDescent="0.2">
      <c r="M1049" s="26" t="s">
        <v>60</v>
      </c>
      <c r="N1049" s="25" t="s">
        <v>57</v>
      </c>
      <c r="O1049" s="26" t="s">
        <v>1046</v>
      </c>
      <c r="P1049" s="26"/>
      <c r="Q1049" s="26"/>
      <c r="R1049" s="5"/>
      <c r="S1049" s="5"/>
      <c r="T1049" s="5"/>
      <c r="U1049" s="5"/>
      <c r="V1049" s="5"/>
      <c r="W1049" s="5"/>
      <c r="X1049" s="5"/>
      <c r="Y1049" s="5"/>
    </row>
    <row r="1050" spans="13:25" ht="22.5" x14ac:dyDescent="0.2">
      <c r="M1050" s="26" t="s">
        <v>59</v>
      </c>
      <c r="N1050" s="25" t="s">
        <v>51</v>
      </c>
      <c r="O1050" s="26" t="s">
        <v>1047</v>
      </c>
      <c r="P1050" s="26"/>
      <c r="Q1050" s="26"/>
      <c r="R1050" s="5"/>
      <c r="S1050" s="5"/>
      <c r="T1050" s="5"/>
      <c r="U1050" s="5"/>
      <c r="V1050" s="5"/>
      <c r="W1050" s="5"/>
      <c r="X1050" s="5"/>
      <c r="Y1050" s="5"/>
    </row>
    <row r="1051" spans="13:25" ht="157.5" x14ac:dyDescent="0.2">
      <c r="M1051" s="26" t="s">
        <v>59</v>
      </c>
      <c r="N1051" s="25" t="s">
        <v>51</v>
      </c>
      <c r="O1051" s="26"/>
      <c r="P1051" s="26" t="s">
        <v>1048</v>
      </c>
      <c r="Q1051" s="26"/>
      <c r="R1051" s="5"/>
      <c r="S1051" s="5"/>
      <c r="T1051" s="5"/>
      <c r="U1051" s="5"/>
      <c r="V1051" s="5"/>
      <c r="W1051" s="5"/>
      <c r="X1051" s="5"/>
      <c r="Y1051" s="5"/>
    </row>
    <row r="1052" spans="13:25" ht="67.5" x14ac:dyDescent="0.2">
      <c r="M1052" s="26" t="s">
        <v>59</v>
      </c>
      <c r="N1052" s="25" t="s">
        <v>51</v>
      </c>
      <c r="O1052" s="26"/>
      <c r="P1052" s="26" t="s">
        <v>1049</v>
      </c>
      <c r="Q1052" s="26"/>
      <c r="R1052" s="5"/>
      <c r="S1052" s="5"/>
      <c r="T1052" s="5"/>
      <c r="U1052" s="5"/>
      <c r="V1052" s="5"/>
      <c r="W1052" s="5"/>
      <c r="X1052" s="5"/>
      <c r="Y1052" s="5"/>
    </row>
    <row r="1053" spans="13:25" ht="67.5" x14ac:dyDescent="0.2">
      <c r="M1053" s="26" t="s">
        <v>59</v>
      </c>
      <c r="N1053" s="25" t="s">
        <v>51</v>
      </c>
      <c r="O1053" s="26"/>
      <c r="P1053" s="26" t="s">
        <v>967</v>
      </c>
      <c r="Q1053" s="26"/>
      <c r="R1053" s="5"/>
      <c r="S1053" s="5"/>
      <c r="T1053" s="5"/>
      <c r="U1053" s="5"/>
      <c r="V1053" s="5"/>
      <c r="W1053" s="5"/>
      <c r="X1053" s="5"/>
      <c r="Y1053" s="5"/>
    </row>
    <row r="1054" spans="13:25" ht="22.5" x14ac:dyDescent="0.2">
      <c r="M1054" s="26" t="s">
        <v>59</v>
      </c>
      <c r="N1054" s="25" t="s">
        <v>51</v>
      </c>
      <c r="O1054" s="26"/>
      <c r="P1054" s="26" t="s">
        <v>1050</v>
      </c>
      <c r="Q1054" s="26"/>
      <c r="R1054" s="5"/>
      <c r="S1054" s="5"/>
      <c r="T1054" s="5"/>
      <c r="U1054" s="5"/>
      <c r="V1054" s="5"/>
      <c r="W1054" s="5"/>
      <c r="X1054" s="5"/>
      <c r="Y1054" s="5"/>
    </row>
    <row r="1055" spans="13:25" ht="33.75" x14ac:dyDescent="0.2">
      <c r="M1055" s="26" t="s">
        <v>59</v>
      </c>
      <c r="N1055" s="25" t="s">
        <v>51</v>
      </c>
      <c r="O1055" s="26"/>
      <c r="P1055" s="26" t="s">
        <v>1051</v>
      </c>
      <c r="Q1055" s="26"/>
      <c r="R1055" s="5"/>
      <c r="S1055" s="5"/>
      <c r="T1055" s="5"/>
      <c r="U1055" s="5"/>
      <c r="V1055" s="5"/>
      <c r="W1055" s="5"/>
      <c r="X1055" s="5"/>
      <c r="Y1055" s="5"/>
    </row>
    <row r="1056" spans="13:25" ht="33.75" x14ac:dyDescent="0.2">
      <c r="M1056" s="26" t="s">
        <v>59</v>
      </c>
      <c r="N1056" s="25" t="s">
        <v>51</v>
      </c>
      <c r="O1056" s="26"/>
      <c r="P1056" s="26" t="s">
        <v>1052</v>
      </c>
      <c r="Q1056" s="26"/>
      <c r="R1056" s="5"/>
      <c r="S1056" s="5"/>
      <c r="T1056" s="5"/>
      <c r="U1056" s="5"/>
      <c r="V1056" s="5"/>
      <c r="W1056" s="5"/>
      <c r="X1056" s="5"/>
      <c r="Y1056" s="5"/>
    </row>
    <row r="1057" spans="13:25" ht="33.75" x14ac:dyDescent="0.2">
      <c r="M1057" s="26" t="s">
        <v>59</v>
      </c>
      <c r="N1057" s="25" t="s">
        <v>51</v>
      </c>
      <c r="O1057" s="26"/>
      <c r="P1057" s="26" t="s">
        <v>1053</v>
      </c>
      <c r="Q1057" s="26"/>
      <c r="R1057" s="5"/>
      <c r="S1057" s="5"/>
      <c r="T1057" s="5"/>
      <c r="U1057" s="5"/>
      <c r="V1057" s="5"/>
      <c r="W1057" s="5"/>
      <c r="X1057" s="5"/>
      <c r="Y1057" s="5"/>
    </row>
    <row r="1058" spans="13:25" ht="33.75" x14ac:dyDescent="0.2">
      <c r="M1058" s="26" t="s">
        <v>59</v>
      </c>
      <c r="N1058" s="25" t="s">
        <v>51</v>
      </c>
      <c r="O1058" s="26"/>
      <c r="P1058" s="26" t="s">
        <v>1054</v>
      </c>
      <c r="Q1058" s="26"/>
      <c r="R1058" s="5"/>
      <c r="S1058" s="5"/>
      <c r="T1058" s="5"/>
      <c r="U1058" s="5"/>
      <c r="V1058" s="5"/>
      <c r="W1058" s="5"/>
      <c r="X1058" s="5"/>
      <c r="Y1058" s="5"/>
    </row>
    <row r="1059" spans="13:25" ht="33.75" x14ac:dyDescent="0.2">
      <c r="M1059" s="26" t="s">
        <v>59</v>
      </c>
      <c r="N1059" s="25" t="s">
        <v>51</v>
      </c>
      <c r="O1059" s="26"/>
      <c r="P1059" s="26" t="s">
        <v>1055</v>
      </c>
      <c r="Q1059" s="26"/>
      <c r="R1059" s="5"/>
      <c r="S1059" s="5"/>
      <c r="T1059" s="5"/>
      <c r="U1059" s="5"/>
      <c r="V1059" s="5"/>
      <c r="W1059" s="5"/>
      <c r="X1059" s="5"/>
      <c r="Y1059" s="5"/>
    </row>
    <row r="1060" spans="13:25" ht="45" x14ac:dyDescent="0.2">
      <c r="M1060" s="26" t="s">
        <v>59</v>
      </c>
      <c r="N1060" s="25" t="s">
        <v>51</v>
      </c>
      <c r="O1060" s="26"/>
      <c r="P1060" s="26" t="s">
        <v>1056</v>
      </c>
      <c r="Q1060" s="26"/>
      <c r="R1060" s="5"/>
      <c r="S1060" s="5"/>
      <c r="T1060" s="5"/>
      <c r="U1060" s="5"/>
      <c r="V1060" s="5"/>
      <c r="W1060" s="5"/>
      <c r="X1060" s="5"/>
      <c r="Y1060" s="5"/>
    </row>
    <row r="1061" spans="13:25" ht="45" x14ac:dyDescent="0.2">
      <c r="M1061" s="26" t="s">
        <v>59</v>
      </c>
      <c r="N1061" s="25" t="s">
        <v>51</v>
      </c>
      <c r="O1061" s="26"/>
      <c r="P1061" s="26" t="s">
        <v>1057</v>
      </c>
      <c r="Q1061" s="26"/>
      <c r="R1061" s="5"/>
      <c r="S1061" s="5"/>
      <c r="T1061" s="5"/>
      <c r="U1061" s="5"/>
      <c r="V1061" s="5"/>
      <c r="W1061" s="5"/>
      <c r="X1061" s="5"/>
      <c r="Y1061" s="5"/>
    </row>
    <row r="1062" spans="13:25" ht="56.25" x14ac:dyDescent="0.2">
      <c r="M1062" s="26" t="s">
        <v>59</v>
      </c>
      <c r="N1062" s="25" t="s">
        <v>51</v>
      </c>
      <c r="O1062" s="26"/>
      <c r="P1062" s="26" t="s">
        <v>1058</v>
      </c>
      <c r="Q1062" s="26"/>
      <c r="R1062" s="5"/>
      <c r="S1062" s="5"/>
      <c r="T1062" s="5"/>
      <c r="U1062" s="5"/>
      <c r="V1062" s="5"/>
      <c r="W1062" s="5"/>
      <c r="X1062" s="5"/>
      <c r="Y1062" s="5"/>
    </row>
    <row r="1063" spans="13:25" ht="45" x14ac:dyDescent="0.2">
      <c r="M1063" s="26" t="s">
        <v>59</v>
      </c>
      <c r="N1063" s="25" t="s">
        <v>51</v>
      </c>
      <c r="O1063" s="26"/>
      <c r="P1063" s="26" t="s">
        <v>968</v>
      </c>
      <c r="Q1063" s="26"/>
      <c r="R1063" s="5"/>
      <c r="S1063" s="5"/>
      <c r="T1063" s="5"/>
      <c r="U1063" s="5"/>
      <c r="V1063" s="5"/>
      <c r="W1063" s="5"/>
      <c r="X1063" s="5"/>
      <c r="Y1063" s="5"/>
    </row>
    <row r="1064" spans="13:25" ht="56.25" x14ac:dyDescent="0.2">
      <c r="M1064" s="26" t="s">
        <v>59</v>
      </c>
      <c r="N1064" s="25" t="s">
        <v>51</v>
      </c>
      <c r="O1064" s="26"/>
      <c r="P1064" s="26" t="s">
        <v>969</v>
      </c>
      <c r="Q1064" s="26"/>
      <c r="R1064" s="5"/>
      <c r="S1064" s="5"/>
      <c r="T1064" s="5"/>
      <c r="U1064" s="5"/>
      <c r="V1064" s="5"/>
      <c r="W1064" s="5"/>
      <c r="X1064" s="5"/>
      <c r="Y1064" s="5"/>
    </row>
    <row r="1065" spans="13:25" ht="56.25" x14ac:dyDescent="0.2">
      <c r="M1065" s="26" t="s">
        <v>59</v>
      </c>
      <c r="N1065" s="25" t="s">
        <v>51</v>
      </c>
      <c r="O1065" s="26"/>
      <c r="P1065" s="26" t="s">
        <v>1059</v>
      </c>
      <c r="Q1065" s="26"/>
      <c r="R1065" s="5"/>
      <c r="S1065" s="5"/>
      <c r="T1065" s="5"/>
      <c r="U1065" s="5"/>
      <c r="V1065" s="5"/>
      <c r="W1065" s="5"/>
      <c r="X1065" s="5"/>
      <c r="Y1065" s="5"/>
    </row>
    <row r="1066" spans="13:25" ht="90" x14ac:dyDescent="0.2">
      <c r="M1066" s="26" t="s">
        <v>59</v>
      </c>
      <c r="N1066" s="25" t="s">
        <v>51</v>
      </c>
      <c r="O1066" s="26"/>
      <c r="P1066" s="26" t="s">
        <v>1060</v>
      </c>
      <c r="Q1066" s="26"/>
      <c r="R1066" s="5"/>
      <c r="S1066" s="5"/>
      <c r="T1066" s="5"/>
      <c r="U1066" s="5"/>
      <c r="V1066" s="5"/>
      <c r="W1066" s="5"/>
      <c r="X1066" s="5"/>
      <c r="Y1066" s="5"/>
    </row>
    <row r="1067" spans="13:25" ht="56.25" x14ac:dyDescent="0.2">
      <c r="M1067" s="26" t="s">
        <v>59</v>
      </c>
      <c r="N1067" s="25" t="s">
        <v>51</v>
      </c>
      <c r="O1067" s="26"/>
      <c r="P1067" s="26" t="s">
        <v>1061</v>
      </c>
      <c r="Q1067" s="26"/>
      <c r="R1067" s="5"/>
      <c r="S1067" s="5"/>
      <c r="T1067" s="5"/>
      <c r="U1067" s="5"/>
      <c r="V1067" s="5"/>
      <c r="W1067" s="5"/>
      <c r="X1067" s="5"/>
      <c r="Y1067" s="5"/>
    </row>
    <row r="1068" spans="13:25" ht="45" x14ac:dyDescent="0.2">
      <c r="M1068" s="26" t="s">
        <v>59</v>
      </c>
      <c r="N1068" s="25" t="s">
        <v>51</v>
      </c>
      <c r="O1068" s="26"/>
      <c r="P1068" s="26" t="s">
        <v>1062</v>
      </c>
      <c r="Q1068" s="26"/>
      <c r="R1068" s="5"/>
      <c r="S1068" s="5"/>
      <c r="T1068" s="5"/>
      <c r="U1068" s="5"/>
      <c r="V1068" s="5"/>
      <c r="W1068" s="5"/>
      <c r="X1068" s="5"/>
      <c r="Y1068" s="5"/>
    </row>
    <row r="1069" spans="13:25" ht="22.5" x14ac:dyDescent="0.2">
      <c r="M1069" s="26" t="s">
        <v>59</v>
      </c>
      <c r="N1069" s="25" t="s">
        <v>51</v>
      </c>
      <c r="O1069" s="26"/>
      <c r="P1069" s="26" t="s">
        <v>1063</v>
      </c>
      <c r="Q1069" s="26"/>
      <c r="R1069" s="5"/>
      <c r="S1069" s="5"/>
      <c r="T1069" s="5"/>
      <c r="U1069" s="5"/>
      <c r="V1069" s="5"/>
      <c r="W1069" s="5"/>
      <c r="X1069" s="5"/>
      <c r="Y1069" s="5"/>
    </row>
    <row r="1070" spans="13:25" ht="22.5" x14ac:dyDescent="0.2">
      <c r="M1070" s="26" t="s">
        <v>59</v>
      </c>
      <c r="N1070" s="25" t="s">
        <v>57</v>
      </c>
      <c r="O1070" s="26"/>
      <c r="P1070" s="26" t="s">
        <v>1064</v>
      </c>
      <c r="Q1070" s="26"/>
      <c r="R1070" s="5"/>
      <c r="S1070" s="5"/>
      <c r="T1070" s="5"/>
      <c r="U1070" s="5"/>
      <c r="V1070" s="5"/>
      <c r="W1070" s="5"/>
      <c r="X1070" s="5"/>
      <c r="Y1070" s="5"/>
    </row>
    <row r="1071" spans="13:25" ht="22.5" x14ac:dyDescent="0.2">
      <c r="M1071" s="26" t="s">
        <v>59</v>
      </c>
      <c r="N1071" s="25" t="s">
        <v>51</v>
      </c>
      <c r="O1071" s="26"/>
      <c r="P1071" s="26" t="s">
        <v>1065</v>
      </c>
      <c r="Q1071" s="26"/>
      <c r="R1071" s="5"/>
      <c r="S1071" s="5"/>
      <c r="T1071" s="5"/>
      <c r="U1071" s="5"/>
      <c r="V1071" s="5"/>
      <c r="W1071" s="5"/>
      <c r="X1071" s="5"/>
      <c r="Y1071" s="5"/>
    </row>
    <row r="1072" spans="13:25" ht="22.5" x14ac:dyDescent="0.2">
      <c r="M1072" s="26" t="s">
        <v>59</v>
      </c>
      <c r="N1072" s="25" t="s">
        <v>57</v>
      </c>
      <c r="O1072" s="26" t="s">
        <v>1066</v>
      </c>
      <c r="P1072" s="26"/>
      <c r="Q1072" s="26"/>
      <c r="R1072" s="5"/>
      <c r="S1072" s="5"/>
      <c r="T1072" s="5"/>
      <c r="U1072" s="5"/>
      <c r="V1072" s="5"/>
      <c r="W1072" s="5"/>
      <c r="X1072" s="5"/>
      <c r="Y1072" s="5"/>
    </row>
    <row r="1073" spans="13:25" ht="22.5" x14ac:dyDescent="0.2">
      <c r="M1073" s="26" t="s">
        <v>59</v>
      </c>
      <c r="N1073" s="25" t="s">
        <v>51</v>
      </c>
      <c r="O1073" s="26" t="s">
        <v>1067</v>
      </c>
      <c r="P1073" s="26"/>
      <c r="Q1073" s="26"/>
      <c r="R1073" s="5"/>
      <c r="S1073" s="5"/>
      <c r="T1073" s="5"/>
      <c r="U1073" s="5"/>
      <c r="V1073" s="5"/>
      <c r="W1073" s="5"/>
      <c r="X1073" s="5"/>
      <c r="Y1073" s="5"/>
    </row>
    <row r="1074" spans="13:25" ht="157.5" x14ac:dyDescent="0.2">
      <c r="M1074" s="26" t="s">
        <v>59</v>
      </c>
      <c r="N1074" s="25" t="s">
        <v>51</v>
      </c>
      <c r="O1074" s="26"/>
      <c r="P1074" s="26" t="s">
        <v>1048</v>
      </c>
      <c r="Q1074" s="26"/>
      <c r="R1074" s="5"/>
      <c r="S1074" s="5"/>
      <c r="T1074" s="5"/>
      <c r="U1074" s="5"/>
      <c r="V1074" s="5"/>
      <c r="W1074" s="5"/>
      <c r="X1074" s="5"/>
      <c r="Y1074" s="5"/>
    </row>
    <row r="1075" spans="13:25" ht="22.5" x14ac:dyDescent="0.2">
      <c r="M1075" s="26" t="s">
        <v>59</v>
      </c>
      <c r="N1075" s="25" t="s">
        <v>51</v>
      </c>
      <c r="O1075" s="26"/>
      <c r="P1075" s="26" t="s">
        <v>1068</v>
      </c>
      <c r="Q1075" s="26"/>
      <c r="R1075" s="5"/>
      <c r="S1075" s="5"/>
      <c r="T1075" s="5"/>
      <c r="U1075" s="5"/>
      <c r="V1075" s="5"/>
      <c r="W1075" s="5"/>
      <c r="X1075" s="5"/>
      <c r="Y1075" s="5"/>
    </row>
    <row r="1076" spans="13:25" ht="33.75" x14ac:dyDescent="0.2">
      <c r="M1076" s="26" t="s">
        <v>59</v>
      </c>
      <c r="N1076" s="25" t="s">
        <v>51</v>
      </c>
      <c r="O1076" s="26"/>
      <c r="P1076" s="26" t="s">
        <v>1069</v>
      </c>
      <c r="Q1076" s="26"/>
      <c r="R1076" s="5"/>
      <c r="S1076" s="5"/>
      <c r="T1076" s="5"/>
      <c r="U1076" s="5"/>
      <c r="V1076" s="5"/>
      <c r="W1076" s="5"/>
      <c r="X1076" s="5"/>
      <c r="Y1076" s="5"/>
    </row>
    <row r="1077" spans="13:25" ht="67.5" x14ac:dyDescent="0.2">
      <c r="M1077" s="26" t="s">
        <v>59</v>
      </c>
      <c r="N1077" s="25" t="s">
        <v>51</v>
      </c>
      <c r="O1077" s="26"/>
      <c r="P1077" s="26" t="s">
        <v>1070</v>
      </c>
      <c r="Q1077" s="26"/>
      <c r="R1077" s="5"/>
      <c r="S1077" s="5"/>
      <c r="T1077" s="5"/>
      <c r="U1077" s="5"/>
      <c r="V1077" s="5"/>
      <c r="W1077" s="5"/>
      <c r="X1077" s="5"/>
      <c r="Y1077" s="5"/>
    </row>
    <row r="1078" spans="13:25" ht="33.75" x14ac:dyDescent="0.2">
      <c r="M1078" s="26" t="s">
        <v>59</v>
      </c>
      <c r="N1078" s="25" t="s">
        <v>51</v>
      </c>
      <c r="O1078" s="26"/>
      <c r="P1078" s="26" t="s">
        <v>1051</v>
      </c>
      <c r="Q1078" s="26"/>
      <c r="R1078" s="5"/>
      <c r="S1078" s="5"/>
      <c r="T1078" s="5"/>
      <c r="U1078" s="5"/>
      <c r="V1078" s="5"/>
      <c r="W1078" s="5"/>
      <c r="X1078" s="5"/>
      <c r="Y1078" s="5"/>
    </row>
    <row r="1079" spans="13:25" ht="33.75" x14ac:dyDescent="0.2">
      <c r="M1079" s="26" t="s">
        <v>59</v>
      </c>
      <c r="N1079" s="25" t="s">
        <v>51</v>
      </c>
      <c r="O1079" s="26"/>
      <c r="P1079" s="26" t="s">
        <v>1052</v>
      </c>
      <c r="Q1079" s="26"/>
      <c r="R1079" s="5"/>
      <c r="S1079" s="5"/>
      <c r="T1079" s="5"/>
      <c r="U1079" s="5"/>
      <c r="V1079" s="5"/>
      <c r="W1079" s="5"/>
      <c r="X1079" s="5"/>
      <c r="Y1079" s="5"/>
    </row>
    <row r="1080" spans="13:25" ht="33.75" x14ac:dyDescent="0.2">
      <c r="M1080" s="26" t="s">
        <v>59</v>
      </c>
      <c r="N1080" s="25" t="s">
        <v>51</v>
      </c>
      <c r="O1080" s="26"/>
      <c r="P1080" s="26" t="s">
        <v>1071</v>
      </c>
      <c r="Q1080" s="26"/>
      <c r="R1080" s="5"/>
      <c r="S1080" s="5"/>
      <c r="T1080" s="5"/>
      <c r="U1080" s="5"/>
      <c r="V1080" s="5"/>
      <c r="W1080" s="5"/>
      <c r="X1080" s="5"/>
      <c r="Y1080" s="5"/>
    </row>
    <row r="1081" spans="13:25" ht="33.75" x14ac:dyDescent="0.2">
      <c r="M1081" s="26" t="s">
        <v>59</v>
      </c>
      <c r="N1081" s="25" t="s">
        <v>51</v>
      </c>
      <c r="O1081" s="26"/>
      <c r="P1081" s="26" t="s">
        <v>1072</v>
      </c>
      <c r="Q1081" s="26"/>
      <c r="R1081" s="5"/>
      <c r="S1081" s="5"/>
      <c r="T1081" s="5"/>
      <c r="U1081" s="5"/>
      <c r="V1081" s="5"/>
      <c r="W1081" s="5"/>
      <c r="X1081" s="5"/>
      <c r="Y1081" s="5"/>
    </row>
    <row r="1082" spans="13:25" ht="33.75" x14ac:dyDescent="0.2">
      <c r="M1082" s="26" t="s">
        <v>59</v>
      </c>
      <c r="N1082" s="25" t="s">
        <v>51</v>
      </c>
      <c r="O1082" s="26"/>
      <c r="P1082" s="26" t="s">
        <v>1073</v>
      </c>
      <c r="Q1082" s="26"/>
      <c r="R1082" s="5"/>
      <c r="S1082" s="5"/>
      <c r="T1082" s="5"/>
      <c r="U1082" s="5"/>
      <c r="V1082" s="5"/>
      <c r="W1082" s="5"/>
      <c r="X1082" s="5"/>
      <c r="Y1082" s="5"/>
    </row>
    <row r="1083" spans="13:25" ht="45" x14ac:dyDescent="0.2">
      <c r="M1083" s="26" t="s">
        <v>59</v>
      </c>
      <c r="N1083" s="25" t="s">
        <v>51</v>
      </c>
      <c r="O1083" s="26"/>
      <c r="P1083" s="26" t="s">
        <v>1074</v>
      </c>
      <c r="Q1083" s="26"/>
      <c r="R1083" s="5"/>
      <c r="S1083" s="5"/>
      <c r="T1083" s="5"/>
      <c r="U1083" s="5"/>
      <c r="V1083" s="5"/>
      <c r="W1083" s="5"/>
      <c r="X1083" s="5"/>
      <c r="Y1083" s="5"/>
    </row>
    <row r="1084" spans="13:25" ht="45" x14ac:dyDescent="0.2">
      <c r="M1084" s="26" t="s">
        <v>59</v>
      </c>
      <c r="N1084" s="25" t="s">
        <v>51</v>
      </c>
      <c r="O1084" s="26"/>
      <c r="P1084" s="26" t="s">
        <v>1057</v>
      </c>
      <c r="Q1084" s="26"/>
      <c r="R1084" s="5"/>
      <c r="S1084" s="5"/>
      <c r="T1084" s="5"/>
      <c r="U1084" s="5"/>
      <c r="V1084" s="5"/>
      <c r="W1084" s="5"/>
      <c r="X1084" s="5"/>
      <c r="Y1084" s="5"/>
    </row>
    <row r="1085" spans="13:25" ht="56.25" x14ac:dyDescent="0.2">
      <c r="M1085" s="26" t="s">
        <v>59</v>
      </c>
      <c r="N1085" s="25" t="s">
        <v>51</v>
      </c>
      <c r="O1085" s="26"/>
      <c r="P1085" s="26" t="s">
        <v>1075</v>
      </c>
      <c r="Q1085" s="26"/>
      <c r="R1085" s="5"/>
      <c r="S1085" s="5"/>
      <c r="T1085" s="5"/>
      <c r="U1085" s="5"/>
      <c r="V1085" s="5"/>
      <c r="W1085" s="5"/>
      <c r="X1085" s="5"/>
      <c r="Y1085" s="5"/>
    </row>
    <row r="1086" spans="13:25" ht="56.25" x14ac:dyDescent="0.2">
      <c r="M1086" s="26" t="s">
        <v>59</v>
      </c>
      <c r="N1086" s="25" t="s">
        <v>51</v>
      </c>
      <c r="O1086" s="26"/>
      <c r="P1086" s="26" t="s">
        <v>1058</v>
      </c>
      <c r="Q1086" s="26"/>
      <c r="R1086" s="5"/>
      <c r="S1086" s="5"/>
      <c r="T1086" s="5"/>
      <c r="U1086" s="5"/>
      <c r="V1086" s="5"/>
      <c r="W1086" s="5"/>
      <c r="X1086" s="5"/>
      <c r="Y1086" s="5"/>
    </row>
    <row r="1087" spans="13:25" ht="56.25" x14ac:dyDescent="0.2">
      <c r="M1087" s="26" t="s">
        <v>59</v>
      </c>
      <c r="N1087" s="25" t="s">
        <v>51</v>
      </c>
      <c r="O1087" s="26"/>
      <c r="P1087" s="26" t="s">
        <v>1076</v>
      </c>
      <c r="Q1087" s="26"/>
      <c r="R1087" s="5"/>
      <c r="S1087" s="5"/>
      <c r="T1087" s="5"/>
      <c r="U1087" s="5"/>
      <c r="V1087" s="5"/>
      <c r="W1087" s="5"/>
      <c r="X1087" s="5"/>
      <c r="Y1087" s="5"/>
    </row>
    <row r="1088" spans="13:25" ht="90" x14ac:dyDescent="0.2">
      <c r="M1088" s="26" t="s">
        <v>59</v>
      </c>
      <c r="N1088" s="25" t="s">
        <v>51</v>
      </c>
      <c r="O1088" s="26"/>
      <c r="P1088" s="26" t="s">
        <v>1077</v>
      </c>
      <c r="Q1088" s="26"/>
      <c r="R1088" s="5"/>
      <c r="S1088" s="5"/>
      <c r="T1088" s="5"/>
      <c r="U1088" s="5"/>
      <c r="V1088" s="5"/>
      <c r="W1088" s="5"/>
      <c r="X1088" s="5"/>
      <c r="Y1088" s="5"/>
    </row>
    <row r="1089" spans="13:25" ht="56.25" x14ac:dyDescent="0.2">
      <c r="M1089" s="26" t="s">
        <v>59</v>
      </c>
      <c r="N1089" s="25" t="s">
        <v>51</v>
      </c>
      <c r="O1089" s="26"/>
      <c r="P1089" s="26" t="s">
        <v>1061</v>
      </c>
      <c r="Q1089" s="26"/>
      <c r="R1089" s="5"/>
      <c r="S1089" s="5"/>
      <c r="T1089" s="5"/>
      <c r="U1089" s="5"/>
      <c r="V1089" s="5"/>
      <c r="W1089" s="5"/>
      <c r="X1089" s="5"/>
      <c r="Y1089" s="5"/>
    </row>
    <row r="1090" spans="13:25" ht="45" x14ac:dyDescent="0.2">
      <c r="M1090" s="26" t="s">
        <v>59</v>
      </c>
      <c r="N1090" s="25" t="s">
        <v>51</v>
      </c>
      <c r="O1090" s="26"/>
      <c r="P1090" s="26" t="s">
        <v>1062</v>
      </c>
      <c r="Q1090" s="26"/>
      <c r="R1090" s="5"/>
      <c r="S1090" s="5"/>
      <c r="T1090" s="5"/>
      <c r="U1090" s="5"/>
      <c r="V1090" s="5"/>
      <c r="W1090" s="5"/>
      <c r="X1090" s="5"/>
      <c r="Y1090" s="5"/>
    </row>
    <row r="1091" spans="13:25" ht="45" x14ac:dyDescent="0.2">
      <c r="M1091" s="26" t="s">
        <v>59</v>
      </c>
      <c r="N1091" s="25" t="s">
        <v>51</v>
      </c>
      <c r="O1091" s="26"/>
      <c r="P1091" s="26" t="s">
        <v>1078</v>
      </c>
      <c r="Q1091" s="26"/>
      <c r="R1091" s="5"/>
      <c r="S1091" s="5"/>
      <c r="T1091" s="5"/>
      <c r="U1091" s="5"/>
      <c r="V1091" s="5"/>
      <c r="W1091" s="5"/>
      <c r="X1091" s="5"/>
      <c r="Y1091" s="5"/>
    </row>
    <row r="1092" spans="13:25" ht="33.75" x14ac:dyDescent="0.2">
      <c r="M1092" s="26" t="s">
        <v>59</v>
      </c>
      <c r="N1092" s="25" t="s">
        <v>51</v>
      </c>
      <c r="O1092" s="26"/>
      <c r="P1092" s="26" t="s">
        <v>1079</v>
      </c>
      <c r="Q1092" s="26"/>
      <c r="R1092" s="5"/>
      <c r="S1092" s="5"/>
      <c r="T1092" s="5"/>
      <c r="U1092" s="5"/>
      <c r="V1092" s="5"/>
      <c r="W1092" s="5"/>
      <c r="X1092" s="5"/>
      <c r="Y1092" s="5"/>
    </row>
    <row r="1093" spans="13:25" ht="33.75" x14ac:dyDescent="0.2">
      <c r="M1093" s="26" t="s">
        <v>59</v>
      </c>
      <c r="N1093" s="25" t="s">
        <v>51</v>
      </c>
      <c r="O1093" s="26"/>
      <c r="P1093" s="26" t="s">
        <v>1080</v>
      </c>
      <c r="Q1093" s="26"/>
      <c r="R1093" s="5"/>
      <c r="S1093" s="5"/>
      <c r="T1093" s="5"/>
      <c r="U1093" s="5"/>
      <c r="V1093" s="5"/>
      <c r="W1093" s="5"/>
      <c r="X1093" s="5"/>
      <c r="Y1093" s="5"/>
    </row>
    <row r="1094" spans="13:25" ht="22.5" x14ac:dyDescent="0.2">
      <c r="M1094" s="26" t="s">
        <v>59</v>
      </c>
      <c r="N1094" s="25" t="s">
        <v>57</v>
      </c>
      <c r="O1094" s="26"/>
      <c r="P1094" s="26" t="s">
        <v>1081</v>
      </c>
      <c r="Q1094" s="26"/>
      <c r="R1094" s="5"/>
      <c r="S1094" s="5"/>
      <c r="T1094" s="5"/>
      <c r="U1094" s="5"/>
      <c r="V1094" s="5"/>
      <c r="W1094" s="5"/>
      <c r="X1094" s="5"/>
      <c r="Y1094" s="5"/>
    </row>
    <row r="1095" spans="13:25" ht="67.5" x14ac:dyDescent="0.2">
      <c r="M1095" s="26" t="s">
        <v>59</v>
      </c>
      <c r="N1095" s="25" t="s">
        <v>51</v>
      </c>
      <c r="O1095" s="26"/>
      <c r="P1095" s="26" t="s">
        <v>1082</v>
      </c>
      <c r="Q1095" s="26"/>
      <c r="R1095" s="5"/>
      <c r="S1095" s="5"/>
      <c r="T1095" s="5"/>
      <c r="U1095" s="5"/>
      <c r="V1095" s="5"/>
      <c r="W1095" s="5"/>
      <c r="X1095" s="5"/>
      <c r="Y1095" s="5"/>
    </row>
    <row r="1096" spans="13:25" ht="67.5" x14ac:dyDescent="0.2">
      <c r="M1096" s="26" t="s">
        <v>59</v>
      </c>
      <c r="N1096" s="25" t="s">
        <v>51</v>
      </c>
      <c r="O1096" s="26"/>
      <c r="P1096" s="26" t="s">
        <v>1082</v>
      </c>
      <c r="Q1096" s="26"/>
      <c r="R1096" s="5"/>
      <c r="S1096" s="5"/>
      <c r="T1096" s="5"/>
      <c r="U1096" s="5"/>
      <c r="V1096" s="5"/>
      <c r="W1096" s="5"/>
      <c r="X1096" s="5"/>
      <c r="Y1096" s="5"/>
    </row>
    <row r="1097" spans="13:25" ht="67.5" x14ac:dyDescent="0.2">
      <c r="M1097" s="26" t="s">
        <v>59</v>
      </c>
      <c r="N1097" s="25" t="s">
        <v>51</v>
      </c>
      <c r="O1097" s="26"/>
      <c r="P1097" s="26" t="s">
        <v>1082</v>
      </c>
      <c r="Q1097" s="26"/>
      <c r="R1097" s="5"/>
      <c r="S1097" s="5"/>
      <c r="T1097" s="5"/>
      <c r="U1097" s="5"/>
      <c r="V1097" s="5"/>
      <c r="W1097" s="5"/>
      <c r="X1097" s="5"/>
      <c r="Y1097" s="5"/>
    </row>
    <row r="1098" spans="13:25" ht="67.5" x14ac:dyDescent="0.2">
      <c r="M1098" s="26" t="s">
        <v>59</v>
      </c>
      <c r="N1098" s="25" t="s">
        <v>51</v>
      </c>
      <c r="O1098" s="26"/>
      <c r="P1098" s="26" t="s">
        <v>1082</v>
      </c>
      <c r="Q1098" s="26"/>
      <c r="R1098" s="5"/>
      <c r="S1098" s="5"/>
      <c r="T1098" s="5"/>
      <c r="U1098" s="5"/>
      <c r="V1098" s="5"/>
      <c r="W1098" s="5"/>
      <c r="X1098" s="5"/>
      <c r="Y1098" s="5"/>
    </row>
    <row r="1099" spans="13:25" ht="67.5" x14ac:dyDescent="0.2">
      <c r="M1099" s="26" t="s">
        <v>59</v>
      </c>
      <c r="N1099" s="25" t="s">
        <v>51</v>
      </c>
      <c r="O1099" s="26"/>
      <c r="P1099" s="26" t="s">
        <v>1083</v>
      </c>
      <c r="Q1099" s="26"/>
      <c r="R1099" s="5"/>
      <c r="S1099" s="5"/>
      <c r="T1099" s="5"/>
      <c r="U1099" s="5"/>
      <c r="V1099" s="5"/>
      <c r="W1099" s="5"/>
      <c r="X1099" s="5"/>
      <c r="Y1099" s="5"/>
    </row>
    <row r="1100" spans="13:25" ht="22.5" x14ac:dyDescent="0.2">
      <c r="M1100" s="26" t="s">
        <v>59</v>
      </c>
      <c r="N1100" s="25" t="s">
        <v>51</v>
      </c>
      <c r="O1100" s="26"/>
      <c r="P1100" s="26" t="s">
        <v>1084</v>
      </c>
      <c r="Q1100" s="26"/>
      <c r="R1100" s="5"/>
      <c r="S1100" s="5"/>
      <c r="T1100" s="5"/>
      <c r="U1100" s="5"/>
      <c r="V1100" s="5"/>
      <c r="W1100" s="5"/>
      <c r="X1100" s="5"/>
      <c r="Y1100" s="5"/>
    </row>
    <row r="1101" spans="13:25" ht="22.5" x14ac:dyDescent="0.2">
      <c r="M1101" s="26" t="s">
        <v>59</v>
      </c>
      <c r="N1101" s="25" t="s">
        <v>51</v>
      </c>
      <c r="O1101" s="26"/>
      <c r="P1101" s="26" t="s">
        <v>1085</v>
      </c>
      <c r="Q1101" s="26"/>
      <c r="R1101" s="5"/>
      <c r="S1101" s="5"/>
      <c r="T1101" s="5"/>
      <c r="U1101" s="5"/>
      <c r="V1101" s="5"/>
      <c r="W1101" s="5"/>
      <c r="X1101" s="5"/>
      <c r="Y1101" s="5"/>
    </row>
    <row r="1102" spans="13:25" ht="22.5" x14ac:dyDescent="0.2">
      <c r="M1102" s="26" t="s">
        <v>59</v>
      </c>
      <c r="N1102" s="25" t="s">
        <v>51</v>
      </c>
      <c r="O1102" s="26"/>
      <c r="P1102" s="26" t="s">
        <v>1086</v>
      </c>
      <c r="Q1102" s="26"/>
      <c r="R1102" s="5"/>
      <c r="S1102" s="5"/>
      <c r="T1102" s="5"/>
      <c r="U1102" s="5"/>
      <c r="V1102" s="5"/>
      <c r="W1102" s="5"/>
      <c r="X1102" s="5"/>
      <c r="Y1102" s="5"/>
    </row>
    <row r="1103" spans="13:25" ht="33.75" x14ac:dyDescent="0.2">
      <c r="M1103" s="26" t="s">
        <v>59</v>
      </c>
      <c r="N1103" s="25" t="s">
        <v>51</v>
      </c>
      <c r="O1103" s="26"/>
      <c r="P1103" s="26" t="s">
        <v>1087</v>
      </c>
      <c r="Q1103" s="26"/>
      <c r="R1103" s="5"/>
      <c r="S1103" s="5"/>
      <c r="T1103" s="5"/>
      <c r="U1103" s="5"/>
      <c r="V1103" s="5"/>
      <c r="W1103" s="5"/>
      <c r="X1103" s="5"/>
      <c r="Y1103" s="5"/>
    </row>
    <row r="1104" spans="13:25" ht="22.5" x14ac:dyDescent="0.2">
      <c r="M1104" s="26" t="s">
        <v>59</v>
      </c>
      <c r="N1104" s="25" t="s">
        <v>51</v>
      </c>
      <c r="O1104" s="26" t="s">
        <v>1088</v>
      </c>
      <c r="P1104" s="26"/>
      <c r="Q1104" s="26"/>
      <c r="R1104" s="5"/>
      <c r="S1104" s="5"/>
      <c r="T1104" s="5"/>
      <c r="U1104" s="5"/>
      <c r="V1104" s="5"/>
      <c r="W1104" s="5"/>
      <c r="X1104" s="5"/>
      <c r="Y1104" s="5"/>
    </row>
    <row r="1105" spans="13:25" ht="157.5" x14ac:dyDescent="0.2">
      <c r="M1105" s="26" t="s">
        <v>59</v>
      </c>
      <c r="N1105" s="25" t="s">
        <v>51</v>
      </c>
      <c r="O1105" s="26"/>
      <c r="P1105" s="26" t="s">
        <v>1048</v>
      </c>
      <c r="Q1105" s="26"/>
      <c r="R1105" s="5"/>
      <c r="S1105" s="5"/>
      <c r="T1105" s="5"/>
      <c r="U1105" s="5"/>
      <c r="V1105" s="5"/>
      <c r="W1105" s="5"/>
      <c r="X1105" s="5"/>
      <c r="Y1105" s="5"/>
    </row>
    <row r="1106" spans="13:25" ht="56.25" x14ac:dyDescent="0.2">
      <c r="M1106" s="26" t="s">
        <v>59</v>
      </c>
      <c r="N1106" s="25" t="s">
        <v>51</v>
      </c>
      <c r="O1106" s="26"/>
      <c r="P1106" s="26" t="s">
        <v>1089</v>
      </c>
      <c r="Q1106" s="26"/>
      <c r="R1106" s="5"/>
      <c r="S1106" s="5"/>
      <c r="T1106" s="5"/>
      <c r="U1106" s="5"/>
      <c r="V1106" s="5"/>
      <c r="W1106" s="5"/>
      <c r="X1106" s="5"/>
      <c r="Y1106" s="5"/>
    </row>
    <row r="1107" spans="13:25" ht="67.5" x14ac:dyDescent="0.2">
      <c r="M1107" s="26" t="s">
        <v>59</v>
      </c>
      <c r="N1107" s="25" t="s">
        <v>51</v>
      </c>
      <c r="O1107" s="26"/>
      <c r="P1107" s="26" t="s">
        <v>1082</v>
      </c>
      <c r="Q1107" s="26"/>
      <c r="R1107" s="5"/>
      <c r="S1107" s="5"/>
      <c r="T1107" s="5"/>
      <c r="U1107" s="5"/>
      <c r="V1107" s="5"/>
      <c r="W1107" s="5"/>
      <c r="X1107" s="5"/>
      <c r="Y1107" s="5"/>
    </row>
    <row r="1108" spans="13:25" ht="33.75" x14ac:dyDescent="0.2">
      <c r="M1108" s="26" t="s">
        <v>59</v>
      </c>
      <c r="N1108" s="25" t="s">
        <v>51</v>
      </c>
      <c r="O1108" s="26"/>
      <c r="P1108" s="26" t="s">
        <v>1090</v>
      </c>
      <c r="Q1108" s="26"/>
      <c r="R1108" s="5"/>
      <c r="S1108" s="5"/>
      <c r="T1108" s="5"/>
      <c r="U1108" s="5"/>
      <c r="V1108" s="5"/>
      <c r="W1108" s="5"/>
      <c r="X1108" s="5"/>
      <c r="Y1108" s="5"/>
    </row>
    <row r="1109" spans="13:25" ht="67.5" x14ac:dyDescent="0.2">
      <c r="M1109" s="26" t="s">
        <v>59</v>
      </c>
      <c r="N1109" s="25" t="s">
        <v>51</v>
      </c>
      <c r="O1109" s="26"/>
      <c r="P1109" s="26" t="s">
        <v>1091</v>
      </c>
      <c r="Q1109" s="26"/>
      <c r="R1109" s="5"/>
      <c r="S1109" s="5"/>
      <c r="T1109" s="5"/>
      <c r="U1109" s="5"/>
      <c r="V1109" s="5"/>
      <c r="W1109" s="5"/>
      <c r="X1109" s="5"/>
      <c r="Y1109" s="5"/>
    </row>
    <row r="1110" spans="13:25" ht="67.5" x14ac:dyDescent="0.2">
      <c r="M1110" s="26" t="s">
        <v>59</v>
      </c>
      <c r="N1110" s="25" t="s">
        <v>51</v>
      </c>
      <c r="O1110" s="26"/>
      <c r="P1110" s="26" t="s">
        <v>1092</v>
      </c>
      <c r="Q1110" s="26"/>
      <c r="R1110" s="5"/>
      <c r="S1110" s="5"/>
      <c r="T1110" s="5"/>
      <c r="U1110" s="5"/>
      <c r="V1110" s="5"/>
      <c r="W1110" s="5"/>
      <c r="X1110" s="5"/>
      <c r="Y1110" s="5"/>
    </row>
    <row r="1111" spans="13:25" ht="67.5" x14ac:dyDescent="0.2">
      <c r="M1111" s="26" t="s">
        <v>59</v>
      </c>
      <c r="N1111" s="25" t="s">
        <v>51</v>
      </c>
      <c r="O1111" s="26"/>
      <c r="P1111" s="26" t="s">
        <v>967</v>
      </c>
      <c r="Q1111" s="26"/>
      <c r="R1111" s="5"/>
      <c r="S1111" s="5"/>
      <c r="T1111" s="5"/>
      <c r="U1111" s="5"/>
      <c r="V1111" s="5"/>
      <c r="W1111" s="5"/>
      <c r="X1111" s="5"/>
      <c r="Y1111" s="5"/>
    </row>
    <row r="1112" spans="13:25" ht="33.75" x14ac:dyDescent="0.2">
      <c r="M1112" s="26" t="s">
        <v>59</v>
      </c>
      <c r="N1112" s="25" t="s">
        <v>51</v>
      </c>
      <c r="O1112" s="26"/>
      <c r="P1112" s="26" t="s">
        <v>1051</v>
      </c>
      <c r="Q1112" s="26"/>
      <c r="R1112" s="5"/>
      <c r="S1112" s="5"/>
      <c r="T1112" s="5"/>
      <c r="U1112" s="5"/>
      <c r="V1112" s="5"/>
      <c r="W1112" s="5"/>
      <c r="X1112" s="5"/>
      <c r="Y1112" s="5"/>
    </row>
    <row r="1113" spans="13:25" ht="33.75" x14ac:dyDescent="0.2">
      <c r="M1113" s="26" t="s">
        <v>59</v>
      </c>
      <c r="N1113" s="25" t="s">
        <v>51</v>
      </c>
      <c r="O1113" s="26"/>
      <c r="P1113" s="26" t="s">
        <v>1093</v>
      </c>
      <c r="Q1113" s="26"/>
      <c r="R1113" s="5"/>
      <c r="S1113" s="5"/>
      <c r="T1113" s="5"/>
      <c r="U1113" s="5"/>
      <c r="V1113" s="5"/>
      <c r="W1113" s="5"/>
      <c r="X1113" s="5"/>
      <c r="Y1113" s="5"/>
    </row>
    <row r="1114" spans="13:25" ht="45" x14ac:dyDescent="0.2">
      <c r="M1114" s="26" t="s">
        <v>59</v>
      </c>
      <c r="N1114" s="25" t="s">
        <v>51</v>
      </c>
      <c r="O1114" s="26"/>
      <c r="P1114" s="26" t="s">
        <v>1094</v>
      </c>
      <c r="Q1114" s="26"/>
      <c r="R1114" s="5"/>
      <c r="S1114" s="5"/>
      <c r="T1114" s="5"/>
      <c r="U1114" s="5"/>
      <c r="V1114" s="5"/>
      <c r="W1114" s="5"/>
      <c r="X1114" s="5"/>
      <c r="Y1114" s="5"/>
    </row>
    <row r="1115" spans="13:25" ht="56.25" x14ac:dyDescent="0.2">
      <c r="M1115" s="26" t="s">
        <v>59</v>
      </c>
      <c r="N1115" s="25" t="s">
        <v>51</v>
      </c>
      <c r="O1115" s="26"/>
      <c r="P1115" s="26" t="s">
        <v>1075</v>
      </c>
      <c r="Q1115" s="26"/>
      <c r="R1115" s="5"/>
      <c r="S1115" s="5"/>
      <c r="T1115" s="5"/>
      <c r="U1115" s="5"/>
      <c r="V1115" s="5"/>
      <c r="W1115" s="5"/>
      <c r="X1115" s="5"/>
      <c r="Y1115" s="5"/>
    </row>
    <row r="1116" spans="13:25" ht="56.25" x14ac:dyDescent="0.2">
      <c r="M1116" s="26" t="s">
        <v>59</v>
      </c>
      <c r="N1116" s="25" t="s">
        <v>51</v>
      </c>
      <c r="O1116" s="26"/>
      <c r="P1116" s="26" t="s">
        <v>1095</v>
      </c>
      <c r="Q1116" s="26"/>
      <c r="R1116" s="5"/>
      <c r="S1116" s="5"/>
      <c r="T1116" s="5"/>
      <c r="U1116" s="5"/>
      <c r="V1116" s="5"/>
      <c r="W1116" s="5"/>
      <c r="X1116" s="5"/>
      <c r="Y1116" s="5"/>
    </row>
    <row r="1117" spans="13:25" ht="56.25" x14ac:dyDescent="0.2">
      <c r="M1117" s="26" t="s">
        <v>59</v>
      </c>
      <c r="N1117" s="25" t="s">
        <v>51</v>
      </c>
      <c r="O1117" s="26"/>
      <c r="P1117" s="26" t="s">
        <v>1096</v>
      </c>
      <c r="Q1117" s="26"/>
      <c r="R1117" s="5"/>
      <c r="S1117" s="5"/>
      <c r="T1117" s="5"/>
      <c r="U1117" s="5"/>
      <c r="V1117" s="5"/>
      <c r="W1117" s="5"/>
      <c r="X1117" s="5"/>
      <c r="Y1117" s="5"/>
    </row>
    <row r="1118" spans="13:25" ht="90" x14ac:dyDescent="0.2">
      <c r="M1118" s="26" t="s">
        <v>59</v>
      </c>
      <c r="N1118" s="25" t="s">
        <v>51</v>
      </c>
      <c r="O1118" s="26"/>
      <c r="P1118" s="26" t="s">
        <v>1097</v>
      </c>
      <c r="Q1118" s="26"/>
      <c r="R1118" s="5"/>
      <c r="S1118" s="5"/>
      <c r="T1118" s="5"/>
      <c r="U1118" s="5"/>
      <c r="V1118" s="5"/>
      <c r="W1118" s="5"/>
      <c r="X1118" s="5"/>
      <c r="Y1118" s="5"/>
    </row>
    <row r="1119" spans="13:25" ht="45" x14ac:dyDescent="0.2">
      <c r="M1119" s="26" t="s">
        <v>59</v>
      </c>
      <c r="N1119" s="25" t="s">
        <v>51</v>
      </c>
      <c r="O1119" s="26"/>
      <c r="P1119" s="26" t="s">
        <v>1098</v>
      </c>
      <c r="Q1119" s="26"/>
      <c r="R1119" s="5"/>
      <c r="S1119" s="5"/>
      <c r="T1119" s="5"/>
      <c r="U1119" s="5"/>
      <c r="V1119" s="5"/>
      <c r="W1119" s="5"/>
      <c r="X1119" s="5"/>
      <c r="Y1119" s="5"/>
    </row>
    <row r="1120" spans="13:25" ht="22.5" x14ac:dyDescent="0.2">
      <c r="M1120" s="26" t="s">
        <v>59</v>
      </c>
      <c r="N1120" s="25" t="s">
        <v>51</v>
      </c>
      <c r="O1120" s="26"/>
      <c r="P1120" s="26" t="s">
        <v>1099</v>
      </c>
      <c r="Q1120" s="26"/>
      <c r="R1120" s="5"/>
      <c r="S1120" s="5"/>
      <c r="T1120" s="5"/>
      <c r="U1120" s="5"/>
      <c r="V1120" s="5"/>
      <c r="W1120" s="5"/>
      <c r="X1120" s="5"/>
      <c r="Y1120" s="5"/>
    </row>
    <row r="1121" spans="13:25" ht="101.25" x14ac:dyDescent="0.2">
      <c r="M1121" s="26" t="s">
        <v>59</v>
      </c>
      <c r="N1121" s="25" t="s">
        <v>51</v>
      </c>
      <c r="O1121" s="26"/>
      <c r="P1121" s="26" t="s">
        <v>1100</v>
      </c>
      <c r="Q1121" s="26"/>
      <c r="R1121" s="5"/>
      <c r="S1121" s="5"/>
      <c r="T1121" s="5"/>
      <c r="U1121" s="5"/>
      <c r="V1121" s="5"/>
      <c r="W1121" s="5"/>
      <c r="X1121" s="5"/>
      <c r="Y1121" s="5"/>
    </row>
    <row r="1122" spans="13:25" ht="22.5" x14ac:dyDescent="0.2">
      <c r="M1122" s="26" t="s">
        <v>59</v>
      </c>
      <c r="N1122" s="25" t="s">
        <v>51</v>
      </c>
      <c r="O1122" s="26"/>
      <c r="P1122" s="26" t="s">
        <v>1101</v>
      </c>
      <c r="Q1122" s="26"/>
      <c r="R1122" s="5"/>
      <c r="S1122" s="5"/>
      <c r="T1122" s="5"/>
      <c r="U1122" s="5"/>
      <c r="V1122" s="5"/>
      <c r="W1122" s="5"/>
      <c r="X1122" s="5"/>
      <c r="Y1122" s="5"/>
    </row>
    <row r="1123" spans="13:25" ht="22.5" x14ac:dyDescent="0.2">
      <c r="M1123" s="26" t="s">
        <v>59</v>
      </c>
      <c r="N1123" s="25" t="s">
        <v>51</v>
      </c>
      <c r="O1123" s="26"/>
      <c r="P1123" s="26" t="s">
        <v>1102</v>
      </c>
      <c r="Q1123" s="26"/>
      <c r="R1123" s="5"/>
      <c r="S1123" s="5"/>
      <c r="T1123" s="5"/>
      <c r="U1123" s="5"/>
      <c r="V1123" s="5"/>
      <c r="W1123" s="5"/>
      <c r="X1123" s="5"/>
      <c r="Y1123" s="5"/>
    </row>
    <row r="1124" spans="13:25" ht="22.5" x14ac:dyDescent="0.2">
      <c r="M1124" s="26" t="s">
        <v>59</v>
      </c>
      <c r="N1124" s="25" t="s">
        <v>57</v>
      </c>
      <c r="O1124" s="26"/>
      <c r="P1124" s="26" t="s">
        <v>1103</v>
      </c>
      <c r="Q1124" s="26"/>
      <c r="R1124" s="5"/>
      <c r="S1124" s="5"/>
      <c r="T1124" s="5"/>
      <c r="U1124" s="5"/>
      <c r="V1124" s="5"/>
      <c r="W1124" s="5"/>
      <c r="X1124" s="5"/>
      <c r="Y1124" s="5"/>
    </row>
    <row r="1125" spans="13:25" ht="22.5" x14ac:dyDescent="0.2">
      <c r="M1125" s="26" t="s">
        <v>59</v>
      </c>
      <c r="N1125" s="25" t="s">
        <v>51</v>
      </c>
      <c r="O1125" s="26"/>
      <c r="P1125" s="26" t="s">
        <v>1065</v>
      </c>
      <c r="Q1125" s="26"/>
      <c r="R1125" s="5"/>
      <c r="S1125" s="5"/>
      <c r="T1125" s="5"/>
      <c r="U1125" s="5"/>
      <c r="V1125" s="5"/>
      <c r="W1125" s="5"/>
      <c r="X1125" s="5"/>
      <c r="Y1125" s="5"/>
    </row>
    <row r="1126" spans="13:25" ht="33.75" x14ac:dyDescent="0.2">
      <c r="M1126" s="26" t="s">
        <v>59</v>
      </c>
      <c r="N1126" s="25" t="s">
        <v>51</v>
      </c>
      <c r="O1126" s="26"/>
      <c r="P1126" s="26" t="s">
        <v>1104</v>
      </c>
      <c r="Q1126" s="26"/>
      <c r="R1126" s="5"/>
      <c r="S1126" s="5"/>
      <c r="T1126" s="5"/>
      <c r="U1126" s="5"/>
      <c r="V1126" s="5"/>
      <c r="W1126" s="5"/>
      <c r="X1126" s="5"/>
      <c r="Y1126" s="5"/>
    </row>
    <row r="1127" spans="13:25" ht="22.5" x14ac:dyDescent="0.2">
      <c r="M1127" s="26" t="s">
        <v>59</v>
      </c>
      <c r="N1127" s="25" t="s">
        <v>51</v>
      </c>
      <c r="O1127" s="26"/>
      <c r="P1127" s="26" t="s">
        <v>1105</v>
      </c>
      <c r="Q1127" s="26"/>
      <c r="R1127" s="5"/>
      <c r="S1127" s="5"/>
      <c r="T1127" s="5"/>
      <c r="U1127" s="5"/>
      <c r="V1127" s="5"/>
      <c r="W1127" s="5"/>
      <c r="X1127" s="5"/>
      <c r="Y1127" s="5"/>
    </row>
    <row r="1128" spans="13:25" ht="22.5" x14ac:dyDescent="0.2">
      <c r="M1128" s="26" t="s">
        <v>59</v>
      </c>
      <c r="N1128" s="25" t="s">
        <v>51</v>
      </c>
      <c r="O1128" s="26"/>
      <c r="P1128" s="26" t="s">
        <v>1105</v>
      </c>
      <c r="Q1128" s="26"/>
      <c r="R1128" s="5"/>
      <c r="S1128" s="5"/>
      <c r="T1128" s="5"/>
      <c r="U1128" s="5"/>
      <c r="V1128" s="5"/>
      <c r="W1128" s="5"/>
      <c r="X1128" s="5"/>
      <c r="Y1128" s="5"/>
    </row>
    <row r="1129" spans="13:25" ht="22.5" x14ac:dyDescent="0.2">
      <c r="M1129" s="26" t="s">
        <v>59</v>
      </c>
      <c r="N1129" s="25" t="s">
        <v>51</v>
      </c>
      <c r="O1129" s="26"/>
      <c r="P1129" s="26" t="s">
        <v>1106</v>
      </c>
      <c r="Q1129" s="26"/>
      <c r="R1129" s="5"/>
      <c r="S1129" s="5"/>
      <c r="T1129" s="5"/>
      <c r="U1129" s="5"/>
      <c r="V1129" s="5"/>
      <c r="W1129" s="5"/>
      <c r="X1129" s="5"/>
      <c r="Y1129" s="5"/>
    </row>
    <row r="1130" spans="13:25" ht="33.75" x14ac:dyDescent="0.2">
      <c r="M1130" s="26" t="s">
        <v>59</v>
      </c>
      <c r="N1130" s="25" t="s">
        <v>51</v>
      </c>
      <c r="O1130" s="26"/>
      <c r="P1130" s="26" t="s">
        <v>1107</v>
      </c>
      <c r="Q1130" s="26"/>
      <c r="R1130" s="5"/>
      <c r="S1130" s="5"/>
      <c r="T1130" s="5"/>
      <c r="U1130" s="5"/>
      <c r="V1130" s="5"/>
      <c r="W1130" s="5"/>
      <c r="X1130" s="5"/>
      <c r="Y1130" s="5"/>
    </row>
    <row r="1131" spans="13:25" ht="78.75" x14ac:dyDescent="0.2">
      <c r="M1131" s="26" t="s">
        <v>59</v>
      </c>
      <c r="N1131" s="25" t="s">
        <v>51</v>
      </c>
      <c r="O1131" s="26"/>
      <c r="P1131" s="26" t="s">
        <v>1108</v>
      </c>
      <c r="Q1131" s="26"/>
      <c r="R1131" s="5"/>
      <c r="S1131" s="5"/>
      <c r="T1131" s="5"/>
      <c r="U1131" s="5"/>
      <c r="V1131" s="5"/>
      <c r="W1131" s="5"/>
      <c r="X1131" s="5"/>
      <c r="Y1131" s="5"/>
    </row>
    <row r="1132" spans="13:25" ht="78.75" x14ac:dyDescent="0.2">
      <c r="M1132" s="26" t="s">
        <v>59</v>
      </c>
      <c r="N1132" s="25" t="s">
        <v>51</v>
      </c>
      <c r="O1132" s="26"/>
      <c r="P1132" s="26" t="s">
        <v>1109</v>
      </c>
      <c r="Q1132" s="26"/>
      <c r="R1132" s="5"/>
      <c r="S1132" s="5"/>
      <c r="T1132" s="5"/>
      <c r="U1132" s="5"/>
      <c r="V1132" s="5"/>
      <c r="W1132" s="5"/>
      <c r="X1132" s="5"/>
      <c r="Y1132" s="5"/>
    </row>
    <row r="1133" spans="13:25" ht="22.5" x14ac:dyDescent="0.2">
      <c r="M1133" s="26" t="s">
        <v>59</v>
      </c>
      <c r="N1133" s="25" t="s">
        <v>51</v>
      </c>
      <c r="O1133" s="26" t="s">
        <v>1110</v>
      </c>
      <c r="P1133" s="26"/>
      <c r="Q1133" s="26"/>
      <c r="R1133" s="5"/>
      <c r="S1133" s="5"/>
      <c r="T1133" s="5"/>
      <c r="U1133" s="5"/>
      <c r="V1133" s="5"/>
      <c r="W1133" s="5"/>
      <c r="X1133" s="5"/>
      <c r="Y1133" s="5"/>
    </row>
    <row r="1134" spans="13:25" ht="33.75" x14ac:dyDescent="0.2">
      <c r="M1134" s="26" t="s">
        <v>59</v>
      </c>
      <c r="N1134" s="25" t="s">
        <v>51</v>
      </c>
      <c r="O1134" s="26"/>
      <c r="P1134" s="26" t="s">
        <v>966</v>
      </c>
      <c r="Q1134" s="26"/>
      <c r="R1134" s="5"/>
      <c r="S1134" s="5"/>
      <c r="T1134" s="5"/>
      <c r="U1134" s="5"/>
      <c r="V1134" s="5"/>
      <c r="W1134" s="5"/>
      <c r="X1134" s="5"/>
      <c r="Y1134" s="5"/>
    </row>
    <row r="1135" spans="13:25" ht="33.75" x14ac:dyDescent="0.2">
      <c r="M1135" s="26" t="s">
        <v>59</v>
      </c>
      <c r="N1135" s="25" t="s">
        <v>51</v>
      </c>
      <c r="O1135" s="26"/>
      <c r="P1135" s="26" t="s">
        <v>1111</v>
      </c>
      <c r="Q1135" s="26"/>
      <c r="R1135" s="5"/>
      <c r="S1135" s="5"/>
      <c r="T1135" s="5"/>
      <c r="U1135" s="5"/>
      <c r="V1135" s="5"/>
      <c r="W1135" s="5"/>
      <c r="X1135" s="5"/>
      <c r="Y1135" s="5"/>
    </row>
    <row r="1136" spans="13:25" ht="22.5" x14ac:dyDescent="0.2">
      <c r="M1136" s="26" t="s">
        <v>59</v>
      </c>
      <c r="N1136" s="25" t="s">
        <v>51</v>
      </c>
      <c r="O1136" s="26"/>
      <c r="P1136" s="26" t="s">
        <v>1112</v>
      </c>
      <c r="Q1136" s="26"/>
      <c r="R1136" s="5"/>
      <c r="S1136" s="5"/>
      <c r="T1136" s="5"/>
      <c r="U1136" s="5"/>
      <c r="V1136" s="5"/>
      <c r="W1136" s="5"/>
      <c r="X1136" s="5"/>
      <c r="Y1136" s="5"/>
    </row>
    <row r="1137" spans="13:25" ht="45" x14ac:dyDescent="0.2">
      <c r="M1137" s="26" t="s">
        <v>59</v>
      </c>
      <c r="N1137" s="25" t="s">
        <v>51</v>
      </c>
      <c r="O1137" s="26"/>
      <c r="P1137" s="26" t="s">
        <v>1057</v>
      </c>
      <c r="Q1137" s="26"/>
      <c r="R1137" s="5"/>
      <c r="S1137" s="5"/>
      <c r="T1137" s="5"/>
      <c r="U1137" s="5"/>
      <c r="V1137" s="5"/>
      <c r="W1137" s="5"/>
      <c r="X1137" s="5"/>
      <c r="Y1137" s="5"/>
    </row>
    <row r="1138" spans="13:25" ht="45" x14ac:dyDescent="0.2">
      <c r="M1138" s="26" t="s">
        <v>59</v>
      </c>
      <c r="N1138" s="25" t="s">
        <v>51</v>
      </c>
      <c r="O1138" s="26"/>
      <c r="P1138" s="26" t="s">
        <v>1098</v>
      </c>
      <c r="Q1138" s="26"/>
      <c r="R1138" s="5"/>
      <c r="S1138" s="5"/>
      <c r="T1138" s="5"/>
      <c r="U1138" s="5"/>
      <c r="V1138" s="5"/>
      <c r="W1138" s="5"/>
      <c r="X1138" s="5"/>
      <c r="Y1138" s="5"/>
    </row>
    <row r="1139" spans="13:25" ht="22.5" x14ac:dyDescent="0.2">
      <c r="M1139" s="26" t="s">
        <v>59</v>
      </c>
      <c r="N1139" s="25" t="s">
        <v>57</v>
      </c>
      <c r="O1139" s="26"/>
      <c r="P1139" s="26" t="s">
        <v>1113</v>
      </c>
      <c r="Q1139" s="26"/>
      <c r="R1139" s="5"/>
      <c r="S1139" s="5"/>
      <c r="T1139" s="5"/>
      <c r="U1139" s="5"/>
      <c r="V1139" s="5"/>
      <c r="W1139" s="5"/>
      <c r="X1139" s="5"/>
      <c r="Y1139" s="5"/>
    </row>
    <row r="1140" spans="13:25" ht="22.5" x14ac:dyDescent="0.2">
      <c r="M1140" s="26" t="s">
        <v>59</v>
      </c>
      <c r="N1140" s="25" t="s">
        <v>51</v>
      </c>
      <c r="O1140" s="26" t="s">
        <v>1114</v>
      </c>
      <c r="P1140" s="26"/>
      <c r="Q1140" s="26"/>
      <c r="R1140" s="5"/>
      <c r="S1140" s="5"/>
      <c r="T1140" s="5"/>
      <c r="U1140" s="5"/>
      <c r="V1140" s="5"/>
      <c r="W1140" s="5"/>
      <c r="X1140" s="5"/>
      <c r="Y1140" s="5"/>
    </row>
    <row r="1141" spans="13:25" ht="33.75" x14ac:dyDescent="0.2">
      <c r="M1141" s="26" t="s">
        <v>59</v>
      </c>
      <c r="N1141" s="25" t="s">
        <v>51</v>
      </c>
      <c r="O1141" s="26"/>
      <c r="P1141" s="26" t="s">
        <v>983</v>
      </c>
      <c r="Q1141" s="26"/>
      <c r="R1141" s="5"/>
      <c r="S1141" s="5"/>
      <c r="T1141" s="5"/>
      <c r="U1141" s="5"/>
      <c r="V1141" s="5"/>
      <c r="W1141" s="5"/>
      <c r="X1141" s="5"/>
      <c r="Y1141" s="5"/>
    </row>
    <row r="1142" spans="13:25" ht="67.5" x14ac:dyDescent="0.2">
      <c r="M1142" s="26" t="s">
        <v>59</v>
      </c>
      <c r="N1142" s="25" t="s">
        <v>51</v>
      </c>
      <c r="O1142" s="26"/>
      <c r="P1142" s="26" t="s">
        <v>1115</v>
      </c>
      <c r="Q1142" s="26"/>
      <c r="R1142" s="5"/>
      <c r="S1142" s="5"/>
      <c r="T1142" s="5"/>
      <c r="U1142" s="5"/>
      <c r="V1142" s="5"/>
      <c r="W1142" s="5"/>
      <c r="X1142" s="5"/>
      <c r="Y1142" s="5"/>
    </row>
    <row r="1143" spans="13:25" ht="67.5" x14ac:dyDescent="0.2">
      <c r="M1143" s="26" t="s">
        <v>59</v>
      </c>
      <c r="N1143" s="25" t="s">
        <v>51</v>
      </c>
      <c r="O1143" s="26"/>
      <c r="P1143" s="26" t="s">
        <v>1116</v>
      </c>
      <c r="Q1143" s="26"/>
      <c r="R1143" s="5"/>
      <c r="S1143" s="5"/>
      <c r="T1143" s="5"/>
      <c r="U1143" s="5"/>
      <c r="V1143" s="5"/>
      <c r="W1143" s="5"/>
      <c r="X1143" s="5"/>
      <c r="Y1143" s="5"/>
    </row>
    <row r="1144" spans="13:25" ht="33.75" x14ac:dyDescent="0.2">
      <c r="M1144" s="26" t="s">
        <v>59</v>
      </c>
      <c r="N1144" s="25" t="s">
        <v>51</v>
      </c>
      <c r="O1144" s="26"/>
      <c r="P1144" s="26" t="s">
        <v>1087</v>
      </c>
      <c r="Q1144" s="26"/>
      <c r="R1144" s="5"/>
      <c r="S1144" s="5"/>
      <c r="T1144" s="5"/>
      <c r="U1144" s="5"/>
      <c r="V1144" s="5"/>
      <c r="W1144" s="5"/>
      <c r="X1144" s="5"/>
      <c r="Y1144" s="5"/>
    </row>
    <row r="1145" spans="13:25" ht="45" x14ac:dyDescent="0.2">
      <c r="M1145" s="26" t="s">
        <v>59</v>
      </c>
      <c r="N1145" s="25" t="s">
        <v>51</v>
      </c>
      <c r="O1145" s="26"/>
      <c r="P1145" s="26" t="s">
        <v>1094</v>
      </c>
      <c r="Q1145" s="26"/>
      <c r="R1145" s="5"/>
      <c r="S1145" s="5"/>
      <c r="T1145" s="5"/>
      <c r="U1145" s="5"/>
      <c r="V1145" s="5"/>
      <c r="W1145" s="5"/>
      <c r="X1145" s="5"/>
      <c r="Y1145" s="5"/>
    </row>
    <row r="1146" spans="13:25" ht="56.25" x14ac:dyDescent="0.2">
      <c r="M1146" s="26" t="s">
        <v>59</v>
      </c>
      <c r="N1146" s="25" t="s">
        <v>51</v>
      </c>
      <c r="O1146" s="26"/>
      <c r="P1146" s="26" t="s">
        <v>1075</v>
      </c>
      <c r="Q1146" s="26"/>
      <c r="R1146" s="5"/>
      <c r="S1146" s="5"/>
      <c r="T1146" s="5"/>
      <c r="U1146" s="5"/>
      <c r="V1146" s="5"/>
      <c r="W1146" s="5"/>
      <c r="X1146" s="5"/>
      <c r="Y1146" s="5"/>
    </row>
    <row r="1147" spans="13:25" ht="45" x14ac:dyDescent="0.2">
      <c r="M1147" s="26" t="s">
        <v>59</v>
      </c>
      <c r="N1147" s="25" t="s">
        <v>51</v>
      </c>
      <c r="O1147" s="26"/>
      <c r="P1147" s="26" t="s">
        <v>1117</v>
      </c>
      <c r="Q1147" s="26"/>
      <c r="R1147" s="5"/>
      <c r="S1147" s="5"/>
      <c r="T1147" s="5"/>
      <c r="U1147" s="5"/>
      <c r="V1147" s="5"/>
      <c r="W1147" s="5"/>
      <c r="X1147" s="5"/>
      <c r="Y1147" s="5"/>
    </row>
    <row r="1148" spans="13:25" ht="22.5" x14ac:dyDescent="0.2">
      <c r="M1148" s="26" t="s">
        <v>59</v>
      </c>
      <c r="N1148" s="25" t="s">
        <v>57</v>
      </c>
      <c r="O1148" s="26"/>
      <c r="P1148" s="26" t="s">
        <v>1118</v>
      </c>
      <c r="Q1148" s="26"/>
      <c r="R1148" s="5"/>
      <c r="S1148" s="5"/>
      <c r="T1148" s="5"/>
      <c r="U1148" s="5"/>
      <c r="V1148" s="5"/>
      <c r="W1148" s="5"/>
      <c r="X1148" s="5"/>
      <c r="Y1148" s="5"/>
    </row>
    <row r="1149" spans="13:25" ht="22.5" x14ac:dyDescent="0.2">
      <c r="M1149" s="26" t="s">
        <v>59</v>
      </c>
      <c r="N1149" s="25" t="s">
        <v>57</v>
      </c>
      <c r="O1149" s="26"/>
      <c r="P1149" s="26" t="s">
        <v>1118</v>
      </c>
      <c r="Q1149" s="26"/>
      <c r="R1149" s="5"/>
      <c r="S1149" s="5"/>
      <c r="T1149" s="5"/>
      <c r="U1149" s="5"/>
      <c r="V1149" s="5"/>
      <c r="W1149" s="5"/>
      <c r="X1149" s="5"/>
      <c r="Y1149" s="5"/>
    </row>
    <row r="1150" spans="13:25" ht="22.5" x14ac:dyDescent="0.2">
      <c r="M1150" s="26" t="s">
        <v>59</v>
      </c>
      <c r="N1150" s="25" t="s">
        <v>51</v>
      </c>
      <c r="O1150" s="26" t="s">
        <v>1119</v>
      </c>
      <c r="P1150" s="26"/>
      <c r="Q1150" s="26"/>
      <c r="R1150" s="5"/>
      <c r="S1150" s="5"/>
      <c r="T1150" s="5"/>
      <c r="U1150" s="5"/>
      <c r="V1150" s="5"/>
      <c r="W1150" s="5"/>
      <c r="X1150" s="5"/>
      <c r="Y1150" s="5"/>
    </row>
    <row r="1151" spans="13:25" ht="33.75" x14ac:dyDescent="0.2">
      <c r="M1151" s="26" t="s">
        <v>59</v>
      </c>
      <c r="N1151" s="25" t="s">
        <v>51</v>
      </c>
      <c r="O1151" s="26"/>
      <c r="P1151" s="26" t="s">
        <v>966</v>
      </c>
      <c r="Q1151" s="26"/>
      <c r="R1151" s="5"/>
      <c r="S1151" s="5"/>
      <c r="T1151" s="5"/>
      <c r="U1151" s="5"/>
      <c r="V1151" s="5"/>
      <c r="W1151" s="5"/>
      <c r="X1151" s="5"/>
      <c r="Y1151" s="5"/>
    </row>
    <row r="1152" spans="13:25" ht="67.5" x14ac:dyDescent="0.2">
      <c r="M1152" s="26" t="s">
        <v>59</v>
      </c>
      <c r="N1152" s="25" t="s">
        <v>51</v>
      </c>
      <c r="O1152" s="26"/>
      <c r="P1152" s="26" t="s">
        <v>1120</v>
      </c>
      <c r="Q1152" s="26"/>
      <c r="R1152" s="5"/>
      <c r="S1152" s="5"/>
      <c r="T1152" s="5"/>
      <c r="U1152" s="5"/>
      <c r="V1152" s="5"/>
      <c r="W1152" s="5"/>
      <c r="X1152" s="5"/>
      <c r="Y1152" s="5"/>
    </row>
    <row r="1153" spans="13:25" ht="33.75" x14ac:dyDescent="0.2">
      <c r="M1153" s="26" t="s">
        <v>59</v>
      </c>
      <c r="N1153" s="25" t="s">
        <v>51</v>
      </c>
      <c r="O1153" s="26"/>
      <c r="P1153" s="26" t="s">
        <v>1111</v>
      </c>
      <c r="Q1153" s="26"/>
      <c r="R1153" s="5"/>
      <c r="S1153" s="5"/>
      <c r="T1153" s="5"/>
      <c r="U1153" s="5"/>
      <c r="V1153" s="5"/>
      <c r="W1153" s="5"/>
      <c r="X1153" s="5"/>
      <c r="Y1153" s="5"/>
    </row>
    <row r="1154" spans="13:25" ht="45" x14ac:dyDescent="0.2">
      <c r="M1154" s="26" t="s">
        <v>59</v>
      </c>
      <c r="N1154" s="25" t="s">
        <v>51</v>
      </c>
      <c r="O1154" s="26"/>
      <c r="P1154" s="26" t="s">
        <v>1057</v>
      </c>
      <c r="Q1154" s="26"/>
      <c r="R1154" s="5"/>
      <c r="S1154" s="5"/>
      <c r="T1154" s="5"/>
      <c r="U1154" s="5"/>
      <c r="V1154" s="5"/>
      <c r="W1154" s="5"/>
      <c r="X1154" s="5"/>
      <c r="Y1154" s="5"/>
    </row>
    <row r="1155" spans="13:25" ht="45" x14ac:dyDescent="0.2">
      <c r="M1155" s="26" t="s">
        <v>59</v>
      </c>
      <c r="N1155" s="25" t="s">
        <v>51</v>
      </c>
      <c r="O1155" s="26"/>
      <c r="P1155" s="26" t="s">
        <v>1121</v>
      </c>
      <c r="Q1155" s="26"/>
      <c r="R1155" s="5"/>
      <c r="S1155" s="5"/>
      <c r="T1155" s="5"/>
      <c r="U1155" s="5"/>
      <c r="V1155" s="5"/>
      <c r="W1155" s="5"/>
      <c r="X1155" s="5"/>
      <c r="Y1155" s="5"/>
    </row>
    <row r="1156" spans="13:25" ht="22.5" x14ac:dyDescent="0.2">
      <c r="M1156" s="26" t="s">
        <v>59</v>
      </c>
      <c r="N1156" s="25" t="s">
        <v>57</v>
      </c>
      <c r="O1156" s="26"/>
      <c r="P1156" s="26" t="s">
        <v>1122</v>
      </c>
      <c r="Q1156" s="26"/>
      <c r="R1156" s="5"/>
      <c r="S1156" s="5"/>
      <c r="T1156" s="5"/>
      <c r="U1156" s="5"/>
      <c r="V1156" s="5"/>
      <c r="W1156" s="5"/>
      <c r="X1156" s="5"/>
      <c r="Y1156" s="5"/>
    </row>
    <row r="1157" spans="13:25" ht="45" x14ac:dyDescent="0.2">
      <c r="M1157" s="26" t="s">
        <v>59</v>
      </c>
      <c r="N1157" s="25" t="s">
        <v>51</v>
      </c>
      <c r="O1157" s="26"/>
      <c r="P1157" s="26" t="s">
        <v>1123</v>
      </c>
      <c r="Q1157" s="26"/>
      <c r="R1157" s="5"/>
      <c r="S1157" s="5"/>
      <c r="T1157" s="5"/>
      <c r="U1157" s="5"/>
      <c r="V1157" s="5"/>
      <c r="W1157" s="5"/>
      <c r="X1157" s="5"/>
      <c r="Y1157" s="5"/>
    </row>
    <row r="1158" spans="13:25" ht="67.5" x14ac:dyDescent="0.2">
      <c r="M1158" s="26" t="s">
        <v>59</v>
      </c>
      <c r="N1158" s="25" t="s">
        <v>51</v>
      </c>
      <c r="O1158" s="26"/>
      <c r="P1158" s="26" t="s">
        <v>1124</v>
      </c>
      <c r="Q1158" s="26"/>
      <c r="R1158" s="5"/>
      <c r="S1158" s="5"/>
      <c r="T1158" s="5"/>
      <c r="U1158" s="5"/>
      <c r="V1158" s="5"/>
      <c r="W1158" s="5"/>
      <c r="X1158" s="5"/>
      <c r="Y1158" s="5"/>
    </row>
    <row r="1159" spans="13:25" ht="22.5" x14ac:dyDescent="0.2">
      <c r="M1159" s="26" t="s">
        <v>59</v>
      </c>
      <c r="N1159" s="25" t="s">
        <v>57</v>
      </c>
      <c r="O1159" s="26"/>
      <c r="P1159" s="26" t="s">
        <v>1125</v>
      </c>
      <c r="Q1159" s="26"/>
      <c r="R1159" s="5"/>
      <c r="S1159" s="5"/>
      <c r="T1159" s="5"/>
      <c r="U1159" s="5"/>
      <c r="V1159" s="5"/>
      <c r="W1159" s="5"/>
      <c r="X1159" s="5"/>
      <c r="Y1159" s="5"/>
    </row>
    <row r="1160" spans="13:25" ht="22.5" x14ac:dyDescent="0.2">
      <c r="M1160" s="26" t="s">
        <v>59</v>
      </c>
      <c r="N1160" s="25" t="s">
        <v>51</v>
      </c>
      <c r="O1160" s="26"/>
      <c r="P1160" s="26" t="s">
        <v>1126</v>
      </c>
      <c r="Q1160" s="26"/>
      <c r="R1160" s="5"/>
      <c r="S1160" s="5"/>
      <c r="T1160" s="5"/>
      <c r="U1160" s="5"/>
      <c r="V1160" s="5"/>
      <c r="W1160" s="5"/>
      <c r="X1160" s="5"/>
      <c r="Y1160" s="5"/>
    </row>
    <row r="1161" spans="13:25" ht="22.5" x14ac:dyDescent="0.2">
      <c r="M1161" s="26" t="s">
        <v>59</v>
      </c>
      <c r="N1161" s="25" t="s">
        <v>51</v>
      </c>
      <c r="O1161" s="26" t="s">
        <v>1127</v>
      </c>
      <c r="P1161" s="26"/>
      <c r="Q1161" s="26"/>
      <c r="R1161" s="5"/>
      <c r="S1161" s="5"/>
      <c r="T1161" s="5"/>
      <c r="U1161" s="5"/>
      <c r="V1161" s="5"/>
      <c r="W1161" s="5"/>
      <c r="X1161" s="5"/>
      <c r="Y1161" s="5"/>
    </row>
    <row r="1162" spans="13:25" ht="157.5" x14ac:dyDescent="0.2">
      <c r="M1162" s="26" t="s">
        <v>59</v>
      </c>
      <c r="N1162" s="25" t="s">
        <v>51</v>
      </c>
      <c r="O1162" s="26"/>
      <c r="P1162" s="26" t="s">
        <v>1048</v>
      </c>
      <c r="Q1162" s="26"/>
      <c r="R1162" s="5"/>
      <c r="S1162" s="5"/>
      <c r="T1162" s="5"/>
      <c r="U1162" s="5"/>
      <c r="V1162" s="5"/>
      <c r="W1162" s="5"/>
      <c r="X1162" s="5"/>
      <c r="Y1162" s="5"/>
    </row>
    <row r="1163" spans="13:25" ht="78.75" x14ac:dyDescent="0.2">
      <c r="M1163" s="26" t="s">
        <v>59</v>
      </c>
      <c r="N1163" s="25" t="s">
        <v>51</v>
      </c>
      <c r="O1163" s="26"/>
      <c r="P1163" s="26" t="s">
        <v>1128</v>
      </c>
      <c r="Q1163" s="26"/>
      <c r="R1163" s="5"/>
      <c r="S1163" s="5"/>
      <c r="T1163" s="5"/>
      <c r="U1163" s="5"/>
      <c r="V1163" s="5"/>
      <c r="W1163" s="5"/>
      <c r="X1163" s="5"/>
      <c r="Y1163" s="5"/>
    </row>
    <row r="1164" spans="13:25" ht="67.5" x14ac:dyDescent="0.2">
      <c r="M1164" s="26" t="s">
        <v>59</v>
      </c>
      <c r="N1164" s="25" t="s">
        <v>51</v>
      </c>
      <c r="O1164" s="26"/>
      <c r="P1164" s="26" t="s">
        <v>1129</v>
      </c>
      <c r="Q1164" s="26"/>
      <c r="R1164" s="5"/>
      <c r="S1164" s="5"/>
      <c r="T1164" s="5"/>
      <c r="U1164" s="5"/>
      <c r="V1164" s="5"/>
      <c r="W1164" s="5"/>
      <c r="X1164" s="5"/>
      <c r="Y1164" s="5"/>
    </row>
    <row r="1165" spans="13:25" ht="33.75" x14ac:dyDescent="0.2">
      <c r="M1165" s="26" t="s">
        <v>59</v>
      </c>
      <c r="N1165" s="25" t="s">
        <v>51</v>
      </c>
      <c r="O1165" s="26"/>
      <c r="P1165" s="26" t="s">
        <v>983</v>
      </c>
      <c r="Q1165" s="26"/>
      <c r="R1165" s="5"/>
      <c r="S1165" s="5"/>
      <c r="T1165" s="5"/>
      <c r="U1165" s="5"/>
      <c r="V1165" s="5"/>
      <c r="W1165" s="5"/>
      <c r="X1165" s="5"/>
      <c r="Y1165" s="5"/>
    </row>
    <row r="1166" spans="13:25" ht="67.5" x14ac:dyDescent="0.2">
      <c r="M1166" s="26" t="s">
        <v>59</v>
      </c>
      <c r="N1166" s="25" t="s">
        <v>51</v>
      </c>
      <c r="O1166" s="26"/>
      <c r="P1166" s="26" t="s">
        <v>1049</v>
      </c>
      <c r="Q1166" s="26"/>
      <c r="R1166" s="5"/>
      <c r="S1166" s="5"/>
      <c r="T1166" s="5"/>
      <c r="U1166" s="5"/>
      <c r="V1166" s="5"/>
      <c r="W1166" s="5"/>
      <c r="X1166" s="5"/>
      <c r="Y1166" s="5"/>
    </row>
    <row r="1167" spans="13:25" ht="33.75" x14ac:dyDescent="0.2">
      <c r="M1167" s="26" t="s">
        <v>59</v>
      </c>
      <c r="N1167" s="25" t="s">
        <v>51</v>
      </c>
      <c r="O1167" s="26"/>
      <c r="P1167" s="26" t="s">
        <v>1111</v>
      </c>
      <c r="Q1167" s="26"/>
      <c r="R1167" s="5"/>
      <c r="S1167" s="5"/>
      <c r="T1167" s="5"/>
      <c r="U1167" s="5"/>
      <c r="V1167" s="5"/>
      <c r="W1167" s="5"/>
      <c r="X1167" s="5"/>
      <c r="Y1167" s="5"/>
    </row>
    <row r="1168" spans="13:25" ht="22.5" x14ac:dyDescent="0.2">
      <c r="M1168" s="26" t="s">
        <v>59</v>
      </c>
      <c r="N1168" s="25" t="s">
        <v>51</v>
      </c>
      <c r="O1168" s="26"/>
      <c r="P1168" s="26" t="s">
        <v>1130</v>
      </c>
      <c r="Q1168" s="26"/>
      <c r="R1168" s="5"/>
      <c r="S1168" s="5"/>
      <c r="T1168" s="5"/>
      <c r="U1168" s="5"/>
      <c r="V1168" s="5"/>
      <c r="W1168" s="5"/>
      <c r="X1168" s="5"/>
      <c r="Y1168" s="5"/>
    </row>
    <row r="1169" spans="13:25" ht="33.75" x14ac:dyDescent="0.2">
      <c r="M1169" s="26" t="s">
        <v>59</v>
      </c>
      <c r="N1169" s="25" t="s">
        <v>51</v>
      </c>
      <c r="O1169" s="26"/>
      <c r="P1169" s="26" t="s">
        <v>1051</v>
      </c>
      <c r="Q1169" s="26"/>
      <c r="R1169" s="5"/>
      <c r="S1169" s="5"/>
      <c r="T1169" s="5"/>
      <c r="U1169" s="5"/>
      <c r="V1169" s="5"/>
      <c r="W1169" s="5"/>
      <c r="X1169" s="5"/>
      <c r="Y1169" s="5"/>
    </row>
    <row r="1170" spans="13:25" ht="33.75" x14ac:dyDescent="0.2">
      <c r="M1170" s="26" t="s">
        <v>59</v>
      </c>
      <c r="N1170" s="25" t="s">
        <v>51</v>
      </c>
      <c r="O1170" s="26"/>
      <c r="P1170" s="26" t="s">
        <v>1093</v>
      </c>
      <c r="Q1170" s="26"/>
      <c r="R1170" s="5"/>
      <c r="S1170" s="5"/>
      <c r="T1170" s="5"/>
      <c r="U1170" s="5"/>
      <c r="V1170" s="5"/>
      <c r="W1170" s="5"/>
      <c r="X1170" s="5"/>
      <c r="Y1170" s="5"/>
    </row>
    <row r="1171" spans="13:25" ht="33.75" x14ac:dyDescent="0.2">
      <c r="M1171" s="26" t="s">
        <v>59</v>
      </c>
      <c r="N1171" s="25" t="s">
        <v>51</v>
      </c>
      <c r="O1171" s="26"/>
      <c r="P1171" s="26" t="s">
        <v>1131</v>
      </c>
      <c r="Q1171" s="26"/>
      <c r="R1171" s="5"/>
      <c r="S1171" s="5"/>
      <c r="T1171" s="5"/>
      <c r="U1171" s="5"/>
      <c r="V1171" s="5"/>
      <c r="W1171" s="5"/>
      <c r="X1171" s="5"/>
      <c r="Y1171" s="5"/>
    </row>
    <row r="1172" spans="13:25" ht="45" x14ac:dyDescent="0.2">
      <c r="M1172" s="26" t="s">
        <v>59</v>
      </c>
      <c r="N1172" s="25" t="s">
        <v>51</v>
      </c>
      <c r="O1172" s="26"/>
      <c r="P1172" s="26" t="s">
        <v>1132</v>
      </c>
      <c r="Q1172" s="26"/>
      <c r="R1172" s="5"/>
      <c r="S1172" s="5"/>
      <c r="T1172" s="5"/>
      <c r="U1172" s="5"/>
      <c r="V1172" s="5"/>
      <c r="W1172" s="5"/>
      <c r="X1172" s="5"/>
      <c r="Y1172" s="5"/>
    </row>
    <row r="1173" spans="13:25" ht="33.75" x14ac:dyDescent="0.2">
      <c r="M1173" s="26" t="s">
        <v>59</v>
      </c>
      <c r="N1173" s="25" t="s">
        <v>51</v>
      </c>
      <c r="O1173" s="26"/>
      <c r="P1173" s="26" t="s">
        <v>1133</v>
      </c>
      <c r="Q1173" s="26"/>
      <c r="R1173" s="5"/>
      <c r="S1173" s="5"/>
      <c r="T1173" s="5"/>
      <c r="U1173" s="5"/>
      <c r="V1173" s="5"/>
      <c r="W1173" s="5"/>
      <c r="X1173" s="5"/>
      <c r="Y1173" s="5"/>
    </row>
    <row r="1174" spans="13:25" ht="45" x14ac:dyDescent="0.2">
      <c r="M1174" s="26" t="s">
        <v>59</v>
      </c>
      <c r="N1174" s="25" t="s">
        <v>51</v>
      </c>
      <c r="O1174" s="26"/>
      <c r="P1174" s="26" t="s">
        <v>1056</v>
      </c>
      <c r="Q1174" s="26"/>
      <c r="R1174" s="5"/>
      <c r="S1174" s="5"/>
      <c r="T1174" s="5"/>
      <c r="U1174" s="5"/>
      <c r="V1174" s="5"/>
      <c r="W1174" s="5"/>
      <c r="X1174" s="5"/>
      <c r="Y1174" s="5"/>
    </row>
    <row r="1175" spans="13:25" ht="45" x14ac:dyDescent="0.2">
      <c r="M1175" s="26" t="s">
        <v>59</v>
      </c>
      <c r="N1175" s="25" t="s">
        <v>51</v>
      </c>
      <c r="O1175" s="26"/>
      <c r="P1175" s="26" t="s">
        <v>1057</v>
      </c>
      <c r="Q1175" s="26"/>
      <c r="R1175" s="5"/>
      <c r="S1175" s="5"/>
      <c r="T1175" s="5"/>
      <c r="U1175" s="5"/>
      <c r="V1175" s="5"/>
      <c r="W1175" s="5"/>
      <c r="X1175" s="5"/>
      <c r="Y1175" s="5"/>
    </row>
    <row r="1176" spans="13:25" ht="56.25" x14ac:dyDescent="0.2">
      <c r="M1176" s="26" t="s">
        <v>59</v>
      </c>
      <c r="N1176" s="25" t="s">
        <v>51</v>
      </c>
      <c r="O1176" s="26"/>
      <c r="P1176" s="26" t="s">
        <v>1075</v>
      </c>
      <c r="Q1176" s="26"/>
      <c r="R1176" s="5"/>
      <c r="S1176" s="5"/>
      <c r="T1176" s="5"/>
      <c r="U1176" s="5"/>
      <c r="V1176" s="5"/>
      <c r="W1176" s="5"/>
      <c r="X1176" s="5"/>
      <c r="Y1176" s="5"/>
    </row>
    <row r="1177" spans="13:25" ht="56.25" x14ac:dyDescent="0.2">
      <c r="M1177" s="26" t="s">
        <v>59</v>
      </c>
      <c r="N1177" s="25" t="s">
        <v>51</v>
      </c>
      <c r="O1177" s="26"/>
      <c r="P1177" s="26" t="s">
        <v>1058</v>
      </c>
      <c r="Q1177" s="26"/>
      <c r="R1177" s="5"/>
      <c r="S1177" s="5"/>
      <c r="T1177" s="5"/>
      <c r="U1177" s="5"/>
      <c r="V1177" s="5"/>
      <c r="W1177" s="5"/>
      <c r="X1177" s="5"/>
      <c r="Y1177" s="5"/>
    </row>
    <row r="1178" spans="13:25" ht="56.25" x14ac:dyDescent="0.2">
      <c r="M1178" s="26" t="s">
        <v>59</v>
      </c>
      <c r="N1178" s="25" t="s">
        <v>51</v>
      </c>
      <c r="O1178" s="26"/>
      <c r="P1178" s="26" t="s">
        <v>1059</v>
      </c>
      <c r="Q1178" s="26"/>
      <c r="R1178" s="5"/>
      <c r="S1178" s="5"/>
      <c r="T1178" s="5"/>
      <c r="U1178" s="5"/>
      <c r="V1178" s="5"/>
      <c r="W1178" s="5"/>
      <c r="X1178" s="5"/>
      <c r="Y1178" s="5"/>
    </row>
    <row r="1179" spans="13:25" ht="90" x14ac:dyDescent="0.2">
      <c r="M1179" s="26" t="s">
        <v>59</v>
      </c>
      <c r="N1179" s="25" t="s">
        <v>51</v>
      </c>
      <c r="O1179" s="26"/>
      <c r="P1179" s="26" t="s">
        <v>1097</v>
      </c>
      <c r="Q1179" s="26"/>
      <c r="R1179" s="5"/>
      <c r="S1179" s="5"/>
      <c r="T1179" s="5"/>
      <c r="U1179" s="5"/>
      <c r="V1179" s="5"/>
      <c r="W1179" s="5"/>
      <c r="X1179" s="5"/>
      <c r="Y1179" s="5"/>
    </row>
    <row r="1180" spans="13:25" ht="90" x14ac:dyDescent="0.2">
      <c r="M1180" s="26" t="s">
        <v>59</v>
      </c>
      <c r="N1180" s="25" t="s">
        <v>51</v>
      </c>
      <c r="O1180" s="26"/>
      <c r="P1180" s="26" t="s">
        <v>1134</v>
      </c>
      <c r="Q1180" s="26"/>
      <c r="R1180" s="5"/>
      <c r="S1180" s="5"/>
      <c r="T1180" s="5"/>
      <c r="U1180" s="5"/>
      <c r="V1180" s="5"/>
      <c r="W1180" s="5"/>
      <c r="X1180" s="5"/>
      <c r="Y1180" s="5"/>
    </row>
    <row r="1181" spans="13:25" ht="90" x14ac:dyDescent="0.2">
      <c r="M1181" s="26" t="s">
        <v>59</v>
      </c>
      <c r="N1181" s="25" t="s">
        <v>51</v>
      </c>
      <c r="O1181" s="26"/>
      <c r="P1181" s="26" t="s">
        <v>1097</v>
      </c>
      <c r="Q1181" s="26"/>
      <c r="R1181" s="5"/>
      <c r="S1181" s="5"/>
      <c r="T1181" s="5"/>
      <c r="U1181" s="5"/>
      <c r="V1181" s="5"/>
      <c r="W1181" s="5"/>
      <c r="X1181" s="5"/>
      <c r="Y1181" s="5"/>
    </row>
    <row r="1182" spans="13:25" ht="90" x14ac:dyDescent="0.2">
      <c r="M1182" s="26" t="s">
        <v>59</v>
      </c>
      <c r="N1182" s="25" t="s">
        <v>51</v>
      </c>
      <c r="O1182" s="26"/>
      <c r="P1182" s="26" t="s">
        <v>1097</v>
      </c>
      <c r="Q1182" s="26"/>
      <c r="R1182" s="5"/>
      <c r="S1182" s="5"/>
      <c r="T1182" s="5"/>
      <c r="U1182" s="5"/>
      <c r="V1182" s="5"/>
      <c r="W1182" s="5"/>
      <c r="X1182" s="5"/>
      <c r="Y1182" s="5"/>
    </row>
    <row r="1183" spans="13:25" ht="33.75" x14ac:dyDescent="0.2">
      <c r="M1183" s="26" t="s">
        <v>59</v>
      </c>
      <c r="N1183" s="25" t="s">
        <v>51</v>
      </c>
      <c r="O1183" s="26"/>
      <c r="P1183" s="26" t="s">
        <v>1135</v>
      </c>
      <c r="Q1183" s="26"/>
      <c r="R1183" s="5"/>
      <c r="S1183" s="5"/>
      <c r="T1183" s="5"/>
      <c r="U1183" s="5"/>
      <c r="V1183" s="5"/>
      <c r="W1183" s="5"/>
      <c r="X1183" s="5"/>
      <c r="Y1183" s="5"/>
    </row>
    <row r="1184" spans="13:25" ht="33.75" x14ac:dyDescent="0.2">
      <c r="M1184" s="26" t="s">
        <v>59</v>
      </c>
      <c r="N1184" s="25" t="s">
        <v>51</v>
      </c>
      <c r="O1184" s="26"/>
      <c r="P1184" s="26" t="s">
        <v>1136</v>
      </c>
      <c r="Q1184" s="26"/>
      <c r="R1184" s="5"/>
      <c r="S1184" s="5"/>
      <c r="T1184" s="5"/>
      <c r="U1184" s="5"/>
      <c r="V1184" s="5"/>
      <c r="W1184" s="5"/>
      <c r="X1184" s="5"/>
      <c r="Y1184" s="5"/>
    </row>
    <row r="1185" spans="13:25" ht="33.75" x14ac:dyDescent="0.2">
      <c r="M1185" s="26" t="s">
        <v>59</v>
      </c>
      <c r="N1185" s="25" t="s">
        <v>51</v>
      </c>
      <c r="O1185" s="26"/>
      <c r="P1185" s="26" t="s">
        <v>1137</v>
      </c>
      <c r="Q1185" s="26"/>
      <c r="R1185" s="5"/>
      <c r="S1185" s="5"/>
      <c r="T1185" s="5"/>
      <c r="U1185" s="5"/>
      <c r="V1185" s="5"/>
      <c r="W1185" s="5"/>
      <c r="X1185" s="5"/>
      <c r="Y1185" s="5"/>
    </row>
    <row r="1186" spans="13:25" ht="33.75" x14ac:dyDescent="0.2">
      <c r="M1186" s="26" t="s">
        <v>59</v>
      </c>
      <c r="N1186" s="25" t="s">
        <v>51</v>
      </c>
      <c r="O1186" s="26"/>
      <c r="P1186" s="26" t="s">
        <v>1138</v>
      </c>
      <c r="Q1186" s="26"/>
      <c r="R1186" s="5"/>
      <c r="S1186" s="5"/>
      <c r="T1186" s="5"/>
      <c r="U1186" s="5"/>
      <c r="V1186" s="5"/>
      <c r="W1186" s="5"/>
      <c r="X1186" s="5"/>
      <c r="Y1186" s="5"/>
    </row>
    <row r="1187" spans="13:25" ht="33.75" x14ac:dyDescent="0.2">
      <c r="M1187" s="26" t="s">
        <v>59</v>
      </c>
      <c r="N1187" s="25" t="s">
        <v>51</v>
      </c>
      <c r="O1187" s="26"/>
      <c r="P1187" s="26" t="s">
        <v>1139</v>
      </c>
      <c r="Q1187" s="26"/>
      <c r="R1187" s="5"/>
      <c r="S1187" s="5"/>
      <c r="T1187" s="5"/>
      <c r="U1187" s="5"/>
      <c r="V1187" s="5"/>
      <c r="W1187" s="5"/>
      <c r="X1187" s="5"/>
      <c r="Y1187" s="5"/>
    </row>
    <row r="1188" spans="13:25" ht="45" x14ac:dyDescent="0.2">
      <c r="M1188" s="26" t="s">
        <v>59</v>
      </c>
      <c r="N1188" s="25" t="s">
        <v>51</v>
      </c>
      <c r="O1188" s="26"/>
      <c r="P1188" s="26" t="s">
        <v>1140</v>
      </c>
      <c r="Q1188" s="26"/>
      <c r="R1188" s="5"/>
      <c r="S1188" s="5"/>
      <c r="T1188" s="5"/>
      <c r="U1188" s="5"/>
      <c r="V1188" s="5"/>
      <c r="W1188" s="5"/>
      <c r="X1188" s="5"/>
      <c r="Y1188" s="5"/>
    </row>
    <row r="1189" spans="13:25" ht="33.75" x14ac:dyDescent="0.2">
      <c r="M1189" s="26" t="s">
        <v>59</v>
      </c>
      <c r="N1189" s="25" t="s">
        <v>51</v>
      </c>
      <c r="O1189" s="26"/>
      <c r="P1189" s="26" t="s">
        <v>1079</v>
      </c>
      <c r="Q1189" s="26"/>
      <c r="R1189" s="5"/>
      <c r="S1189" s="5"/>
      <c r="T1189" s="5"/>
      <c r="U1189" s="5"/>
      <c r="V1189" s="5"/>
      <c r="W1189" s="5"/>
      <c r="X1189" s="5"/>
      <c r="Y1189" s="5"/>
    </row>
    <row r="1190" spans="13:25" ht="33.75" x14ac:dyDescent="0.2">
      <c r="M1190" s="26" t="s">
        <v>59</v>
      </c>
      <c r="N1190" s="25" t="s">
        <v>51</v>
      </c>
      <c r="O1190" s="26"/>
      <c r="P1190" s="26" t="s">
        <v>1080</v>
      </c>
      <c r="Q1190" s="26"/>
      <c r="R1190" s="5"/>
      <c r="S1190" s="5"/>
      <c r="T1190" s="5"/>
      <c r="U1190" s="5"/>
      <c r="V1190" s="5"/>
      <c r="W1190" s="5"/>
      <c r="X1190" s="5"/>
      <c r="Y1190" s="5"/>
    </row>
    <row r="1191" spans="13:25" ht="101.25" x14ac:dyDescent="0.2">
      <c r="M1191" s="26" t="s">
        <v>59</v>
      </c>
      <c r="N1191" s="25" t="s">
        <v>51</v>
      </c>
      <c r="O1191" s="26"/>
      <c r="P1191" s="26" t="s">
        <v>1141</v>
      </c>
      <c r="Q1191" s="26"/>
      <c r="R1191" s="5"/>
      <c r="S1191" s="5"/>
      <c r="T1191" s="5"/>
      <c r="U1191" s="5"/>
      <c r="V1191" s="5"/>
      <c r="W1191" s="5"/>
      <c r="X1191" s="5"/>
      <c r="Y1191" s="5"/>
    </row>
    <row r="1192" spans="13:25" ht="22.5" x14ac:dyDescent="0.2">
      <c r="M1192" s="26" t="s">
        <v>59</v>
      </c>
      <c r="N1192" s="25" t="s">
        <v>51</v>
      </c>
      <c r="O1192" s="26"/>
      <c r="P1192" s="26" t="s">
        <v>1142</v>
      </c>
      <c r="Q1192" s="26"/>
      <c r="R1192" s="5"/>
      <c r="S1192" s="5"/>
      <c r="T1192" s="5"/>
      <c r="U1192" s="5"/>
      <c r="V1192" s="5"/>
      <c r="W1192" s="5"/>
      <c r="X1192" s="5"/>
      <c r="Y1192" s="5"/>
    </row>
    <row r="1193" spans="13:25" ht="22.5" x14ac:dyDescent="0.2">
      <c r="M1193" s="26" t="s">
        <v>59</v>
      </c>
      <c r="N1193" s="25" t="s">
        <v>51</v>
      </c>
      <c r="O1193" s="26"/>
      <c r="P1193" s="26" t="s">
        <v>1143</v>
      </c>
      <c r="Q1193" s="26"/>
      <c r="R1193" s="5"/>
      <c r="S1193" s="5"/>
      <c r="T1193" s="5"/>
      <c r="U1193" s="5"/>
      <c r="V1193" s="5"/>
      <c r="W1193" s="5"/>
      <c r="X1193" s="5"/>
      <c r="Y1193" s="5"/>
    </row>
    <row r="1194" spans="13:25" ht="67.5" x14ac:dyDescent="0.2">
      <c r="M1194" s="26" t="s">
        <v>59</v>
      </c>
      <c r="N1194" s="25" t="s">
        <v>51</v>
      </c>
      <c r="O1194" s="26"/>
      <c r="P1194" s="26" t="s">
        <v>1144</v>
      </c>
      <c r="Q1194" s="26"/>
      <c r="R1194" s="5"/>
      <c r="S1194" s="5"/>
      <c r="T1194" s="5"/>
      <c r="U1194" s="5"/>
      <c r="V1194" s="5"/>
      <c r="W1194" s="5"/>
      <c r="X1194" s="5"/>
      <c r="Y1194" s="5"/>
    </row>
    <row r="1195" spans="13:25" ht="22.5" x14ac:dyDescent="0.2">
      <c r="M1195" s="26" t="s">
        <v>59</v>
      </c>
      <c r="N1195" s="25" t="s">
        <v>51</v>
      </c>
      <c r="O1195" s="26"/>
      <c r="P1195" s="26" t="s">
        <v>1145</v>
      </c>
      <c r="Q1195" s="26"/>
      <c r="R1195" s="5"/>
      <c r="S1195" s="5"/>
      <c r="T1195" s="5"/>
      <c r="U1195" s="5"/>
      <c r="V1195" s="5"/>
      <c r="W1195" s="5"/>
      <c r="X1195" s="5"/>
      <c r="Y1195" s="5"/>
    </row>
    <row r="1196" spans="13:25" ht="22.5" x14ac:dyDescent="0.2">
      <c r="M1196" s="26" t="s">
        <v>59</v>
      </c>
      <c r="N1196" s="25" t="s">
        <v>57</v>
      </c>
      <c r="O1196" s="26"/>
      <c r="P1196" s="26" t="s">
        <v>1146</v>
      </c>
      <c r="Q1196" s="26"/>
      <c r="R1196" s="5"/>
      <c r="S1196" s="5"/>
      <c r="T1196" s="5"/>
      <c r="U1196" s="5"/>
      <c r="V1196" s="5"/>
      <c r="W1196" s="5"/>
      <c r="X1196" s="5"/>
      <c r="Y1196" s="5"/>
    </row>
    <row r="1197" spans="13:25" ht="22.5" x14ac:dyDescent="0.2">
      <c r="M1197" s="26" t="s">
        <v>59</v>
      </c>
      <c r="N1197" s="25" t="s">
        <v>57</v>
      </c>
      <c r="O1197" s="26"/>
      <c r="P1197" s="26" t="s">
        <v>1146</v>
      </c>
      <c r="Q1197" s="26"/>
      <c r="R1197" s="5"/>
      <c r="S1197" s="5"/>
      <c r="T1197" s="5"/>
      <c r="U1197" s="5"/>
      <c r="V1197" s="5"/>
      <c r="W1197" s="5"/>
      <c r="X1197" s="5"/>
      <c r="Y1197" s="5"/>
    </row>
    <row r="1198" spans="13:25" ht="22.5" x14ac:dyDescent="0.2">
      <c r="M1198" s="26" t="s">
        <v>59</v>
      </c>
      <c r="N1198" s="25" t="s">
        <v>51</v>
      </c>
      <c r="O1198" s="26"/>
      <c r="P1198" s="26" t="s">
        <v>1147</v>
      </c>
      <c r="Q1198" s="26"/>
      <c r="R1198" s="5"/>
      <c r="S1198" s="5"/>
      <c r="T1198" s="5"/>
      <c r="U1198" s="5"/>
      <c r="V1198" s="5"/>
      <c r="W1198" s="5"/>
      <c r="X1198" s="5"/>
      <c r="Y1198" s="5"/>
    </row>
    <row r="1199" spans="13:25" ht="22.5" x14ac:dyDescent="0.2">
      <c r="M1199" s="26" t="s">
        <v>59</v>
      </c>
      <c r="N1199" s="25" t="s">
        <v>51</v>
      </c>
      <c r="O1199" s="26"/>
      <c r="P1199" s="26" t="s">
        <v>1148</v>
      </c>
      <c r="Q1199" s="26"/>
      <c r="R1199" s="5"/>
      <c r="S1199" s="5"/>
      <c r="T1199" s="5"/>
      <c r="U1199" s="5"/>
      <c r="V1199" s="5"/>
      <c r="W1199" s="5"/>
      <c r="X1199" s="5"/>
      <c r="Y1199" s="5"/>
    </row>
    <row r="1200" spans="13:25" ht="67.5" x14ac:dyDescent="0.2">
      <c r="M1200" s="26" t="s">
        <v>59</v>
      </c>
      <c r="N1200" s="25" t="s">
        <v>51</v>
      </c>
      <c r="O1200" s="26"/>
      <c r="P1200" s="26" t="s">
        <v>1144</v>
      </c>
      <c r="Q1200" s="26"/>
      <c r="R1200" s="5"/>
      <c r="S1200" s="5"/>
      <c r="T1200" s="5"/>
      <c r="U1200" s="5"/>
      <c r="V1200" s="5"/>
      <c r="W1200" s="5"/>
      <c r="X1200" s="5"/>
      <c r="Y1200" s="5"/>
    </row>
    <row r="1201" spans="13:25" ht="33.75" x14ac:dyDescent="0.2">
      <c r="M1201" s="26" t="s">
        <v>59</v>
      </c>
      <c r="N1201" s="25" t="s">
        <v>51</v>
      </c>
      <c r="O1201" s="26"/>
      <c r="P1201" s="26" t="s">
        <v>1149</v>
      </c>
      <c r="Q1201" s="26"/>
      <c r="R1201" s="5"/>
      <c r="S1201" s="5"/>
      <c r="T1201" s="5"/>
      <c r="U1201" s="5"/>
      <c r="V1201" s="5"/>
      <c r="W1201" s="5"/>
      <c r="X1201" s="5"/>
      <c r="Y1201" s="5"/>
    </row>
    <row r="1202" spans="13:25" ht="33.75" x14ac:dyDescent="0.2">
      <c r="M1202" s="26" t="s">
        <v>59</v>
      </c>
      <c r="N1202" s="25" t="s">
        <v>51</v>
      </c>
      <c r="O1202" s="26"/>
      <c r="P1202" s="26" t="s">
        <v>1149</v>
      </c>
      <c r="Q1202" s="26"/>
      <c r="R1202" s="5"/>
      <c r="S1202" s="5"/>
      <c r="T1202" s="5"/>
      <c r="U1202" s="5"/>
      <c r="V1202" s="5"/>
      <c r="W1202" s="5"/>
      <c r="X1202" s="5"/>
      <c r="Y1202" s="5"/>
    </row>
    <row r="1203" spans="13:25" ht="33.75" x14ac:dyDescent="0.2">
      <c r="M1203" s="26" t="s">
        <v>59</v>
      </c>
      <c r="N1203" s="25" t="s">
        <v>51</v>
      </c>
      <c r="O1203" s="26"/>
      <c r="P1203" s="26" t="s">
        <v>1150</v>
      </c>
      <c r="Q1203" s="26"/>
      <c r="R1203" s="5"/>
      <c r="S1203" s="5"/>
      <c r="T1203" s="5"/>
      <c r="U1203" s="5"/>
      <c r="V1203" s="5"/>
      <c r="W1203" s="5"/>
      <c r="X1203" s="5"/>
      <c r="Y1203" s="5"/>
    </row>
    <row r="1204" spans="13:25" ht="22.5" x14ac:dyDescent="0.2">
      <c r="M1204" s="26" t="s">
        <v>59</v>
      </c>
      <c r="N1204" s="25" t="s">
        <v>51</v>
      </c>
      <c r="O1204" s="26"/>
      <c r="P1204" s="26" t="s">
        <v>1151</v>
      </c>
      <c r="Q1204" s="26"/>
      <c r="R1204" s="5"/>
      <c r="S1204" s="5"/>
      <c r="T1204" s="5"/>
      <c r="U1204" s="5"/>
      <c r="V1204" s="5"/>
      <c r="W1204" s="5"/>
      <c r="X1204" s="5"/>
      <c r="Y1204" s="5"/>
    </row>
    <row r="1205" spans="13:25" ht="45" x14ac:dyDescent="0.2">
      <c r="M1205" s="26" t="s">
        <v>59</v>
      </c>
      <c r="N1205" s="25" t="s">
        <v>51</v>
      </c>
      <c r="O1205" s="26"/>
      <c r="P1205" s="26" t="s">
        <v>1140</v>
      </c>
      <c r="Q1205" s="26"/>
      <c r="R1205" s="5"/>
      <c r="S1205" s="5"/>
      <c r="T1205" s="5"/>
      <c r="U1205" s="5"/>
      <c r="V1205" s="5"/>
      <c r="W1205" s="5"/>
      <c r="X1205" s="5"/>
      <c r="Y1205" s="5"/>
    </row>
    <row r="1206" spans="13:25" ht="22.5" x14ac:dyDescent="0.2">
      <c r="M1206" s="26" t="s">
        <v>59</v>
      </c>
      <c r="N1206" s="25" t="s">
        <v>51</v>
      </c>
      <c r="O1206" s="26" t="s">
        <v>1152</v>
      </c>
      <c r="P1206" s="26"/>
      <c r="Q1206" s="26"/>
      <c r="R1206" s="5"/>
      <c r="S1206" s="5"/>
      <c r="T1206" s="5"/>
      <c r="U1206" s="5"/>
      <c r="V1206" s="5"/>
      <c r="W1206" s="5"/>
      <c r="X1206" s="5"/>
      <c r="Y1206" s="5"/>
    </row>
    <row r="1207" spans="13:25" ht="157.5" x14ac:dyDescent="0.2">
      <c r="M1207" s="26" t="s">
        <v>59</v>
      </c>
      <c r="N1207" s="25" t="s">
        <v>51</v>
      </c>
      <c r="O1207" s="26"/>
      <c r="P1207" s="26" t="s">
        <v>1048</v>
      </c>
      <c r="Q1207" s="26"/>
      <c r="R1207" s="5"/>
      <c r="S1207" s="5"/>
      <c r="T1207" s="5"/>
      <c r="U1207" s="5"/>
      <c r="V1207" s="5"/>
      <c r="W1207" s="5"/>
      <c r="X1207" s="5"/>
      <c r="Y1207" s="5"/>
    </row>
    <row r="1208" spans="13:25" ht="56.25" x14ac:dyDescent="0.2">
      <c r="M1208" s="26" t="s">
        <v>59</v>
      </c>
      <c r="N1208" s="25" t="s">
        <v>51</v>
      </c>
      <c r="O1208" s="26"/>
      <c r="P1208" s="26" t="s">
        <v>1089</v>
      </c>
      <c r="Q1208" s="26"/>
      <c r="R1208" s="5"/>
      <c r="S1208" s="5"/>
      <c r="T1208" s="5"/>
      <c r="U1208" s="5"/>
      <c r="V1208" s="5"/>
      <c r="W1208" s="5"/>
      <c r="X1208" s="5"/>
      <c r="Y1208" s="5"/>
    </row>
    <row r="1209" spans="13:25" ht="67.5" x14ac:dyDescent="0.2">
      <c r="M1209" s="26" t="s">
        <v>59</v>
      </c>
      <c r="N1209" s="25" t="s">
        <v>51</v>
      </c>
      <c r="O1209" s="26"/>
      <c r="P1209" s="26" t="s">
        <v>1082</v>
      </c>
      <c r="Q1209" s="26"/>
      <c r="R1209" s="5"/>
      <c r="S1209" s="5"/>
      <c r="T1209" s="5"/>
      <c r="U1209" s="5"/>
      <c r="V1209" s="5"/>
      <c r="W1209" s="5"/>
      <c r="X1209" s="5"/>
      <c r="Y1209" s="5"/>
    </row>
    <row r="1210" spans="13:25" ht="22.5" x14ac:dyDescent="0.2">
      <c r="M1210" s="26" t="s">
        <v>59</v>
      </c>
      <c r="N1210" s="25" t="s">
        <v>51</v>
      </c>
      <c r="O1210" s="26"/>
      <c r="P1210" s="26" t="s">
        <v>1153</v>
      </c>
      <c r="Q1210" s="26"/>
      <c r="R1210" s="5"/>
      <c r="S1210" s="5"/>
      <c r="T1210" s="5"/>
      <c r="U1210" s="5"/>
      <c r="V1210" s="5"/>
      <c r="W1210" s="5"/>
      <c r="X1210" s="5"/>
      <c r="Y1210" s="5"/>
    </row>
    <row r="1211" spans="13:25" ht="67.5" x14ac:dyDescent="0.2">
      <c r="M1211" s="26" t="s">
        <v>59</v>
      </c>
      <c r="N1211" s="25" t="s">
        <v>51</v>
      </c>
      <c r="O1211" s="26"/>
      <c r="P1211" s="26" t="s">
        <v>1154</v>
      </c>
      <c r="Q1211" s="26"/>
      <c r="R1211" s="5"/>
      <c r="S1211" s="5"/>
      <c r="T1211" s="5"/>
      <c r="U1211" s="5"/>
      <c r="V1211" s="5"/>
      <c r="W1211" s="5"/>
      <c r="X1211" s="5"/>
      <c r="Y1211" s="5"/>
    </row>
    <row r="1212" spans="13:25" ht="33.75" x14ac:dyDescent="0.2">
      <c r="M1212" s="26" t="s">
        <v>59</v>
      </c>
      <c r="N1212" s="25" t="s">
        <v>51</v>
      </c>
      <c r="O1212" s="26"/>
      <c r="P1212" s="26" t="s">
        <v>1155</v>
      </c>
      <c r="Q1212" s="26"/>
      <c r="R1212" s="5"/>
      <c r="S1212" s="5"/>
      <c r="T1212" s="5"/>
      <c r="U1212" s="5"/>
      <c r="V1212" s="5"/>
      <c r="W1212" s="5"/>
      <c r="X1212" s="5"/>
      <c r="Y1212" s="5"/>
    </row>
    <row r="1213" spans="13:25" ht="67.5" x14ac:dyDescent="0.2">
      <c r="M1213" s="26" t="s">
        <v>59</v>
      </c>
      <c r="N1213" s="25" t="s">
        <v>51</v>
      </c>
      <c r="O1213" s="26"/>
      <c r="P1213" s="26" t="s">
        <v>1091</v>
      </c>
      <c r="Q1213" s="26"/>
      <c r="R1213" s="5"/>
      <c r="S1213" s="5"/>
      <c r="T1213" s="5"/>
      <c r="U1213" s="5"/>
      <c r="V1213" s="5"/>
      <c r="W1213" s="5"/>
      <c r="X1213" s="5"/>
      <c r="Y1213" s="5"/>
    </row>
    <row r="1214" spans="13:25" ht="67.5" x14ac:dyDescent="0.2">
      <c r="M1214" s="26" t="s">
        <v>59</v>
      </c>
      <c r="N1214" s="25" t="s">
        <v>51</v>
      </c>
      <c r="O1214" s="26"/>
      <c r="P1214" s="26" t="s">
        <v>1070</v>
      </c>
      <c r="Q1214" s="26"/>
      <c r="R1214" s="5"/>
      <c r="S1214" s="5"/>
      <c r="T1214" s="5"/>
      <c r="U1214" s="5"/>
      <c r="V1214" s="5"/>
      <c r="W1214" s="5"/>
      <c r="X1214" s="5"/>
      <c r="Y1214" s="5"/>
    </row>
    <row r="1215" spans="13:25" ht="67.5" x14ac:dyDescent="0.2">
      <c r="M1215" s="26" t="s">
        <v>59</v>
      </c>
      <c r="N1215" s="25" t="s">
        <v>51</v>
      </c>
      <c r="O1215" s="26"/>
      <c r="P1215" s="26" t="s">
        <v>967</v>
      </c>
      <c r="Q1215" s="26"/>
      <c r="R1215" s="5"/>
      <c r="S1215" s="5"/>
      <c r="T1215" s="5"/>
      <c r="U1215" s="5"/>
      <c r="V1215" s="5"/>
      <c r="W1215" s="5"/>
      <c r="X1215" s="5"/>
      <c r="Y1215" s="5"/>
    </row>
    <row r="1216" spans="13:25" ht="33.75" x14ac:dyDescent="0.2">
      <c r="M1216" s="26" t="s">
        <v>59</v>
      </c>
      <c r="N1216" s="25" t="s">
        <v>51</v>
      </c>
      <c r="O1216" s="26"/>
      <c r="P1216" s="26" t="s">
        <v>1087</v>
      </c>
      <c r="Q1216" s="26"/>
      <c r="R1216" s="5"/>
      <c r="S1216" s="5"/>
      <c r="T1216" s="5"/>
      <c r="U1216" s="5"/>
      <c r="V1216" s="5"/>
      <c r="W1216" s="5"/>
      <c r="X1216" s="5"/>
      <c r="Y1216" s="5"/>
    </row>
    <row r="1217" spans="13:25" ht="33.75" x14ac:dyDescent="0.2">
      <c r="M1217" s="26" t="s">
        <v>59</v>
      </c>
      <c r="N1217" s="25" t="s">
        <v>51</v>
      </c>
      <c r="O1217" s="26"/>
      <c r="P1217" s="26" t="s">
        <v>1051</v>
      </c>
      <c r="Q1217" s="26"/>
      <c r="R1217" s="5"/>
      <c r="S1217" s="5"/>
      <c r="T1217" s="5"/>
      <c r="U1217" s="5"/>
      <c r="V1217" s="5"/>
      <c r="W1217" s="5"/>
      <c r="X1217" s="5"/>
      <c r="Y1217" s="5"/>
    </row>
    <row r="1218" spans="13:25" ht="33.75" x14ac:dyDescent="0.2">
      <c r="M1218" s="26" t="s">
        <v>59</v>
      </c>
      <c r="N1218" s="25" t="s">
        <v>51</v>
      </c>
      <c r="O1218" s="26"/>
      <c r="P1218" s="26" t="s">
        <v>1051</v>
      </c>
      <c r="Q1218" s="26"/>
      <c r="R1218" s="5"/>
      <c r="S1218" s="5"/>
      <c r="T1218" s="5"/>
      <c r="U1218" s="5"/>
      <c r="V1218" s="5"/>
      <c r="W1218" s="5"/>
      <c r="X1218" s="5"/>
      <c r="Y1218" s="5"/>
    </row>
    <row r="1219" spans="13:25" ht="45" x14ac:dyDescent="0.2">
      <c r="M1219" s="26" t="s">
        <v>59</v>
      </c>
      <c r="N1219" s="25" t="s">
        <v>51</v>
      </c>
      <c r="O1219" s="26"/>
      <c r="P1219" s="26" t="s">
        <v>1156</v>
      </c>
      <c r="Q1219" s="26"/>
      <c r="R1219" s="5"/>
      <c r="S1219" s="5"/>
      <c r="T1219" s="5"/>
      <c r="U1219" s="5"/>
      <c r="V1219" s="5"/>
      <c r="W1219" s="5"/>
      <c r="X1219" s="5"/>
      <c r="Y1219" s="5"/>
    </row>
    <row r="1220" spans="13:25" ht="33.75" x14ac:dyDescent="0.2">
      <c r="M1220" s="26" t="s">
        <v>59</v>
      </c>
      <c r="N1220" s="25" t="s">
        <v>51</v>
      </c>
      <c r="O1220" s="26"/>
      <c r="P1220" s="26" t="s">
        <v>1157</v>
      </c>
      <c r="Q1220" s="26"/>
      <c r="R1220" s="5"/>
      <c r="S1220" s="5"/>
      <c r="T1220" s="5"/>
      <c r="U1220" s="5"/>
      <c r="V1220" s="5"/>
      <c r="W1220" s="5"/>
      <c r="X1220" s="5"/>
      <c r="Y1220" s="5"/>
    </row>
    <row r="1221" spans="13:25" ht="45" x14ac:dyDescent="0.2">
      <c r="M1221" s="26" t="s">
        <v>59</v>
      </c>
      <c r="N1221" s="25" t="s">
        <v>51</v>
      </c>
      <c r="O1221" s="26"/>
      <c r="P1221" s="26" t="s">
        <v>1132</v>
      </c>
      <c r="Q1221" s="26"/>
      <c r="R1221" s="5"/>
      <c r="S1221" s="5"/>
      <c r="T1221" s="5"/>
      <c r="U1221" s="5"/>
      <c r="V1221" s="5"/>
      <c r="W1221" s="5"/>
      <c r="X1221" s="5"/>
      <c r="Y1221" s="5"/>
    </row>
    <row r="1222" spans="13:25" ht="45" x14ac:dyDescent="0.2">
      <c r="M1222" s="26" t="s">
        <v>59</v>
      </c>
      <c r="N1222" s="25" t="s">
        <v>51</v>
      </c>
      <c r="O1222" s="26"/>
      <c r="P1222" s="26" t="s">
        <v>1158</v>
      </c>
      <c r="Q1222" s="26"/>
      <c r="R1222" s="5"/>
      <c r="S1222" s="5"/>
      <c r="T1222" s="5"/>
      <c r="U1222" s="5"/>
      <c r="V1222" s="5"/>
      <c r="W1222" s="5"/>
      <c r="X1222" s="5"/>
      <c r="Y1222" s="5"/>
    </row>
    <row r="1223" spans="13:25" ht="56.25" x14ac:dyDescent="0.2">
      <c r="M1223" s="26" t="s">
        <v>59</v>
      </c>
      <c r="N1223" s="25" t="s">
        <v>51</v>
      </c>
      <c r="O1223" s="26"/>
      <c r="P1223" s="26" t="s">
        <v>1075</v>
      </c>
      <c r="Q1223" s="26"/>
      <c r="R1223" s="5"/>
      <c r="S1223" s="5"/>
      <c r="T1223" s="5"/>
      <c r="U1223" s="5"/>
      <c r="V1223" s="5"/>
      <c r="W1223" s="5"/>
      <c r="X1223" s="5"/>
      <c r="Y1223" s="5"/>
    </row>
    <row r="1224" spans="13:25" ht="56.25" x14ac:dyDescent="0.2">
      <c r="M1224" s="26" t="s">
        <v>59</v>
      </c>
      <c r="N1224" s="25" t="s">
        <v>51</v>
      </c>
      <c r="O1224" s="26"/>
      <c r="P1224" s="26" t="s">
        <v>1058</v>
      </c>
      <c r="Q1224" s="26"/>
      <c r="R1224" s="5"/>
      <c r="S1224" s="5"/>
      <c r="T1224" s="5"/>
      <c r="U1224" s="5"/>
      <c r="V1224" s="5"/>
      <c r="W1224" s="5"/>
      <c r="X1224" s="5"/>
      <c r="Y1224" s="5"/>
    </row>
    <row r="1225" spans="13:25" ht="56.25" x14ac:dyDescent="0.2">
      <c r="M1225" s="26" t="s">
        <v>59</v>
      </c>
      <c r="N1225" s="25" t="s">
        <v>51</v>
      </c>
      <c r="O1225" s="26"/>
      <c r="P1225" s="26" t="s">
        <v>1159</v>
      </c>
      <c r="Q1225" s="26"/>
      <c r="R1225" s="5"/>
      <c r="S1225" s="5"/>
      <c r="T1225" s="5"/>
      <c r="U1225" s="5"/>
      <c r="V1225" s="5"/>
      <c r="W1225" s="5"/>
      <c r="X1225" s="5"/>
      <c r="Y1225" s="5"/>
    </row>
    <row r="1226" spans="13:25" ht="90" x14ac:dyDescent="0.2">
      <c r="M1226" s="26" t="s">
        <v>59</v>
      </c>
      <c r="N1226" s="25" t="s">
        <v>51</v>
      </c>
      <c r="O1226" s="26"/>
      <c r="P1226" s="26" t="s">
        <v>1097</v>
      </c>
      <c r="Q1226" s="26"/>
      <c r="R1226" s="5"/>
      <c r="S1226" s="5"/>
      <c r="T1226" s="5"/>
      <c r="U1226" s="5"/>
      <c r="V1226" s="5"/>
      <c r="W1226" s="5"/>
      <c r="X1226" s="5"/>
      <c r="Y1226" s="5"/>
    </row>
    <row r="1227" spans="13:25" ht="90" x14ac:dyDescent="0.2">
      <c r="M1227" s="26" t="s">
        <v>59</v>
      </c>
      <c r="N1227" s="25" t="s">
        <v>51</v>
      </c>
      <c r="O1227" s="26"/>
      <c r="P1227" s="26" t="s">
        <v>1134</v>
      </c>
      <c r="Q1227" s="26"/>
      <c r="R1227" s="5"/>
      <c r="S1227" s="5"/>
      <c r="T1227" s="5"/>
      <c r="U1227" s="5"/>
      <c r="V1227" s="5"/>
      <c r="W1227" s="5"/>
      <c r="X1227" s="5"/>
      <c r="Y1227" s="5"/>
    </row>
    <row r="1228" spans="13:25" ht="90" x14ac:dyDescent="0.2">
      <c r="M1228" s="26" t="s">
        <v>59</v>
      </c>
      <c r="N1228" s="25" t="s">
        <v>51</v>
      </c>
      <c r="O1228" s="26"/>
      <c r="P1228" s="26" t="s">
        <v>1097</v>
      </c>
      <c r="Q1228" s="26"/>
      <c r="R1228" s="5"/>
      <c r="S1228" s="5"/>
      <c r="T1228" s="5"/>
      <c r="U1228" s="5"/>
      <c r="V1228" s="5"/>
      <c r="W1228" s="5"/>
      <c r="X1228" s="5"/>
      <c r="Y1228" s="5"/>
    </row>
    <row r="1229" spans="13:25" ht="90" x14ac:dyDescent="0.2">
      <c r="M1229" s="26" t="s">
        <v>59</v>
      </c>
      <c r="N1229" s="25" t="s">
        <v>51</v>
      </c>
      <c r="O1229" s="26"/>
      <c r="P1229" s="26" t="s">
        <v>1097</v>
      </c>
      <c r="Q1229" s="26"/>
      <c r="R1229" s="5"/>
      <c r="S1229" s="5"/>
      <c r="T1229" s="5"/>
      <c r="U1229" s="5"/>
      <c r="V1229" s="5"/>
      <c r="W1229" s="5"/>
      <c r="X1229" s="5"/>
      <c r="Y1229" s="5"/>
    </row>
    <row r="1230" spans="13:25" ht="90" x14ac:dyDescent="0.2">
      <c r="M1230" s="26" t="s">
        <v>59</v>
      </c>
      <c r="N1230" s="25" t="s">
        <v>51</v>
      </c>
      <c r="O1230" s="26"/>
      <c r="P1230" s="26" t="s">
        <v>1060</v>
      </c>
      <c r="Q1230" s="26"/>
      <c r="R1230" s="5"/>
      <c r="S1230" s="5"/>
      <c r="T1230" s="5"/>
      <c r="U1230" s="5"/>
      <c r="V1230" s="5"/>
      <c r="W1230" s="5"/>
      <c r="X1230" s="5"/>
      <c r="Y1230" s="5"/>
    </row>
    <row r="1231" spans="13:25" ht="45" x14ac:dyDescent="0.2">
      <c r="M1231" s="26" t="s">
        <v>59</v>
      </c>
      <c r="N1231" s="25" t="s">
        <v>51</v>
      </c>
      <c r="O1231" s="26"/>
      <c r="P1231" s="26" t="s">
        <v>1160</v>
      </c>
      <c r="Q1231" s="26"/>
      <c r="R1231" s="5"/>
      <c r="S1231" s="5"/>
      <c r="T1231" s="5"/>
      <c r="U1231" s="5"/>
      <c r="V1231" s="5"/>
      <c r="W1231" s="5"/>
      <c r="X1231" s="5"/>
      <c r="Y1231" s="5"/>
    </row>
    <row r="1232" spans="13:25" ht="45" x14ac:dyDescent="0.2">
      <c r="M1232" s="26" t="s">
        <v>59</v>
      </c>
      <c r="N1232" s="25" t="s">
        <v>51</v>
      </c>
      <c r="O1232" s="26"/>
      <c r="P1232" s="26" t="s">
        <v>1161</v>
      </c>
      <c r="Q1232" s="26"/>
      <c r="R1232" s="5"/>
      <c r="S1232" s="5"/>
      <c r="T1232" s="5"/>
      <c r="U1232" s="5"/>
      <c r="V1232" s="5"/>
      <c r="W1232" s="5"/>
      <c r="X1232" s="5"/>
      <c r="Y1232" s="5"/>
    </row>
    <row r="1233" spans="13:25" ht="45" x14ac:dyDescent="0.2">
      <c r="M1233" s="26" t="s">
        <v>59</v>
      </c>
      <c r="N1233" s="25" t="s">
        <v>51</v>
      </c>
      <c r="O1233" s="26"/>
      <c r="P1233" s="26" t="s">
        <v>1162</v>
      </c>
      <c r="Q1233" s="26"/>
      <c r="R1233" s="5"/>
      <c r="S1233" s="5"/>
      <c r="T1233" s="5"/>
      <c r="U1233" s="5"/>
      <c r="V1233" s="5"/>
      <c r="W1233" s="5"/>
      <c r="X1233" s="5"/>
      <c r="Y1233" s="5"/>
    </row>
    <row r="1234" spans="13:25" ht="33.75" x14ac:dyDescent="0.2">
      <c r="M1234" s="26" t="s">
        <v>59</v>
      </c>
      <c r="N1234" s="25" t="s">
        <v>51</v>
      </c>
      <c r="O1234" s="26"/>
      <c r="P1234" s="26" t="s">
        <v>1150</v>
      </c>
      <c r="Q1234" s="26"/>
      <c r="R1234" s="5"/>
      <c r="S1234" s="5"/>
      <c r="T1234" s="5"/>
      <c r="U1234" s="5"/>
      <c r="V1234" s="5"/>
      <c r="W1234" s="5"/>
      <c r="X1234" s="5"/>
      <c r="Y1234" s="5"/>
    </row>
    <row r="1235" spans="13:25" ht="22.5" x14ac:dyDescent="0.2">
      <c r="M1235" s="26" t="s">
        <v>59</v>
      </c>
      <c r="N1235" s="25" t="s">
        <v>51</v>
      </c>
      <c r="O1235" s="26"/>
      <c r="P1235" s="26" t="s">
        <v>1163</v>
      </c>
      <c r="Q1235" s="26"/>
      <c r="R1235" s="5"/>
      <c r="S1235" s="5"/>
      <c r="T1235" s="5"/>
      <c r="U1235" s="5"/>
      <c r="V1235" s="5"/>
      <c r="W1235" s="5"/>
      <c r="X1235" s="5"/>
      <c r="Y1235" s="5"/>
    </row>
    <row r="1236" spans="13:25" ht="22.5" x14ac:dyDescent="0.2">
      <c r="M1236" s="26" t="s">
        <v>59</v>
      </c>
      <c r="N1236" s="25" t="s">
        <v>51</v>
      </c>
      <c r="O1236" s="26"/>
      <c r="P1236" s="26" t="s">
        <v>1164</v>
      </c>
      <c r="Q1236" s="26"/>
      <c r="R1236" s="5"/>
      <c r="S1236" s="5"/>
      <c r="T1236" s="5"/>
      <c r="U1236" s="5"/>
      <c r="V1236" s="5"/>
      <c r="W1236" s="5"/>
      <c r="X1236" s="5"/>
      <c r="Y1236" s="5"/>
    </row>
    <row r="1237" spans="13:25" ht="33.75" x14ac:dyDescent="0.2">
      <c r="M1237" s="26" t="s">
        <v>59</v>
      </c>
      <c r="N1237" s="25" t="s">
        <v>51</v>
      </c>
      <c r="O1237" s="26"/>
      <c r="P1237" s="26" t="s">
        <v>1079</v>
      </c>
      <c r="Q1237" s="26"/>
      <c r="R1237" s="5"/>
      <c r="S1237" s="5"/>
      <c r="T1237" s="5"/>
      <c r="U1237" s="5"/>
      <c r="V1237" s="5"/>
      <c r="W1237" s="5"/>
      <c r="X1237" s="5"/>
      <c r="Y1237" s="5"/>
    </row>
    <row r="1238" spans="13:25" ht="33.75" x14ac:dyDescent="0.2">
      <c r="M1238" s="26" t="s">
        <v>59</v>
      </c>
      <c r="N1238" s="25" t="s">
        <v>51</v>
      </c>
      <c r="O1238" s="26"/>
      <c r="P1238" s="26" t="s">
        <v>1080</v>
      </c>
      <c r="Q1238" s="26"/>
      <c r="R1238" s="5"/>
      <c r="S1238" s="5"/>
      <c r="T1238" s="5"/>
      <c r="U1238" s="5"/>
      <c r="V1238" s="5"/>
      <c r="W1238" s="5"/>
      <c r="X1238" s="5"/>
      <c r="Y1238" s="5"/>
    </row>
    <row r="1239" spans="13:25" ht="101.25" x14ac:dyDescent="0.2">
      <c r="M1239" s="26" t="s">
        <v>59</v>
      </c>
      <c r="N1239" s="25" t="s">
        <v>51</v>
      </c>
      <c r="O1239" s="26"/>
      <c r="P1239" s="26" t="s">
        <v>1141</v>
      </c>
      <c r="Q1239" s="26"/>
      <c r="R1239" s="5"/>
      <c r="S1239" s="5"/>
      <c r="T1239" s="5"/>
      <c r="U1239" s="5"/>
      <c r="V1239" s="5"/>
      <c r="W1239" s="5"/>
      <c r="X1239" s="5"/>
      <c r="Y1239" s="5"/>
    </row>
    <row r="1240" spans="13:25" ht="67.5" x14ac:dyDescent="0.2">
      <c r="M1240" s="26" t="s">
        <v>59</v>
      </c>
      <c r="N1240" s="25" t="s">
        <v>51</v>
      </c>
      <c r="O1240" s="26"/>
      <c r="P1240" s="26" t="s">
        <v>1144</v>
      </c>
      <c r="Q1240" s="26"/>
      <c r="R1240" s="5"/>
      <c r="S1240" s="5"/>
      <c r="T1240" s="5"/>
      <c r="U1240" s="5"/>
      <c r="V1240" s="5"/>
      <c r="W1240" s="5"/>
      <c r="X1240" s="5"/>
      <c r="Y1240" s="5"/>
    </row>
    <row r="1241" spans="13:25" ht="22.5" x14ac:dyDescent="0.2">
      <c r="M1241" s="26" t="s">
        <v>59</v>
      </c>
      <c r="N1241" s="25" t="s">
        <v>51</v>
      </c>
      <c r="O1241" s="26"/>
      <c r="P1241" s="26" t="s">
        <v>1165</v>
      </c>
      <c r="Q1241" s="26"/>
      <c r="R1241" s="5"/>
      <c r="S1241" s="5"/>
      <c r="T1241" s="5"/>
      <c r="U1241" s="5"/>
      <c r="V1241" s="5"/>
      <c r="W1241" s="5"/>
      <c r="X1241" s="5"/>
      <c r="Y1241" s="5"/>
    </row>
    <row r="1242" spans="13:25" ht="22.5" x14ac:dyDescent="0.2">
      <c r="M1242" s="26" t="s">
        <v>59</v>
      </c>
      <c r="N1242" s="25" t="s">
        <v>51</v>
      </c>
      <c r="O1242" s="26"/>
      <c r="P1242" s="26" t="s">
        <v>1166</v>
      </c>
      <c r="Q1242" s="26"/>
      <c r="R1242" s="5"/>
      <c r="S1242" s="5"/>
      <c r="T1242" s="5"/>
      <c r="U1242" s="5"/>
      <c r="V1242" s="5"/>
      <c r="W1242" s="5"/>
      <c r="X1242" s="5"/>
      <c r="Y1242" s="5"/>
    </row>
    <row r="1243" spans="13:25" ht="33.75" x14ac:dyDescent="0.2">
      <c r="M1243" s="26" t="s">
        <v>59</v>
      </c>
      <c r="N1243" s="25" t="s">
        <v>51</v>
      </c>
      <c r="O1243" s="26"/>
      <c r="P1243" s="26" t="s">
        <v>1167</v>
      </c>
      <c r="Q1243" s="26"/>
      <c r="R1243" s="5"/>
      <c r="S1243" s="5"/>
      <c r="T1243" s="5"/>
      <c r="U1243" s="5"/>
      <c r="V1243" s="5"/>
      <c r="W1243" s="5"/>
      <c r="X1243" s="5"/>
      <c r="Y1243" s="5"/>
    </row>
    <row r="1244" spans="13:25" ht="22.5" x14ac:dyDescent="0.2">
      <c r="M1244" s="26" t="s">
        <v>59</v>
      </c>
      <c r="N1244" s="25" t="s">
        <v>57</v>
      </c>
      <c r="O1244" s="26"/>
      <c r="P1244" s="26" t="s">
        <v>1168</v>
      </c>
      <c r="Q1244" s="26"/>
      <c r="R1244" s="5"/>
      <c r="S1244" s="5"/>
      <c r="T1244" s="5"/>
      <c r="U1244" s="5"/>
      <c r="V1244" s="5"/>
      <c r="W1244" s="5"/>
      <c r="X1244" s="5"/>
      <c r="Y1244" s="5"/>
    </row>
    <row r="1245" spans="13:25" ht="33.75" x14ac:dyDescent="0.2">
      <c r="M1245" s="26" t="s">
        <v>59</v>
      </c>
      <c r="N1245" s="25" t="s">
        <v>51</v>
      </c>
      <c r="O1245" s="26"/>
      <c r="P1245" s="26" t="s">
        <v>1104</v>
      </c>
      <c r="Q1245" s="26"/>
      <c r="R1245" s="5"/>
      <c r="S1245" s="5"/>
      <c r="T1245" s="5"/>
      <c r="U1245" s="5"/>
      <c r="V1245" s="5"/>
      <c r="W1245" s="5"/>
      <c r="X1245" s="5"/>
      <c r="Y1245" s="5"/>
    </row>
    <row r="1246" spans="13:25" ht="22.5" x14ac:dyDescent="0.2">
      <c r="M1246" s="26" t="s">
        <v>59</v>
      </c>
      <c r="N1246" s="25" t="s">
        <v>51</v>
      </c>
      <c r="O1246" s="26"/>
      <c r="P1246" s="26" t="s">
        <v>1169</v>
      </c>
      <c r="Q1246" s="26"/>
      <c r="R1246" s="5"/>
      <c r="S1246" s="5"/>
      <c r="T1246" s="5"/>
      <c r="U1246" s="5"/>
      <c r="V1246" s="5"/>
      <c r="W1246" s="5"/>
      <c r="X1246" s="5"/>
      <c r="Y1246" s="5"/>
    </row>
    <row r="1247" spans="13:25" ht="33.75" x14ac:dyDescent="0.2">
      <c r="M1247" s="26" t="s">
        <v>59</v>
      </c>
      <c r="N1247" s="25" t="s">
        <v>51</v>
      </c>
      <c r="O1247" s="26"/>
      <c r="P1247" s="26" t="s">
        <v>1170</v>
      </c>
      <c r="Q1247" s="26"/>
      <c r="R1247" s="5"/>
      <c r="S1247" s="5"/>
      <c r="T1247" s="5"/>
      <c r="U1247" s="5"/>
      <c r="V1247" s="5"/>
      <c r="W1247" s="5"/>
      <c r="X1247" s="5"/>
      <c r="Y1247" s="5"/>
    </row>
    <row r="1248" spans="13:25" ht="45" x14ac:dyDescent="0.2">
      <c r="M1248" s="26" t="s">
        <v>59</v>
      </c>
      <c r="N1248" s="25" t="s">
        <v>51</v>
      </c>
      <c r="O1248" s="26"/>
      <c r="P1248" s="26" t="s">
        <v>1171</v>
      </c>
      <c r="Q1248" s="26"/>
      <c r="R1248" s="5"/>
      <c r="S1248" s="5"/>
      <c r="T1248" s="5"/>
      <c r="U1248" s="5"/>
      <c r="V1248" s="5"/>
      <c r="W1248" s="5"/>
      <c r="X1248" s="5"/>
      <c r="Y1248" s="5"/>
    </row>
    <row r="1249" spans="13:25" ht="22.5" x14ac:dyDescent="0.2">
      <c r="M1249" s="26" t="s">
        <v>59</v>
      </c>
      <c r="N1249" s="25" t="s">
        <v>51</v>
      </c>
      <c r="O1249" s="26" t="s">
        <v>1172</v>
      </c>
      <c r="P1249" s="26"/>
      <c r="Q1249" s="26"/>
      <c r="R1249" s="5"/>
      <c r="S1249" s="5"/>
      <c r="T1249" s="5"/>
      <c r="U1249" s="5"/>
      <c r="V1249" s="5"/>
      <c r="W1249" s="5"/>
      <c r="X1249" s="5"/>
      <c r="Y1249" s="5"/>
    </row>
    <row r="1250" spans="13:25" ht="33.75" x14ac:dyDescent="0.2">
      <c r="M1250" s="26" t="s">
        <v>59</v>
      </c>
      <c r="N1250" s="25" t="s">
        <v>51</v>
      </c>
      <c r="O1250" s="26"/>
      <c r="P1250" s="26" t="s">
        <v>1173</v>
      </c>
      <c r="Q1250" s="26"/>
      <c r="R1250" s="5"/>
      <c r="S1250" s="5"/>
      <c r="T1250" s="5"/>
      <c r="U1250" s="5"/>
      <c r="V1250" s="5"/>
      <c r="W1250" s="5"/>
      <c r="X1250" s="5"/>
      <c r="Y1250" s="5"/>
    </row>
    <row r="1251" spans="13:25" ht="67.5" x14ac:dyDescent="0.2">
      <c r="M1251" s="26" t="s">
        <v>59</v>
      </c>
      <c r="N1251" s="25" t="s">
        <v>51</v>
      </c>
      <c r="O1251" s="26"/>
      <c r="P1251" s="26" t="s">
        <v>995</v>
      </c>
      <c r="Q1251" s="26"/>
      <c r="R1251" s="5"/>
      <c r="S1251" s="5"/>
      <c r="T1251" s="5"/>
      <c r="U1251" s="5"/>
      <c r="V1251" s="5"/>
      <c r="W1251" s="5"/>
      <c r="X1251" s="5"/>
      <c r="Y1251" s="5"/>
    </row>
    <row r="1252" spans="13:25" ht="33.75" x14ac:dyDescent="0.2">
      <c r="M1252" s="26" t="s">
        <v>59</v>
      </c>
      <c r="N1252" s="25" t="s">
        <v>51</v>
      </c>
      <c r="O1252" s="26"/>
      <c r="P1252" s="26" t="s">
        <v>1174</v>
      </c>
      <c r="Q1252" s="26"/>
      <c r="R1252" s="5"/>
      <c r="S1252" s="5"/>
      <c r="T1252" s="5"/>
      <c r="U1252" s="5"/>
      <c r="V1252" s="5"/>
      <c r="W1252" s="5"/>
      <c r="X1252" s="5"/>
      <c r="Y1252" s="5"/>
    </row>
    <row r="1253" spans="13:25" ht="67.5" x14ac:dyDescent="0.2">
      <c r="M1253" s="26" t="s">
        <v>59</v>
      </c>
      <c r="N1253" s="25" t="s">
        <v>51</v>
      </c>
      <c r="O1253" s="26"/>
      <c r="P1253" s="26" t="s">
        <v>1070</v>
      </c>
      <c r="Q1253" s="26"/>
      <c r="R1253" s="5"/>
      <c r="S1253" s="5"/>
      <c r="T1253" s="5"/>
      <c r="U1253" s="5"/>
      <c r="V1253" s="5"/>
      <c r="W1253" s="5"/>
      <c r="X1253" s="5"/>
      <c r="Y1253" s="5"/>
    </row>
    <row r="1254" spans="13:25" ht="56.25" x14ac:dyDescent="0.2">
      <c r="M1254" s="26" t="s">
        <v>59</v>
      </c>
      <c r="N1254" s="25" t="s">
        <v>51</v>
      </c>
      <c r="O1254" s="26"/>
      <c r="P1254" s="26" t="s">
        <v>1058</v>
      </c>
      <c r="Q1254" s="26"/>
      <c r="R1254" s="5"/>
      <c r="S1254" s="5"/>
      <c r="T1254" s="5"/>
      <c r="U1254" s="5"/>
      <c r="V1254" s="5"/>
      <c r="W1254" s="5"/>
      <c r="X1254" s="5"/>
      <c r="Y1254" s="5"/>
    </row>
    <row r="1255" spans="13:25" ht="90" x14ac:dyDescent="0.2">
      <c r="M1255" s="26" t="s">
        <v>59</v>
      </c>
      <c r="N1255" s="25" t="s">
        <v>51</v>
      </c>
      <c r="O1255" s="26"/>
      <c r="P1255" s="26" t="s">
        <v>1097</v>
      </c>
      <c r="Q1255" s="26"/>
      <c r="R1255" s="5"/>
      <c r="S1255" s="5"/>
      <c r="T1255" s="5"/>
      <c r="U1255" s="5"/>
      <c r="V1255" s="5"/>
      <c r="W1255" s="5"/>
      <c r="X1255" s="5"/>
      <c r="Y1255" s="5"/>
    </row>
    <row r="1256" spans="13:25" ht="56.25" x14ac:dyDescent="0.2">
      <c r="M1256" s="26" t="s">
        <v>59</v>
      </c>
      <c r="N1256" s="25" t="s">
        <v>51</v>
      </c>
      <c r="O1256" s="26"/>
      <c r="P1256" s="26" t="s">
        <v>1061</v>
      </c>
      <c r="Q1256" s="26"/>
      <c r="R1256" s="5"/>
      <c r="S1256" s="5"/>
      <c r="T1256" s="5"/>
      <c r="U1256" s="5"/>
      <c r="V1256" s="5"/>
      <c r="W1256" s="5"/>
      <c r="X1256" s="5"/>
      <c r="Y1256" s="5"/>
    </row>
    <row r="1257" spans="13:25" ht="45" x14ac:dyDescent="0.2">
      <c r="M1257" s="26" t="s">
        <v>59</v>
      </c>
      <c r="N1257" s="25" t="s">
        <v>51</v>
      </c>
      <c r="O1257" s="26"/>
      <c r="P1257" s="26" t="s">
        <v>1161</v>
      </c>
      <c r="Q1257" s="26"/>
      <c r="R1257" s="5"/>
      <c r="S1257" s="5"/>
      <c r="T1257" s="5"/>
      <c r="U1257" s="5"/>
      <c r="V1257" s="5"/>
      <c r="W1257" s="5"/>
      <c r="X1257" s="5"/>
      <c r="Y1257" s="5"/>
    </row>
    <row r="1258" spans="13:25" ht="45" x14ac:dyDescent="0.2">
      <c r="M1258" s="26" t="s">
        <v>59</v>
      </c>
      <c r="N1258" s="25" t="s">
        <v>51</v>
      </c>
      <c r="O1258" s="26"/>
      <c r="P1258" s="26" t="s">
        <v>1162</v>
      </c>
      <c r="Q1258" s="26"/>
      <c r="R1258" s="5"/>
      <c r="S1258" s="5"/>
      <c r="T1258" s="5"/>
      <c r="U1258" s="5"/>
      <c r="V1258" s="5"/>
      <c r="W1258" s="5"/>
      <c r="X1258" s="5"/>
      <c r="Y1258" s="5"/>
    </row>
    <row r="1259" spans="13:25" ht="101.25" x14ac:dyDescent="0.2">
      <c r="M1259" s="26" t="s">
        <v>59</v>
      </c>
      <c r="N1259" s="25" t="s">
        <v>51</v>
      </c>
      <c r="O1259" s="26"/>
      <c r="P1259" s="26" t="s">
        <v>1175</v>
      </c>
      <c r="Q1259" s="26"/>
      <c r="R1259" s="5"/>
      <c r="S1259" s="5"/>
      <c r="T1259" s="5"/>
      <c r="U1259" s="5"/>
      <c r="V1259" s="5"/>
      <c r="W1259" s="5"/>
      <c r="X1259" s="5"/>
      <c r="Y1259" s="5"/>
    </row>
    <row r="1260" spans="13:25" ht="33.75" x14ac:dyDescent="0.2">
      <c r="M1260" s="26" t="s">
        <v>59</v>
      </c>
      <c r="N1260" s="25" t="s">
        <v>51</v>
      </c>
      <c r="O1260" s="26"/>
      <c r="P1260" s="26" t="s">
        <v>1176</v>
      </c>
      <c r="Q1260" s="26"/>
      <c r="R1260" s="5"/>
      <c r="S1260" s="5"/>
      <c r="T1260" s="5"/>
      <c r="U1260" s="5"/>
      <c r="V1260" s="5"/>
      <c r="W1260" s="5"/>
      <c r="X1260" s="5"/>
      <c r="Y1260" s="5"/>
    </row>
    <row r="1261" spans="13:25" ht="33.75" x14ac:dyDescent="0.2">
      <c r="M1261" s="26" t="s">
        <v>59</v>
      </c>
      <c r="N1261" s="25" t="s">
        <v>51</v>
      </c>
      <c r="O1261" s="26"/>
      <c r="P1261" s="26" t="s">
        <v>1177</v>
      </c>
      <c r="Q1261" s="26"/>
      <c r="R1261" s="5"/>
      <c r="S1261" s="5"/>
      <c r="T1261" s="5"/>
      <c r="U1261" s="5"/>
      <c r="V1261" s="5"/>
      <c r="W1261" s="5"/>
      <c r="X1261" s="5"/>
      <c r="Y1261" s="5"/>
    </row>
    <row r="1262" spans="13:25" ht="22.5" x14ac:dyDescent="0.2">
      <c r="M1262" s="26" t="s">
        <v>59</v>
      </c>
      <c r="N1262" s="25" t="s">
        <v>57</v>
      </c>
      <c r="O1262" s="26"/>
      <c r="P1262" s="26" t="s">
        <v>1178</v>
      </c>
      <c r="Q1262" s="26"/>
      <c r="R1262" s="5"/>
      <c r="S1262" s="5"/>
      <c r="T1262" s="5"/>
      <c r="U1262" s="5"/>
      <c r="V1262" s="5"/>
      <c r="W1262" s="5"/>
      <c r="X1262" s="5"/>
      <c r="Y1262" s="5"/>
    </row>
    <row r="1263" spans="13:25" ht="22.5" x14ac:dyDescent="0.2">
      <c r="M1263" s="26" t="s">
        <v>59</v>
      </c>
      <c r="N1263" s="25" t="s">
        <v>51</v>
      </c>
      <c r="O1263" s="26"/>
      <c r="P1263" s="26" t="s">
        <v>1179</v>
      </c>
      <c r="Q1263" s="26"/>
      <c r="R1263" s="5"/>
      <c r="S1263" s="5"/>
      <c r="T1263" s="5"/>
      <c r="U1263" s="5"/>
      <c r="V1263" s="5"/>
      <c r="W1263" s="5"/>
      <c r="X1263" s="5"/>
      <c r="Y1263" s="5"/>
    </row>
    <row r="1264" spans="13:25" ht="56.25" x14ac:dyDescent="0.2">
      <c r="M1264" s="26" t="s">
        <v>59</v>
      </c>
      <c r="N1264" s="25" t="s">
        <v>51</v>
      </c>
      <c r="O1264" s="26"/>
      <c r="P1264" s="26" t="s">
        <v>970</v>
      </c>
      <c r="Q1264" s="26"/>
      <c r="R1264" s="5"/>
      <c r="S1264" s="5"/>
      <c r="T1264" s="5"/>
      <c r="U1264" s="5"/>
      <c r="V1264" s="5"/>
      <c r="W1264" s="5"/>
      <c r="X1264" s="5"/>
      <c r="Y1264" s="5"/>
    </row>
    <row r="1265" spans="13:25" ht="22.5" x14ac:dyDescent="0.2">
      <c r="M1265" s="26" t="s">
        <v>59</v>
      </c>
      <c r="N1265" s="25" t="s">
        <v>51</v>
      </c>
      <c r="O1265" s="26" t="s">
        <v>1180</v>
      </c>
      <c r="P1265" s="26"/>
      <c r="Q1265" s="26"/>
      <c r="R1265" s="5"/>
      <c r="S1265" s="5"/>
      <c r="T1265" s="5"/>
      <c r="U1265" s="5"/>
      <c r="V1265" s="5"/>
      <c r="W1265" s="5"/>
      <c r="X1265" s="5"/>
      <c r="Y1265" s="5"/>
    </row>
    <row r="1266" spans="13:25" ht="56.25" x14ac:dyDescent="0.2">
      <c r="M1266" s="26" t="s">
        <v>59</v>
      </c>
      <c r="N1266" s="25" t="s">
        <v>51</v>
      </c>
      <c r="O1266" s="26"/>
      <c r="P1266" s="26" t="s">
        <v>1181</v>
      </c>
      <c r="Q1266" s="26"/>
      <c r="R1266" s="5"/>
      <c r="S1266" s="5"/>
      <c r="T1266" s="5"/>
      <c r="U1266" s="5"/>
      <c r="V1266" s="5"/>
      <c r="W1266" s="5"/>
      <c r="X1266" s="5"/>
      <c r="Y1266" s="5"/>
    </row>
    <row r="1267" spans="13:25" ht="33.75" x14ac:dyDescent="0.2">
      <c r="M1267" s="26" t="s">
        <v>59</v>
      </c>
      <c r="N1267" s="25" t="s">
        <v>51</v>
      </c>
      <c r="O1267" s="26"/>
      <c r="P1267" s="26" t="s">
        <v>1182</v>
      </c>
      <c r="Q1267" s="26"/>
      <c r="R1267" s="5"/>
      <c r="S1267" s="5"/>
      <c r="T1267" s="5"/>
      <c r="U1267" s="5"/>
      <c r="V1267" s="5"/>
      <c r="W1267" s="5"/>
      <c r="X1267" s="5"/>
      <c r="Y1267" s="5"/>
    </row>
    <row r="1268" spans="13:25" ht="67.5" x14ac:dyDescent="0.2">
      <c r="M1268" s="26" t="s">
        <v>59</v>
      </c>
      <c r="N1268" s="25" t="s">
        <v>51</v>
      </c>
      <c r="O1268" s="26"/>
      <c r="P1268" s="26" t="s">
        <v>1183</v>
      </c>
      <c r="Q1268" s="26"/>
      <c r="R1268" s="5"/>
      <c r="S1268" s="5"/>
      <c r="T1268" s="5"/>
      <c r="U1268" s="5"/>
      <c r="V1268" s="5"/>
      <c r="W1268" s="5"/>
      <c r="X1268" s="5"/>
      <c r="Y1268" s="5"/>
    </row>
    <row r="1269" spans="13:25" ht="22.5" x14ac:dyDescent="0.2">
      <c r="M1269" s="26" t="s">
        <v>59</v>
      </c>
      <c r="N1269" s="25" t="s">
        <v>51</v>
      </c>
      <c r="O1269" s="26"/>
      <c r="P1269" s="26" t="s">
        <v>1184</v>
      </c>
      <c r="Q1269" s="26"/>
      <c r="R1269" s="5"/>
      <c r="S1269" s="5"/>
      <c r="T1269" s="5"/>
      <c r="U1269" s="5"/>
      <c r="V1269" s="5"/>
      <c r="W1269" s="5"/>
      <c r="X1269" s="5"/>
      <c r="Y1269" s="5"/>
    </row>
    <row r="1270" spans="13:25" ht="56.25" x14ac:dyDescent="0.2">
      <c r="M1270" s="26" t="s">
        <v>59</v>
      </c>
      <c r="N1270" s="25" t="s">
        <v>51</v>
      </c>
      <c r="O1270" s="26"/>
      <c r="P1270" s="26" t="s">
        <v>1075</v>
      </c>
      <c r="Q1270" s="26"/>
      <c r="R1270" s="5"/>
      <c r="S1270" s="5"/>
      <c r="T1270" s="5"/>
      <c r="U1270" s="5"/>
      <c r="V1270" s="5"/>
      <c r="W1270" s="5"/>
      <c r="X1270" s="5"/>
      <c r="Y1270" s="5"/>
    </row>
    <row r="1271" spans="13:25" ht="56.25" x14ac:dyDescent="0.2">
      <c r="M1271" s="26" t="s">
        <v>59</v>
      </c>
      <c r="N1271" s="25" t="s">
        <v>51</v>
      </c>
      <c r="O1271" s="26"/>
      <c r="P1271" s="26" t="s">
        <v>1185</v>
      </c>
      <c r="Q1271" s="26"/>
      <c r="R1271" s="5"/>
      <c r="S1271" s="5"/>
      <c r="T1271" s="5"/>
      <c r="U1271" s="5"/>
      <c r="V1271" s="5"/>
      <c r="W1271" s="5"/>
      <c r="X1271" s="5"/>
      <c r="Y1271" s="5"/>
    </row>
    <row r="1272" spans="13:25" ht="22.5" x14ac:dyDescent="0.2">
      <c r="M1272" s="26" t="s">
        <v>59</v>
      </c>
      <c r="N1272" s="25" t="s">
        <v>57</v>
      </c>
      <c r="O1272" s="26"/>
      <c r="P1272" s="26" t="s">
        <v>1186</v>
      </c>
      <c r="Q1272" s="26"/>
      <c r="R1272" s="5"/>
      <c r="S1272" s="5"/>
      <c r="T1272" s="5"/>
      <c r="U1272" s="5"/>
      <c r="V1272" s="5"/>
      <c r="W1272" s="5"/>
      <c r="X1272" s="5"/>
      <c r="Y1272" s="5"/>
    </row>
    <row r="1273" spans="13:25" ht="22.5" x14ac:dyDescent="0.2">
      <c r="M1273" s="26" t="s">
        <v>59</v>
      </c>
      <c r="N1273" s="25" t="s">
        <v>57</v>
      </c>
      <c r="O1273" s="26"/>
      <c r="P1273" s="26" t="s">
        <v>1187</v>
      </c>
      <c r="Q1273" s="26"/>
      <c r="R1273" s="5"/>
      <c r="S1273" s="5"/>
      <c r="T1273" s="5"/>
      <c r="U1273" s="5"/>
      <c r="V1273" s="5"/>
      <c r="W1273" s="5"/>
      <c r="X1273" s="5"/>
      <c r="Y1273" s="5"/>
    </row>
    <row r="1274" spans="13:25" ht="22.5" x14ac:dyDescent="0.2">
      <c r="M1274" s="26" t="s">
        <v>59</v>
      </c>
      <c r="N1274" s="25" t="s">
        <v>51</v>
      </c>
      <c r="O1274" s="26"/>
      <c r="P1274" s="26" t="s">
        <v>1188</v>
      </c>
      <c r="Q1274" s="26"/>
      <c r="R1274" s="5"/>
      <c r="S1274" s="5"/>
      <c r="T1274" s="5"/>
      <c r="U1274" s="5"/>
      <c r="V1274" s="5"/>
      <c r="W1274" s="5"/>
      <c r="X1274" s="5"/>
      <c r="Y1274" s="5"/>
    </row>
    <row r="1275" spans="13:25" ht="56.25" x14ac:dyDescent="0.2">
      <c r="M1275" s="26" t="s">
        <v>59</v>
      </c>
      <c r="N1275" s="25" t="s">
        <v>51</v>
      </c>
      <c r="O1275" s="26"/>
      <c r="P1275" s="26" t="s">
        <v>1189</v>
      </c>
      <c r="Q1275" s="26"/>
      <c r="R1275" s="5"/>
      <c r="S1275" s="5"/>
      <c r="T1275" s="5"/>
      <c r="U1275" s="5"/>
      <c r="V1275" s="5"/>
      <c r="W1275" s="5"/>
      <c r="X1275" s="5"/>
      <c r="Y1275" s="5"/>
    </row>
    <row r="1276" spans="13:25" ht="22.5" x14ac:dyDescent="0.2">
      <c r="M1276" s="26" t="s">
        <v>59</v>
      </c>
      <c r="N1276" s="25" t="s">
        <v>57</v>
      </c>
      <c r="O1276" s="26" t="s">
        <v>1190</v>
      </c>
      <c r="P1276" s="26"/>
      <c r="Q1276" s="26"/>
      <c r="R1276" s="5"/>
      <c r="S1276" s="5"/>
      <c r="T1276" s="5"/>
      <c r="U1276" s="5"/>
      <c r="V1276" s="5"/>
      <c r="W1276" s="5"/>
      <c r="X1276" s="5"/>
      <c r="Y1276" s="5"/>
    </row>
    <row r="1277" spans="13:25" ht="22.5" x14ac:dyDescent="0.2">
      <c r="M1277" s="26" t="s">
        <v>59</v>
      </c>
      <c r="N1277" s="25" t="s">
        <v>51</v>
      </c>
      <c r="O1277" s="26" t="s">
        <v>1191</v>
      </c>
      <c r="P1277" s="26"/>
      <c r="Q1277" s="26"/>
      <c r="R1277" s="5"/>
      <c r="S1277" s="5"/>
      <c r="T1277" s="5"/>
      <c r="U1277" s="5"/>
      <c r="V1277" s="5"/>
      <c r="W1277" s="5"/>
      <c r="X1277" s="5"/>
      <c r="Y1277" s="5"/>
    </row>
    <row r="1278" spans="13:25" ht="56.25" x14ac:dyDescent="0.2">
      <c r="M1278" s="26" t="s">
        <v>59</v>
      </c>
      <c r="N1278" s="25" t="s">
        <v>51</v>
      </c>
      <c r="O1278" s="26"/>
      <c r="P1278" s="26" t="s">
        <v>1192</v>
      </c>
      <c r="Q1278" s="26"/>
      <c r="R1278" s="5"/>
      <c r="S1278" s="5"/>
      <c r="T1278" s="5"/>
      <c r="U1278" s="5"/>
      <c r="V1278" s="5"/>
      <c r="W1278" s="5"/>
      <c r="X1278" s="5"/>
      <c r="Y1278" s="5"/>
    </row>
    <row r="1279" spans="13:25" ht="33.75" x14ac:dyDescent="0.2">
      <c r="M1279" s="26" t="s">
        <v>59</v>
      </c>
      <c r="N1279" s="25" t="s">
        <v>51</v>
      </c>
      <c r="O1279" s="26"/>
      <c r="P1279" s="26" t="s">
        <v>983</v>
      </c>
      <c r="Q1279" s="26"/>
      <c r="R1279" s="5"/>
      <c r="S1279" s="5"/>
      <c r="T1279" s="5"/>
      <c r="U1279" s="5"/>
      <c r="V1279" s="5"/>
      <c r="W1279" s="5"/>
      <c r="X1279" s="5"/>
      <c r="Y1279" s="5"/>
    </row>
    <row r="1280" spans="13:25" ht="67.5" x14ac:dyDescent="0.2">
      <c r="M1280" s="26" t="s">
        <v>59</v>
      </c>
      <c r="N1280" s="25" t="s">
        <v>51</v>
      </c>
      <c r="O1280" s="26"/>
      <c r="P1280" s="26" t="s">
        <v>1070</v>
      </c>
      <c r="Q1280" s="26"/>
      <c r="R1280" s="5"/>
      <c r="S1280" s="5"/>
      <c r="T1280" s="5"/>
      <c r="U1280" s="5"/>
      <c r="V1280" s="5"/>
      <c r="W1280" s="5"/>
      <c r="X1280" s="5"/>
      <c r="Y1280" s="5"/>
    </row>
    <row r="1281" spans="13:25" ht="22.5" x14ac:dyDescent="0.2">
      <c r="M1281" s="26" t="s">
        <v>59</v>
      </c>
      <c r="N1281" s="25" t="s">
        <v>51</v>
      </c>
      <c r="O1281" s="26"/>
      <c r="P1281" s="26" t="s">
        <v>1193</v>
      </c>
      <c r="Q1281" s="26"/>
      <c r="R1281" s="5"/>
      <c r="S1281" s="5"/>
      <c r="T1281" s="5"/>
      <c r="U1281" s="5"/>
      <c r="V1281" s="5"/>
      <c r="W1281" s="5"/>
      <c r="X1281" s="5"/>
      <c r="Y1281" s="5"/>
    </row>
    <row r="1282" spans="13:25" ht="56.25" x14ac:dyDescent="0.2">
      <c r="M1282" s="26" t="s">
        <v>59</v>
      </c>
      <c r="N1282" s="25" t="s">
        <v>51</v>
      </c>
      <c r="O1282" s="26"/>
      <c r="P1282" s="26" t="s">
        <v>1058</v>
      </c>
      <c r="Q1282" s="26"/>
      <c r="R1282" s="5"/>
      <c r="S1282" s="5"/>
      <c r="T1282" s="5"/>
      <c r="U1282" s="5"/>
      <c r="V1282" s="5"/>
      <c r="W1282" s="5"/>
      <c r="X1282" s="5"/>
      <c r="Y1282" s="5"/>
    </row>
    <row r="1283" spans="13:25" ht="45" x14ac:dyDescent="0.2">
      <c r="M1283" s="26" t="s">
        <v>59</v>
      </c>
      <c r="N1283" s="25" t="s">
        <v>51</v>
      </c>
      <c r="O1283" s="26"/>
      <c r="P1283" s="26" t="s">
        <v>1161</v>
      </c>
      <c r="Q1283" s="26"/>
      <c r="R1283" s="5"/>
      <c r="S1283" s="5"/>
      <c r="T1283" s="5"/>
      <c r="U1283" s="5"/>
      <c r="V1283" s="5"/>
      <c r="W1283" s="5"/>
      <c r="X1283" s="5"/>
      <c r="Y1283" s="5"/>
    </row>
    <row r="1284" spans="13:25" ht="45" x14ac:dyDescent="0.2">
      <c r="M1284" s="26" t="s">
        <v>59</v>
      </c>
      <c r="N1284" s="25" t="s">
        <v>51</v>
      </c>
      <c r="O1284" s="26"/>
      <c r="P1284" s="26" t="s">
        <v>1162</v>
      </c>
      <c r="Q1284" s="26"/>
      <c r="R1284" s="5"/>
      <c r="S1284" s="5"/>
      <c r="T1284" s="5"/>
      <c r="U1284" s="5"/>
      <c r="V1284" s="5"/>
      <c r="W1284" s="5"/>
      <c r="X1284" s="5"/>
      <c r="Y1284" s="5"/>
    </row>
    <row r="1285" spans="13:25" ht="22.5" x14ac:dyDescent="0.2">
      <c r="M1285" s="26" t="s">
        <v>59</v>
      </c>
      <c r="N1285" s="25" t="s">
        <v>57</v>
      </c>
      <c r="O1285" s="26"/>
      <c r="P1285" s="26" t="s">
        <v>1194</v>
      </c>
      <c r="Q1285" s="26"/>
      <c r="R1285" s="5"/>
      <c r="S1285" s="5"/>
      <c r="T1285" s="5"/>
      <c r="U1285" s="5"/>
      <c r="V1285" s="5"/>
      <c r="W1285" s="5"/>
      <c r="X1285" s="5"/>
      <c r="Y1285" s="5"/>
    </row>
    <row r="1286" spans="13:25" ht="22.5" x14ac:dyDescent="0.2">
      <c r="M1286" s="26" t="s">
        <v>59</v>
      </c>
      <c r="N1286" s="25" t="s">
        <v>51</v>
      </c>
      <c r="O1286" s="26"/>
      <c r="P1286" s="26" t="s">
        <v>1195</v>
      </c>
      <c r="Q1286" s="26"/>
      <c r="R1286" s="5"/>
      <c r="S1286" s="5"/>
      <c r="T1286" s="5"/>
      <c r="U1286" s="5"/>
      <c r="V1286" s="5"/>
      <c r="W1286" s="5"/>
      <c r="X1286" s="5"/>
      <c r="Y1286" s="5"/>
    </row>
    <row r="1287" spans="13:25" ht="56.25" x14ac:dyDescent="0.2">
      <c r="M1287" s="26" t="s">
        <v>59</v>
      </c>
      <c r="N1287" s="25" t="s">
        <v>51</v>
      </c>
      <c r="O1287" s="26"/>
      <c r="P1287" s="26" t="s">
        <v>1196</v>
      </c>
      <c r="Q1287" s="26"/>
      <c r="R1287" s="5"/>
      <c r="S1287" s="5"/>
      <c r="T1287" s="5"/>
      <c r="U1287" s="5"/>
      <c r="V1287" s="5"/>
      <c r="W1287" s="5"/>
      <c r="X1287" s="5"/>
      <c r="Y1287" s="5"/>
    </row>
    <row r="1288" spans="13:25" ht="22.5" x14ac:dyDescent="0.2">
      <c r="M1288" s="26" t="s">
        <v>59</v>
      </c>
      <c r="N1288" s="25" t="s">
        <v>51</v>
      </c>
      <c r="O1288" s="26" t="s">
        <v>1197</v>
      </c>
      <c r="P1288" s="26"/>
      <c r="Q1288" s="26"/>
      <c r="R1288" s="5"/>
      <c r="S1288" s="5"/>
      <c r="T1288" s="5"/>
      <c r="U1288" s="5"/>
      <c r="V1288" s="5"/>
      <c r="W1288" s="5"/>
      <c r="X1288" s="5"/>
      <c r="Y1288" s="5"/>
    </row>
    <row r="1289" spans="13:25" ht="33.75" x14ac:dyDescent="0.2">
      <c r="M1289" s="26" t="s">
        <v>59</v>
      </c>
      <c r="N1289" s="25" t="s">
        <v>51</v>
      </c>
      <c r="O1289" s="26"/>
      <c r="P1289" s="26" t="s">
        <v>966</v>
      </c>
      <c r="Q1289" s="26"/>
      <c r="R1289" s="5"/>
      <c r="S1289" s="5"/>
      <c r="T1289" s="5"/>
      <c r="U1289" s="5"/>
      <c r="V1289" s="5"/>
      <c r="W1289" s="5"/>
      <c r="X1289" s="5"/>
      <c r="Y1289" s="5"/>
    </row>
    <row r="1290" spans="13:25" ht="67.5" x14ac:dyDescent="0.2">
      <c r="M1290" s="26" t="s">
        <v>59</v>
      </c>
      <c r="N1290" s="25" t="s">
        <v>51</v>
      </c>
      <c r="O1290" s="26"/>
      <c r="P1290" s="26" t="s">
        <v>1116</v>
      </c>
      <c r="Q1290" s="26"/>
      <c r="R1290" s="5"/>
      <c r="S1290" s="5"/>
      <c r="T1290" s="5"/>
      <c r="U1290" s="5"/>
      <c r="V1290" s="5"/>
      <c r="W1290" s="5"/>
      <c r="X1290" s="5"/>
      <c r="Y1290" s="5"/>
    </row>
    <row r="1291" spans="13:25" ht="33.75" x14ac:dyDescent="0.2">
      <c r="M1291" s="26" t="s">
        <v>59</v>
      </c>
      <c r="N1291" s="25" t="s">
        <v>51</v>
      </c>
      <c r="O1291" s="26"/>
      <c r="P1291" s="26" t="s">
        <v>1087</v>
      </c>
      <c r="Q1291" s="26"/>
      <c r="R1291" s="5"/>
      <c r="S1291" s="5"/>
      <c r="T1291" s="5"/>
      <c r="U1291" s="5"/>
      <c r="V1291" s="5"/>
      <c r="W1291" s="5"/>
      <c r="X1291" s="5"/>
      <c r="Y1291" s="5"/>
    </row>
    <row r="1292" spans="13:25" ht="45" x14ac:dyDescent="0.2">
      <c r="M1292" s="26" t="s">
        <v>59</v>
      </c>
      <c r="N1292" s="25" t="s">
        <v>51</v>
      </c>
      <c r="O1292" s="26"/>
      <c r="P1292" s="26" t="s">
        <v>1094</v>
      </c>
      <c r="Q1292" s="26"/>
      <c r="R1292" s="5"/>
      <c r="S1292" s="5"/>
      <c r="T1292" s="5"/>
      <c r="U1292" s="5"/>
      <c r="V1292" s="5"/>
      <c r="W1292" s="5"/>
      <c r="X1292" s="5"/>
      <c r="Y1292" s="5"/>
    </row>
    <row r="1293" spans="13:25" ht="45" x14ac:dyDescent="0.2">
      <c r="M1293" s="26" t="s">
        <v>59</v>
      </c>
      <c r="N1293" s="25" t="s">
        <v>51</v>
      </c>
      <c r="O1293" s="26"/>
      <c r="P1293" s="26" t="s">
        <v>1117</v>
      </c>
      <c r="Q1293" s="26"/>
      <c r="R1293" s="5"/>
      <c r="S1293" s="5"/>
      <c r="T1293" s="5"/>
      <c r="U1293" s="5"/>
      <c r="V1293" s="5"/>
      <c r="W1293" s="5"/>
      <c r="X1293" s="5"/>
      <c r="Y1293" s="5"/>
    </row>
    <row r="1294" spans="13:25" ht="22.5" x14ac:dyDescent="0.2">
      <c r="M1294" s="26" t="s">
        <v>59</v>
      </c>
      <c r="N1294" s="25" t="s">
        <v>57</v>
      </c>
      <c r="O1294" s="26"/>
      <c r="P1294" s="26" t="s">
        <v>1198</v>
      </c>
      <c r="Q1294" s="26"/>
      <c r="R1294" s="5"/>
      <c r="S1294" s="5"/>
      <c r="T1294" s="5"/>
      <c r="U1294" s="5"/>
      <c r="V1294" s="5"/>
      <c r="W1294" s="5"/>
      <c r="X1294" s="5"/>
      <c r="Y1294" s="5"/>
    </row>
    <row r="1295" spans="13:25" ht="22.5" x14ac:dyDescent="0.2">
      <c r="M1295" s="26" t="s">
        <v>59</v>
      </c>
      <c r="N1295" s="25" t="s">
        <v>57</v>
      </c>
      <c r="O1295" s="26"/>
      <c r="P1295" s="26" t="s">
        <v>1199</v>
      </c>
      <c r="Q1295" s="26"/>
      <c r="R1295" s="5"/>
      <c r="S1295" s="5"/>
      <c r="T1295" s="5"/>
      <c r="U1295" s="5"/>
      <c r="V1295" s="5"/>
      <c r="W1295" s="5"/>
      <c r="X1295" s="5"/>
      <c r="Y1295" s="5"/>
    </row>
    <row r="1296" spans="13:25" ht="22.5" x14ac:dyDescent="0.2">
      <c r="M1296" s="26" t="s">
        <v>59</v>
      </c>
      <c r="N1296" s="25" t="s">
        <v>51</v>
      </c>
      <c r="O1296" s="26" t="s">
        <v>1200</v>
      </c>
      <c r="P1296" s="26"/>
      <c r="Q1296" s="26"/>
      <c r="R1296" s="5"/>
      <c r="S1296" s="5"/>
      <c r="T1296" s="5"/>
      <c r="U1296" s="5"/>
      <c r="V1296" s="5"/>
      <c r="W1296" s="5"/>
      <c r="X1296" s="5"/>
      <c r="Y1296" s="5"/>
    </row>
    <row r="1297" spans="13:25" ht="22.5" x14ac:dyDescent="0.2">
      <c r="M1297" s="26" t="s">
        <v>59</v>
      </c>
      <c r="N1297" s="25" t="s">
        <v>51</v>
      </c>
      <c r="O1297" s="26" t="s">
        <v>1201</v>
      </c>
      <c r="P1297" s="26"/>
      <c r="Q1297" s="26"/>
      <c r="R1297" s="5"/>
      <c r="S1297" s="5"/>
      <c r="T1297" s="5"/>
      <c r="U1297" s="5"/>
      <c r="V1297" s="5"/>
      <c r="W1297" s="5"/>
      <c r="X1297" s="5"/>
      <c r="Y1297" s="5"/>
    </row>
    <row r="1298" spans="13:25" ht="22.5" x14ac:dyDescent="0.2">
      <c r="M1298" s="26" t="s">
        <v>59</v>
      </c>
      <c r="N1298" s="25" t="s">
        <v>51</v>
      </c>
      <c r="O1298" s="26" t="s">
        <v>1202</v>
      </c>
      <c r="P1298" s="26"/>
      <c r="Q1298" s="26"/>
      <c r="R1298" s="5"/>
      <c r="S1298" s="5"/>
      <c r="T1298" s="5"/>
      <c r="U1298" s="5"/>
      <c r="V1298" s="5"/>
      <c r="W1298" s="5"/>
      <c r="X1298" s="5"/>
      <c r="Y1298" s="5"/>
    </row>
    <row r="1299" spans="13:25" ht="67.5" x14ac:dyDescent="0.2">
      <c r="M1299" s="26" t="s">
        <v>59</v>
      </c>
      <c r="N1299" s="25" t="s">
        <v>51</v>
      </c>
      <c r="O1299" s="26"/>
      <c r="P1299" s="26" t="s">
        <v>1082</v>
      </c>
      <c r="Q1299" s="26"/>
      <c r="R1299" s="5"/>
      <c r="S1299" s="5"/>
      <c r="T1299" s="5"/>
      <c r="U1299" s="5"/>
      <c r="V1299" s="5"/>
      <c r="W1299" s="5"/>
      <c r="X1299" s="5"/>
      <c r="Y1299" s="5"/>
    </row>
    <row r="1300" spans="13:25" ht="33.75" x14ac:dyDescent="0.2">
      <c r="M1300" s="26" t="s">
        <v>59</v>
      </c>
      <c r="N1300" s="25" t="s">
        <v>51</v>
      </c>
      <c r="O1300" s="26"/>
      <c r="P1300" s="26" t="s">
        <v>983</v>
      </c>
      <c r="Q1300" s="26"/>
      <c r="R1300" s="5"/>
      <c r="S1300" s="5"/>
      <c r="T1300" s="5"/>
      <c r="U1300" s="5"/>
      <c r="V1300" s="5"/>
      <c r="W1300" s="5"/>
      <c r="X1300" s="5"/>
      <c r="Y1300" s="5"/>
    </row>
    <row r="1301" spans="13:25" ht="67.5" x14ac:dyDescent="0.2">
      <c r="M1301" s="26" t="s">
        <v>59</v>
      </c>
      <c r="N1301" s="25" t="s">
        <v>51</v>
      </c>
      <c r="O1301" s="26"/>
      <c r="P1301" s="26" t="s">
        <v>1091</v>
      </c>
      <c r="Q1301" s="26"/>
      <c r="R1301" s="5"/>
      <c r="S1301" s="5"/>
      <c r="T1301" s="5"/>
      <c r="U1301" s="5"/>
      <c r="V1301" s="5"/>
      <c r="W1301" s="5"/>
      <c r="X1301" s="5"/>
      <c r="Y1301" s="5"/>
    </row>
    <row r="1302" spans="13:25" ht="67.5" x14ac:dyDescent="0.2">
      <c r="M1302" s="26" t="s">
        <v>59</v>
      </c>
      <c r="N1302" s="25" t="s">
        <v>51</v>
      </c>
      <c r="O1302" s="26"/>
      <c r="P1302" s="26" t="s">
        <v>1115</v>
      </c>
      <c r="Q1302" s="26"/>
      <c r="R1302" s="5"/>
      <c r="S1302" s="5"/>
      <c r="T1302" s="5"/>
      <c r="U1302" s="5"/>
      <c r="V1302" s="5"/>
      <c r="W1302" s="5"/>
      <c r="X1302" s="5"/>
      <c r="Y1302" s="5"/>
    </row>
    <row r="1303" spans="13:25" ht="56.25" x14ac:dyDescent="0.2">
      <c r="M1303" s="26" t="s">
        <v>59</v>
      </c>
      <c r="N1303" s="25" t="s">
        <v>51</v>
      </c>
      <c r="O1303" s="26"/>
      <c r="P1303" s="26" t="s">
        <v>1075</v>
      </c>
      <c r="Q1303" s="26"/>
      <c r="R1303" s="5"/>
      <c r="S1303" s="5"/>
      <c r="T1303" s="5"/>
      <c r="U1303" s="5"/>
      <c r="V1303" s="5"/>
      <c r="W1303" s="5"/>
      <c r="X1303" s="5"/>
      <c r="Y1303" s="5"/>
    </row>
    <row r="1304" spans="13:25" ht="56.25" x14ac:dyDescent="0.2">
      <c r="M1304" s="26" t="s">
        <v>59</v>
      </c>
      <c r="N1304" s="25" t="s">
        <v>51</v>
      </c>
      <c r="O1304" s="26"/>
      <c r="P1304" s="26" t="s">
        <v>1196</v>
      </c>
      <c r="Q1304" s="26"/>
      <c r="R1304" s="5"/>
      <c r="S1304" s="5"/>
      <c r="T1304" s="5"/>
      <c r="U1304" s="5"/>
      <c r="V1304" s="5"/>
      <c r="W1304" s="5"/>
      <c r="X1304" s="5"/>
      <c r="Y1304" s="5"/>
    </row>
    <row r="1305" spans="13:25" ht="33.75" x14ac:dyDescent="0.2">
      <c r="M1305" s="26" t="s">
        <v>59</v>
      </c>
      <c r="N1305" s="25" t="s">
        <v>51</v>
      </c>
      <c r="O1305" s="26"/>
      <c r="P1305" s="26" t="s">
        <v>1104</v>
      </c>
      <c r="Q1305" s="26"/>
      <c r="R1305" s="5"/>
      <c r="S1305" s="5"/>
      <c r="T1305" s="5"/>
      <c r="U1305" s="5"/>
      <c r="V1305" s="5"/>
      <c r="W1305" s="5"/>
      <c r="X1305" s="5"/>
      <c r="Y1305" s="5"/>
    </row>
    <row r="1306" spans="13:25" ht="22.5" x14ac:dyDescent="0.2">
      <c r="M1306" s="26" t="s">
        <v>59</v>
      </c>
      <c r="N1306" s="25" t="s">
        <v>57</v>
      </c>
      <c r="O1306" s="26"/>
      <c r="P1306" s="26" t="s">
        <v>1203</v>
      </c>
      <c r="Q1306" s="26"/>
      <c r="R1306" s="5"/>
      <c r="S1306" s="5"/>
      <c r="T1306" s="5"/>
      <c r="U1306" s="5"/>
      <c r="V1306" s="5"/>
      <c r="W1306" s="5"/>
      <c r="X1306" s="5"/>
      <c r="Y1306" s="5"/>
    </row>
    <row r="1307" spans="13:25" ht="22.5" x14ac:dyDescent="0.2">
      <c r="M1307" s="26" t="s">
        <v>59</v>
      </c>
      <c r="N1307" s="25" t="s">
        <v>51</v>
      </c>
      <c r="O1307" s="26" t="s">
        <v>1204</v>
      </c>
      <c r="P1307" s="26"/>
      <c r="Q1307" s="26"/>
      <c r="R1307" s="5"/>
      <c r="S1307" s="5"/>
      <c r="T1307" s="5"/>
      <c r="U1307" s="5"/>
      <c r="V1307" s="5"/>
      <c r="W1307" s="5"/>
      <c r="X1307" s="5"/>
      <c r="Y1307" s="5"/>
    </row>
    <row r="1308" spans="13:25" ht="22.5" x14ac:dyDescent="0.2">
      <c r="M1308" s="26" t="s">
        <v>59</v>
      </c>
      <c r="N1308" s="25" t="s">
        <v>51</v>
      </c>
      <c r="O1308" s="26" t="s">
        <v>1205</v>
      </c>
      <c r="P1308" s="26"/>
      <c r="Q1308" s="26"/>
      <c r="R1308" s="5"/>
      <c r="S1308" s="5"/>
      <c r="T1308" s="5"/>
      <c r="U1308" s="5"/>
      <c r="V1308" s="5"/>
      <c r="W1308" s="5"/>
      <c r="X1308" s="5"/>
      <c r="Y1308" s="5"/>
    </row>
    <row r="1309" spans="13:25" ht="33.75" x14ac:dyDescent="0.2">
      <c r="M1309" s="26" t="s">
        <v>59</v>
      </c>
      <c r="N1309" s="25" t="s">
        <v>51</v>
      </c>
      <c r="O1309" s="26" t="s">
        <v>1206</v>
      </c>
      <c r="P1309" s="26"/>
      <c r="Q1309" s="26"/>
      <c r="R1309" s="5"/>
      <c r="S1309" s="5"/>
      <c r="T1309" s="5"/>
      <c r="U1309" s="5"/>
      <c r="V1309" s="5"/>
      <c r="W1309" s="5"/>
      <c r="X1309" s="5"/>
      <c r="Y1309" s="5"/>
    </row>
    <row r="1310" spans="13:25" ht="22.5" x14ac:dyDescent="0.2">
      <c r="M1310" s="26" t="s">
        <v>59</v>
      </c>
      <c r="N1310" s="25" t="s">
        <v>51</v>
      </c>
      <c r="O1310" s="26" t="s">
        <v>1207</v>
      </c>
      <c r="P1310" s="26"/>
      <c r="Q1310" s="26"/>
      <c r="R1310" s="5"/>
      <c r="S1310" s="5"/>
      <c r="T1310" s="5"/>
      <c r="U1310" s="5"/>
      <c r="V1310" s="5"/>
      <c r="W1310" s="5"/>
      <c r="X1310" s="5"/>
      <c r="Y1310" s="5"/>
    </row>
    <row r="1311" spans="13:25" ht="22.5" x14ac:dyDescent="0.2">
      <c r="M1311" s="26" t="s">
        <v>59</v>
      </c>
      <c r="N1311" s="25" t="s">
        <v>51</v>
      </c>
      <c r="O1311" s="26" t="s">
        <v>1208</v>
      </c>
      <c r="P1311" s="26"/>
      <c r="Q1311" s="26"/>
      <c r="R1311" s="5"/>
      <c r="S1311" s="5"/>
      <c r="T1311" s="5"/>
      <c r="U1311" s="5"/>
      <c r="V1311" s="5"/>
      <c r="W1311" s="5"/>
      <c r="X1311" s="5"/>
      <c r="Y1311" s="5"/>
    </row>
    <row r="1312" spans="13:25" ht="56.25" x14ac:dyDescent="0.2">
      <c r="M1312" s="26" t="s">
        <v>59</v>
      </c>
      <c r="N1312" s="25" t="s">
        <v>51</v>
      </c>
      <c r="O1312" s="26" t="s">
        <v>1209</v>
      </c>
      <c r="P1312" s="26"/>
      <c r="Q1312" s="26"/>
      <c r="R1312" s="5"/>
      <c r="S1312" s="5"/>
      <c r="T1312" s="5"/>
      <c r="U1312" s="5"/>
      <c r="V1312" s="5"/>
      <c r="W1312" s="5"/>
      <c r="X1312" s="5"/>
      <c r="Y1312" s="5"/>
    </row>
    <row r="1313" spans="13:25" ht="22.5" x14ac:dyDescent="0.2">
      <c r="M1313" s="26" t="s">
        <v>59</v>
      </c>
      <c r="N1313" s="25" t="s">
        <v>51</v>
      </c>
      <c r="O1313" s="26" t="s">
        <v>1210</v>
      </c>
      <c r="P1313" s="26"/>
      <c r="Q1313" s="26"/>
      <c r="R1313" s="5"/>
      <c r="S1313" s="5"/>
      <c r="T1313" s="5"/>
      <c r="U1313" s="5"/>
      <c r="V1313" s="5"/>
      <c r="W1313" s="5"/>
      <c r="X1313" s="5"/>
      <c r="Y1313" s="5"/>
    </row>
    <row r="1314" spans="13:25" ht="22.5" x14ac:dyDescent="0.2">
      <c r="M1314" s="26" t="s">
        <v>59</v>
      </c>
      <c r="N1314" s="25" t="s">
        <v>51</v>
      </c>
      <c r="O1314" s="26" t="s">
        <v>1211</v>
      </c>
      <c r="P1314" s="26"/>
      <c r="Q1314" s="26"/>
      <c r="R1314" s="5"/>
      <c r="S1314" s="5"/>
      <c r="T1314" s="5"/>
      <c r="U1314" s="5"/>
      <c r="V1314" s="5"/>
      <c r="W1314" s="5"/>
      <c r="X1314" s="5"/>
      <c r="Y1314" s="5"/>
    </row>
    <row r="1315" spans="13:25" ht="157.5" x14ac:dyDescent="0.2">
      <c r="M1315" s="26" t="s">
        <v>59</v>
      </c>
      <c r="N1315" s="25" t="s">
        <v>51</v>
      </c>
      <c r="O1315" s="26"/>
      <c r="P1315" s="26" t="s">
        <v>1212</v>
      </c>
      <c r="Q1315" s="26"/>
      <c r="R1315" s="5"/>
      <c r="S1315" s="5"/>
      <c r="T1315" s="5"/>
      <c r="U1315" s="5"/>
      <c r="V1315" s="5"/>
      <c r="W1315" s="5"/>
      <c r="X1315" s="5"/>
      <c r="Y1315" s="5"/>
    </row>
    <row r="1316" spans="13:25" ht="22.5" x14ac:dyDescent="0.2">
      <c r="M1316" s="26" t="s">
        <v>59</v>
      </c>
      <c r="N1316" s="25" t="s">
        <v>51</v>
      </c>
      <c r="O1316" s="26"/>
      <c r="P1316" s="26" t="s">
        <v>1213</v>
      </c>
      <c r="Q1316" s="26"/>
      <c r="R1316" s="5"/>
      <c r="S1316" s="5"/>
      <c r="T1316" s="5"/>
      <c r="U1316" s="5"/>
      <c r="V1316" s="5"/>
      <c r="W1316" s="5"/>
      <c r="X1316" s="5"/>
      <c r="Y1316" s="5"/>
    </row>
    <row r="1317" spans="13:25" ht="78.75" x14ac:dyDescent="0.2">
      <c r="M1317" s="26" t="s">
        <v>59</v>
      </c>
      <c r="N1317" s="25" t="s">
        <v>51</v>
      </c>
      <c r="O1317" s="26"/>
      <c r="P1317" s="26" t="s">
        <v>1214</v>
      </c>
      <c r="Q1317" s="26"/>
      <c r="R1317" s="5"/>
      <c r="S1317" s="5"/>
      <c r="T1317" s="5"/>
      <c r="U1317" s="5"/>
      <c r="V1317" s="5"/>
      <c r="W1317" s="5"/>
      <c r="X1317" s="5"/>
      <c r="Y1317" s="5"/>
    </row>
    <row r="1318" spans="13:25" ht="67.5" x14ac:dyDescent="0.2">
      <c r="M1318" s="26" t="s">
        <v>59</v>
      </c>
      <c r="N1318" s="25" t="s">
        <v>51</v>
      </c>
      <c r="O1318" s="26"/>
      <c r="P1318" s="26" t="s">
        <v>986</v>
      </c>
      <c r="Q1318" s="26"/>
      <c r="R1318" s="5"/>
      <c r="S1318" s="5"/>
      <c r="T1318" s="5"/>
      <c r="U1318" s="5"/>
      <c r="V1318" s="5"/>
      <c r="W1318" s="5"/>
      <c r="X1318" s="5"/>
      <c r="Y1318" s="5"/>
    </row>
    <row r="1319" spans="13:25" ht="33.75" x14ac:dyDescent="0.2">
      <c r="M1319" s="26" t="s">
        <v>59</v>
      </c>
      <c r="N1319" s="25" t="s">
        <v>51</v>
      </c>
      <c r="O1319" s="26"/>
      <c r="P1319" s="26" t="s">
        <v>966</v>
      </c>
      <c r="Q1319" s="26"/>
      <c r="R1319" s="5"/>
      <c r="S1319" s="5"/>
      <c r="T1319" s="5"/>
      <c r="U1319" s="5"/>
      <c r="V1319" s="5"/>
      <c r="W1319" s="5"/>
      <c r="X1319" s="5"/>
      <c r="Y1319" s="5"/>
    </row>
    <row r="1320" spans="13:25" ht="67.5" x14ac:dyDescent="0.2">
      <c r="M1320" s="26" t="s">
        <v>59</v>
      </c>
      <c r="N1320" s="25" t="s">
        <v>51</v>
      </c>
      <c r="O1320" s="26"/>
      <c r="P1320" s="26" t="s">
        <v>1091</v>
      </c>
      <c r="Q1320" s="26"/>
      <c r="R1320" s="5"/>
      <c r="S1320" s="5"/>
      <c r="T1320" s="5"/>
      <c r="U1320" s="5"/>
      <c r="V1320" s="5"/>
      <c r="W1320" s="5"/>
      <c r="X1320" s="5"/>
      <c r="Y1320" s="5"/>
    </row>
    <row r="1321" spans="13:25" ht="33.75" x14ac:dyDescent="0.2">
      <c r="M1321" s="26" t="s">
        <v>59</v>
      </c>
      <c r="N1321" s="25" t="s">
        <v>51</v>
      </c>
      <c r="O1321" s="26"/>
      <c r="P1321" s="26" t="s">
        <v>1174</v>
      </c>
      <c r="Q1321" s="26"/>
      <c r="R1321" s="5"/>
      <c r="S1321" s="5"/>
      <c r="T1321" s="5"/>
      <c r="U1321" s="5"/>
      <c r="V1321" s="5"/>
      <c r="W1321" s="5"/>
      <c r="X1321" s="5"/>
      <c r="Y1321" s="5"/>
    </row>
    <row r="1322" spans="13:25" ht="33.75" x14ac:dyDescent="0.2">
      <c r="M1322" s="26" t="s">
        <v>59</v>
      </c>
      <c r="N1322" s="25" t="s">
        <v>51</v>
      </c>
      <c r="O1322" s="26"/>
      <c r="P1322" s="26" t="s">
        <v>1174</v>
      </c>
      <c r="Q1322" s="26"/>
      <c r="R1322" s="5"/>
      <c r="S1322" s="5"/>
      <c r="T1322" s="5"/>
      <c r="U1322" s="5"/>
      <c r="V1322" s="5"/>
      <c r="W1322" s="5"/>
      <c r="X1322" s="5"/>
      <c r="Y1322" s="5"/>
    </row>
    <row r="1323" spans="13:25" ht="67.5" x14ac:dyDescent="0.2">
      <c r="M1323" s="26" t="s">
        <v>59</v>
      </c>
      <c r="N1323" s="25" t="s">
        <v>51</v>
      </c>
      <c r="O1323" s="26"/>
      <c r="P1323" s="26" t="s">
        <v>967</v>
      </c>
      <c r="Q1323" s="26"/>
      <c r="R1323" s="5"/>
      <c r="S1323" s="5"/>
      <c r="T1323" s="5"/>
      <c r="U1323" s="5"/>
      <c r="V1323" s="5"/>
      <c r="W1323" s="5"/>
      <c r="X1323" s="5"/>
      <c r="Y1323" s="5"/>
    </row>
    <row r="1324" spans="13:25" ht="22.5" x14ac:dyDescent="0.2">
      <c r="M1324" s="26" t="s">
        <v>59</v>
      </c>
      <c r="N1324" s="25" t="s">
        <v>51</v>
      </c>
      <c r="O1324" s="26"/>
      <c r="P1324" s="26" t="s">
        <v>1215</v>
      </c>
      <c r="Q1324" s="26"/>
      <c r="R1324" s="5"/>
      <c r="S1324" s="5"/>
      <c r="T1324" s="5"/>
      <c r="U1324" s="5"/>
      <c r="V1324" s="5"/>
      <c r="W1324" s="5"/>
      <c r="X1324" s="5"/>
      <c r="Y1324" s="5"/>
    </row>
    <row r="1325" spans="13:25" ht="45" x14ac:dyDescent="0.2">
      <c r="M1325" s="26" t="s">
        <v>59</v>
      </c>
      <c r="N1325" s="25" t="s">
        <v>51</v>
      </c>
      <c r="O1325" s="26"/>
      <c r="P1325" s="26" t="s">
        <v>1216</v>
      </c>
      <c r="Q1325" s="26"/>
      <c r="R1325" s="5"/>
      <c r="S1325" s="5"/>
      <c r="T1325" s="5"/>
      <c r="U1325" s="5"/>
      <c r="V1325" s="5"/>
      <c r="W1325" s="5"/>
      <c r="X1325" s="5"/>
      <c r="Y1325" s="5"/>
    </row>
    <row r="1326" spans="13:25" ht="67.5" x14ac:dyDescent="0.2">
      <c r="M1326" s="26" t="s">
        <v>59</v>
      </c>
      <c r="N1326" s="25" t="s">
        <v>51</v>
      </c>
      <c r="O1326" s="26"/>
      <c r="P1326" s="26" t="s">
        <v>1217</v>
      </c>
      <c r="Q1326" s="26"/>
      <c r="R1326" s="5"/>
      <c r="S1326" s="5"/>
      <c r="T1326" s="5"/>
      <c r="U1326" s="5"/>
      <c r="V1326" s="5"/>
      <c r="W1326" s="5"/>
      <c r="X1326" s="5"/>
      <c r="Y1326" s="5"/>
    </row>
    <row r="1327" spans="13:25" ht="45" x14ac:dyDescent="0.2">
      <c r="M1327" s="26" t="s">
        <v>59</v>
      </c>
      <c r="N1327" s="25" t="s">
        <v>51</v>
      </c>
      <c r="O1327" s="26"/>
      <c r="P1327" s="26" t="s">
        <v>1218</v>
      </c>
      <c r="Q1327" s="26"/>
      <c r="R1327" s="5"/>
      <c r="S1327" s="5"/>
      <c r="T1327" s="5"/>
      <c r="U1327" s="5"/>
      <c r="V1327" s="5"/>
      <c r="W1327" s="5"/>
      <c r="X1327" s="5"/>
      <c r="Y1327" s="5"/>
    </row>
    <row r="1328" spans="13:25" ht="56.25" x14ac:dyDescent="0.2">
      <c r="M1328" s="26" t="s">
        <v>59</v>
      </c>
      <c r="N1328" s="25" t="s">
        <v>51</v>
      </c>
      <c r="O1328" s="26"/>
      <c r="P1328" s="26" t="s">
        <v>1058</v>
      </c>
      <c r="Q1328" s="26"/>
      <c r="R1328" s="5"/>
      <c r="S1328" s="5"/>
      <c r="T1328" s="5"/>
      <c r="U1328" s="5"/>
      <c r="V1328" s="5"/>
      <c r="W1328" s="5"/>
      <c r="X1328" s="5"/>
      <c r="Y1328" s="5"/>
    </row>
    <row r="1329" spans="13:25" ht="45" x14ac:dyDescent="0.2">
      <c r="M1329" s="26" t="s">
        <v>59</v>
      </c>
      <c r="N1329" s="25" t="s">
        <v>51</v>
      </c>
      <c r="O1329" s="26"/>
      <c r="P1329" s="26" t="s">
        <v>968</v>
      </c>
      <c r="Q1329" s="26"/>
      <c r="R1329" s="5"/>
      <c r="S1329" s="5"/>
      <c r="T1329" s="5"/>
      <c r="U1329" s="5"/>
      <c r="V1329" s="5"/>
      <c r="W1329" s="5"/>
      <c r="X1329" s="5"/>
      <c r="Y1329" s="5"/>
    </row>
    <row r="1330" spans="13:25" ht="56.25" x14ac:dyDescent="0.2">
      <c r="M1330" s="26" t="s">
        <v>59</v>
      </c>
      <c r="N1330" s="25" t="s">
        <v>51</v>
      </c>
      <c r="O1330" s="26"/>
      <c r="P1330" s="26" t="s">
        <v>969</v>
      </c>
      <c r="Q1330" s="26"/>
      <c r="R1330" s="5"/>
      <c r="S1330" s="5"/>
      <c r="T1330" s="5"/>
      <c r="U1330" s="5"/>
      <c r="V1330" s="5"/>
      <c r="W1330" s="5"/>
      <c r="X1330" s="5"/>
      <c r="Y1330" s="5"/>
    </row>
    <row r="1331" spans="13:25" ht="90" x14ac:dyDescent="0.2">
      <c r="M1331" s="26" t="s">
        <v>59</v>
      </c>
      <c r="N1331" s="25" t="s">
        <v>51</v>
      </c>
      <c r="O1331" s="26"/>
      <c r="P1331" s="26" t="s">
        <v>1219</v>
      </c>
      <c r="Q1331" s="26"/>
      <c r="R1331" s="5"/>
      <c r="S1331" s="5"/>
      <c r="T1331" s="5"/>
      <c r="U1331" s="5"/>
      <c r="V1331" s="5"/>
      <c r="W1331" s="5"/>
      <c r="X1331" s="5"/>
      <c r="Y1331" s="5"/>
    </row>
    <row r="1332" spans="13:25" ht="56.25" x14ac:dyDescent="0.2">
      <c r="M1332" s="26" t="s">
        <v>59</v>
      </c>
      <c r="N1332" s="25" t="s">
        <v>51</v>
      </c>
      <c r="O1332" s="26"/>
      <c r="P1332" s="26" t="s">
        <v>1061</v>
      </c>
      <c r="Q1332" s="26"/>
      <c r="R1332" s="5"/>
      <c r="S1332" s="5"/>
      <c r="T1332" s="5"/>
      <c r="U1332" s="5"/>
      <c r="V1332" s="5"/>
      <c r="W1332" s="5"/>
      <c r="X1332" s="5"/>
      <c r="Y1332" s="5"/>
    </row>
    <row r="1333" spans="13:25" ht="45" x14ac:dyDescent="0.2">
      <c r="M1333" s="26" t="s">
        <v>59</v>
      </c>
      <c r="N1333" s="25" t="s">
        <v>51</v>
      </c>
      <c r="O1333" s="26"/>
      <c r="P1333" s="26" t="s">
        <v>1062</v>
      </c>
      <c r="Q1333" s="26"/>
      <c r="R1333" s="5"/>
      <c r="S1333" s="5"/>
      <c r="T1333" s="5"/>
      <c r="U1333" s="5"/>
      <c r="V1333" s="5"/>
      <c r="W1333" s="5"/>
      <c r="X1333" s="5"/>
      <c r="Y1333" s="5"/>
    </row>
    <row r="1334" spans="13:25" ht="45" x14ac:dyDescent="0.2">
      <c r="M1334" s="26" t="s">
        <v>59</v>
      </c>
      <c r="N1334" s="25" t="s">
        <v>51</v>
      </c>
      <c r="O1334" s="26"/>
      <c r="P1334" s="26" t="s">
        <v>1220</v>
      </c>
      <c r="Q1334" s="26"/>
      <c r="R1334" s="5"/>
      <c r="S1334" s="5"/>
      <c r="T1334" s="5"/>
      <c r="U1334" s="5"/>
      <c r="V1334" s="5"/>
      <c r="W1334" s="5"/>
      <c r="X1334" s="5"/>
      <c r="Y1334" s="5"/>
    </row>
    <row r="1335" spans="13:25" ht="22.5" x14ac:dyDescent="0.2">
      <c r="M1335" s="26" t="s">
        <v>59</v>
      </c>
      <c r="N1335" s="25" t="s">
        <v>51</v>
      </c>
      <c r="O1335" s="26"/>
      <c r="P1335" s="26" t="s">
        <v>1221</v>
      </c>
      <c r="Q1335" s="26"/>
      <c r="R1335" s="5"/>
      <c r="S1335" s="5"/>
      <c r="T1335" s="5"/>
      <c r="U1335" s="5"/>
      <c r="V1335" s="5"/>
      <c r="W1335" s="5"/>
      <c r="X1335" s="5"/>
      <c r="Y1335" s="5"/>
    </row>
    <row r="1336" spans="13:25" ht="101.25" x14ac:dyDescent="0.2">
      <c r="M1336" s="26" t="s">
        <v>59</v>
      </c>
      <c r="N1336" s="25" t="s">
        <v>51</v>
      </c>
      <c r="O1336" s="26"/>
      <c r="P1336" s="26" t="s">
        <v>1222</v>
      </c>
      <c r="Q1336" s="26"/>
      <c r="R1336" s="5"/>
      <c r="S1336" s="5"/>
      <c r="T1336" s="5"/>
      <c r="U1336" s="5"/>
      <c r="V1336" s="5"/>
      <c r="W1336" s="5"/>
      <c r="X1336" s="5"/>
      <c r="Y1336" s="5"/>
    </row>
    <row r="1337" spans="13:25" ht="67.5" x14ac:dyDescent="0.2">
      <c r="M1337" s="26" t="s">
        <v>59</v>
      </c>
      <c r="N1337" s="25" t="s">
        <v>51</v>
      </c>
      <c r="O1337" s="26"/>
      <c r="P1337" s="26" t="s">
        <v>1223</v>
      </c>
      <c r="Q1337" s="26"/>
      <c r="R1337" s="5"/>
      <c r="S1337" s="5"/>
      <c r="T1337" s="5"/>
      <c r="U1337" s="5"/>
      <c r="V1337" s="5"/>
      <c r="W1337" s="5"/>
      <c r="X1337" s="5"/>
      <c r="Y1337" s="5"/>
    </row>
    <row r="1338" spans="13:25" ht="22.5" x14ac:dyDescent="0.2">
      <c r="M1338" s="26" t="s">
        <v>59</v>
      </c>
      <c r="N1338" s="25" t="s">
        <v>70</v>
      </c>
      <c r="O1338" s="26"/>
      <c r="P1338" s="26" t="s">
        <v>1224</v>
      </c>
      <c r="Q1338" s="26"/>
      <c r="R1338" s="5"/>
      <c r="S1338" s="5"/>
      <c r="T1338" s="5"/>
      <c r="U1338" s="5"/>
      <c r="V1338" s="5"/>
      <c r="W1338" s="5"/>
      <c r="X1338" s="5"/>
      <c r="Y1338" s="5"/>
    </row>
    <row r="1339" spans="13:25" ht="22.5" x14ac:dyDescent="0.2">
      <c r="M1339" s="26" t="s">
        <v>59</v>
      </c>
      <c r="N1339" s="25" t="s">
        <v>70</v>
      </c>
      <c r="O1339" s="26"/>
      <c r="P1339" s="26" t="s">
        <v>1225</v>
      </c>
      <c r="Q1339" s="26"/>
      <c r="R1339" s="5"/>
      <c r="S1339" s="5"/>
      <c r="T1339" s="5"/>
      <c r="U1339" s="5"/>
      <c r="V1339" s="5"/>
      <c r="W1339" s="5"/>
      <c r="X1339" s="5"/>
      <c r="Y1339" s="5"/>
    </row>
    <row r="1340" spans="13:25" ht="22.5" x14ac:dyDescent="0.2">
      <c r="M1340" s="26" t="s">
        <v>59</v>
      </c>
      <c r="N1340" s="25" t="s">
        <v>51</v>
      </c>
      <c r="O1340" s="26"/>
      <c r="P1340" s="26" t="s">
        <v>1226</v>
      </c>
      <c r="Q1340" s="26"/>
      <c r="R1340" s="5"/>
      <c r="S1340" s="5"/>
      <c r="T1340" s="5"/>
      <c r="U1340" s="5"/>
      <c r="V1340" s="5"/>
      <c r="W1340" s="5"/>
      <c r="X1340" s="5"/>
      <c r="Y1340" s="5"/>
    </row>
    <row r="1341" spans="13:25" ht="22.5" x14ac:dyDescent="0.2">
      <c r="M1341" s="26" t="s">
        <v>59</v>
      </c>
      <c r="N1341" s="25" t="s">
        <v>51</v>
      </c>
      <c r="O1341" s="26"/>
      <c r="P1341" s="26" t="s">
        <v>1227</v>
      </c>
      <c r="Q1341" s="26"/>
      <c r="R1341" s="5"/>
      <c r="S1341" s="5"/>
      <c r="T1341" s="5"/>
      <c r="U1341" s="5"/>
      <c r="V1341" s="5"/>
      <c r="W1341" s="5"/>
      <c r="X1341" s="5"/>
      <c r="Y1341" s="5"/>
    </row>
    <row r="1342" spans="13:25" ht="22.5" x14ac:dyDescent="0.2">
      <c r="M1342" s="26" t="s">
        <v>59</v>
      </c>
      <c r="N1342" s="25" t="s">
        <v>51</v>
      </c>
      <c r="O1342" s="26"/>
      <c r="P1342" s="26" t="s">
        <v>1228</v>
      </c>
      <c r="Q1342" s="26"/>
      <c r="R1342" s="5"/>
      <c r="S1342" s="5"/>
      <c r="T1342" s="5"/>
      <c r="U1342" s="5"/>
      <c r="V1342" s="5"/>
      <c r="W1342" s="5"/>
      <c r="X1342" s="5"/>
      <c r="Y1342" s="5"/>
    </row>
    <row r="1343" spans="13:25" ht="22.5" x14ac:dyDescent="0.2">
      <c r="M1343" s="26" t="s">
        <v>59</v>
      </c>
      <c r="N1343" s="25" t="s">
        <v>51</v>
      </c>
      <c r="O1343" s="26"/>
      <c r="P1343" s="26" t="s">
        <v>1229</v>
      </c>
      <c r="Q1343" s="26"/>
      <c r="R1343" s="5"/>
      <c r="S1343" s="5"/>
      <c r="T1343" s="5"/>
      <c r="U1343" s="5"/>
      <c r="V1343" s="5"/>
      <c r="W1343" s="5"/>
      <c r="X1343" s="5"/>
      <c r="Y1343" s="5"/>
    </row>
    <row r="1344" spans="13:25" ht="33.75" x14ac:dyDescent="0.2">
      <c r="M1344" s="26" t="s">
        <v>59</v>
      </c>
      <c r="N1344" s="25" t="s">
        <v>51</v>
      </c>
      <c r="O1344" s="26"/>
      <c r="P1344" s="26" t="s">
        <v>1107</v>
      </c>
      <c r="Q1344" s="26"/>
      <c r="R1344" s="5"/>
      <c r="S1344" s="5"/>
      <c r="T1344" s="5"/>
      <c r="U1344" s="5"/>
      <c r="V1344" s="5"/>
      <c r="W1344" s="5"/>
      <c r="X1344" s="5"/>
      <c r="Y1344" s="5"/>
    </row>
    <row r="1345" spans="13:25" ht="33.75" x14ac:dyDescent="0.2">
      <c r="M1345" s="26" t="s">
        <v>59</v>
      </c>
      <c r="N1345" s="25" t="s">
        <v>51</v>
      </c>
      <c r="O1345" s="26"/>
      <c r="P1345" s="26" t="s">
        <v>1230</v>
      </c>
      <c r="Q1345" s="26"/>
      <c r="R1345" s="5"/>
      <c r="S1345" s="5"/>
      <c r="T1345" s="5"/>
      <c r="U1345" s="5"/>
      <c r="V1345" s="5"/>
      <c r="W1345" s="5"/>
      <c r="X1345" s="5"/>
      <c r="Y1345" s="5"/>
    </row>
    <row r="1346" spans="13:25" ht="22.5" x14ac:dyDescent="0.2">
      <c r="M1346" s="26" t="s">
        <v>59</v>
      </c>
      <c r="N1346" s="25" t="s">
        <v>51</v>
      </c>
      <c r="O1346" s="26"/>
      <c r="P1346" s="26" t="s">
        <v>1231</v>
      </c>
      <c r="Q1346" s="26"/>
      <c r="R1346" s="5"/>
      <c r="S1346" s="5"/>
      <c r="T1346" s="5"/>
      <c r="U1346" s="5"/>
      <c r="V1346" s="5"/>
      <c r="W1346" s="5"/>
      <c r="X1346" s="5"/>
      <c r="Y1346" s="5"/>
    </row>
    <row r="1347" spans="13:25" ht="22.5" x14ac:dyDescent="0.2">
      <c r="M1347" s="26" t="s">
        <v>59</v>
      </c>
      <c r="N1347" s="25" t="s">
        <v>57</v>
      </c>
      <c r="O1347" s="26"/>
      <c r="P1347" s="26" t="s">
        <v>1232</v>
      </c>
      <c r="Q1347" s="26"/>
      <c r="R1347" s="5"/>
      <c r="S1347" s="5"/>
      <c r="T1347" s="5"/>
      <c r="U1347" s="5"/>
      <c r="V1347" s="5"/>
      <c r="W1347" s="5"/>
      <c r="X1347" s="5"/>
      <c r="Y1347" s="5"/>
    </row>
    <row r="1348" spans="13:25" ht="78.75" x14ac:dyDescent="0.2">
      <c r="M1348" s="26" t="s">
        <v>59</v>
      </c>
      <c r="N1348" s="25" t="s">
        <v>51</v>
      </c>
      <c r="O1348" s="26"/>
      <c r="P1348" s="26" t="s">
        <v>1233</v>
      </c>
      <c r="Q1348" s="26"/>
      <c r="R1348" s="5"/>
      <c r="S1348" s="5"/>
      <c r="T1348" s="5"/>
      <c r="U1348" s="5"/>
      <c r="V1348" s="5"/>
      <c r="W1348" s="5"/>
      <c r="X1348" s="5"/>
      <c r="Y1348" s="5"/>
    </row>
    <row r="1349" spans="13:25" ht="33.75" x14ac:dyDescent="0.2">
      <c r="M1349" s="26" t="s">
        <v>59</v>
      </c>
      <c r="N1349" s="25" t="s">
        <v>51</v>
      </c>
      <c r="O1349" s="26"/>
      <c r="P1349" s="26" t="s">
        <v>1234</v>
      </c>
      <c r="Q1349" s="26"/>
      <c r="R1349" s="5"/>
      <c r="S1349" s="5"/>
      <c r="T1349" s="5"/>
      <c r="U1349" s="5"/>
      <c r="V1349" s="5"/>
      <c r="W1349" s="5"/>
      <c r="X1349" s="5"/>
      <c r="Y1349" s="5"/>
    </row>
    <row r="1350" spans="13:25" ht="22.5" x14ac:dyDescent="0.2">
      <c r="M1350" s="26" t="s">
        <v>59</v>
      </c>
      <c r="N1350" s="25" t="s">
        <v>57</v>
      </c>
      <c r="O1350" s="26"/>
      <c r="P1350" s="26" t="s">
        <v>1235</v>
      </c>
      <c r="Q1350" s="26"/>
      <c r="R1350" s="5"/>
      <c r="S1350" s="5"/>
      <c r="T1350" s="5"/>
      <c r="U1350" s="5"/>
      <c r="V1350" s="5"/>
      <c r="W1350" s="5"/>
      <c r="X1350" s="5"/>
      <c r="Y1350" s="5"/>
    </row>
    <row r="1351" spans="13:25" ht="45" x14ac:dyDescent="0.2">
      <c r="M1351" s="26" t="s">
        <v>59</v>
      </c>
      <c r="N1351" s="25" t="s">
        <v>51</v>
      </c>
      <c r="O1351" s="26"/>
      <c r="P1351" s="26" t="s">
        <v>1040</v>
      </c>
      <c r="Q1351" s="26"/>
      <c r="R1351" s="5"/>
      <c r="S1351" s="5"/>
      <c r="T1351" s="5"/>
      <c r="U1351" s="5"/>
      <c r="V1351" s="5"/>
      <c r="W1351" s="5"/>
      <c r="X1351" s="5"/>
      <c r="Y1351" s="5"/>
    </row>
    <row r="1352" spans="13:25" ht="33.75" x14ac:dyDescent="0.2">
      <c r="M1352" s="26" t="s">
        <v>59</v>
      </c>
      <c r="N1352" s="25" t="s">
        <v>51</v>
      </c>
      <c r="O1352" s="26"/>
      <c r="P1352" s="26" t="s">
        <v>948</v>
      </c>
      <c r="Q1352" s="26"/>
      <c r="R1352" s="5"/>
      <c r="S1352" s="5"/>
      <c r="T1352" s="5"/>
      <c r="U1352" s="5"/>
      <c r="V1352" s="5"/>
      <c r="W1352" s="5"/>
      <c r="X1352" s="5"/>
      <c r="Y1352" s="5"/>
    </row>
    <row r="1353" spans="13:25" ht="67.5" x14ac:dyDescent="0.2">
      <c r="M1353" s="26" t="s">
        <v>59</v>
      </c>
      <c r="N1353" s="25" t="s">
        <v>51</v>
      </c>
      <c r="O1353" s="26"/>
      <c r="P1353" s="26" t="s">
        <v>1236</v>
      </c>
      <c r="Q1353" s="26"/>
      <c r="R1353" s="5"/>
      <c r="S1353" s="5"/>
      <c r="T1353" s="5"/>
      <c r="U1353" s="5"/>
      <c r="V1353" s="5"/>
      <c r="W1353" s="5"/>
      <c r="X1353" s="5"/>
      <c r="Y1353" s="5"/>
    </row>
    <row r="1354" spans="13:25" ht="67.5" x14ac:dyDescent="0.2">
      <c r="M1354" s="26" t="s">
        <v>59</v>
      </c>
      <c r="N1354" s="25" t="s">
        <v>51</v>
      </c>
      <c r="O1354" s="26"/>
      <c r="P1354" s="26" t="s">
        <v>1237</v>
      </c>
      <c r="Q1354" s="26"/>
      <c r="R1354" s="5"/>
      <c r="S1354" s="5"/>
      <c r="T1354" s="5"/>
      <c r="U1354" s="5"/>
      <c r="V1354" s="5"/>
      <c r="W1354" s="5"/>
      <c r="X1354" s="5"/>
      <c r="Y1354" s="5"/>
    </row>
    <row r="1355" spans="13:25" ht="67.5" x14ac:dyDescent="0.2">
      <c r="M1355" s="26" t="s">
        <v>59</v>
      </c>
      <c r="N1355" s="25" t="s">
        <v>51</v>
      </c>
      <c r="O1355" s="26"/>
      <c r="P1355" s="26" t="s">
        <v>1223</v>
      </c>
      <c r="Q1355" s="26"/>
      <c r="R1355" s="5"/>
      <c r="S1355" s="5"/>
      <c r="T1355" s="5"/>
      <c r="U1355" s="5"/>
      <c r="V1355" s="5"/>
      <c r="W1355" s="5"/>
      <c r="X1355" s="5"/>
      <c r="Y1355" s="5"/>
    </row>
    <row r="1356" spans="13:25" ht="56.25" x14ac:dyDescent="0.2">
      <c r="M1356" s="26" t="s">
        <v>59</v>
      </c>
      <c r="N1356" s="25" t="s">
        <v>51</v>
      </c>
      <c r="O1356" s="26"/>
      <c r="P1356" s="26" t="s">
        <v>1058</v>
      </c>
      <c r="Q1356" s="26"/>
      <c r="R1356" s="5"/>
      <c r="S1356" s="5"/>
      <c r="T1356" s="5"/>
      <c r="U1356" s="5"/>
      <c r="V1356" s="5"/>
      <c r="W1356" s="5"/>
      <c r="X1356" s="5"/>
      <c r="Y1356" s="5"/>
    </row>
    <row r="1357" spans="13:25" ht="67.5" x14ac:dyDescent="0.2">
      <c r="M1357" s="26" t="s">
        <v>59</v>
      </c>
      <c r="N1357" s="25" t="s">
        <v>51</v>
      </c>
      <c r="O1357" s="26"/>
      <c r="P1357" s="26" t="s">
        <v>1236</v>
      </c>
      <c r="Q1357" s="26"/>
      <c r="R1357" s="5"/>
      <c r="S1357" s="5"/>
      <c r="T1357" s="5"/>
      <c r="U1357" s="5"/>
      <c r="V1357" s="5"/>
      <c r="W1357" s="5"/>
      <c r="X1357" s="5"/>
      <c r="Y1357" s="5"/>
    </row>
    <row r="1358" spans="13:25" ht="67.5" x14ac:dyDescent="0.2">
      <c r="M1358" s="26" t="s">
        <v>59</v>
      </c>
      <c r="N1358" s="25" t="s">
        <v>55</v>
      </c>
      <c r="O1358" s="26" t="s">
        <v>656</v>
      </c>
      <c r="P1358" s="26"/>
      <c r="Q1358" s="26"/>
      <c r="R1358" s="5"/>
      <c r="S1358" s="5"/>
      <c r="T1358" s="5"/>
      <c r="U1358" s="5"/>
      <c r="V1358" s="5"/>
      <c r="W1358" s="5"/>
      <c r="X1358" s="5"/>
      <c r="Y1358" s="5"/>
    </row>
    <row r="1359" spans="13:25" ht="22.5" x14ac:dyDescent="0.2">
      <c r="M1359" s="26" t="s">
        <v>59</v>
      </c>
      <c r="N1359" s="25" t="s">
        <v>70</v>
      </c>
      <c r="O1359" s="26" t="s">
        <v>1238</v>
      </c>
      <c r="P1359" s="26"/>
      <c r="Q1359" s="26"/>
      <c r="R1359" s="5"/>
      <c r="S1359" s="5"/>
      <c r="T1359" s="5"/>
      <c r="U1359" s="5"/>
      <c r="V1359" s="5"/>
      <c r="W1359" s="5"/>
      <c r="X1359" s="5"/>
      <c r="Y1359" s="5"/>
    </row>
    <row r="1360" spans="13:25" ht="67.5" x14ac:dyDescent="0.2">
      <c r="M1360" s="26" t="s">
        <v>59</v>
      </c>
      <c r="N1360" s="25" t="s">
        <v>70</v>
      </c>
      <c r="O1360" s="26" t="s">
        <v>1239</v>
      </c>
      <c r="P1360" s="26"/>
      <c r="Q1360" s="26"/>
      <c r="R1360" s="5"/>
      <c r="S1360" s="5"/>
      <c r="T1360" s="5"/>
      <c r="U1360" s="5"/>
      <c r="V1360" s="5"/>
      <c r="W1360" s="5"/>
      <c r="X1360" s="5"/>
      <c r="Y1360" s="5"/>
    </row>
    <row r="1361" spans="13:25" ht="22.5" x14ac:dyDescent="0.2">
      <c r="M1361" s="26" t="s">
        <v>59</v>
      </c>
      <c r="N1361" s="25" t="s">
        <v>55</v>
      </c>
      <c r="O1361" s="26" t="s">
        <v>1240</v>
      </c>
      <c r="P1361" s="26"/>
      <c r="Q1361" s="26"/>
      <c r="R1361" s="5"/>
      <c r="S1361" s="5"/>
      <c r="T1361" s="5"/>
      <c r="U1361" s="5"/>
      <c r="V1361" s="5"/>
      <c r="W1361" s="5"/>
      <c r="X1361" s="5"/>
      <c r="Y1361" s="5"/>
    </row>
    <row r="1362" spans="13:25" ht="78.75" x14ac:dyDescent="0.2">
      <c r="M1362" s="26" t="s">
        <v>59</v>
      </c>
      <c r="N1362" s="25" t="s">
        <v>55</v>
      </c>
      <c r="O1362" s="26" t="s">
        <v>486</v>
      </c>
      <c r="P1362" s="26"/>
      <c r="Q1362" s="26"/>
      <c r="R1362" s="5"/>
      <c r="S1362" s="5"/>
      <c r="T1362" s="5"/>
      <c r="U1362" s="5"/>
      <c r="V1362" s="5"/>
      <c r="W1362" s="5"/>
      <c r="X1362" s="5"/>
      <c r="Y1362" s="5"/>
    </row>
    <row r="1363" spans="13:25" ht="67.5" x14ac:dyDescent="0.2">
      <c r="M1363" s="26" t="s">
        <v>59</v>
      </c>
      <c r="N1363" s="25" t="s">
        <v>55</v>
      </c>
      <c r="O1363" s="26" t="s">
        <v>1241</v>
      </c>
      <c r="P1363" s="26"/>
      <c r="Q1363" s="26"/>
      <c r="R1363" s="5"/>
      <c r="S1363" s="5"/>
      <c r="T1363" s="5"/>
      <c r="U1363" s="5"/>
      <c r="V1363" s="5"/>
      <c r="W1363" s="5"/>
      <c r="X1363" s="5"/>
      <c r="Y1363" s="5"/>
    </row>
    <row r="1364" spans="13:25" ht="22.5" x14ac:dyDescent="0.2">
      <c r="M1364" s="26" t="s">
        <v>59</v>
      </c>
      <c r="N1364" s="25" t="s">
        <v>51</v>
      </c>
      <c r="O1364" s="26" t="s">
        <v>1242</v>
      </c>
      <c r="P1364" s="26"/>
      <c r="Q1364" s="26"/>
      <c r="R1364" s="5"/>
      <c r="S1364" s="5"/>
      <c r="T1364" s="5"/>
      <c r="U1364" s="5"/>
      <c r="V1364" s="5"/>
      <c r="W1364" s="5"/>
      <c r="X1364" s="5"/>
      <c r="Y1364" s="5"/>
    </row>
    <row r="1365" spans="13:25" ht="157.5" x14ac:dyDescent="0.2">
      <c r="M1365" s="26" t="s">
        <v>59</v>
      </c>
      <c r="N1365" s="25" t="s">
        <v>51</v>
      </c>
      <c r="O1365" s="26"/>
      <c r="P1365" s="26" t="s">
        <v>1212</v>
      </c>
      <c r="Q1365" s="26"/>
      <c r="R1365" s="5"/>
      <c r="S1365" s="5"/>
      <c r="T1365" s="5"/>
      <c r="U1365" s="5"/>
      <c r="V1365" s="5"/>
      <c r="W1365" s="5"/>
      <c r="X1365" s="5"/>
      <c r="Y1365" s="5"/>
    </row>
    <row r="1366" spans="13:25" ht="56.25" x14ac:dyDescent="0.2">
      <c r="M1366" s="26" t="s">
        <v>59</v>
      </c>
      <c r="N1366" s="25" t="s">
        <v>51</v>
      </c>
      <c r="O1366" s="26"/>
      <c r="P1366" s="26" t="s">
        <v>1243</v>
      </c>
      <c r="Q1366" s="26"/>
      <c r="R1366" s="5"/>
      <c r="S1366" s="5"/>
      <c r="T1366" s="5"/>
      <c r="U1366" s="5"/>
      <c r="V1366" s="5"/>
      <c r="W1366" s="5"/>
      <c r="X1366" s="5"/>
      <c r="Y1366" s="5"/>
    </row>
    <row r="1367" spans="13:25" ht="33.75" x14ac:dyDescent="0.2">
      <c r="M1367" s="26" t="s">
        <v>59</v>
      </c>
      <c r="N1367" s="25" t="s">
        <v>51</v>
      </c>
      <c r="O1367" s="26"/>
      <c r="P1367" s="26" t="s">
        <v>1244</v>
      </c>
      <c r="Q1367" s="26"/>
      <c r="R1367" s="5"/>
      <c r="S1367" s="5"/>
      <c r="T1367" s="5"/>
      <c r="U1367" s="5"/>
      <c r="V1367" s="5"/>
      <c r="W1367" s="5"/>
      <c r="X1367" s="5"/>
      <c r="Y1367" s="5"/>
    </row>
    <row r="1368" spans="13:25" ht="33.75" x14ac:dyDescent="0.2">
      <c r="M1368" s="26" t="s">
        <v>59</v>
      </c>
      <c r="N1368" s="25" t="s">
        <v>51</v>
      </c>
      <c r="O1368" s="26"/>
      <c r="P1368" s="26" t="s">
        <v>1111</v>
      </c>
      <c r="Q1368" s="26"/>
      <c r="R1368" s="5"/>
      <c r="S1368" s="5"/>
      <c r="T1368" s="5"/>
      <c r="U1368" s="5"/>
      <c r="V1368" s="5"/>
      <c r="W1368" s="5"/>
      <c r="X1368" s="5"/>
      <c r="Y1368" s="5"/>
    </row>
    <row r="1369" spans="13:25" ht="33.75" x14ac:dyDescent="0.2">
      <c r="M1369" s="26" t="s">
        <v>59</v>
      </c>
      <c r="N1369" s="25" t="s">
        <v>51</v>
      </c>
      <c r="O1369" s="26"/>
      <c r="P1369" s="26" t="s">
        <v>1245</v>
      </c>
      <c r="Q1369" s="26"/>
      <c r="R1369" s="5"/>
      <c r="S1369" s="5"/>
      <c r="T1369" s="5"/>
      <c r="U1369" s="5"/>
      <c r="V1369" s="5"/>
      <c r="W1369" s="5"/>
      <c r="X1369" s="5"/>
      <c r="Y1369" s="5"/>
    </row>
    <row r="1370" spans="13:25" ht="45" x14ac:dyDescent="0.2">
      <c r="M1370" s="26" t="s">
        <v>59</v>
      </c>
      <c r="N1370" s="25" t="s">
        <v>51</v>
      </c>
      <c r="O1370" s="26"/>
      <c r="P1370" s="26" t="s">
        <v>1218</v>
      </c>
      <c r="Q1370" s="26"/>
      <c r="R1370" s="5"/>
      <c r="S1370" s="5"/>
      <c r="T1370" s="5"/>
      <c r="U1370" s="5"/>
      <c r="V1370" s="5"/>
      <c r="W1370" s="5"/>
      <c r="X1370" s="5"/>
      <c r="Y1370" s="5"/>
    </row>
    <row r="1371" spans="13:25" ht="33.75" x14ac:dyDescent="0.2">
      <c r="M1371" s="26" t="s">
        <v>59</v>
      </c>
      <c r="N1371" s="25" t="s">
        <v>51</v>
      </c>
      <c r="O1371" s="26"/>
      <c r="P1371" s="26" t="s">
        <v>1246</v>
      </c>
      <c r="Q1371" s="26"/>
      <c r="R1371" s="5"/>
      <c r="S1371" s="5"/>
      <c r="T1371" s="5"/>
      <c r="U1371" s="5"/>
      <c r="V1371" s="5"/>
      <c r="W1371" s="5"/>
      <c r="X1371" s="5"/>
      <c r="Y1371" s="5"/>
    </row>
    <row r="1372" spans="13:25" ht="33.75" x14ac:dyDescent="0.2">
      <c r="M1372" s="26" t="s">
        <v>59</v>
      </c>
      <c r="N1372" s="25" t="s">
        <v>51</v>
      </c>
      <c r="O1372" s="26"/>
      <c r="P1372" s="26" t="s">
        <v>1247</v>
      </c>
      <c r="Q1372" s="26"/>
      <c r="R1372" s="5"/>
      <c r="S1372" s="5"/>
      <c r="T1372" s="5"/>
      <c r="U1372" s="5"/>
      <c r="V1372" s="5"/>
      <c r="W1372" s="5"/>
      <c r="X1372" s="5"/>
      <c r="Y1372" s="5"/>
    </row>
    <row r="1373" spans="13:25" ht="22.5" x14ac:dyDescent="0.2">
      <c r="M1373" s="26" t="s">
        <v>59</v>
      </c>
      <c r="N1373" s="25" t="s">
        <v>51</v>
      </c>
      <c r="O1373" s="26"/>
      <c r="P1373" s="26" t="s">
        <v>1248</v>
      </c>
      <c r="Q1373" s="26"/>
      <c r="R1373" s="5"/>
      <c r="S1373" s="5"/>
      <c r="T1373" s="5"/>
      <c r="U1373" s="5"/>
      <c r="V1373" s="5"/>
      <c r="W1373" s="5"/>
      <c r="X1373" s="5"/>
      <c r="Y1373" s="5"/>
    </row>
    <row r="1374" spans="13:25" ht="22.5" x14ac:dyDescent="0.2">
      <c r="M1374" s="26" t="s">
        <v>59</v>
      </c>
      <c r="N1374" s="25" t="s">
        <v>57</v>
      </c>
      <c r="O1374" s="26"/>
      <c r="P1374" s="26" t="s">
        <v>1249</v>
      </c>
      <c r="Q1374" s="26"/>
      <c r="R1374" s="5"/>
      <c r="S1374" s="5"/>
      <c r="T1374" s="5"/>
      <c r="U1374" s="5"/>
      <c r="V1374" s="5"/>
      <c r="W1374" s="5"/>
      <c r="X1374" s="5"/>
      <c r="Y1374" s="5"/>
    </row>
    <row r="1375" spans="13:25" ht="33.75" x14ac:dyDescent="0.2">
      <c r="M1375" s="26" t="s">
        <v>59</v>
      </c>
      <c r="N1375" s="25" t="s">
        <v>70</v>
      </c>
      <c r="O1375" s="26" t="s">
        <v>1250</v>
      </c>
      <c r="P1375" s="26"/>
      <c r="Q1375" s="26"/>
      <c r="R1375" s="5"/>
      <c r="S1375" s="5"/>
      <c r="T1375" s="5"/>
      <c r="U1375" s="5"/>
      <c r="V1375" s="5"/>
      <c r="W1375" s="5"/>
      <c r="X1375" s="5"/>
      <c r="Y1375" s="5"/>
    </row>
    <row r="1376" spans="13:25" ht="22.5" x14ac:dyDescent="0.2">
      <c r="M1376" s="26" t="s">
        <v>59</v>
      </c>
      <c r="N1376" s="25" t="s">
        <v>57</v>
      </c>
      <c r="O1376" s="26" t="s">
        <v>1251</v>
      </c>
      <c r="P1376" s="26"/>
      <c r="Q1376" s="26"/>
      <c r="R1376" s="5"/>
      <c r="S1376" s="5"/>
      <c r="T1376" s="5"/>
      <c r="U1376" s="5"/>
      <c r="V1376" s="5"/>
      <c r="W1376" s="5"/>
      <c r="X1376" s="5"/>
      <c r="Y1376" s="5"/>
    </row>
    <row r="1377" spans="13:25" ht="22.5" x14ac:dyDescent="0.2">
      <c r="M1377" s="26" t="s">
        <v>59</v>
      </c>
      <c r="N1377" s="25" t="s">
        <v>57</v>
      </c>
      <c r="O1377" s="26" t="s">
        <v>1252</v>
      </c>
      <c r="P1377" s="26"/>
      <c r="Q1377" s="26"/>
      <c r="R1377" s="5"/>
      <c r="S1377" s="5"/>
      <c r="T1377" s="5"/>
      <c r="U1377" s="5"/>
      <c r="V1377" s="5"/>
      <c r="W1377" s="5"/>
      <c r="X1377" s="5"/>
      <c r="Y1377" s="5"/>
    </row>
    <row r="1378" spans="13:25" ht="22.5" x14ac:dyDescent="0.2">
      <c r="M1378" s="26" t="s">
        <v>59</v>
      </c>
      <c r="N1378" s="25" t="s">
        <v>57</v>
      </c>
      <c r="O1378" s="26" t="s">
        <v>1253</v>
      </c>
      <c r="P1378" s="26"/>
      <c r="Q1378" s="26"/>
      <c r="R1378" s="5"/>
      <c r="S1378" s="5"/>
      <c r="T1378" s="5"/>
      <c r="U1378" s="5"/>
      <c r="V1378" s="5"/>
      <c r="W1378" s="5"/>
      <c r="X1378" s="5"/>
      <c r="Y1378" s="5"/>
    </row>
    <row r="1379" spans="13:25" ht="22.5" x14ac:dyDescent="0.2">
      <c r="M1379" s="26" t="s">
        <v>59</v>
      </c>
      <c r="N1379" s="25" t="s">
        <v>51</v>
      </c>
      <c r="O1379" s="26" t="s">
        <v>1254</v>
      </c>
      <c r="P1379" s="26"/>
      <c r="Q1379" s="26"/>
      <c r="R1379" s="5"/>
      <c r="S1379" s="5"/>
      <c r="T1379" s="5"/>
      <c r="U1379" s="5"/>
      <c r="V1379" s="5"/>
      <c r="W1379" s="5"/>
      <c r="X1379" s="5"/>
      <c r="Y1379" s="5"/>
    </row>
    <row r="1380" spans="13:25" ht="157.5" x14ac:dyDescent="0.2">
      <c r="M1380" s="26" t="s">
        <v>59</v>
      </c>
      <c r="N1380" s="25" t="s">
        <v>51</v>
      </c>
      <c r="O1380" s="26"/>
      <c r="P1380" s="26" t="s">
        <v>1255</v>
      </c>
      <c r="Q1380" s="26"/>
      <c r="R1380" s="5"/>
      <c r="S1380" s="5"/>
      <c r="T1380" s="5"/>
      <c r="U1380" s="5"/>
      <c r="V1380" s="5"/>
      <c r="W1380" s="5"/>
      <c r="X1380" s="5"/>
      <c r="Y1380" s="5"/>
    </row>
    <row r="1381" spans="13:25" ht="67.5" x14ac:dyDescent="0.2">
      <c r="M1381" s="26" t="s">
        <v>59</v>
      </c>
      <c r="N1381" s="25" t="s">
        <v>51</v>
      </c>
      <c r="O1381" s="26"/>
      <c r="P1381" s="26" t="s">
        <v>1256</v>
      </c>
      <c r="Q1381" s="26"/>
      <c r="R1381" s="5"/>
      <c r="S1381" s="5"/>
      <c r="T1381" s="5"/>
      <c r="U1381" s="5"/>
      <c r="V1381" s="5"/>
      <c r="W1381" s="5"/>
      <c r="X1381" s="5"/>
      <c r="Y1381" s="5"/>
    </row>
    <row r="1382" spans="13:25" ht="67.5" x14ac:dyDescent="0.2">
      <c r="M1382" s="26" t="s">
        <v>59</v>
      </c>
      <c r="N1382" s="25" t="s">
        <v>51</v>
      </c>
      <c r="O1382" s="26"/>
      <c r="P1382" s="26" t="s">
        <v>1237</v>
      </c>
      <c r="Q1382" s="26"/>
      <c r="R1382" s="5"/>
      <c r="S1382" s="5"/>
      <c r="T1382" s="5"/>
      <c r="U1382" s="5"/>
      <c r="V1382" s="5"/>
      <c r="W1382" s="5"/>
      <c r="X1382" s="5"/>
      <c r="Y1382" s="5"/>
    </row>
    <row r="1383" spans="13:25" ht="33.75" x14ac:dyDescent="0.2">
      <c r="M1383" s="26" t="s">
        <v>59</v>
      </c>
      <c r="N1383" s="25" t="s">
        <v>51</v>
      </c>
      <c r="O1383" s="26"/>
      <c r="P1383" s="26" t="s">
        <v>1257</v>
      </c>
      <c r="Q1383" s="26"/>
      <c r="R1383" s="5"/>
      <c r="S1383" s="5"/>
      <c r="T1383" s="5"/>
      <c r="U1383" s="5"/>
      <c r="V1383" s="5"/>
      <c r="W1383" s="5"/>
      <c r="X1383" s="5"/>
      <c r="Y1383" s="5"/>
    </row>
    <row r="1384" spans="13:25" ht="67.5" x14ac:dyDescent="0.2">
      <c r="M1384" s="26" t="s">
        <v>59</v>
      </c>
      <c r="N1384" s="25" t="s">
        <v>51</v>
      </c>
      <c r="O1384" s="26"/>
      <c r="P1384" s="26" t="s">
        <v>995</v>
      </c>
      <c r="Q1384" s="26"/>
      <c r="R1384" s="5"/>
      <c r="S1384" s="5"/>
      <c r="T1384" s="5"/>
      <c r="U1384" s="5"/>
      <c r="V1384" s="5"/>
      <c r="W1384" s="5"/>
      <c r="X1384" s="5"/>
      <c r="Y1384" s="5"/>
    </row>
    <row r="1385" spans="13:25" ht="22.5" x14ac:dyDescent="0.2">
      <c r="M1385" s="26" t="s">
        <v>59</v>
      </c>
      <c r="N1385" s="25" t="s">
        <v>51</v>
      </c>
      <c r="O1385" s="26"/>
      <c r="P1385" s="26" t="s">
        <v>1258</v>
      </c>
      <c r="Q1385" s="26"/>
      <c r="R1385" s="5"/>
      <c r="S1385" s="5"/>
      <c r="T1385" s="5"/>
      <c r="U1385" s="5"/>
      <c r="V1385" s="5"/>
      <c r="W1385" s="5"/>
      <c r="X1385" s="5"/>
      <c r="Y1385" s="5"/>
    </row>
    <row r="1386" spans="13:25" ht="45" x14ac:dyDescent="0.2">
      <c r="M1386" s="26" t="s">
        <v>59</v>
      </c>
      <c r="N1386" s="25" t="s">
        <v>51</v>
      </c>
      <c r="O1386" s="26"/>
      <c r="P1386" s="26"/>
      <c r="Q1386" s="26" t="s">
        <v>1056</v>
      </c>
      <c r="R1386" s="5"/>
      <c r="S1386" s="5"/>
      <c r="T1386" s="5"/>
      <c r="U1386" s="5"/>
      <c r="V1386" s="5"/>
      <c r="W1386" s="5"/>
      <c r="X1386" s="5"/>
      <c r="Y1386" s="5"/>
    </row>
    <row r="1387" spans="13:25" ht="45" x14ac:dyDescent="0.2">
      <c r="M1387" s="26" t="s">
        <v>59</v>
      </c>
      <c r="N1387" s="25" t="s">
        <v>51</v>
      </c>
      <c r="O1387" s="26"/>
      <c r="P1387" s="26"/>
      <c r="Q1387" s="26" t="s">
        <v>1259</v>
      </c>
      <c r="R1387" s="5"/>
      <c r="S1387" s="5"/>
      <c r="T1387" s="5"/>
      <c r="U1387" s="5"/>
      <c r="V1387" s="5"/>
      <c r="W1387" s="5"/>
      <c r="X1387" s="5"/>
      <c r="Y1387" s="5"/>
    </row>
    <row r="1388" spans="13:25" ht="67.5" x14ac:dyDescent="0.2">
      <c r="M1388" s="26" t="s">
        <v>59</v>
      </c>
      <c r="N1388" s="25" t="s">
        <v>51</v>
      </c>
      <c r="O1388" s="26"/>
      <c r="P1388" s="26"/>
      <c r="Q1388" s="26" t="s">
        <v>1217</v>
      </c>
      <c r="R1388" s="5"/>
      <c r="S1388" s="5"/>
      <c r="T1388" s="5"/>
      <c r="U1388" s="5"/>
      <c r="V1388" s="5"/>
      <c r="W1388" s="5"/>
      <c r="X1388" s="5"/>
      <c r="Y1388" s="5"/>
    </row>
    <row r="1389" spans="13:25" ht="33.75" x14ac:dyDescent="0.2">
      <c r="M1389" s="26" t="s">
        <v>59</v>
      </c>
      <c r="N1389" s="25" t="s">
        <v>51</v>
      </c>
      <c r="O1389" s="26"/>
      <c r="P1389" s="26"/>
      <c r="Q1389" s="26" t="s">
        <v>1260</v>
      </c>
      <c r="R1389" s="5"/>
      <c r="S1389" s="5"/>
      <c r="T1389" s="5"/>
      <c r="U1389" s="5"/>
      <c r="V1389" s="5"/>
      <c r="W1389" s="5"/>
      <c r="X1389" s="5"/>
      <c r="Y1389" s="5"/>
    </row>
    <row r="1390" spans="13:25" ht="67.5" x14ac:dyDescent="0.2">
      <c r="M1390" s="26" t="s">
        <v>59</v>
      </c>
      <c r="N1390" s="25" t="s">
        <v>51</v>
      </c>
      <c r="O1390" s="26"/>
      <c r="P1390" s="26"/>
      <c r="Q1390" s="26" t="s">
        <v>1256</v>
      </c>
      <c r="R1390" s="5"/>
      <c r="S1390" s="5"/>
      <c r="T1390" s="5"/>
      <c r="U1390" s="5"/>
      <c r="V1390" s="5"/>
      <c r="W1390" s="5"/>
      <c r="X1390" s="5"/>
      <c r="Y1390" s="5"/>
    </row>
    <row r="1391" spans="13:25" ht="67.5" x14ac:dyDescent="0.2">
      <c r="M1391" s="26" t="s">
        <v>59</v>
      </c>
      <c r="N1391" s="25" t="s">
        <v>51</v>
      </c>
      <c r="O1391" s="26"/>
      <c r="P1391" s="26"/>
      <c r="Q1391" s="26" t="s">
        <v>995</v>
      </c>
      <c r="R1391" s="5"/>
      <c r="S1391" s="5"/>
      <c r="T1391" s="5"/>
      <c r="U1391" s="5"/>
      <c r="V1391" s="5"/>
      <c r="W1391" s="5"/>
      <c r="X1391" s="5"/>
      <c r="Y1391" s="5"/>
    </row>
    <row r="1392" spans="13:25" ht="22.5" x14ac:dyDescent="0.2">
      <c r="M1392" s="26" t="s">
        <v>59</v>
      </c>
      <c r="N1392" s="25" t="s">
        <v>51</v>
      </c>
      <c r="O1392" s="26"/>
      <c r="P1392" s="26" t="s">
        <v>1261</v>
      </c>
      <c r="Q1392" s="26"/>
      <c r="R1392" s="5"/>
      <c r="S1392" s="5"/>
      <c r="T1392" s="5"/>
      <c r="U1392" s="5"/>
      <c r="V1392" s="5"/>
      <c r="W1392" s="5"/>
      <c r="X1392" s="5"/>
      <c r="Y1392" s="5"/>
    </row>
    <row r="1393" spans="13:25" ht="33.75" x14ac:dyDescent="0.2">
      <c r="M1393" s="26" t="s">
        <v>59</v>
      </c>
      <c r="N1393" s="25" t="s">
        <v>51</v>
      </c>
      <c r="O1393" s="26"/>
      <c r="P1393" s="26"/>
      <c r="Q1393" s="26" t="s">
        <v>1262</v>
      </c>
      <c r="R1393" s="5"/>
      <c r="S1393" s="5"/>
      <c r="T1393" s="5"/>
      <c r="U1393" s="5"/>
      <c r="V1393" s="5"/>
      <c r="W1393" s="5"/>
      <c r="X1393" s="5"/>
      <c r="Y1393" s="5"/>
    </row>
    <row r="1394" spans="13:25" ht="67.5" x14ac:dyDescent="0.2">
      <c r="M1394" s="26" t="s">
        <v>59</v>
      </c>
      <c r="N1394" s="25" t="s">
        <v>51</v>
      </c>
      <c r="O1394" s="26"/>
      <c r="P1394" s="26"/>
      <c r="Q1394" s="26" t="s">
        <v>1223</v>
      </c>
      <c r="R1394" s="5"/>
      <c r="S1394" s="5"/>
      <c r="T1394" s="5"/>
      <c r="U1394" s="5"/>
      <c r="V1394" s="5"/>
      <c r="W1394" s="5"/>
      <c r="X1394" s="5"/>
      <c r="Y1394" s="5"/>
    </row>
    <row r="1395" spans="13:25" ht="157.5" x14ac:dyDescent="0.2">
      <c r="M1395" s="26" t="s">
        <v>59</v>
      </c>
      <c r="N1395" s="25" t="s">
        <v>51</v>
      </c>
      <c r="O1395" s="26"/>
      <c r="P1395" s="26"/>
      <c r="Q1395" s="26" t="s">
        <v>1212</v>
      </c>
      <c r="R1395" s="5"/>
      <c r="S1395" s="5"/>
      <c r="T1395" s="5"/>
      <c r="U1395" s="5"/>
      <c r="V1395" s="5"/>
      <c r="W1395" s="5"/>
      <c r="X1395" s="5"/>
      <c r="Y1395" s="5"/>
    </row>
    <row r="1396" spans="13:25" ht="33.75" x14ac:dyDescent="0.2">
      <c r="M1396" s="26" t="s">
        <v>59</v>
      </c>
      <c r="N1396" s="25" t="s">
        <v>51</v>
      </c>
      <c r="O1396" s="26"/>
      <c r="P1396" s="26"/>
      <c r="Q1396" s="26" t="s">
        <v>1051</v>
      </c>
      <c r="R1396" s="5"/>
      <c r="S1396" s="5"/>
      <c r="T1396" s="5"/>
      <c r="U1396" s="5"/>
      <c r="V1396" s="5"/>
      <c r="W1396" s="5"/>
      <c r="X1396" s="5"/>
      <c r="Y1396" s="5"/>
    </row>
    <row r="1397" spans="13:25" ht="33.75" x14ac:dyDescent="0.2">
      <c r="M1397" s="26" t="s">
        <v>59</v>
      </c>
      <c r="N1397" s="25" t="s">
        <v>51</v>
      </c>
      <c r="O1397" s="26"/>
      <c r="P1397" s="26"/>
      <c r="Q1397" s="26" t="s">
        <v>1111</v>
      </c>
      <c r="R1397" s="5"/>
      <c r="S1397" s="5"/>
      <c r="T1397" s="5"/>
      <c r="U1397" s="5"/>
      <c r="V1397" s="5"/>
      <c r="W1397" s="5"/>
      <c r="X1397" s="5"/>
      <c r="Y1397" s="5"/>
    </row>
    <row r="1398" spans="13:25" ht="33.75" x14ac:dyDescent="0.2">
      <c r="M1398" s="26" t="s">
        <v>59</v>
      </c>
      <c r="N1398" s="25" t="s">
        <v>51</v>
      </c>
      <c r="O1398" s="26"/>
      <c r="P1398" s="26"/>
      <c r="Q1398" s="26" t="s">
        <v>1263</v>
      </c>
      <c r="R1398" s="5"/>
      <c r="S1398" s="5"/>
      <c r="T1398" s="5"/>
      <c r="U1398" s="5"/>
      <c r="V1398" s="5"/>
      <c r="W1398" s="5"/>
      <c r="X1398" s="5"/>
      <c r="Y1398" s="5"/>
    </row>
    <row r="1399" spans="13:25" ht="45" x14ac:dyDescent="0.2">
      <c r="M1399" s="26" t="s">
        <v>59</v>
      </c>
      <c r="N1399" s="25" t="s">
        <v>51</v>
      </c>
      <c r="O1399" s="26"/>
      <c r="P1399" s="26"/>
      <c r="Q1399" s="26" t="s">
        <v>1264</v>
      </c>
      <c r="R1399" s="5"/>
      <c r="S1399" s="5"/>
      <c r="T1399" s="5"/>
      <c r="U1399" s="5"/>
      <c r="V1399" s="5"/>
      <c r="W1399" s="5"/>
      <c r="X1399" s="5"/>
      <c r="Y1399" s="5"/>
    </row>
    <row r="1400" spans="13:25" ht="56.25" x14ac:dyDescent="0.2">
      <c r="M1400" s="26" t="s">
        <v>59</v>
      </c>
      <c r="N1400" s="25" t="s">
        <v>51</v>
      </c>
      <c r="O1400" s="26"/>
      <c r="P1400" s="26" t="s">
        <v>1265</v>
      </c>
      <c r="Q1400" s="26"/>
      <c r="R1400" s="5"/>
      <c r="S1400" s="5"/>
      <c r="T1400" s="5"/>
      <c r="U1400" s="5"/>
      <c r="V1400" s="5"/>
      <c r="W1400" s="5"/>
      <c r="X1400" s="5"/>
      <c r="Y1400" s="5"/>
    </row>
    <row r="1401" spans="13:25" ht="90" x14ac:dyDescent="0.2">
      <c r="M1401" s="26" t="s">
        <v>59</v>
      </c>
      <c r="N1401" s="25" t="s">
        <v>51</v>
      </c>
      <c r="O1401" s="26"/>
      <c r="P1401" s="26" t="s">
        <v>1219</v>
      </c>
      <c r="Q1401" s="26"/>
      <c r="R1401" s="5"/>
      <c r="S1401" s="5"/>
      <c r="T1401" s="5"/>
      <c r="U1401" s="5"/>
      <c r="V1401" s="5"/>
      <c r="W1401" s="5"/>
      <c r="X1401" s="5"/>
      <c r="Y1401" s="5"/>
    </row>
    <row r="1402" spans="13:25" ht="33.75" x14ac:dyDescent="0.2">
      <c r="M1402" s="26" t="s">
        <v>59</v>
      </c>
      <c r="N1402" s="25" t="s">
        <v>51</v>
      </c>
      <c r="O1402" s="26"/>
      <c r="P1402" s="26" t="s">
        <v>1260</v>
      </c>
      <c r="Q1402" s="26"/>
      <c r="R1402" s="5"/>
      <c r="S1402" s="5"/>
      <c r="T1402" s="5"/>
      <c r="U1402" s="5"/>
      <c r="V1402" s="5"/>
      <c r="W1402" s="5"/>
      <c r="X1402" s="5"/>
      <c r="Y1402" s="5"/>
    </row>
    <row r="1403" spans="13:25" ht="33.75" x14ac:dyDescent="0.2">
      <c r="M1403" s="26" t="s">
        <v>59</v>
      </c>
      <c r="N1403" s="25" t="s">
        <v>51</v>
      </c>
      <c r="O1403" s="26"/>
      <c r="P1403" s="26" t="s">
        <v>1266</v>
      </c>
      <c r="Q1403" s="26"/>
      <c r="R1403" s="5"/>
      <c r="S1403" s="5"/>
      <c r="T1403" s="5"/>
      <c r="U1403" s="5"/>
      <c r="V1403" s="5"/>
      <c r="W1403" s="5"/>
      <c r="X1403" s="5"/>
      <c r="Y1403" s="5"/>
    </row>
    <row r="1404" spans="13:25" ht="22.5" x14ac:dyDescent="0.2">
      <c r="M1404" s="26" t="s">
        <v>59</v>
      </c>
      <c r="N1404" s="25" t="s">
        <v>57</v>
      </c>
      <c r="O1404" s="26"/>
      <c r="P1404" s="26" t="s">
        <v>1267</v>
      </c>
      <c r="Q1404" s="26"/>
      <c r="R1404" s="5"/>
      <c r="S1404" s="5"/>
      <c r="T1404" s="5"/>
      <c r="U1404" s="5"/>
      <c r="V1404" s="5"/>
      <c r="W1404" s="5"/>
      <c r="X1404" s="5"/>
      <c r="Y1404" s="5"/>
    </row>
    <row r="1405" spans="13:25" ht="22.5" x14ac:dyDescent="0.2">
      <c r="M1405" s="26" t="s">
        <v>59</v>
      </c>
      <c r="N1405" s="25" t="s">
        <v>51</v>
      </c>
      <c r="O1405" s="26"/>
      <c r="P1405" s="26" t="s">
        <v>1268</v>
      </c>
      <c r="Q1405" s="26"/>
      <c r="R1405" s="5"/>
      <c r="S1405" s="5"/>
      <c r="T1405" s="5"/>
      <c r="U1405" s="5"/>
      <c r="V1405" s="5"/>
      <c r="W1405" s="5"/>
      <c r="X1405" s="5"/>
      <c r="Y1405" s="5"/>
    </row>
    <row r="1406" spans="13:25" ht="45" x14ac:dyDescent="0.2">
      <c r="M1406" s="26" t="s">
        <v>59</v>
      </c>
      <c r="N1406" s="25" t="s">
        <v>51</v>
      </c>
      <c r="O1406" s="26"/>
      <c r="P1406" s="26" t="s">
        <v>1269</v>
      </c>
      <c r="Q1406" s="26"/>
      <c r="R1406" s="5"/>
      <c r="S1406" s="5"/>
      <c r="T1406" s="5"/>
      <c r="U1406" s="5"/>
      <c r="V1406" s="5"/>
      <c r="W1406" s="5"/>
      <c r="X1406" s="5"/>
      <c r="Y1406" s="5"/>
    </row>
    <row r="1407" spans="13:25" ht="22.5" x14ac:dyDescent="0.2">
      <c r="M1407" s="26" t="s">
        <v>59</v>
      </c>
      <c r="N1407" s="25" t="s">
        <v>51</v>
      </c>
      <c r="O1407" s="26"/>
      <c r="P1407" s="26" t="s">
        <v>1270</v>
      </c>
      <c r="Q1407" s="26"/>
      <c r="R1407" s="5"/>
      <c r="S1407" s="5"/>
      <c r="T1407" s="5"/>
      <c r="U1407" s="5"/>
      <c r="V1407" s="5"/>
      <c r="W1407" s="5"/>
      <c r="X1407" s="5"/>
      <c r="Y1407" s="5"/>
    </row>
    <row r="1408" spans="13:25" ht="22.5" x14ac:dyDescent="0.2">
      <c r="M1408" s="26" t="s">
        <v>59</v>
      </c>
      <c r="N1408" s="25" t="s">
        <v>51</v>
      </c>
      <c r="O1408" s="26"/>
      <c r="P1408" s="26" t="s">
        <v>1271</v>
      </c>
      <c r="Q1408" s="26"/>
      <c r="R1408" s="5"/>
      <c r="S1408" s="5"/>
      <c r="T1408" s="5"/>
      <c r="U1408" s="5"/>
      <c r="V1408" s="5"/>
      <c r="W1408" s="5"/>
      <c r="X1408" s="5"/>
      <c r="Y1408" s="5"/>
    </row>
    <row r="1409" spans="13:25" ht="22.5" x14ac:dyDescent="0.2">
      <c r="M1409" s="26" t="s">
        <v>59</v>
      </c>
      <c r="N1409" s="25" t="s">
        <v>51</v>
      </c>
      <c r="O1409" s="26" t="s">
        <v>1272</v>
      </c>
      <c r="P1409" s="26"/>
      <c r="Q1409" s="26"/>
      <c r="R1409" s="5"/>
      <c r="S1409" s="5"/>
      <c r="T1409" s="5"/>
      <c r="U1409" s="5"/>
      <c r="V1409" s="5"/>
      <c r="W1409" s="5"/>
      <c r="X1409" s="5"/>
      <c r="Y1409" s="5"/>
    </row>
    <row r="1410" spans="13:25" ht="56.25" x14ac:dyDescent="0.2">
      <c r="M1410" s="26" t="s">
        <v>59</v>
      </c>
      <c r="N1410" s="25" t="s">
        <v>51</v>
      </c>
      <c r="O1410" s="26"/>
      <c r="P1410" s="26" t="s">
        <v>1273</v>
      </c>
      <c r="Q1410" s="26"/>
      <c r="R1410" s="5"/>
      <c r="S1410" s="5"/>
      <c r="T1410" s="5"/>
      <c r="U1410" s="5"/>
      <c r="V1410" s="5"/>
      <c r="W1410" s="5"/>
      <c r="X1410" s="5"/>
      <c r="Y1410" s="5"/>
    </row>
    <row r="1411" spans="13:25" ht="78.75" x14ac:dyDescent="0.2">
      <c r="M1411" s="26" t="s">
        <v>59</v>
      </c>
      <c r="N1411" s="25" t="s">
        <v>51</v>
      </c>
      <c r="O1411" s="26"/>
      <c r="P1411" s="26" t="s">
        <v>1274</v>
      </c>
      <c r="Q1411" s="26"/>
      <c r="R1411" s="5"/>
      <c r="S1411" s="5"/>
      <c r="T1411" s="5"/>
      <c r="U1411" s="5"/>
      <c r="V1411" s="5"/>
      <c r="W1411" s="5"/>
      <c r="X1411" s="5"/>
      <c r="Y1411" s="5"/>
    </row>
    <row r="1412" spans="13:25" ht="45" x14ac:dyDescent="0.2">
      <c r="M1412" s="26" t="s">
        <v>59</v>
      </c>
      <c r="N1412" s="25" t="s">
        <v>51</v>
      </c>
      <c r="O1412" s="26"/>
      <c r="P1412" s="26" t="s">
        <v>1275</v>
      </c>
      <c r="Q1412" s="26"/>
      <c r="R1412" s="5"/>
      <c r="S1412" s="5"/>
      <c r="T1412" s="5"/>
      <c r="U1412" s="5"/>
      <c r="V1412" s="5"/>
      <c r="W1412" s="5"/>
      <c r="X1412" s="5"/>
      <c r="Y1412" s="5"/>
    </row>
    <row r="1413" spans="13:25" ht="22.5" x14ac:dyDescent="0.2">
      <c r="M1413" s="26" t="s">
        <v>59</v>
      </c>
      <c r="N1413" s="25" t="s">
        <v>51</v>
      </c>
      <c r="O1413" s="26"/>
      <c r="P1413" s="26" t="s">
        <v>1276</v>
      </c>
      <c r="Q1413" s="26"/>
      <c r="R1413" s="5"/>
      <c r="S1413" s="5"/>
      <c r="T1413" s="5"/>
      <c r="U1413" s="5"/>
      <c r="V1413" s="5"/>
      <c r="W1413" s="5"/>
      <c r="X1413" s="5"/>
      <c r="Y1413" s="5"/>
    </row>
    <row r="1414" spans="13:25" ht="67.5" x14ac:dyDescent="0.2">
      <c r="M1414" s="26" t="s">
        <v>59</v>
      </c>
      <c r="N1414" s="25" t="s">
        <v>51</v>
      </c>
      <c r="O1414" s="26"/>
      <c r="P1414" s="26" t="s">
        <v>1277</v>
      </c>
      <c r="Q1414" s="26"/>
      <c r="R1414" s="5"/>
      <c r="S1414" s="5"/>
      <c r="T1414" s="5"/>
      <c r="U1414" s="5"/>
      <c r="V1414" s="5"/>
      <c r="W1414" s="5"/>
      <c r="X1414" s="5"/>
      <c r="Y1414" s="5"/>
    </row>
    <row r="1415" spans="13:25" ht="33.75" x14ac:dyDescent="0.2">
      <c r="M1415" s="26" t="s">
        <v>59</v>
      </c>
      <c r="N1415" s="25" t="s">
        <v>51</v>
      </c>
      <c r="O1415" s="26"/>
      <c r="P1415" s="26" t="s">
        <v>948</v>
      </c>
      <c r="Q1415" s="26"/>
      <c r="R1415" s="5"/>
      <c r="S1415" s="5"/>
      <c r="T1415" s="5"/>
      <c r="U1415" s="5"/>
      <c r="V1415" s="5"/>
      <c r="W1415" s="5"/>
      <c r="X1415" s="5"/>
      <c r="Y1415" s="5"/>
    </row>
    <row r="1416" spans="13:25" ht="22.5" x14ac:dyDescent="0.2">
      <c r="M1416" s="26" t="s">
        <v>59</v>
      </c>
      <c r="N1416" s="25" t="s">
        <v>51</v>
      </c>
      <c r="O1416" s="26"/>
      <c r="P1416" s="26" t="s">
        <v>1278</v>
      </c>
      <c r="Q1416" s="26"/>
      <c r="R1416" s="5"/>
      <c r="S1416" s="5"/>
      <c r="T1416" s="5"/>
      <c r="U1416" s="5"/>
      <c r="V1416" s="5"/>
      <c r="W1416" s="5"/>
      <c r="X1416" s="5"/>
      <c r="Y1416" s="5"/>
    </row>
    <row r="1417" spans="13:25" ht="33.75" x14ac:dyDescent="0.2">
      <c r="M1417" s="26" t="s">
        <v>59</v>
      </c>
      <c r="N1417" s="25" t="s">
        <v>51</v>
      </c>
      <c r="O1417" s="26"/>
      <c r="P1417" s="26" t="s">
        <v>1131</v>
      </c>
      <c r="Q1417" s="26"/>
      <c r="R1417" s="5"/>
      <c r="S1417" s="5"/>
      <c r="T1417" s="5"/>
      <c r="U1417" s="5"/>
      <c r="V1417" s="5"/>
      <c r="W1417" s="5"/>
      <c r="X1417" s="5"/>
      <c r="Y1417" s="5"/>
    </row>
    <row r="1418" spans="13:25" ht="56.25" x14ac:dyDescent="0.2">
      <c r="M1418" s="26" t="s">
        <v>59</v>
      </c>
      <c r="N1418" s="25" t="s">
        <v>51</v>
      </c>
      <c r="O1418" s="26"/>
      <c r="P1418" s="26" t="s">
        <v>1058</v>
      </c>
      <c r="Q1418" s="26"/>
      <c r="R1418" s="5"/>
      <c r="S1418" s="5"/>
      <c r="T1418" s="5"/>
      <c r="U1418" s="5"/>
      <c r="V1418" s="5"/>
      <c r="W1418" s="5"/>
      <c r="X1418" s="5"/>
      <c r="Y1418" s="5"/>
    </row>
    <row r="1419" spans="13:25" ht="56.25" x14ac:dyDescent="0.2">
      <c r="M1419" s="26" t="s">
        <v>59</v>
      </c>
      <c r="N1419" s="25" t="s">
        <v>51</v>
      </c>
      <c r="O1419" s="26"/>
      <c r="P1419" s="26" t="s">
        <v>1059</v>
      </c>
      <c r="Q1419" s="26"/>
      <c r="R1419" s="5"/>
      <c r="S1419" s="5"/>
      <c r="T1419" s="5"/>
      <c r="U1419" s="5"/>
      <c r="V1419" s="5"/>
      <c r="W1419" s="5"/>
      <c r="X1419" s="5"/>
      <c r="Y1419" s="5"/>
    </row>
    <row r="1420" spans="13:25" ht="33.75" x14ac:dyDescent="0.2">
      <c r="M1420" s="26" t="s">
        <v>59</v>
      </c>
      <c r="N1420" s="25" t="s">
        <v>51</v>
      </c>
      <c r="O1420" s="26"/>
      <c r="P1420" s="26" t="s">
        <v>1279</v>
      </c>
      <c r="Q1420" s="26"/>
      <c r="R1420" s="5"/>
      <c r="S1420" s="5"/>
      <c r="T1420" s="5"/>
      <c r="U1420" s="5"/>
      <c r="V1420" s="5"/>
      <c r="W1420" s="5"/>
      <c r="X1420" s="5"/>
      <c r="Y1420" s="5"/>
    </row>
    <row r="1421" spans="13:25" ht="33.75" x14ac:dyDescent="0.2">
      <c r="M1421" s="26" t="s">
        <v>59</v>
      </c>
      <c r="N1421" s="25" t="s">
        <v>51</v>
      </c>
      <c r="O1421" s="26"/>
      <c r="P1421" s="26" t="s">
        <v>1280</v>
      </c>
      <c r="Q1421" s="26"/>
      <c r="R1421" s="5"/>
      <c r="S1421" s="5"/>
      <c r="T1421" s="5"/>
      <c r="U1421" s="5"/>
      <c r="V1421" s="5"/>
      <c r="W1421" s="5"/>
      <c r="X1421" s="5"/>
      <c r="Y1421" s="5"/>
    </row>
    <row r="1422" spans="13:25" ht="45" x14ac:dyDescent="0.2">
      <c r="M1422" s="26" t="s">
        <v>59</v>
      </c>
      <c r="N1422" s="25" t="s">
        <v>51</v>
      </c>
      <c r="O1422" s="26"/>
      <c r="P1422" s="26" t="s">
        <v>1161</v>
      </c>
      <c r="Q1422" s="26"/>
      <c r="R1422" s="5"/>
      <c r="S1422" s="5"/>
      <c r="T1422" s="5"/>
      <c r="U1422" s="5"/>
      <c r="V1422" s="5"/>
      <c r="W1422" s="5"/>
      <c r="X1422" s="5"/>
      <c r="Y1422" s="5"/>
    </row>
    <row r="1423" spans="13:25" ht="45" x14ac:dyDescent="0.2">
      <c r="M1423" s="26" t="s">
        <v>59</v>
      </c>
      <c r="N1423" s="25" t="s">
        <v>51</v>
      </c>
      <c r="O1423" s="26"/>
      <c r="P1423" s="26" t="s">
        <v>1162</v>
      </c>
      <c r="Q1423" s="26"/>
      <c r="R1423" s="5"/>
      <c r="S1423" s="5"/>
      <c r="T1423" s="5"/>
      <c r="U1423" s="5"/>
      <c r="V1423" s="5"/>
      <c r="W1423" s="5"/>
      <c r="X1423" s="5"/>
      <c r="Y1423" s="5"/>
    </row>
    <row r="1424" spans="13:25" ht="33.75" x14ac:dyDescent="0.2">
      <c r="M1424" s="26" t="s">
        <v>59</v>
      </c>
      <c r="N1424" s="25" t="s">
        <v>51</v>
      </c>
      <c r="O1424" s="26"/>
      <c r="P1424" s="26" t="s">
        <v>1281</v>
      </c>
      <c r="Q1424" s="26"/>
      <c r="R1424" s="5"/>
      <c r="S1424" s="5"/>
      <c r="T1424" s="5"/>
      <c r="U1424" s="5"/>
      <c r="V1424" s="5"/>
      <c r="W1424" s="5"/>
      <c r="X1424" s="5"/>
      <c r="Y1424" s="5"/>
    </row>
    <row r="1425" spans="13:25" ht="33.75" x14ac:dyDescent="0.2">
      <c r="M1425" s="26" t="s">
        <v>59</v>
      </c>
      <c r="N1425" s="25" t="s">
        <v>51</v>
      </c>
      <c r="O1425" s="26"/>
      <c r="P1425" s="26" t="s">
        <v>1138</v>
      </c>
      <c r="Q1425" s="26"/>
      <c r="R1425" s="5"/>
      <c r="S1425" s="5"/>
      <c r="T1425" s="5"/>
      <c r="U1425" s="5"/>
      <c r="V1425" s="5"/>
      <c r="W1425" s="5"/>
      <c r="X1425" s="5"/>
      <c r="Y1425" s="5"/>
    </row>
    <row r="1426" spans="13:25" ht="33.75" x14ac:dyDescent="0.2">
      <c r="M1426" s="26" t="s">
        <v>59</v>
      </c>
      <c r="N1426" s="25" t="s">
        <v>51</v>
      </c>
      <c r="O1426" s="26"/>
      <c r="P1426" s="26" t="s">
        <v>1138</v>
      </c>
      <c r="Q1426" s="26"/>
      <c r="R1426" s="5"/>
      <c r="S1426" s="5"/>
      <c r="T1426" s="5"/>
      <c r="U1426" s="5"/>
      <c r="V1426" s="5"/>
      <c r="W1426" s="5"/>
      <c r="X1426" s="5"/>
      <c r="Y1426" s="5"/>
    </row>
    <row r="1427" spans="13:25" ht="33.75" x14ac:dyDescent="0.2">
      <c r="M1427" s="26" t="s">
        <v>59</v>
      </c>
      <c r="N1427" s="25" t="s">
        <v>51</v>
      </c>
      <c r="O1427" s="26"/>
      <c r="P1427" s="26" t="s">
        <v>1246</v>
      </c>
      <c r="Q1427" s="26"/>
      <c r="R1427" s="5"/>
      <c r="S1427" s="5"/>
      <c r="T1427" s="5"/>
      <c r="U1427" s="5"/>
      <c r="V1427" s="5"/>
      <c r="W1427" s="5"/>
      <c r="X1427" s="5"/>
      <c r="Y1427" s="5"/>
    </row>
    <row r="1428" spans="13:25" ht="33.75" x14ac:dyDescent="0.2">
      <c r="M1428" s="26" t="s">
        <v>59</v>
      </c>
      <c r="N1428" s="25" t="s">
        <v>51</v>
      </c>
      <c r="O1428" s="26"/>
      <c r="P1428" s="26" t="s">
        <v>1247</v>
      </c>
      <c r="Q1428" s="26"/>
      <c r="R1428" s="5"/>
      <c r="S1428" s="5"/>
      <c r="T1428" s="5"/>
      <c r="U1428" s="5"/>
      <c r="V1428" s="5"/>
      <c r="W1428" s="5"/>
      <c r="X1428" s="5"/>
      <c r="Y1428" s="5"/>
    </row>
    <row r="1429" spans="13:25" ht="45" x14ac:dyDescent="0.2">
      <c r="M1429" s="26" t="s">
        <v>59</v>
      </c>
      <c r="N1429" s="25" t="s">
        <v>51</v>
      </c>
      <c r="O1429" s="26"/>
      <c r="P1429" s="26" t="s">
        <v>1282</v>
      </c>
      <c r="Q1429" s="26"/>
      <c r="R1429" s="5"/>
      <c r="S1429" s="5"/>
      <c r="T1429" s="5"/>
      <c r="U1429" s="5"/>
      <c r="V1429" s="5"/>
      <c r="W1429" s="5"/>
      <c r="X1429" s="5"/>
      <c r="Y1429" s="5"/>
    </row>
    <row r="1430" spans="13:25" ht="22.5" x14ac:dyDescent="0.2">
      <c r="M1430" s="26" t="s">
        <v>59</v>
      </c>
      <c r="N1430" s="25" t="s">
        <v>51</v>
      </c>
      <c r="O1430" s="26"/>
      <c r="P1430" s="26" t="s">
        <v>1283</v>
      </c>
      <c r="Q1430" s="26"/>
      <c r="R1430" s="5"/>
      <c r="S1430" s="5"/>
      <c r="T1430" s="5"/>
      <c r="U1430" s="5"/>
      <c r="V1430" s="5"/>
      <c r="W1430" s="5"/>
      <c r="X1430" s="5"/>
      <c r="Y1430" s="5"/>
    </row>
    <row r="1431" spans="13:25" ht="22.5" x14ac:dyDescent="0.2">
      <c r="M1431" s="26" t="s">
        <v>59</v>
      </c>
      <c r="N1431" s="25" t="s">
        <v>51</v>
      </c>
      <c r="O1431" s="26"/>
      <c r="P1431" s="26" t="s">
        <v>1284</v>
      </c>
      <c r="Q1431" s="26"/>
      <c r="R1431" s="5"/>
      <c r="S1431" s="5"/>
      <c r="T1431" s="5"/>
      <c r="U1431" s="5"/>
      <c r="V1431" s="5"/>
      <c r="W1431" s="5"/>
      <c r="X1431" s="5"/>
      <c r="Y1431" s="5"/>
    </row>
    <row r="1432" spans="13:25" ht="22.5" x14ac:dyDescent="0.2">
      <c r="M1432" s="26" t="s">
        <v>59</v>
      </c>
      <c r="N1432" s="25" t="s">
        <v>57</v>
      </c>
      <c r="O1432" s="26"/>
      <c r="P1432" s="26" t="s">
        <v>1285</v>
      </c>
      <c r="Q1432" s="26"/>
      <c r="R1432" s="5"/>
      <c r="S1432" s="5"/>
      <c r="T1432" s="5"/>
      <c r="U1432" s="5"/>
      <c r="V1432" s="5"/>
      <c r="W1432" s="5"/>
      <c r="X1432" s="5"/>
      <c r="Y1432" s="5"/>
    </row>
    <row r="1433" spans="13:25" ht="22.5" x14ac:dyDescent="0.2">
      <c r="M1433" s="26" t="s">
        <v>59</v>
      </c>
      <c r="N1433" s="25" t="s">
        <v>51</v>
      </c>
      <c r="O1433" s="26"/>
      <c r="P1433" s="26" t="s">
        <v>1286</v>
      </c>
      <c r="Q1433" s="26"/>
      <c r="R1433" s="5"/>
      <c r="S1433" s="5"/>
      <c r="T1433" s="5"/>
      <c r="U1433" s="5"/>
      <c r="V1433" s="5"/>
      <c r="W1433" s="5"/>
      <c r="X1433" s="5"/>
      <c r="Y1433" s="5"/>
    </row>
    <row r="1434" spans="13:25" ht="22.5" x14ac:dyDescent="0.2">
      <c r="M1434" s="26" t="s">
        <v>59</v>
      </c>
      <c r="N1434" s="25" t="s">
        <v>51</v>
      </c>
      <c r="O1434" s="26" t="s">
        <v>1287</v>
      </c>
      <c r="P1434" s="26"/>
      <c r="Q1434" s="26"/>
      <c r="R1434" s="5"/>
      <c r="S1434" s="5"/>
      <c r="T1434" s="5"/>
      <c r="U1434" s="5"/>
      <c r="V1434" s="5"/>
      <c r="W1434" s="5"/>
      <c r="X1434" s="5"/>
      <c r="Y1434" s="5"/>
    </row>
    <row r="1435" spans="13:25" ht="157.5" x14ac:dyDescent="0.2">
      <c r="M1435" s="26" t="s">
        <v>59</v>
      </c>
      <c r="N1435" s="25" t="s">
        <v>51</v>
      </c>
      <c r="O1435" s="26"/>
      <c r="P1435" s="26" t="s">
        <v>1288</v>
      </c>
      <c r="Q1435" s="26"/>
      <c r="R1435" s="5"/>
      <c r="S1435" s="5"/>
      <c r="T1435" s="5"/>
      <c r="U1435" s="5"/>
      <c r="V1435" s="5"/>
      <c r="W1435" s="5"/>
      <c r="X1435" s="5"/>
      <c r="Y1435" s="5"/>
    </row>
    <row r="1436" spans="13:25" ht="56.25" x14ac:dyDescent="0.2">
      <c r="M1436" s="26" t="s">
        <v>59</v>
      </c>
      <c r="N1436" s="25" t="s">
        <v>51</v>
      </c>
      <c r="O1436" s="26"/>
      <c r="P1436" s="26" t="s">
        <v>1089</v>
      </c>
      <c r="Q1436" s="26"/>
      <c r="R1436" s="5"/>
      <c r="S1436" s="5"/>
      <c r="T1436" s="5"/>
      <c r="U1436" s="5"/>
      <c r="V1436" s="5"/>
      <c r="W1436" s="5"/>
      <c r="X1436" s="5"/>
      <c r="Y1436" s="5"/>
    </row>
    <row r="1437" spans="13:25" ht="78.75" x14ac:dyDescent="0.2">
      <c r="M1437" s="26" t="s">
        <v>59</v>
      </c>
      <c r="N1437" s="25" t="s">
        <v>51</v>
      </c>
      <c r="O1437" s="26"/>
      <c r="P1437" s="26" t="s">
        <v>1128</v>
      </c>
      <c r="Q1437" s="26"/>
      <c r="R1437" s="5"/>
      <c r="S1437" s="5"/>
      <c r="T1437" s="5"/>
      <c r="U1437" s="5"/>
      <c r="V1437" s="5"/>
      <c r="W1437" s="5"/>
      <c r="X1437" s="5"/>
      <c r="Y1437" s="5"/>
    </row>
    <row r="1438" spans="13:25" ht="78.75" x14ac:dyDescent="0.2">
      <c r="M1438" s="26" t="s">
        <v>59</v>
      </c>
      <c r="N1438" s="25" t="s">
        <v>51</v>
      </c>
      <c r="O1438" s="26"/>
      <c r="P1438" s="26" t="s">
        <v>1289</v>
      </c>
      <c r="Q1438" s="26"/>
      <c r="R1438" s="5"/>
      <c r="S1438" s="5"/>
      <c r="T1438" s="5"/>
      <c r="U1438" s="5"/>
      <c r="V1438" s="5"/>
      <c r="W1438" s="5"/>
      <c r="X1438" s="5"/>
      <c r="Y1438" s="5"/>
    </row>
    <row r="1439" spans="13:25" ht="78.75" x14ac:dyDescent="0.2">
      <c r="M1439" s="26" t="s">
        <v>59</v>
      </c>
      <c r="N1439" s="25" t="s">
        <v>51</v>
      </c>
      <c r="O1439" s="26"/>
      <c r="P1439" s="26" t="s">
        <v>1290</v>
      </c>
      <c r="Q1439" s="26"/>
      <c r="R1439" s="5"/>
      <c r="S1439" s="5"/>
      <c r="T1439" s="5"/>
      <c r="U1439" s="5"/>
      <c r="V1439" s="5"/>
      <c r="W1439" s="5"/>
      <c r="X1439" s="5"/>
      <c r="Y1439" s="5"/>
    </row>
    <row r="1440" spans="13:25" ht="78.75" x14ac:dyDescent="0.2">
      <c r="M1440" s="26" t="s">
        <v>59</v>
      </c>
      <c r="N1440" s="25" t="s">
        <v>51</v>
      </c>
      <c r="O1440" s="26"/>
      <c r="P1440" s="26" t="s">
        <v>1291</v>
      </c>
      <c r="Q1440" s="26"/>
      <c r="R1440" s="5"/>
      <c r="S1440" s="5"/>
      <c r="T1440" s="5"/>
      <c r="U1440" s="5"/>
      <c r="V1440" s="5"/>
      <c r="W1440" s="5"/>
      <c r="X1440" s="5"/>
      <c r="Y1440" s="5"/>
    </row>
    <row r="1441" spans="13:25" ht="78.75" x14ac:dyDescent="0.2">
      <c r="M1441" s="26" t="s">
        <v>59</v>
      </c>
      <c r="N1441" s="25" t="s">
        <v>51</v>
      </c>
      <c r="O1441" s="26"/>
      <c r="P1441" s="26" t="s">
        <v>1292</v>
      </c>
      <c r="Q1441" s="26"/>
      <c r="R1441" s="5"/>
      <c r="S1441" s="5"/>
      <c r="T1441" s="5"/>
      <c r="U1441" s="5"/>
      <c r="V1441" s="5"/>
      <c r="W1441" s="5"/>
      <c r="X1441" s="5"/>
      <c r="Y1441" s="5"/>
    </row>
    <row r="1442" spans="13:25" ht="67.5" x14ac:dyDescent="0.2">
      <c r="M1442" s="26" t="s">
        <v>59</v>
      </c>
      <c r="N1442" s="25" t="s">
        <v>51</v>
      </c>
      <c r="O1442" s="26"/>
      <c r="P1442" s="26" t="s">
        <v>1154</v>
      </c>
      <c r="Q1442" s="26"/>
      <c r="R1442" s="5"/>
      <c r="S1442" s="5"/>
      <c r="T1442" s="5"/>
      <c r="U1442" s="5"/>
      <c r="V1442" s="5"/>
      <c r="W1442" s="5"/>
      <c r="X1442" s="5"/>
      <c r="Y1442" s="5"/>
    </row>
    <row r="1443" spans="13:25" ht="33.75" x14ac:dyDescent="0.2">
      <c r="M1443" s="26" t="s">
        <v>59</v>
      </c>
      <c r="N1443" s="25" t="s">
        <v>51</v>
      </c>
      <c r="O1443" s="26"/>
      <c r="P1443" s="26" t="s">
        <v>983</v>
      </c>
      <c r="Q1443" s="26"/>
      <c r="R1443" s="5"/>
      <c r="S1443" s="5"/>
      <c r="T1443" s="5"/>
      <c r="U1443" s="5"/>
      <c r="V1443" s="5"/>
      <c r="W1443" s="5"/>
      <c r="X1443" s="5"/>
      <c r="Y1443" s="5"/>
    </row>
    <row r="1444" spans="13:25" ht="67.5" x14ac:dyDescent="0.2">
      <c r="M1444" s="26" t="s">
        <v>59</v>
      </c>
      <c r="N1444" s="25" t="s">
        <v>51</v>
      </c>
      <c r="O1444" s="26"/>
      <c r="P1444" s="26" t="s">
        <v>1115</v>
      </c>
      <c r="Q1444" s="26"/>
      <c r="R1444" s="5"/>
      <c r="S1444" s="5"/>
      <c r="T1444" s="5"/>
      <c r="U1444" s="5"/>
      <c r="V1444" s="5"/>
      <c r="W1444" s="5"/>
      <c r="X1444" s="5"/>
      <c r="Y1444" s="5"/>
    </row>
    <row r="1445" spans="13:25" ht="33.75" x14ac:dyDescent="0.2">
      <c r="M1445" s="26" t="s">
        <v>59</v>
      </c>
      <c r="N1445" s="25" t="s">
        <v>51</v>
      </c>
      <c r="O1445" s="26"/>
      <c r="P1445" s="26" t="s">
        <v>1293</v>
      </c>
      <c r="Q1445" s="26"/>
      <c r="R1445" s="5"/>
      <c r="S1445" s="5"/>
      <c r="T1445" s="5"/>
      <c r="U1445" s="5"/>
      <c r="V1445" s="5"/>
      <c r="W1445" s="5"/>
      <c r="X1445" s="5"/>
      <c r="Y1445" s="5"/>
    </row>
    <row r="1446" spans="13:25" ht="22.5" x14ac:dyDescent="0.2">
      <c r="M1446" s="26" t="s">
        <v>59</v>
      </c>
      <c r="N1446" s="25" t="s">
        <v>51</v>
      </c>
      <c r="O1446" s="26"/>
      <c r="P1446" s="26" t="s">
        <v>1294</v>
      </c>
      <c r="Q1446" s="26"/>
      <c r="R1446" s="5"/>
      <c r="S1446" s="5"/>
      <c r="T1446" s="5"/>
      <c r="U1446" s="5"/>
      <c r="V1446" s="5"/>
      <c r="W1446" s="5"/>
      <c r="X1446" s="5"/>
      <c r="Y1446" s="5"/>
    </row>
    <row r="1447" spans="13:25" ht="67.5" x14ac:dyDescent="0.2">
      <c r="M1447" s="26" t="s">
        <v>59</v>
      </c>
      <c r="N1447" s="25" t="s">
        <v>51</v>
      </c>
      <c r="O1447" s="26"/>
      <c r="P1447" s="26" t="s">
        <v>1217</v>
      </c>
      <c r="Q1447" s="26"/>
      <c r="R1447" s="5"/>
      <c r="S1447" s="5"/>
      <c r="T1447" s="5"/>
      <c r="U1447" s="5"/>
      <c r="V1447" s="5"/>
      <c r="W1447" s="5"/>
      <c r="X1447" s="5"/>
      <c r="Y1447" s="5"/>
    </row>
    <row r="1448" spans="13:25" ht="67.5" x14ac:dyDescent="0.2">
      <c r="M1448" s="26" t="s">
        <v>59</v>
      </c>
      <c r="N1448" s="25" t="s">
        <v>51</v>
      </c>
      <c r="O1448" s="26"/>
      <c r="P1448" s="26" t="s">
        <v>1217</v>
      </c>
      <c r="Q1448" s="26"/>
      <c r="R1448" s="5"/>
      <c r="S1448" s="5"/>
      <c r="T1448" s="5"/>
      <c r="U1448" s="5"/>
      <c r="V1448" s="5"/>
      <c r="W1448" s="5"/>
      <c r="X1448" s="5"/>
      <c r="Y1448" s="5"/>
    </row>
    <row r="1449" spans="13:25" ht="67.5" x14ac:dyDescent="0.2">
      <c r="M1449" s="26" t="s">
        <v>59</v>
      </c>
      <c r="N1449" s="25" t="s">
        <v>51</v>
      </c>
      <c r="O1449" s="26"/>
      <c r="P1449" s="26" t="s">
        <v>1236</v>
      </c>
      <c r="Q1449" s="26"/>
      <c r="R1449" s="5"/>
      <c r="S1449" s="5"/>
      <c r="T1449" s="5"/>
      <c r="U1449" s="5"/>
      <c r="V1449" s="5"/>
      <c r="W1449" s="5"/>
      <c r="X1449" s="5"/>
      <c r="Y1449" s="5"/>
    </row>
    <row r="1450" spans="13:25" ht="67.5" x14ac:dyDescent="0.2">
      <c r="M1450" s="26" t="s">
        <v>59</v>
      </c>
      <c r="N1450" s="25" t="s">
        <v>51</v>
      </c>
      <c r="O1450" s="26"/>
      <c r="P1450" s="26" t="s">
        <v>1295</v>
      </c>
      <c r="Q1450" s="26"/>
      <c r="R1450" s="5"/>
      <c r="S1450" s="5"/>
      <c r="T1450" s="5"/>
      <c r="U1450" s="5"/>
      <c r="V1450" s="5"/>
      <c r="W1450" s="5"/>
      <c r="X1450" s="5"/>
      <c r="Y1450" s="5"/>
    </row>
    <row r="1451" spans="13:25" ht="33.75" x14ac:dyDescent="0.2">
      <c r="M1451" s="26" t="s">
        <v>59</v>
      </c>
      <c r="N1451" s="25" t="s">
        <v>51</v>
      </c>
      <c r="O1451" s="26"/>
      <c r="P1451" s="26" t="s">
        <v>1157</v>
      </c>
      <c r="Q1451" s="26"/>
      <c r="R1451" s="5"/>
      <c r="S1451" s="5"/>
      <c r="T1451" s="5"/>
      <c r="U1451" s="5"/>
      <c r="V1451" s="5"/>
      <c r="W1451" s="5"/>
      <c r="X1451" s="5"/>
      <c r="Y1451" s="5"/>
    </row>
    <row r="1452" spans="13:25" ht="45" x14ac:dyDescent="0.2">
      <c r="M1452" s="26" t="s">
        <v>59</v>
      </c>
      <c r="N1452" s="25" t="s">
        <v>51</v>
      </c>
      <c r="O1452" s="26"/>
      <c r="P1452" s="26" t="s">
        <v>1158</v>
      </c>
      <c r="Q1452" s="26"/>
      <c r="R1452" s="5"/>
      <c r="S1452" s="5"/>
      <c r="T1452" s="5"/>
      <c r="U1452" s="5"/>
      <c r="V1452" s="5"/>
      <c r="W1452" s="5"/>
      <c r="X1452" s="5"/>
      <c r="Y1452" s="5"/>
    </row>
    <row r="1453" spans="13:25" ht="56.25" x14ac:dyDescent="0.2">
      <c r="M1453" s="26" t="s">
        <v>59</v>
      </c>
      <c r="N1453" s="25" t="s">
        <v>51</v>
      </c>
      <c r="O1453" s="26"/>
      <c r="P1453" s="26" t="s">
        <v>1075</v>
      </c>
      <c r="Q1453" s="26"/>
      <c r="R1453" s="5"/>
      <c r="S1453" s="5"/>
      <c r="T1453" s="5"/>
      <c r="U1453" s="5"/>
      <c r="V1453" s="5"/>
      <c r="W1453" s="5"/>
      <c r="X1453" s="5"/>
      <c r="Y1453" s="5"/>
    </row>
    <row r="1454" spans="13:25" ht="56.25" x14ac:dyDescent="0.2">
      <c r="M1454" s="26" t="s">
        <v>59</v>
      </c>
      <c r="N1454" s="25" t="s">
        <v>51</v>
      </c>
      <c r="O1454" s="26"/>
      <c r="P1454" s="26" t="s">
        <v>1095</v>
      </c>
      <c r="Q1454" s="26"/>
      <c r="R1454" s="5"/>
      <c r="S1454" s="5"/>
      <c r="T1454" s="5"/>
      <c r="U1454" s="5"/>
      <c r="V1454" s="5"/>
      <c r="W1454" s="5"/>
      <c r="X1454" s="5"/>
      <c r="Y1454" s="5"/>
    </row>
    <row r="1455" spans="13:25" ht="56.25" x14ac:dyDescent="0.2">
      <c r="M1455" s="26" t="s">
        <v>59</v>
      </c>
      <c r="N1455" s="25" t="s">
        <v>51</v>
      </c>
      <c r="O1455" s="26"/>
      <c r="P1455" s="26" t="s">
        <v>1296</v>
      </c>
      <c r="Q1455" s="26"/>
      <c r="R1455" s="5"/>
      <c r="S1455" s="5"/>
      <c r="T1455" s="5"/>
      <c r="U1455" s="5"/>
      <c r="V1455" s="5"/>
      <c r="W1455" s="5"/>
      <c r="X1455" s="5"/>
      <c r="Y1455" s="5"/>
    </row>
    <row r="1456" spans="13:25" ht="90" x14ac:dyDescent="0.2">
      <c r="M1456" s="26" t="s">
        <v>59</v>
      </c>
      <c r="N1456" s="25" t="s">
        <v>51</v>
      </c>
      <c r="O1456" s="26"/>
      <c r="P1456" s="26" t="s">
        <v>1097</v>
      </c>
      <c r="Q1456" s="26"/>
      <c r="R1456" s="5"/>
      <c r="S1456" s="5"/>
      <c r="T1456" s="5"/>
      <c r="U1456" s="5"/>
      <c r="V1456" s="5"/>
      <c r="W1456" s="5"/>
      <c r="X1456" s="5"/>
      <c r="Y1456" s="5"/>
    </row>
    <row r="1457" spans="13:25" ht="90" x14ac:dyDescent="0.2">
      <c r="M1457" s="26" t="s">
        <v>59</v>
      </c>
      <c r="N1457" s="25" t="s">
        <v>51</v>
      </c>
      <c r="O1457" s="26"/>
      <c r="P1457" s="26" t="s">
        <v>1134</v>
      </c>
      <c r="Q1457" s="26"/>
      <c r="R1457" s="5"/>
      <c r="S1457" s="5"/>
      <c r="T1457" s="5"/>
      <c r="U1457" s="5"/>
      <c r="V1457" s="5"/>
      <c r="W1457" s="5"/>
      <c r="X1457" s="5"/>
      <c r="Y1457" s="5"/>
    </row>
    <row r="1458" spans="13:25" ht="90" x14ac:dyDescent="0.2">
      <c r="M1458" s="26" t="s">
        <v>59</v>
      </c>
      <c r="N1458" s="25" t="s">
        <v>51</v>
      </c>
      <c r="O1458" s="26"/>
      <c r="P1458" s="26" t="s">
        <v>1097</v>
      </c>
      <c r="Q1458" s="26"/>
      <c r="R1458" s="5"/>
      <c r="S1458" s="5"/>
      <c r="T1458" s="5"/>
      <c r="U1458" s="5"/>
      <c r="V1458" s="5"/>
      <c r="W1458" s="5"/>
      <c r="X1458" s="5"/>
      <c r="Y1458" s="5"/>
    </row>
    <row r="1459" spans="13:25" ht="90" x14ac:dyDescent="0.2">
      <c r="M1459" s="26" t="s">
        <v>59</v>
      </c>
      <c r="N1459" s="25" t="s">
        <v>51</v>
      </c>
      <c r="O1459" s="26"/>
      <c r="P1459" s="26" t="s">
        <v>1097</v>
      </c>
      <c r="Q1459" s="26"/>
      <c r="R1459" s="5"/>
      <c r="S1459" s="5"/>
      <c r="T1459" s="5"/>
      <c r="U1459" s="5"/>
      <c r="V1459" s="5"/>
      <c r="W1459" s="5"/>
      <c r="X1459" s="5"/>
      <c r="Y1459" s="5"/>
    </row>
    <row r="1460" spans="13:25" ht="90" x14ac:dyDescent="0.2">
      <c r="M1460" s="26" t="s">
        <v>59</v>
      </c>
      <c r="N1460" s="25" t="s">
        <v>51</v>
      </c>
      <c r="O1460" s="26"/>
      <c r="P1460" s="26" t="s">
        <v>1297</v>
      </c>
      <c r="Q1460" s="26"/>
      <c r="R1460" s="5"/>
      <c r="S1460" s="5"/>
      <c r="T1460" s="5"/>
      <c r="U1460" s="5"/>
      <c r="V1460" s="5"/>
      <c r="W1460" s="5"/>
      <c r="X1460" s="5"/>
      <c r="Y1460" s="5"/>
    </row>
    <row r="1461" spans="13:25" ht="22.5" x14ac:dyDescent="0.2">
      <c r="M1461" s="26" t="s">
        <v>59</v>
      </c>
      <c r="N1461" s="25" t="s">
        <v>51</v>
      </c>
      <c r="O1461" s="26"/>
      <c r="P1461" s="26" t="s">
        <v>1163</v>
      </c>
      <c r="Q1461" s="26"/>
      <c r="R1461" s="5"/>
      <c r="S1461" s="5"/>
      <c r="T1461" s="5"/>
      <c r="U1461" s="5"/>
      <c r="V1461" s="5"/>
      <c r="W1461" s="5"/>
      <c r="X1461" s="5"/>
      <c r="Y1461" s="5"/>
    </row>
    <row r="1462" spans="13:25" ht="22.5" x14ac:dyDescent="0.2">
      <c r="M1462" s="26" t="s">
        <v>59</v>
      </c>
      <c r="N1462" s="25" t="s">
        <v>51</v>
      </c>
      <c r="O1462" s="26"/>
      <c r="P1462" s="26" t="s">
        <v>1164</v>
      </c>
      <c r="Q1462" s="26"/>
      <c r="R1462" s="5"/>
      <c r="S1462" s="5"/>
      <c r="T1462" s="5"/>
      <c r="U1462" s="5"/>
      <c r="V1462" s="5"/>
      <c r="W1462" s="5"/>
      <c r="X1462" s="5"/>
      <c r="Y1462" s="5"/>
    </row>
    <row r="1463" spans="13:25" ht="33.75" x14ac:dyDescent="0.2">
      <c r="M1463" s="26" t="s">
        <v>59</v>
      </c>
      <c r="N1463" s="25" t="s">
        <v>51</v>
      </c>
      <c r="O1463" s="26"/>
      <c r="P1463" s="26" t="s">
        <v>1138</v>
      </c>
      <c r="Q1463" s="26"/>
      <c r="R1463" s="5"/>
      <c r="S1463" s="5"/>
      <c r="T1463" s="5"/>
      <c r="U1463" s="5"/>
      <c r="V1463" s="5"/>
      <c r="W1463" s="5"/>
      <c r="X1463" s="5"/>
      <c r="Y1463" s="5"/>
    </row>
    <row r="1464" spans="13:25" ht="33.75" x14ac:dyDescent="0.2">
      <c r="M1464" s="26" t="s">
        <v>59</v>
      </c>
      <c r="N1464" s="25" t="s">
        <v>51</v>
      </c>
      <c r="O1464" s="26"/>
      <c r="P1464" s="26" t="s">
        <v>1298</v>
      </c>
      <c r="Q1464" s="26"/>
      <c r="R1464" s="5"/>
      <c r="S1464" s="5"/>
      <c r="T1464" s="5"/>
      <c r="U1464" s="5"/>
      <c r="V1464" s="5"/>
      <c r="W1464" s="5"/>
      <c r="X1464" s="5"/>
      <c r="Y1464" s="5"/>
    </row>
    <row r="1465" spans="13:25" ht="33.75" x14ac:dyDescent="0.2">
      <c r="M1465" s="26" t="s">
        <v>59</v>
      </c>
      <c r="N1465" s="25" t="s">
        <v>51</v>
      </c>
      <c r="O1465" s="26"/>
      <c r="P1465" s="26" t="s">
        <v>1138</v>
      </c>
      <c r="Q1465" s="26"/>
      <c r="R1465" s="5"/>
      <c r="S1465" s="5"/>
      <c r="T1465" s="5"/>
      <c r="U1465" s="5"/>
      <c r="V1465" s="5"/>
      <c r="W1465" s="5"/>
      <c r="X1465" s="5"/>
      <c r="Y1465" s="5"/>
    </row>
    <row r="1466" spans="13:25" ht="45" x14ac:dyDescent="0.2">
      <c r="M1466" s="26" t="s">
        <v>59</v>
      </c>
      <c r="N1466" s="25" t="s">
        <v>51</v>
      </c>
      <c r="O1466" s="26"/>
      <c r="P1466" s="26" t="s">
        <v>1299</v>
      </c>
      <c r="Q1466" s="26"/>
      <c r="R1466" s="5"/>
      <c r="S1466" s="5"/>
      <c r="T1466" s="5"/>
      <c r="U1466" s="5"/>
      <c r="V1466" s="5"/>
      <c r="W1466" s="5"/>
      <c r="X1466" s="5"/>
      <c r="Y1466" s="5"/>
    </row>
    <row r="1467" spans="13:25" ht="101.25" x14ac:dyDescent="0.2">
      <c r="M1467" s="26" t="s">
        <v>59</v>
      </c>
      <c r="N1467" s="25" t="s">
        <v>51</v>
      </c>
      <c r="O1467" s="26"/>
      <c r="P1467" s="26" t="s">
        <v>1100</v>
      </c>
      <c r="Q1467" s="26"/>
      <c r="R1467" s="5"/>
      <c r="S1467" s="5"/>
      <c r="T1467" s="5"/>
      <c r="U1467" s="5"/>
      <c r="V1467" s="5"/>
      <c r="W1467" s="5"/>
      <c r="X1467" s="5"/>
      <c r="Y1467" s="5"/>
    </row>
    <row r="1468" spans="13:25" ht="33.75" x14ac:dyDescent="0.2">
      <c r="M1468" s="26" t="s">
        <v>59</v>
      </c>
      <c r="N1468" s="25" t="s">
        <v>51</v>
      </c>
      <c r="O1468" s="26"/>
      <c r="P1468" s="26" t="s">
        <v>1167</v>
      </c>
      <c r="Q1468" s="26"/>
      <c r="R1468" s="5"/>
      <c r="S1468" s="5"/>
      <c r="T1468" s="5"/>
      <c r="U1468" s="5"/>
      <c r="V1468" s="5"/>
      <c r="W1468" s="5"/>
      <c r="X1468" s="5"/>
      <c r="Y1468" s="5"/>
    </row>
    <row r="1469" spans="13:25" ht="33.75" x14ac:dyDescent="0.2">
      <c r="M1469" s="26" t="s">
        <v>59</v>
      </c>
      <c r="N1469" s="25" t="s">
        <v>51</v>
      </c>
      <c r="O1469" s="26"/>
      <c r="P1469" s="26" t="s">
        <v>1176</v>
      </c>
      <c r="Q1469" s="26"/>
      <c r="R1469" s="5"/>
      <c r="S1469" s="5"/>
      <c r="T1469" s="5"/>
      <c r="U1469" s="5"/>
      <c r="V1469" s="5"/>
      <c r="W1469" s="5"/>
      <c r="X1469" s="5"/>
      <c r="Y1469" s="5"/>
    </row>
    <row r="1470" spans="13:25" ht="33.75" x14ac:dyDescent="0.2">
      <c r="M1470" s="26" t="s">
        <v>59</v>
      </c>
      <c r="N1470" s="25" t="s">
        <v>51</v>
      </c>
      <c r="O1470" s="26"/>
      <c r="P1470" s="26" t="s">
        <v>1177</v>
      </c>
      <c r="Q1470" s="26"/>
      <c r="R1470" s="5"/>
      <c r="S1470" s="5"/>
      <c r="T1470" s="5"/>
      <c r="U1470" s="5"/>
      <c r="V1470" s="5"/>
      <c r="W1470" s="5"/>
      <c r="X1470" s="5"/>
      <c r="Y1470" s="5"/>
    </row>
    <row r="1471" spans="13:25" ht="22.5" x14ac:dyDescent="0.2">
      <c r="M1471" s="26" t="s">
        <v>59</v>
      </c>
      <c r="N1471" s="25" t="s">
        <v>51</v>
      </c>
      <c r="O1471" s="26"/>
      <c r="P1471" s="26" t="s">
        <v>1105</v>
      </c>
      <c r="Q1471" s="26"/>
      <c r="R1471" s="5"/>
      <c r="S1471" s="5"/>
      <c r="T1471" s="5"/>
      <c r="U1471" s="5"/>
      <c r="V1471" s="5"/>
      <c r="W1471" s="5"/>
      <c r="X1471" s="5"/>
      <c r="Y1471" s="5"/>
    </row>
    <row r="1472" spans="13:25" ht="22.5" x14ac:dyDescent="0.2">
      <c r="M1472" s="26" t="s">
        <v>59</v>
      </c>
      <c r="N1472" s="25" t="s">
        <v>51</v>
      </c>
      <c r="O1472" s="26"/>
      <c r="P1472" s="26" t="s">
        <v>1105</v>
      </c>
      <c r="Q1472" s="26"/>
      <c r="R1472" s="5"/>
      <c r="S1472" s="5"/>
      <c r="T1472" s="5"/>
      <c r="U1472" s="5"/>
      <c r="V1472" s="5"/>
      <c r="W1472" s="5"/>
      <c r="X1472" s="5"/>
      <c r="Y1472" s="5"/>
    </row>
    <row r="1473" spans="13:25" ht="33.75" x14ac:dyDescent="0.2">
      <c r="M1473" s="26" t="s">
        <v>59</v>
      </c>
      <c r="N1473" s="25" t="s">
        <v>51</v>
      </c>
      <c r="O1473" s="26"/>
      <c r="P1473" s="26" t="s">
        <v>1170</v>
      </c>
      <c r="Q1473" s="26"/>
      <c r="R1473" s="5"/>
      <c r="S1473" s="5"/>
      <c r="T1473" s="5"/>
      <c r="U1473" s="5"/>
      <c r="V1473" s="5"/>
      <c r="W1473" s="5"/>
      <c r="X1473" s="5"/>
      <c r="Y1473" s="5"/>
    </row>
    <row r="1474" spans="13:25" ht="22.5" x14ac:dyDescent="0.2">
      <c r="M1474" s="26" t="s">
        <v>59</v>
      </c>
      <c r="N1474" s="25" t="s">
        <v>51</v>
      </c>
      <c r="O1474" s="26"/>
      <c r="P1474" s="26" t="s">
        <v>1300</v>
      </c>
      <c r="Q1474" s="26"/>
      <c r="R1474" s="5"/>
      <c r="S1474" s="5"/>
      <c r="T1474" s="5"/>
      <c r="U1474" s="5"/>
      <c r="V1474" s="5"/>
      <c r="W1474" s="5"/>
      <c r="X1474" s="5"/>
      <c r="Y1474" s="5"/>
    </row>
    <row r="1475" spans="13:25" ht="22.5" x14ac:dyDescent="0.2">
      <c r="M1475" s="26" t="s">
        <v>59</v>
      </c>
      <c r="N1475" s="25" t="s">
        <v>51</v>
      </c>
      <c r="O1475" s="26"/>
      <c r="P1475" s="26" t="s">
        <v>1301</v>
      </c>
      <c r="Q1475" s="26"/>
      <c r="R1475" s="5"/>
      <c r="S1475" s="5"/>
      <c r="T1475" s="5"/>
      <c r="U1475" s="5"/>
      <c r="V1475" s="5"/>
      <c r="W1475" s="5"/>
      <c r="X1475" s="5"/>
      <c r="Y1475" s="5"/>
    </row>
    <row r="1476" spans="13:25" ht="22.5" x14ac:dyDescent="0.2">
      <c r="M1476" s="26" t="s">
        <v>59</v>
      </c>
      <c r="N1476" s="25" t="s">
        <v>51</v>
      </c>
      <c r="O1476" s="26"/>
      <c r="P1476" s="26" t="s">
        <v>1302</v>
      </c>
      <c r="Q1476" s="26"/>
      <c r="R1476" s="5"/>
      <c r="S1476" s="5"/>
      <c r="T1476" s="5"/>
      <c r="U1476" s="5"/>
      <c r="V1476" s="5"/>
      <c r="W1476" s="5"/>
      <c r="X1476" s="5"/>
      <c r="Y1476" s="5"/>
    </row>
    <row r="1477" spans="13:25" ht="22.5" x14ac:dyDescent="0.2">
      <c r="M1477" s="26" t="s">
        <v>59</v>
      </c>
      <c r="N1477" s="25" t="s">
        <v>51</v>
      </c>
      <c r="O1477" s="26"/>
      <c r="P1477" s="26" t="s">
        <v>1303</v>
      </c>
      <c r="Q1477" s="26"/>
      <c r="R1477" s="5"/>
      <c r="S1477" s="5"/>
      <c r="T1477" s="5"/>
      <c r="U1477" s="5"/>
      <c r="V1477" s="5"/>
      <c r="W1477" s="5"/>
      <c r="X1477" s="5"/>
      <c r="Y1477" s="5"/>
    </row>
    <row r="1478" spans="13:25" ht="22.5" x14ac:dyDescent="0.2">
      <c r="M1478" s="26" t="s">
        <v>59</v>
      </c>
      <c r="N1478" s="25" t="s">
        <v>51</v>
      </c>
      <c r="O1478" s="26"/>
      <c r="P1478" s="26" t="s">
        <v>1304</v>
      </c>
      <c r="Q1478" s="26"/>
      <c r="R1478" s="5"/>
      <c r="S1478" s="5"/>
      <c r="T1478" s="5"/>
      <c r="U1478" s="5"/>
      <c r="V1478" s="5"/>
      <c r="W1478" s="5"/>
      <c r="X1478" s="5"/>
      <c r="Y1478" s="5"/>
    </row>
    <row r="1479" spans="13:25" ht="22.5" x14ac:dyDescent="0.2">
      <c r="M1479" s="26" t="s">
        <v>59</v>
      </c>
      <c r="N1479" s="25" t="s">
        <v>51</v>
      </c>
      <c r="O1479" s="26"/>
      <c r="P1479" s="26" t="s">
        <v>1305</v>
      </c>
      <c r="Q1479" s="26"/>
      <c r="R1479" s="5"/>
      <c r="S1479" s="5"/>
      <c r="T1479" s="5"/>
      <c r="U1479" s="5"/>
      <c r="V1479" s="5"/>
      <c r="W1479" s="5"/>
      <c r="X1479" s="5"/>
      <c r="Y1479" s="5"/>
    </row>
    <row r="1480" spans="13:25" ht="22.5" x14ac:dyDescent="0.2">
      <c r="M1480" s="26" t="s">
        <v>59</v>
      </c>
      <c r="N1480" s="25" t="s">
        <v>51</v>
      </c>
      <c r="O1480" s="26"/>
      <c r="P1480" s="26" t="s">
        <v>1306</v>
      </c>
      <c r="Q1480" s="26"/>
      <c r="R1480" s="5"/>
      <c r="S1480" s="5"/>
      <c r="T1480" s="5"/>
      <c r="U1480" s="5"/>
      <c r="V1480" s="5"/>
      <c r="W1480" s="5"/>
      <c r="X1480" s="5"/>
      <c r="Y1480" s="5"/>
    </row>
    <row r="1481" spans="13:25" ht="22.5" x14ac:dyDescent="0.2">
      <c r="M1481" s="26" t="s">
        <v>59</v>
      </c>
      <c r="N1481" s="25" t="s">
        <v>57</v>
      </c>
      <c r="O1481" s="26"/>
      <c r="P1481" s="26" t="s">
        <v>1307</v>
      </c>
      <c r="Q1481" s="26"/>
      <c r="R1481" s="5"/>
      <c r="S1481" s="5"/>
      <c r="T1481" s="5"/>
      <c r="U1481" s="5"/>
      <c r="V1481" s="5"/>
      <c r="W1481" s="5"/>
      <c r="X1481" s="5"/>
      <c r="Y1481" s="5"/>
    </row>
    <row r="1482" spans="13:25" ht="33.75" x14ac:dyDescent="0.2">
      <c r="M1482" s="26" t="s">
        <v>59</v>
      </c>
      <c r="N1482" s="25" t="s">
        <v>51</v>
      </c>
      <c r="O1482" s="26"/>
      <c r="P1482" s="26" t="s">
        <v>983</v>
      </c>
      <c r="Q1482" s="26"/>
      <c r="R1482" s="5"/>
      <c r="S1482" s="5"/>
      <c r="T1482" s="5"/>
      <c r="U1482" s="5"/>
      <c r="V1482" s="5"/>
      <c r="W1482" s="5"/>
      <c r="X1482" s="5"/>
      <c r="Y1482" s="5"/>
    </row>
    <row r="1483" spans="13:25" ht="101.25" x14ac:dyDescent="0.2">
      <c r="M1483" s="26" t="s">
        <v>59</v>
      </c>
      <c r="N1483" s="25" t="s">
        <v>51</v>
      </c>
      <c r="O1483" s="26"/>
      <c r="P1483" s="26" t="s">
        <v>1222</v>
      </c>
      <c r="Q1483" s="26"/>
      <c r="R1483" s="5"/>
      <c r="S1483" s="5"/>
      <c r="T1483" s="5"/>
      <c r="U1483" s="5"/>
      <c r="V1483" s="5"/>
      <c r="W1483" s="5"/>
      <c r="X1483" s="5"/>
      <c r="Y1483" s="5"/>
    </row>
    <row r="1484" spans="13:25" ht="33.75" x14ac:dyDescent="0.2">
      <c r="M1484" s="26" t="s">
        <v>59</v>
      </c>
      <c r="N1484" s="25" t="s">
        <v>51</v>
      </c>
      <c r="O1484" s="26"/>
      <c r="P1484" s="26" t="s">
        <v>1308</v>
      </c>
      <c r="Q1484" s="26"/>
      <c r="R1484" s="5"/>
      <c r="S1484" s="5"/>
      <c r="T1484" s="5"/>
      <c r="U1484" s="5"/>
      <c r="V1484" s="5"/>
      <c r="W1484" s="5"/>
      <c r="X1484" s="5"/>
      <c r="Y1484" s="5"/>
    </row>
    <row r="1485" spans="13:25" ht="101.25" x14ac:dyDescent="0.2">
      <c r="M1485" s="26" t="s">
        <v>59</v>
      </c>
      <c r="N1485" s="25" t="s">
        <v>51</v>
      </c>
      <c r="O1485" s="26"/>
      <c r="P1485" s="26" t="s">
        <v>1222</v>
      </c>
      <c r="Q1485" s="26"/>
      <c r="R1485" s="5"/>
      <c r="S1485" s="5"/>
      <c r="T1485" s="5"/>
      <c r="U1485" s="5"/>
      <c r="V1485" s="5"/>
      <c r="W1485" s="5"/>
      <c r="X1485" s="5"/>
      <c r="Y1485" s="5"/>
    </row>
    <row r="1486" spans="13:25" ht="33.75" x14ac:dyDescent="0.2">
      <c r="M1486" s="26" t="s">
        <v>59</v>
      </c>
      <c r="N1486" s="25" t="s">
        <v>51</v>
      </c>
      <c r="O1486" s="26"/>
      <c r="P1486" s="26" t="s">
        <v>1308</v>
      </c>
      <c r="Q1486" s="26"/>
      <c r="R1486" s="5"/>
      <c r="S1486" s="5"/>
      <c r="T1486" s="5"/>
      <c r="U1486" s="5"/>
      <c r="V1486" s="5"/>
      <c r="W1486" s="5"/>
      <c r="X1486" s="5"/>
      <c r="Y1486" s="5"/>
    </row>
    <row r="1487" spans="13:25" ht="22.5" x14ac:dyDescent="0.2">
      <c r="M1487" s="26" t="s">
        <v>59</v>
      </c>
      <c r="N1487" s="25" t="s">
        <v>57</v>
      </c>
      <c r="O1487" s="26" t="s">
        <v>1309</v>
      </c>
      <c r="P1487" s="26"/>
      <c r="Q1487" s="26"/>
      <c r="R1487" s="5"/>
      <c r="S1487" s="5"/>
      <c r="T1487" s="5"/>
      <c r="U1487" s="5"/>
      <c r="V1487" s="5"/>
      <c r="W1487" s="5"/>
      <c r="X1487" s="5"/>
      <c r="Y1487" s="5"/>
    </row>
    <row r="1488" spans="13:25" ht="22.5" x14ac:dyDescent="0.2">
      <c r="M1488" s="26" t="s">
        <v>59</v>
      </c>
      <c r="N1488" s="25" t="s">
        <v>57</v>
      </c>
      <c r="O1488" s="26" t="s">
        <v>1310</v>
      </c>
      <c r="P1488" s="26"/>
      <c r="Q1488" s="26"/>
      <c r="R1488" s="5"/>
      <c r="S1488" s="5"/>
      <c r="T1488" s="5"/>
      <c r="U1488" s="5"/>
      <c r="V1488" s="5"/>
      <c r="W1488" s="5"/>
      <c r="X1488" s="5"/>
      <c r="Y1488" s="5"/>
    </row>
    <row r="1489" spans="13:25" ht="22.5" x14ac:dyDescent="0.2">
      <c r="M1489" s="26" t="s">
        <v>59</v>
      </c>
      <c r="N1489" s="25" t="s">
        <v>57</v>
      </c>
      <c r="O1489" s="26" t="s">
        <v>1311</v>
      </c>
      <c r="P1489" s="26"/>
      <c r="Q1489" s="26"/>
      <c r="R1489" s="5"/>
      <c r="S1489" s="5"/>
      <c r="T1489" s="5"/>
      <c r="U1489" s="5"/>
      <c r="V1489" s="5"/>
      <c r="W1489" s="5"/>
      <c r="X1489" s="5"/>
      <c r="Y1489" s="5"/>
    </row>
    <row r="1490" spans="13:25" ht="22.5" x14ac:dyDescent="0.2">
      <c r="M1490" s="26" t="s">
        <v>59</v>
      </c>
      <c r="N1490" s="25" t="s">
        <v>57</v>
      </c>
      <c r="O1490" s="26" t="s">
        <v>1312</v>
      </c>
      <c r="P1490" s="26"/>
      <c r="Q1490" s="26"/>
      <c r="R1490" s="5"/>
      <c r="S1490" s="5"/>
      <c r="T1490" s="5"/>
      <c r="U1490" s="5"/>
      <c r="V1490" s="5"/>
      <c r="W1490" s="5"/>
      <c r="X1490" s="5"/>
      <c r="Y1490" s="5"/>
    </row>
    <row r="1491" spans="13:25" ht="22.5" x14ac:dyDescent="0.2">
      <c r="M1491" s="26" t="s">
        <v>59</v>
      </c>
      <c r="N1491" s="25" t="s">
        <v>57</v>
      </c>
      <c r="O1491" s="26" t="s">
        <v>1313</v>
      </c>
      <c r="P1491" s="26"/>
      <c r="Q1491" s="26"/>
      <c r="R1491" s="5"/>
      <c r="S1491" s="5"/>
      <c r="T1491" s="5"/>
      <c r="U1491" s="5"/>
      <c r="V1491" s="5"/>
      <c r="W1491" s="5"/>
      <c r="X1491" s="5"/>
      <c r="Y1491" s="5"/>
    </row>
    <row r="1492" spans="13:25" ht="22.5" x14ac:dyDescent="0.2">
      <c r="M1492" s="26" t="s">
        <v>59</v>
      </c>
      <c r="N1492" s="25" t="s">
        <v>57</v>
      </c>
      <c r="O1492" s="26" t="s">
        <v>1314</v>
      </c>
      <c r="P1492" s="26"/>
      <c r="Q1492" s="26"/>
      <c r="R1492" s="5"/>
      <c r="S1492" s="5"/>
      <c r="T1492" s="5"/>
      <c r="U1492" s="5"/>
      <c r="V1492" s="5"/>
      <c r="W1492" s="5"/>
      <c r="X1492" s="5"/>
      <c r="Y1492" s="5"/>
    </row>
    <row r="1493" spans="13:25" ht="22.5" x14ac:dyDescent="0.2">
      <c r="M1493" s="26" t="s">
        <v>59</v>
      </c>
      <c r="N1493" s="25" t="s">
        <v>57</v>
      </c>
      <c r="O1493" s="26" t="s">
        <v>1315</v>
      </c>
      <c r="P1493" s="26"/>
      <c r="Q1493" s="26"/>
      <c r="R1493" s="5"/>
      <c r="S1493" s="5"/>
      <c r="T1493" s="5"/>
      <c r="U1493" s="5"/>
      <c r="V1493" s="5"/>
      <c r="W1493" s="5"/>
      <c r="X1493" s="5"/>
      <c r="Y1493" s="5"/>
    </row>
    <row r="1494" spans="13:25" ht="22.5" x14ac:dyDescent="0.2">
      <c r="M1494" s="26" t="s">
        <v>59</v>
      </c>
      <c r="N1494" s="25" t="s">
        <v>57</v>
      </c>
      <c r="O1494" s="26" t="s">
        <v>1316</v>
      </c>
      <c r="P1494" s="26"/>
      <c r="Q1494" s="26"/>
      <c r="R1494" s="5"/>
      <c r="S1494" s="5"/>
      <c r="T1494" s="5"/>
      <c r="U1494" s="5"/>
      <c r="V1494" s="5"/>
      <c r="W1494" s="5"/>
      <c r="X1494" s="5"/>
      <c r="Y1494" s="5"/>
    </row>
    <row r="1495" spans="13:25" ht="22.5" x14ac:dyDescent="0.2">
      <c r="M1495" s="26" t="s">
        <v>59</v>
      </c>
      <c r="N1495" s="25" t="s">
        <v>57</v>
      </c>
      <c r="O1495" s="26" t="s">
        <v>1317</v>
      </c>
      <c r="P1495" s="26"/>
      <c r="Q1495" s="26"/>
      <c r="R1495" s="5"/>
      <c r="S1495" s="5"/>
      <c r="T1495" s="5"/>
      <c r="U1495" s="5"/>
      <c r="V1495" s="5"/>
      <c r="W1495" s="5"/>
      <c r="X1495" s="5"/>
      <c r="Y1495" s="5"/>
    </row>
    <row r="1496" spans="13:25" ht="22.5" x14ac:dyDescent="0.2">
      <c r="M1496" s="26" t="s">
        <v>59</v>
      </c>
      <c r="N1496" s="25" t="s">
        <v>51</v>
      </c>
      <c r="O1496" s="26" t="s">
        <v>1318</v>
      </c>
      <c r="P1496" s="26"/>
      <c r="Q1496" s="26"/>
      <c r="R1496" s="5"/>
      <c r="S1496" s="5"/>
      <c r="T1496" s="5"/>
      <c r="U1496" s="5"/>
      <c r="V1496" s="5"/>
      <c r="W1496" s="5"/>
      <c r="X1496" s="5"/>
      <c r="Y1496" s="5"/>
    </row>
    <row r="1497" spans="13:25" ht="157.5" x14ac:dyDescent="0.2">
      <c r="M1497" s="26" t="s">
        <v>59</v>
      </c>
      <c r="N1497" s="25" t="s">
        <v>51</v>
      </c>
      <c r="O1497" s="26"/>
      <c r="P1497" s="26" t="s">
        <v>1319</v>
      </c>
      <c r="Q1497" s="26"/>
      <c r="R1497" s="5"/>
      <c r="S1497" s="5"/>
      <c r="T1497" s="5"/>
      <c r="U1497" s="5"/>
      <c r="V1497" s="5"/>
      <c r="W1497" s="5"/>
      <c r="X1497" s="5"/>
      <c r="Y1497" s="5"/>
    </row>
    <row r="1498" spans="13:25" ht="33.75" x14ac:dyDescent="0.2">
      <c r="M1498" s="26" t="s">
        <v>59</v>
      </c>
      <c r="N1498" s="25" t="s">
        <v>51</v>
      </c>
      <c r="O1498" s="26"/>
      <c r="P1498" s="26" t="s">
        <v>983</v>
      </c>
      <c r="Q1498" s="26"/>
      <c r="R1498" s="5"/>
      <c r="S1498" s="5"/>
      <c r="T1498" s="5"/>
      <c r="U1498" s="5"/>
      <c r="V1498" s="5"/>
      <c r="W1498" s="5"/>
      <c r="X1498" s="5"/>
      <c r="Y1498" s="5"/>
    </row>
    <row r="1499" spans="13:25" ht="67.5" x14ac:dyDescent="0.2">
      <c r="M1499" s="26" t="s">
        <v>59</v>
      </c>
      <c r="N1499" s="25" t="s">
        <v>51</v>
      </c>
      <c r="O1499" s="26"/>
      <c r="P1499" s="26" t="s">
        <v>1320</v>
      </c>
      <c r="Q1499" s="26"/>
      <c r="R1499" s="5"/>
      <c r="S1499" s="5"/>
      <c r="T1499" s="5"/>
      <c r="U1499" s="5"/>
      <c r="V1499" s="5"/>
      <c r="W1499" s="5"/>
      <c r="X1499" s="5"/>
      <c r="Y1499" s="5"/>
    </row>
    <row r="1500" spans="13:25" ht="45" x14ac:dyDescent="0.2">
      <c r="M1500" s="26" t="s">
        <v>59</v>
      </c>
      <c r="N1500" s="25" t="s">
        <v>51</v>
      </c>
      <c r="O1500" s="26"/>
      <c r="P1500" s="26" t="s">
        <v>968</v>
      </c>
      <c r="Q1500" s="26"/>
      <c r="R1500" s="5"/>
      <c r="S1500" s="5"/>
      <c r="T1500" s="5"/>
      <c r="U1500" s="5"/>
      <c r="V1500" s="5"/>
      <c r="W1500" s="5"/>
      <c r="X1500" s="5"/>
      <c r="Y1500" s="5"/>
    </row>
    <row r="1501" spans="13:25" ht="56.25" x14ac:dyDescent="0.2">
      <c r="M1501" s="26" t="s">
        <v>59</v>
      </c>
      <c r="N1501" s="25" t="s">
        <v>51</v>
      </c>
      <c r="O1501" s="26"/>
      <c r="P1501" s="26" t="s">
        <v>969</v>
      </c>
      <c r="Q1501" s="26"/>
      <c r="R1501" s="5"/>
      <c r="S1501" s="5"/>
      <c r="T1501" s="5"/>
      <c r="U1501" s="5"/>
      <c r="V1501" s="5"/>
      <c r="W1501" s="5"/>
      <c r="X1501" s="5"/>
      <c r="Y1501" s="5"/>
    </row>
    <row r="1502" spans="13:25" ht="22.5" x14ac:dyDescent="0.2">
      <c r="M1502" s="26" t="s">
        <v>59</v>
      </c>
      <c r="N1502" s="25" t="s">
        <v>51</v>
      </c>
      <c r="O1502" s="26"/>
      <c r="P1502" s="26" t="s">
        <v>1321</v>
      </c>
      <c r="Q1502" s="26"/>
      <c r="R1502" s="5"/>
      <c r="S1502" s="5"/>
      <c r="T1502" s="5"/>
      <c r="U1502" s="5"/>
      <c r="V1502" s="5"/>
      <c r="W1502" s="5"/>
      <c r="X1502" s="5"/>
      <c r="Y1502" s="5"/>
    </row>
    <row r="1503" spans="13:25" ht="22.5" x14ac:dyDescent="0.2">
      <c r="M1503" s="26" t="s">
        <v>59</v>
      </c>
      <c r="N1503" s="25" t="s">
        <v>51</v>
      </c>
      <c r="O1503" s="26"/>
      <c r="P1503" s="26" t="s">
        <v>1321</v>
      </c>
      <c r="Q1503" s="26"/>
      <c r="R1503" s="5"/>
      <c r="S1503" s="5"/>
      <c r="T1503" s="5"/>
      <c r="U1503" s="5"/>
      <c r="V1503" s="5"/>
      <c r="W1503" s="5"/>
      <c r="X1503" s="5"/>
      <c r="Y1503" s="5"/>
    </row>
    <row r="1504" spans="13:25" ht="22.5" x14ac:dyDescent="0.2">
      <c r="M1504" s="26" t="s">
        <v>59</v>
      </c>
      <c r="N1504" s="25" t="s">
        <v>57</v>
      </c>
      <c r="O1504" s="26"/>
      <c r="P1504" s="26" t="s">
        <v>1322</v>
      </c>
      <c r="Q1504" s="26"/>
      <c r="R1504" s="5"/>
      <c r="S1504" s="5"/>
      <c r="T1504" s="5"/>
      <c r="U1504" s="5"/>
      <c r="V1504" s="5"/>
      <c r="W1504" s="5"/>
      <c r="X1504" s="5"/>
      <c r="Y1504" s="5"/>
    </row>
    <row r="1505" spans="13:25" ht="22.5" x14ac:dyDescent="0.2">
      <c r="M1505" s="26" t="s">
        <v>59</v>
      </c>
      <c r="N1505" s="25" t="s">
        <v>57</v>
      </c>
      <c r="O1505" s="26" t="s">
        <v>1323</v>
      </c>
      <c r="P1505" s="26"/>
      <c r="Q1505" s="26"/>
      <c r="R1505" s="5"/>
      <c r="S1505" s="5"/>
      <c r="T1505" s="5"/>
      <c r="U1505" s="5"/>
      <c r="V1505" s="5"/>
      <c r="W1505" s="5"/>
      <c r="X1505" s="5"/>
      <c r="Y1505" s="5"/>
    </row>
    <row r="1506" spans="13:25" ht="22.5" x14ac:dyDescent="0.2">
      <c r="M1506" s="26" t="s">
        <v>59</v>
      </c>
      <c r="N1506" s="25" t="s">
        <v>57</v>
      </c>
      <c r="O1506" s="26" t="s">
        <v>1324</v>
      </c>
      <c r="P1506" s="26"/>
      <c r="Q1506" s="26"/>
      <c r="R1506" s="5"/>
      <c r="S1506" s="5"/>
      <c r="T1506" s="5"/>
      <c r="U1506" s="5"/>
      <c r="V1506" s="5"/>
      <c r="W1506" s="5"/>
      <c r="X1506" s="5"/>
      <c r="Y1506" s="5"/>
    </row>
    <row r="1507" spans="13:25" ht="22.5" x14ac:dyDescent="0.2">
      <c r="M1507" s="26" t="s">
        <v>59</v>
      </c>
      <c r="N1507" s="25" t="s">
        <v>51</v>
      </c>
      <c r="O1507" s="26" t="s">
        <v>1325</v>
      </c>
      <c r="P1507" s="26"/>
      <c r="Q1507" s="26"/>
      <c r="R1507" s="5"/>
      <c r="S1507" s="5"/>
      <c r="T1507" s="5"/>
      <c r="U1507" s="5"/>
      <c r="V1507" s="5"/>
      <c r="W1507" s="5"/>
      <c r="X1507" s="5"/>
      <c r="Y1507" s="5"/>
    </row>
    <row r="1508" spans="13:25" ht="56.25" x14ac:dyDescent="0.2">
      <c r="M1508" s="26" t="s">
        <v>59</v>
      </c>
      <c r="N1508" s="25" t="s">
        <v>51</v>
      </c>
      <c r="O1508" s="26"/>
      <c r="P1508" s="26" t="s">
        <v>1273</v>
      </c>
      <c r="Q1508" s="26"/>
      <c r="R1508" s="5"/>
      <c r="S1508" s="5"/>
      <c r="T1508" s="5"/>
      <c r="U1508" s="5"/>
      <c r="V1508" s="5"/>
      <c r="W1508" s="5"/>
      <c r="X1508" s="5"/>
      <c r="Y1508" s="5"/>
    </row>
    <row r="1509" spans="13:25" ht="33.75" x14ac:dyDescent="0.2">
      <c r="M1509" s="26" t="s">
        <v>59</v>
      </c>
      <c r="N1509" s="25" t="s">
        <v>51</v>
      </c>
      <c r="O1509" s="26"/>
      <c r="P1509" s="26" t="s">
        <v>966</v>
      </c>
      <c r="Q1509" s="26"/>
      <c r="R1509" s="5"/>
      <c r="S1509" s="5"/>
      <c r="T1509" s="5"/>
      <c r="U1509" s="5"/>
      <c r="V1509" s="5"/>
      <c r="W1509" s="5"/>
      <c r="X1509" s="5"/>
      <c r="Y1509" s="5"/>
    </row>
    <row r="1510" spans="13:25" ht="67.5" x14ac:dyDescent="0.2">
      <c r="M1510" s="26" t="s">
        <v>59</v>
      </c>
      <c r="N1510" s="25" t="s">
        <v>51</v>
      </c>
      <c r="O1510" s="26"/>
      <c r="P1510" s="26" t="s">
        <v>1326</v>
      </c>
      <c r="Q1510" s="26"/>
      <c r="R1510" s="5"/>
      <c r="S1510" s="5"/>
      <c r="T1510" s="5"/>
      <c r="U1510" s="5"/>
      <c r="V1510" s="5"/>
      <c r="W1510" s="5"/>
      <c r="X1510" s="5"/>
      <c r="Y1510" s="5"/>
    </row>
    <row r="1511" spans="13:25" ht="22.5" x14ac:dyDescent="0.2">
      <c r="M1511" s="26" t="s">
        <v>59</v>
      </c>
      <c r="N1511" s="25" t="s">
        <v>51</v>
      </c>
      <c r="O1511" s="26"/>
      <c r="P1511" s="26" t="s">
        <v>1278</v>
      </c>
      <c r="Q1511" s="26"/>
      <c r="R1511" s="5"/>
      <c r="S1511" s="5"/>
      <c r="T1511" s="5"/>
      <c r="U1511" s="5"/>
      <c r="V1511" s="5"/>
      <c r="W1511" s="5"/>
      <c r="X1511" s="5"/>
      <c r="Y1511" s="5"/>
    </row>
    <row r="1512" spans="13:25" ht="56.25" x14ac:dyDescent="0.2">
      <c r="M1512" s="26" t="s">
        <v>59</v>
      </c>
      <c r="N1512" s="25" t="s">
        <v>51</v>
      </c>
      <c r="O1512" s="26"/>
      <c r="P1512" s="26" t="s">
        <v>1327</v>
      </c>
      <c r="Q1512" s="26"/>
      <c r="R1512" s="5"/>
      <c r="S1512" s="5"/>
      <c r="T1512" s="5"/>
      <c r="U1512" s="5"/>
      <c r="V1512" s="5"/>
      <c r="W1512" s="5"/>
      <c r="X1512" s="5"/>
      <c r="Y1512" s="5"/>
    </row>
    <row r="1513" spans="13:25" ht="22.5" x14ac:dyDescent="0.2">
      <c r="M1513" s="26" t="s">
        <v>59</v>
      </c>
      <c r="N1513" s="25" t="s">
        <v>51</v>
      </c>
      <c r="O1513" s="26"/>
      <c r="P1513" s="26" t="s">
        <v>1286</v>
      </c>
      <c r="Q1513" s="26"/>
      <c r="R1513" s="5"/>
      <c r="S1513" s="5"/>
      <c r="T1513" s="5"/>
      <c r="U1513" s="5"/>
      <c r="V1513" s="5"/>
      <c r="W1513" s="5"/>
      <c r="X1513" s="5"/>
      <c r="Y1513" s="5"/>
    </row>
    <row r="1514" spans="13:25" ht="33.75" x14ac:dyDescent="0.2">
      <c r="M1514" s="26" t="s">
        <v>59</v>
      </c>
      <c r="N1514" s="25" t="s">
        <v>51</v>
      </c>
      <c r="O1514" s="26"/>
      <c r="P1514" s="26" t="s">
        <v>1006</v>
      </c>
      <c r="Q1514" s="26"/>
      <c r="R1514" s="5"/>
      <c r="S1514" s="5"/>
      <c r="T1514" s="5"/>
      <c r="U1514" s="5"/>
      <c r="V1514" s="5"/>
      <c r="W1514" s="5"/>
      <c r="X1514" s="5"/>
      <c r="Y1514" s="5"/>
    </row>
    <row r="1515" spans="13:25" ht="22.5" x14ac:dyDescent="0.2">
      <c r="M1515" s="26" t="s">
        <v>59</v>
      </c>
      <c r="N1515" s="25" t="s">
        <v>57</v>
      </c>
      <c r="O1515" s="26"/>
      <c r="P1515" s="26" t="s">
        <v>1328</v>
      </c>
      <c r="Q1515" s="26"/>
      <c r="R1515" s="5"/>
      <c r="S1515" s="5"/>
      <c r="T1515" s="5"/>
      <c r="U1515" s="5"/>
      <c r="V1515" s="5"/>
      <c r="W1515" s="5"/>
      <c r="X1515" s="5"/>
      <c r="Y1515" s="5"/>
    </row>
    <row r="1516" spans="13:25" ht="22.5" x14ac:dyDescent="0.2">
      <c r="M1516" s="26" t="s">
        <v>59</v>
      </c>
      <c r="N1516" s="25" t="s">
        <v>57</v>
      </c>
      <c r="O1516" s="26" t="s">
        <v>1329</v>
      </c>
      <c r="P1516" s="26"/>
      <c r="Q1516" s="26"/>
      <c r="R1516" s="5"/>
      <c r="S1516" s="5"/>
      <c r="T1516" s="5"/>
      <c r="U1516" s="5"/>
      <c r="V1516" s="5"/>
      <c r="W1516" s="5"/>
      <c r="X1516" s="5"/>
      <c r="Y1516" s="5"/>
    </row>
    <row r="1517" spans="13:25" ht="22.5" x14ac:dyDescent="0.2">
      <c r="M1517" s="26" t="s">
        <v>59</v>
      </c>
      <c r="N1517" s="25" t="s">
        <v>57</v>
      </c>
      <c r="O1517" s="26" t="s">
        <v>1330</v>
      </c>
      <c r="P1517" s="26"/>
      <c r="Q1517" s="26"/>
      <c r="R1517" s="5"/>
      <c r="S1517" s="5"/>
      <c r="T1517" s="5"/>
      <c r="U1517" s="5"/>
      <c r="V1517" s="5"/>
      <c r="W1517" s="5"/>
      <c r="X1517" s="5"/>
      <c r="Y1517" s="5"/>
    </row>
    <row r="1518" spans="13:25" ht="67.5" x14ac:dyDescent="0.2">
      <c r="M1518" s="26" t="s">
        <v>59</v>
      </c>
      <c r="N1518" s="25" t="s">
        <v>65</v>
      </c>
      <c r="O1518" s="26" t="s">
        <v>1331</v>
      </c>
      <c r="P1518" s="26"/>
      <c r="Q1518" s="26"/>
      <c r="R1518" s="5"/>
      <c r="S1518" s="5"/>
      <c r="T1518" s="5"/>
      <c r="U1518" s="5"/>
      <c r="V1518" s="5"/>
      <c r="W1518" s="5"/>
      <c r="X1518" s="5"/>
      <c r="Y1518" s="5"/>
    </row>
    <row r="1519" spans="13:25" ht="123.75" x14ac:dyDescent="0.2">
      <c r="M1519" s="26" t="s">
        <v>59</v>
      </c>
      <c r="N1519" s="25" t="s">
        <v>78</v>
      </c>
      <c r="O1519" s="26" t="s">
        <v>1332</v>
      </c>
      <c r="P1519" s="26"/>
      <c r="Q1519" s="26"/>
      <c r="R1519" s="5"/>
      <c r="S1519" s="5"/>
      <c r="T1519" s="5"/>
      <c r="U1519" s="5"/>
      <c r="V1519" s="5"/>
      <c r="W1519" s="5"/>
      <c r="X1519" s="5"/>
      <c r="Y1519" s="5"/>
    </row>
    <row r="1520" spans="13:25" ht="409.5" x14ac:dyDescent="0.2">
      <c r="M1520" s="26" t="s">
        <v>84</v>
      </c>
      <c r="N1520" s="25" t="s">
        <v>85</v>
      </c>
      <c r="O1520" s="26"/>
      <c r="P1520" s="26" t="s">
        <v>1333</v>
      </c>
      <c r="Q1520" s="26"/>
      <c r="R1520" s="5"/>
      <c r="S1520" s="5"/>
      <c r="T1520" s="5"/>
      <c r="U1520" s="5"/>
      <c r="V1520" s="5"/>
      <c r="W1520" s="5"/>
      <c r="X1520" s="5"/>
      <c r="Y1520" s="5"/>
    </row>
    <row r="1521" spans="13:25" ht="409.5" x14ac:dyDescent="0.2">
      <c r="M1521" s="26" t="s">
        <v>86</v>
      </c>
      <c r="N1521" s="25" t="s">
        <v>85</v>
      </c>
      <c r="O1521" s="26"/>
      <c r="P1521" s="26" t="s">
        <v>1334</v>
      </c>
      <c r="Q1521" s="26"/>
      <c r="R1521" s="5"/>
      <c r="S1521" s="5"/>
      <c r="T1521" s="5"/>
      <c r="U1521" s="5"/>
      <c r="V1521" s="5"/>
      <c r="W1521" s="5"/>
      <c r="X1521" s="5"/>
      <c r="Y1521" s="5"/>
    </row>
    <row r="1522" spans="13:25" ht="33.75" x14ac:dyDescent="0.2">
      <c r="M1522" s="26" t="s">
        <v>86</v>
      </c>
      <c r="N1522" s="25" t="s">
        <v>85</v>
      </c>
      <c r="O1522" s="26"/>
      <c r="P1522" s="26" t="s">
        <v>1335</v>
      </c>
      <c r="Q1522" s="26"/>
      <c r="R1522" s="5"/>
      <c r="S1522" s="5"/>
      <c r="T1522" s="5"/>
      <c r="U1522" s="5"/>
      <c r="V1522" s="5"/>
      <c r="W1522" s="5"/>
      <c r="X1522" s="5"/>
      <c r="Y1522" s="5"/>
    </row>
    <row r="1523" spans="13:25" ht="135" x14ac:dyDescent="0.2">
      <c r="M1523" s="26" t="s">
        <v>87</v>
      </c>
      <c r="N1523" s="25" t="s">
        <v>85</v>
      </c>
      <c r="O1523" s="26"/>
      <c r="P1523" s="26" t="s">
        <v>1336</v>
      </c>
      <c r="Q1523" s="26"/>
      <c r="R1523" s="5"/>
      <c r="S1523" s="5"/>
      <c r="T1523" s="5"/>
      <c r="U1523" s="5"/>
      <c r="V1523" s="5"/>
      <c r="W1523" s="5"/>
      <c r="X1523" s="5"/>
      <c r="Y1523" s="5"/>
    </row>
    <row r="1524" spans="13:25" ht="22.5" x14ac:dyDescent="0.2">
      <c r="M1524" s="26" t="s">
        <v>87</v>
      </c>
      <c r="N1524" s="25" t="s">
        <v>85</v>
      </c>
      <c r="O1524" s="26"/>
      <c r="P1524" s="26" t="s">
        <v>1337</v>
      </c>
      <c r="Q1524" s="26"/>
      <c r="R1524" s="5"/>
      <c r="S1524" s="5"/>
      <c r="T1524" s="5"/>
      <c r="U1524" s="5"/>
      <c r="V1524" s="5"/>
      <c r="W1524" s="5"/>
      <c r="X1524" s="5"/>
      <c r="Y1524" s="5"/>
    </row>
    <row r="1525" spans="13:25" ht="22.5" x14ac:dyDescent="0.2">
      <c r="M1525" s="26" t="s">
        <v>87</v>
      </c>
      <c r="N1525" s="25" t="s">
        <v>85</v>
      </c>
      <c r="O1525" s="26"/>
      <c r="P1525" s="26" t="s">
        <v>1338</v>
      </c>
      <c r="Q1525" s="26"/>
      <c r="R1525" s="5"/>
      <c r="S1525" s="5"/>
      <c r="T1525" s="5"/>
      <c r="U1525" s="5"/>
      <c r="V1525" s="5"/>
      <c r="W1525" s="5"/>
      <c r="X1525" s="5"/>
      <c r="Y1525" s="5"/>
    </row>
    <row r="1526" spans="13:25" ht="22.5" x14ac:dyDescent="0.2">
      <c r="M1526" s="26" t="s">
        <v>87</v>
      </c>
      <c r="N1526" s="25" t="s">
        <v>85</v>
      </c>
      <c r="O1526" s="26"/>
      <c r="P1526" s="26" t="s">
        <v>1339</v>
      </c>
      <c r="Q1526" s="26"/>
      <c r="R1526" s="5"/>
      <c r="S1526" s="5"/>
      <c r="T1526" s="5"/>
      <c r="U1526" s="5"/>
      <c r="V1526" s="5"/>
      <c r="W1526" s="5"/>
      <c r="X1526" s="5"/>
      <c r="Y1526" s="5"/>
    </row>
    <row r="1527" spans="13:25" ht="33.75" x14ac:dyDescent="0.2">
      <c r="M1527" s="26" t="s">
        <v>61</v>
      </c>
      <c r="N1527" s="25" t="s">
        <v>62</v>
      </c>
      <c r="O1527" s="26" t="s">
        <v>1340</v>
      </c>
      <c r="P1527" s="26"/>
      <c r="Q1527" s="26"/>
      <c r="R1527" s="5"/>
      <c r="S1527" s="5"/>
      <c r="T1527" s="5"/>
      <c r="U1527" s="5"/>
      <c r="V1527" s="5"/>
      <c r="W1527" s="5"/>
      <c r="X1527" s="5"/>
      <c r="Y1527" s="5"/>
    </row>
    <row r="1528" spans="13:25" ht="33.75" x14ac:dyDescent="0.2">
      <c r="M1528" s="26" t="s">
        <v>61</v>
      </c>
      <c r="N1528" s="25" t="s">
        <v>63</v>
      </c>
      <c r="O1528" s="26" t="s">
        <v>1341</v>
      </c>
      <c r="P1528" s="26"/>
      <c r="Q1528" s="26"/>
      <c r="R1528" s="5"/>
      <c r="S1528" s="5"/>
      <c r="T1528" s="5"/>
      <c r="U1528" s="5"/>
      <c r="V1528" s="5"/>
      <c r="W1528" s="5"/>
      <c r="X1528" s="5"/>
      <c r="Y1528" s="5"/>
    </row>
    <row r="1529" spans="13:25" ht="78.75" x14ac:dyDescent="0.2">
      <c r="M1529" s="26" t="s">
        <v>61</v>
      </c>
      <c r="N1529" s="25" t="s">
        <v>64</v>
      </c>
      <c r="O1529" s="26" t="s">
        <v>1342</v>
      </c>
      <c r="P1529" s="26"/>
      <c r="Q1529" s="26"/>
      <c r="R1529" s="5"/>
      <c r="S1529" s="5"/>
      <c r="T1529" s="5"/>
      <c r="U1529" s="5"/>
      <c r="V1529" s="5"/>
      <c r="W1529" s="5"/>
      <c r="X1529" s="5"/>
      <c r="Y1529" s="5"/>
    </row>
    <row r="1530" spans="13:25" ht="33.75" x14ac:dyDescent="0.2">
      <c r="M1530" s="26" t="s">
        <v>61</v>
      </c>
      <c r="N1530" s="25" t="s">
        <v>65</v>
      </c>
      <c r="O1530" s="26" t="s">
        <v>1343</v>
      </c>
      <c r="P1530" s="26"/>
      <c r="Q1530" s="26"/>
      <c r="R1530" s="5"/>
      <c r="S1530" s="5"/>
      <c r="T1530" s="5"/>
      <c r="U1530" s="5"/>
      <c r="V1530" s="5"/>
      <c r="W1530" s="5"/>
      <c r="X1530" s="5"/>
      <c r="Y1530" s="5"/>
    </row>
    <row r="1531" spans="13:25" ht="101.25" x14ac:dyDescent="0.2">
      <c r="M1531" s="26" t="s">
        <v>61</v>
      </c>
      <c r="N1531" s="25" t="s">
        <v>66</v>
      </c>
      <c r="O1531" s="26" t="s">
        <v>1344</v>
      </c>
      <c r="P1531" s="26"/>
      <c r="Q1531" s="26"/>
      <c r="R1531" s="5"/>
      <c r="S1531" s="5"/>
      <c r="T1531" s="5"/>
      <c r="U1531" s="5"/>
      <c r="V1531" s="5"/>
      <c r="W1531" s="5"/>
      <c r="X1531" s="5"/>
      <c r="Y1531" s="5"/>
    </row>
    <row r="1532" spans="13:25" ht="22.5" x14ac:dyDescent="0.2">
      <c r="M1532" s="26" t="s">
        <v>61</v>
      </c>
      <c r="N1532" s="25" t="s">
        <v>68</v>
      </c>
      <c r="O1532" s="26" t="s">
        <v>1345</v>
      </c>
      <c r="P1532" s="26"/>
      <c r="Q1532" s="26"/>
      <c r="R1532" s="5"/>
      <c r="S1532" s="5"/>
      <c r="T1532" s="5"/>
      <c r="U1532" s="5"/>
      <c r="V1532" s="5"/>
      <c r="W1532" s="5"/>
      <c r="X1532" s="5"/>
      <c r="Y1532" s="5"/>
    </row>
    <row r="1533" spans="13:25" ht="56.25" x14ac:dyDescent="0.2">
      <c r="M1533" s="26" t="s">
        <v>61</v>
      </c>
      <c r="N1533" s="25" t="s">
        <v>63</v>
      </c>
      <c r="O1533" s="26" t="s">
        <v>1346</v>
      </c>
      <c r="P1533" s="26"/>
      <c r="Q1533" s="26"/>
      <c r="R1533" s="5"/>
      <c r="S1533" s="5"/>
      <c r="T1533" s="5"/>
      <c r="U1533" s="5"/>
      <c r="V1533" s="5"/>
      <c r="W1533" s="5"/>
      <c r="X1533" s="5"/>
      <c r="Y1533" s="5"/>
    </row>
    <row r="1534" spans="13:25" ht="22.5" x14ac:dyDescent="0.2">
      <c r="M1534" s="26" t="s">
        <v>80</v>
      </c>
      <c r="N1534" s="25" t="s">
        <v>51</v>
      </c>
      <c r="O1534" s="26" t="s">
        <v>1347</v>
      </c>
      <c r="P1534" s="26"/>
      <c r="Q1534" s="26"/>
      <c r="R1534" s="5"/>
      <c r="S1534" s="5"/>
      <c r="T1534" s="5"/>
      <c r="U1534" s="5"/>
      <c r="V1534" s="5"/>
      <c r="W1534" s="5"/>
      <c r="X1534" s="5"/>
      <c r="Y1534" s="5"/>
    </row>
    <row r="1535" spans="13:25" ht="22.5" x14ac:dyDescent="0.2">
      <c r="M1535" s="26" t="s">
        <v>80</v>
      </c>
      <c r="N1535" s="25" t="s">
        <v>51</v>
      </c>
      <c r="O1535" s="26" t="s">
        <v>1348</v>
      </c>
      <c r="P1535" s="26"/>
      <c r="Q1535" s="26"/>
      <c r="R1535" s="5"/>
      <c r="S1535" s="5"/>
      <c r="T1535" s="5"/>
      <c r="U1535" s="5"/>
      <c r="V1535" s="5"/>
      <c r="W1535" s="5"/>
      <c r="X1535" s="5"/>
      <c r="Y1535" s="5"/>
    </row>
    <row r="1536" spans="13:25" ht="22.5" x14ac:dyDescent="0.2">
      <c r="M1536" s="26" t="s">
        <v>80</v>
      </c>
      <c r="N1536" s="25" t="s">
        <v>51</v>
      </c>
      <c r="O1536" s="26" t="s">
        <v>1349</v>
      </c>
      <c r="P1536" s="26"/>
      <c r="Q1536" s="26"/>
      <c r="R1536" s="5"/>
      <c r="S1536" s="5"/>
      <c r="T1536" s="5"/>
      <c r="U1536" s="5"/>
      <c r="V1536" s="5"/>
      <c r="W1536" s="5"/>
      <c r="X1536" s="5"/>
      <c r="Y1536" s="5"/>
    </row>
    <row r="1537" spans="13:25" ht="22.5" x14ac:dyDescent="0.2">
      <c r="M1537" s="26" t="s">
        <v>80</v>
      </c>
      <c r="N1537" s="25" t="s">
        <v>51</v>
      </c>
      <c r="O1537" s="26" t="s">
        <v>1350</v>
      </c>
      <c r="P1537" s="26"/>
      <c r="Q1537" s="26"/>
      <c r="R1537" s="5"/>
      <c r="S1537" s="5"/>
      <c r="T1537" s="5"/>
      <c r="U1537" s="5"/>
      <c r="V1537" s="5"/>
      <c r="W1537" s="5"/>
      <c r="X1537" s="5"/>
      <c r="Y1537" s="5"/>
    </row>
    <row r="1538" spans="13:25" ht="22.5" x14ac:dyDescent="0.2">
      <c r="M1538" s="26" t="s">
        <v>80</v>
      </c>
      <c r="N1538" s="25" t="s">
        <v>51</v>
      </c>
      <c r="O1538" s="26" t="s">
        <v>1351</v>
      </c>
      <c r="P1538" s="26"/>
      <c r="Q1538" s="26"/>
      <c r="R1538" s="5"/>
      <c r="S1538" s="5"/>
      <c r="T1538" s="5"/>
      <c r="U1538" s="5"/>
      <c r="V1538" s="5"/>
      <c r="W1538" s="5"/>
      <c r="X1538" s="5"/>
      <c r="Y1538" s="5"/>
    </row>
    <row r="1539" spans="13:25" ht="22.5" x14ac:dyDescent="0.2">
      <c r="M1539" s="26" t="s">
        <v>80</v>
      </c>
      <c r="N1539" s="25" t="s">
        <v>51</v>
      </c>
      <c r="O1539" s="26" t="s">
        <v>1352</v>
      </c>
      <c r="P1539" s="26"/>
      <c r="Q1539" s="26"/>
      <c r="R1539" s="5"/>
      <c r="S1539" s="5"/>
      <c r="T1539" s="5"/>
      <c r="U1539" s="5"/>
      <c r="V1539" s="5"/>
      <c r="W1539" s="5"/>
      <c r="X1539" s="5"/>
      <c r="Y1539" s="5"/>
    </row>
    <row r="1540" spans="13:25" ht="22.5" x14ac:dyDescent="0.2">
      <c r="M1540" s="26" t="s">
        <v>80</v>
      </c>
      <c r="N1540" s="25" t="s">
        <v>51</v>
      </c>
      <c r="O1540" s="26" t="s">
        <v>1353</v>
      </c>
      <c r="P1540" s="26"/>
      <c r="Q1540" s="26"/>
      <c r="R1540" s="5"/>
      <c r="S1540" s="5"/>
      <c r="T1540" s="5"/>
      <c r="U1540" s="5"/>
      <c r="V1540" s="5"/>
      <c r="W1540" s="5"/>
      <c r="X1540" s="5"/>
      <c r="Y1540" s="5"/>
    </row>
    <row r="1541" spans="13:25" ht="22.5" x14ac:dyDescent="0.2">
      <c r="M1541" s="26" t="s">
        <v>80</v>
      </c>
      <c r="N1541" s="25" t="s">
        <v>51</v>
      </c>
      <c r="O1541" s="26" t="s">
        <v>1354</v>
      </c>
      <c r="P1541" s="26"/>
      <c r="Q1541" s="26"/>
      <c r="R1541" s="5"/>
      <c r="S1541" s="5"/>
      <c r="T1541" s="5"/>
      <c r="U1541" s="5"/>
      <c r="V1541" s="5"/>
      <c r="W1541" s="5"/>
      <c r="X1541" s="5"/>
      <c r="Y1541" s="5"/>
    </row>
    <row r="1542" spans="13:25" ht="22.5" x14ac:dyDescent="0.2">
      <c r="M1542" s="26" t="s">
        <v>80</v>
      </c>
      <c r="N1542" s="25" t="s">
        <v>51</v>
      </c>
      <c r="O1542" s="26" t="s">
        <v>1355</v>
      </c>
      <c r="P1542" s="26"/>
      <c r="Q1542" s="26"/>
      <c r="R1542" s="5"/>
      <c r="S1542" s="5"/>
      <c r="T1542" s="5"/>
      <c r="U1542" s="5"/>
      <c r="V1542" s="5"/>
      <c r="W1542" s="5"/>
      <c r="X1542" s="5"/>
      <c r="Y1542" s="5"/>
    </row>
    <row r="1543" spans="13:25" ht="22.5" x14ac:dyDescent="0.2">
      <c r="M1543" s="26" t="s">
        <v>80</v>
      </c>
      <c r="N1543" s="25" t="s">
        <v>51</v>
      </c>
      <c r="O1543" s="26" t="s">
        <v>1356</v>
      </c>
      <c r="P1543" s="26"/>
      <c r="Q1543" s="26"/>
      <c r="R1543" s="5"/>
      <c r="S1543" s="5"/>
      <c r="T1543" s="5"/>
      <c r="U1543" s="5"/>
      <c r="V1543" s="5"/>
      <c r="W1543" s="5"/>
      <c r="X1543" s="5"/>
      <c r="Y1543" s="5"/>
    </row>
    <row r="1544" spans="13:25" ht="22.5" x14ac:dyDescent="0.2">
      <c r="M1544" s="26" t="s">
        <v>80</v>
      </c>
      <c r="N1544" s="25" t="s">
        <v>51</v>
      </c>
      <c r="O1544" s="26" t="s">
        <v>1357</v>
      </c>
      <c r="P1544" s="26"/>
      <c r="Q1544" s="26"/>
      <c r="R1544" s="5"/>
      <c r="S1544" s="5"/>
      <c r="T1544" s="5"/>
      <c r="U1544" s="5"/>
      <c r="V1544" s="5"/>
      <c r="W1544" s="5"/>
      <c r="X1544" s="5"/>
      <c r="Y1544" s="5"/>
    </row>
    <row r="1545" spans="13:25" ht="22.5" x14ac:dyDescent="0.2">
      <c r="M1545" s="26" t="s">
        <v>80</v>
      </c>
      <c r="N1545" s="25" t="s">
        <v>51</v>
      </c>
      <c r="O1545" s="26" t="s">
        <v>1358</v>
      </c>
      <c r="P1545" s="26"/>
      <c r="Q1545" s="26"/>
      <c r="R1545" s="5"/>
      <c r="S1545" s="5"/>
      <c r="T1545" s="5"/>
      <c r="U1545" s="5"/>
      <c r="V1545" s="5"/>
      <c r="W1545" s="5"/>
      <c r="X1545" s="5"/>
      <c r="Y1545" s="5"/>
    </row>
    <row r="1546" spans="13:25" ht="22.5" x14ac:dyDescent="0.2">
      <c r="M1546" s="26" t="s">
        <v>80</v>
      </c>
      <c r="N1546" s="25" t="s">
        <v>51</v>
      </c>
      <c r="O1546" s="26" t="s">
        <v>1359</v>
      </c>
      <c r="P1546" s="26"/>
      <c r="Q1546" s="26"/>
      <c r="R1546" s="5"/>
      <c r="S1546" s="5"/>
      <c r="T1546" s="5"/>
      <c r="U1546" s="5"/>
      <c r="V1546" s="5"/>
      <c r="W1546" s="5"/>
      <c r="X1546" s="5"/>
      <c r="Y1546" s="5"/>
    </row>
    <row r="1547" spans="13:25" ht="33.75" x14ac:dyDescent="0.2">
      <c r="M1547" s="26" t="s">
        <v>80</v>
      </c>
      <c r="N1547" s="25" t="s">
        <v>51</v>
      </c>
      <c r="O1547" s="26" t="s">
        <v>1360</v>
      </c>
      <c r="P1547" s="26"/>
      <c r="Q1547" s="26"/>
      <c r="R1547" s="5"/>
      <c r="S1547" s="5"/>
      <c r="T1547" s="5"/>
      <c r="U1547" s="5"/>
      <c r="V1547" s="5"/>
      <c r="W1547" s="5"/>
      <c r="X1547" s="5"/>
      <c r="Y1547" s="5"/>
    </row>
    <row r="1548" spans="13:25" ht="33.75" x14ac:dyDescent="0.2">
      <c r="M1548" s="26" t="s">
        <v>80</v>
      </c>
      <c r="N1548" s="25" t="s">
        <v>51</v>
      </c>
      <c r="O1548" s="26" t="s">
        <v>1360</v>
      </c>
      <c r="P1548" s="26"/>
      <c r="Q1548" s="26"/>
      <c r="R1548" s="5"/>
      <c r="S1548" s="5"/>
      <c r="T1548" s="5"/>
      <c r="U1548" s="5"/>
      <c r="V1548" s="5"/>
      <c r="W1548" s="5"/>
      <c r="X1548" s="5"/>
      <c r="Y1548" s="5"/>
    </row>
    <row r="1549" spans="13:25" ht="33.75" x14ac:dyDescent="0.2">
      <c r="M1549" s="26" t="s">
        <v>80</v>
      </c>
      <c r="N1549" s="25" t="s">
        <v>51</v>
      </c>
      <c r="O1549" s="26" t="s">
        <v>1361</v>
      </c>
      <c r="P1549" s="26"/>
      <c r="Q1549" s="26"/>
      <c r="R1549" s="5"/>
      <c r="S1549" s="5"/>
      <c r="T1549" s="5"/>
      <c r="U1549" s="5"/>
      <c r="V1549" s="5"/>
      <c r="W1549" s="5"/>
      <c r="X1549" s="5"/>
      <c r="Y1549" s="5"/>
    </row>
    <row r="1550" spans="13:25" ht="33.75" x14ac:dyDescent="0.2">
      <c r="M1550" s="26" t="s">
        <v>80</v>
      </c>
      <c r="N1550" s="25" t="s">
        <v>51</v>
      </c>
      <c r="O1550" s="26" t="s">
        <v>1361</v>
      </c>
      <c r="P1550" s="26"/>
      <c r="Q1550" s="26"/>
      <c r="R1550" s="5"/>
      <c r="S1550" s="5"/>
      <c r="T1550" s="5"/>
      <c r="U1550" s="5"/>
      <c r="V1550" s="5"/>
      <c r="W1550" s="5"/>
      <c r="X1550" s="5"/>
      <c r="Y1550" s="5"/>
    </row>
    <row r="1551" spans="13:25" ht="22.5" x14ac:dyDescent="0.2">
      <c r="M1551" s="26" t="s">
        <v>80</v>
      </c>
      <c r="N1551" s="25" t="s">
        <v>51</v>
      </c>
      <c r="O1551" s="26" t="s">
        <v>1362</v>
      </c>
      <c r="P1551" s="26"/>
      <c r="Q1551" s="26"/>
      <c r="R1551" s="5"/>
      <c r="S1551" s="5"/>
      <c r="T1551" s="5"/>
      <c r="U1551" s="5"/>
      <c r="V1551" s="5"/>
      <c r="W1551" s="5"/>
      <c r="X1551" s="5"/>
      <c r="Y1551" s="5"/>
    </row>
    <row r="1552" spans="13:25" ht="22.5" x14ac:dyDescent="0.2">
      <c r="M1552" s="26" t="s">
        <v>80</v>
      </c>
      <c r="N1552" s="25" t="s">
        <v>51</v>
      </c>
      <c r="O1552" s="26" t="s">
        <v>1363</v>
      </c>
      <c r="P1552" s="26"/>
      <c r="Q1552" s="26"/>
      <c r="R1552" s="5"/>
      <c r="S1552" s="5"/>
      <c r="T1552" s="5"/>
      <c r="U1552" s="5"/>
      <c r="V1552" s="5"/>
      <c r="W1552" s="5"/>
      <c r="X1552" s="5"/>
      <c r="Y1552" s="5"/>
    </row>
    <row r="1553" spans="13:25" ht="22.5" x14ac:dyDescent="0.2">
      <c r="M1553" s="26" t="s">
        <v>80</v>
      </c>
      <c r="N1553" s="25" t="s">
        <v>51</v>
      </c>
      <c r="O1553" s="26" t="s">
        <v>1364</v>
      </c>
      <c r="P1553" s="26"/>
      <c r="Q1553" s="26"/>
      <c r="R1553" s="5"/>
      <c r="S1553" s="5"/>
      <c r="T1553" s="5"/>
      <c r="U1553" s="5"/>
      <c r="V1553" s="5"/>
      <c r="W1553" s="5"/>
      <c r="X1553" s="5"/>
      <c r="Y1553" s="5"/>
    </row>
    <row r="1554" spans="13:25" ht="22.5" x14ac:dyDescent="0.2">
      <c r="M1554" s="26" t="s">
        <v>80</v>
      </c>
      <c r="N1554" s="25" t="s">
        <v>51</v>
      </c>
      <c r="O1554" s="26" t="s">
        <v>1365</v>
      </c>
      <c r="P1554" s="26"/>
      <c r="Q1554" s="26"/>
      <c r="R1554" s="5"/>
      <c r="S1554" s="5"/>
      <c r="T1554" s="5"/>
      <c r="U1554" s="5"/>
      <c r="V1554" s="5"/>
      <c r="W1554" s="5"/>
      <c r="X1554" s="5"/>
      <c r="Y1554" s="5"/>
    </row>
    <row r="1555" spans="13:25" ht="22.5" x14ac:dyDescent="0.2">
      <c r="M1555" s="26" t="s">
        <v>80</v>
      </c>
      <c r="N1555" s="25" t="s">
        <v>51</v>
      </c>
      <c r="O1555" s="26" t="s">
        <v>1366</v>
      </c>
      <c r="P1555" s="26"/>
      <c r="Q1555" s="26"/>
      <c r="R1555" s="5"/>
      <c r="S1555" s="5"/>
      <c r="T1555" s="5"/>
      <c r="U1555" s="5"/>
      <c r="V1555" s="5"/>
      <c r="W1555" s="5"/>
      <c r="X1555" s="5"/>
      <c r="Y1555" s="5"/>
    </row>
    <row r="1556" spans="13:25" ht="22.5" x14ac:dyDescent="0.2">
      <c r="M1556" s="26" t="s">
        <v>80</v>
      </c>
      <c r="N1556" s="25" t="s">
        <v>51</v>
      </c>
      <c r="O1556" s="26" t="s">
        <v>1367</v>
      </c>
      <c r="P1556" s="26"/>
      <c r="Q1556" s="26"/>
      <c r="R1556" s="5"/>
      <c r="S1556" s="5"/>
      <c r="T1556" s="5"/>
      <c r="U1556" s="5"/>
      <c r="V1556" s="5"/>
      <c r="W1556" s="5"/>
      <c r="X1556" s="5"/>
      <c r="Y1556" s="5"/>
    </row>
    <row r="1557" spans="13:25" ht="22.5" x14ac:dyDescent="0.2">
      <c r="M1557" s="26" t="s">
        <v>80</v>
      </c>
      <c r="N1557" s="25" t="s">
        <v>51</v>
      </c>
      <c r="O1557" s="26" t="s">
        <v>1368</v>
      </c>
      <c r="P1557" s="26"/>
      <c r="Q1557" s="26"/>
      <c r="R1557" s="5"/>
      <c r="S1557" s="5"/>
      <c r="T1557" s="5"/>
      <c r="U1557" s="5"/>
      <c r="V1557" s="5"/>
      <c r="W1557" s="5"/>
      <c r="X1557" s="5"/>
      <c r="Y1557" s="5"/>
    </row>
    <row r="1558" spans="13:25" ht="22.5" x14ac:dyDescent="0.2">
      <c r="M1558" s="26" t="s">
        <v>50</v>
      </c>
      <c r="N1558" s="25" t="s">
        <v>51</v>
      </c>
      <c r="O1558" s="26" t="s">
        <v>1369</v>
      </c>
      <c r="P1558" s="26"/>
      <c r="Q1558" s="26"/>
      <c r="R1558" s="5"/>
      <c r="S1558" s="5"/>
      <c r="T1558" s="5"/>
      <c r="U1558" s="5"/>
      <c r="V1558" s="5"/>
      <c r="W1558" s="5"/>
      <c r="X1558" s="5"/>
      <c r="Y1558" s="5"/>
    </row>
    <row r="1559" spans="13:25" ht="22.5" x14ac:dyDescent="0.2">
      <c r="M1559" s="26" t="s">
        <v>50</v>
      </c>
      <c r="N1559" s="25" t="s">
        <v>51</v>
      </c>
      <c r="O1559" s="26" t="s">
        <v>1370</v>
      </c>
      <c r="P1559" s="26"/>
      <c r="Q1559" s="26"/>
      <c r="R1559" s="5"/>
      <c r="S1559" s="5"/>
      <c r="T1559" s="5"/>
      <c r="U1559" s="5"/>
      <c r="V1559" s="5"/>
      <c r="W1559" s="5"/>
      <c r="X1559" s="5"/>
      <c r="Y1559" s="5"/>
    </row>
    <row r="1560" spans="13:25" ht="22.5" x14ac:dyDescent="0.2">
      <c r="M1560" s="26" t="s">
        <v>50</v>
      </c>
      <c r="N1560" s="25" t="s">
        <v>51</v>
      </c>
      <c r="O1560" s="26" t="s">
        <v>1371</v>
      </c>
      <c r="P1560" s="26"/>
      <c r="Q1560" s="26"/>
      <c r="R1560" s="5"/>
      <c r="S1560" s="5"/>
      <c r="T1560" s="5"/>
      <c r="U1560" s="5"/>
      <c r="V1560" s="5"/>
      <c r="W1560" s="5"/>
      <c r="X1560" s="5"/>
      <c r="Y1560" s="5"/>
    </row>
    <row r="1561" spans="13:25" ht="22.5" x14ac:dyDescent="0.2">
      <c r="M1561" s="26" t="s">
        <v>50</v>
      </c>
      <c r="N1561" s="25" t="s">
        <v>51</v>
      </c>
      <c r="O1561" s="26" t="s">
        <v>1372</v>
      </c>
      <c r="P1561" s="26"/>
      <c r="Q1561" s="26"/>
      <c r="R1561" s="5"/>
      <c r="S1561" s="5"/>
      <c r="T1561" s="5"/>
      <c r="U1561" s="5"/>
      <c r="V1561" s="5"/>
      <c r="W1561" s="5"/>
      <c r="X1561" s="5"/>
      <c r="Y1561" s="5"/>
    </row>
    <row r="1562" spans="13:25" ht="22.5" x14ac:dyDescent="0.2">
      <c r="M1562" s="26" t="s">
        <v>50</v>
      </c>
      <c r="N1562" s="25" t="s">
        <v>51</v>
      </c>
      <c r="O1562" s="26" t="s">
        <v>1373</v>
      </c>
      <c r="P1562" s="26"/>
      <c r="Q1562" s="26"/>
      <c r="R1562" s="5"/>
      <c r="S1562" s="5"/>
      <c r="T1562" s="5"/>
      <c r="U1562" s="5"/>
      <c r="V1562" s="5"/>
      <c r="W1562" s="5"/>
      <c r="X1562" s="5"/>
      <c r="Y1562" s="5"/>
    </row>
    <row r="1563" spans="13:25" ht="22.5" x14ac:dyDescent="0.2">
      <c r="M1563" s="26" t="s">
        <v>50</v>
      </c>
      <c r="N1563" s="25" t="s">
        <v>51</v>
      </c>
      <c r="O1563" s="26" t="s">
        <v>1374</v>
      </c>
      <c r="P1563" s="26"/>
      <c r="Q1563" s="26"/>
      <c r="R1563" s="5"/>
      <c r="S1563" s="5"/>
      <c r="T1563" s="5"/>
      <c r="U1563" s="5"/>
      <c r="V1563" s="5"/>
      <c r="W1563" s="5"/>
      <c r="X1563" s="5"/>
      <c r="Y1563" s="5"/>
    </row>
    <row r="1564" spans="13:25" ht="22.5" x14ac:dyDescent="0.2">
      <c r="M1564" s="26" t="s">
        <v>50</v>
      </c>
      <c r="N1564" s="25" t="s">
        <v>51</v>
      </c>
      <c r="O1564" s="26" t="s">
        <v>1375</v>
      </c>
      <c r="P1564" s="26"/>
      <c r="Q1564" s="26"/>
      <c r="R1564" s="5"/>
      <c r="S1564" s="5"/>
      <c r="T1564" s="5"/>
      <c r="U1564" s="5"/>
      <c r="V1564" s="5"/>
      <c r="W1564" s="5"/>
      <c r="X1564" s="5"/>
      <c r="Y1564" s="5"/>
    </row>
    <row r="1565" spans="13:25" ht="22.5" x14ac:dyDescent="0.2">
      <c r="M1565" s="26" t="s">
        <v>50</v>
      </c>
      <c r="N1565" s="25" t="s">
        <v>51</v>
      </c>
      <c r="O1565" s="26" t="s">
        <v>1376</v>
      </c>
      <c r="P1565" s="26"/>
      <c r="Q1565" s="26"/>
      <c r="R1565" s="5"/>
      <c r="S1565" s="5"/>
      <c r="T1565" s="5"/>
      <c r="U1565" s="5"/>
      <c r="V1565" s="5"/>
      <c r="W1565" s="5"/>
      <c r="X1565" s="5"/>
      <c r="Y1565" s="5"/>
    </row>
    <row r="1566" spans="13:25" ht="22.5" x14ac:dyDescent="0.2">
      <c r="M1566" s="26" t="s">
        <v>50</v>
      </c>
      <c r="N1566" s="25" t="s">
        <v>51</v>
      </c>
      <c r="O1566" s="26" t="s">
        <v>1377</v>
      </c>
      <c r="P1566" s="26"/>
      <c r="Q1566" s="26"/>
      <c r="R1566" s="5"/>
      <c r="S1566" s="5"/>
      <c r="T1566" s="5"/>
      <c r="U1566" s="5"/>
      <c r="V1566" s="5"/>
      <c r="W1566" s="5"/>
      <c r="X1566" s="5"/>
      <c r="Y1566" s="5"/>
    </row>
    <row r="1567" spans="13:25" ht="33.75" x14ac:dyDescent="0.2">
      <c r="M1567" s="26" t="s">
        <v>50</v>
      </c>
      <c r="N1567" s="25" t="s">
        <v>51</v>
      </c>
      <c r="O1567" s="26" t="s">
        <v>1378</v>
      </c>
      <c r="P1567" s="26"/>
      <c r="Q1567" s="26"/>
      <c r="R1567" s="5"/>
      <c r="S1567" s="5"/>
      <c r="T1567" s="5"/>
      <c r="U1567" s="5"/>
      <c r="V1567" s="5"/>
      <c r="W1567" s="5"/>
      <c r="X1567" s="5"/>
      <c r="Y1567" s="5"/>
    </row>
    <row r="1568" spans="13:25" ht="22.5" x14ac:dyDescent="0.2">
      <c r="M1568" s="26" t="s">
        <v>53</v>
      </c>
      <c r="N1568" s="25" t="s">
        <v>66</v>
      </c>
      <c r="O1568" s="26" t="s">
        <v>1379</v>
      </c>
      <c r="P1568" s="26"/>
      <c r="Q1568" s="26"/>
      <c r="R1568" s="5"/>
      <c r="S1568" s="5"/>
      <c r="T1568" s="5"/>
      <c r="U1568" s="5"/>
      <c r="V1568" s="5"/>
      <c r="W1568" s="5"/>
      <c r="X1568" s="5"/>
      <c r="Y1568" s="5"/>
    </row>
    <row r="1569" spans="13:25" ht="22.5" x14ac:dyDescent="0.2">
      <c r="M1569" s="26" t="s">
        <v>53</v>
      </c>
      <c r="N1569" s="25" t="s">
        <v>66</v>
      </c>
      <c r="O1569" s="26" t="s">
        <v>1379</v>
      </c>
      <c r="P1569" s="26"/>
      <c r="Q1569" s="26"/>
      <c r="R1569" s="5"/>
      <c r="S1569" s="5"/>
      <c r="T1569" s="5"/>
      <c r="U1569" s="5"/>
      <c r="V1569" s="5"/>
      <c r="W1569" s="5"/>
      <c r="X1569" s="5"/>
      <c r="Y1569" s="5"/>
    </row>
    <row r="1570" spans="13:25" ht="22.5" x14ac:dyDescent="0.2">
      <c r="M1570" s="26" t="s">
        <v>53</v>
      </c>
      <c r="N1570" s="25" t="s">
        <v>66</v>
      </c>
      <c r="O1570" s="26" t="s">
        <v>1380</v>
      </c>
      <c r="P1570" s="26"/>
      <c r="Q1570" s="26"/>
      <c r="R1570" s="5"/>
      <c r="S1570" s="5"/>
      <c r="T1570" s="5"/>
      <c r="U1570" s="5"/>
      <c r="V1570" s="5"/>
      <c r="W1570" s="5"/>
      <c r="X1570" s="5"/>
      <c r="Y1570" s="5"/>
    </row>
    <row r="1571" spans="13:25" ht="22.5" x14ac:dyDescent="0.2">
      <c r="M1571" s="26" t="s">
        <v>53</v>
      </c>
      <c r="N1571" s="25" t="s">
        <v>66</v>
      </c>
      <c r="O1571" s="26" t="s">
        <v>1381</v>
      </c>
      <c r="P1571" s="26"/>
      <c r="Q1571" s="26"/>
      <c r="R1571" s="5"/>
      <c r="S1571" s="5"/>
      <c r="T1571" s="5"/>
      <c r="U1571" s="5"/>
      <c r="V1571" s="5"/>
      <c r="W1571" s="5"/>
      <c r="X1571" s="5"/>
      <c r="Y1571" s="5"/>
    </row>
    <row r="1572" spans="13:25" ht="22.5" x14ac:dyDescent="0.2">
      <c r="M1572" s="26" t="s">
        <v>53</v>
      </c>
      <c r="N1572" s="25" t="s">
        <v>66</v>
      </c>
      <c r="O1572" s="26" t="s">
        <v>1381</v>
      </c>
      <c r="P1572" s="26"/>
      <c r="Q1572" s="26"/>
      <c r="R1572" s="5"/>
      <c r="S1572" s="5"/>
      <c r="T1572" s="5"/>
      <c r="U1572" s="5"/>
      <c r="V1572" s="5"/>
      <c r="W1572" s="5"/>
      <c r="X1572" s="5"/>
      <c r="Y1572" s="5"/>
    </row>
    <row r="1573" spans="13:25" ht="22.5" x14ac:dyDescent="0.2">
      <c r="M1573" s="26" t="s">
        <v>53</v>
      </c>
      <c r="N1573" s="25" t="s">
        <v>51</v>
      </c>
      <c r="O1573" s="26" t="s">
        <v>1382</v>
      </c>
      <c r="P1573" s="26"/>
      <c r="Q1573" s="26"/>
      <c r="R1573" s="5"/>
      <c r="S1573" s="5"/>
      <c r="T1573" s="5"/>
      <c r="U1573" s="5"/>
      <c r="V1573" s="5"/>
      <c r="W1573" s="5"/>
      <c r="X1573" s="5"/>
      <c r="Y1573" s="5"/>
    </row>
    <row r="1574" spans="13:25" ht="56.25" x14ac:dyDescent="0.2">
      <c r="M1574" s="26" t="s">
        <v>53</v>
      </c>
      <c r="N1574" s="25" t="s">
        <v>55</v>
      </c>
      <c r="O1574" s="26"/>
      <c r="P1574" s="26" t="s">
        <v>1383</v>
      </c>
      <c r="Q1574" s="26"/>
      <c r="R1574" s="5"/>
      <c r="S1574" s="5"/>
      <c r="T1574" s="5"/>
      <c r="U1574" s="5"/>
      <c r="V1574" s="5"/>
      <c r="W1574" s="5"/>
      <c r="X1574" s="5"/>
      <c r="Y1574" s="5"/>
    </row>
    <row r="1575" spans="13:25" ht="67.5" x14ac:dyDescent="0.2">
      <c r="M1575" s="26" t="s">
        <v>53</v>
      </c>
      <c r="N1575" s="25" t="s">
        <v>55</v>
      </c>
      <c r="O1575" s="26"/>
      <c r="P1575" s="26" t="s">
        <v>1384</v>
      </c>
      <c r="Q1575" s="26"/>
      <c r="R1575" s="5"/>
      <c r="S1575" s="5"/>
      <c r="T1575" s="5"/>
      <c r="U1575" s="5"/>
      <c r="V1575" s="5"/>
      <c r="W1575" s="5"/>
      <c r="X1575" s="5"/>
      <c r="Y1575" s="5"/>
    </row>
    <row r="1576" spans="13:25" ht="33.75" x14ac:dyDescent="0.2">
      <c r="M1576" s="26" t="s">
        <v>53</v>
      </c>
      <c r="N1576" s="25" t="s">
        <v>55</v>
      </c>
      <c r="O1576" s="26"/>
      <c r="P1576" s="26" t="s">
        <v>1385</v>
      </c>
      <c r="Q1576" s="26"/>
      <c r="R1576" s="5"/>
      <c r="S1576" s="5"/>
      <c r="T1576" s="5"/>
      <c r="U1576" s="5"/>
      <c r="V1576" s="5"/>
      <c r="W1576" s="5"/>
      <c r="X1576" s="5"/>
      <c r="Y1576" s="5"/>
    </row>
    <row r="1577" spans="13:25" ht="33.75" x14ac:dyDescent="0.2">
      <c r="M1577" s="26" t="s">
        <v>53</v>
      </c>
      <c r="N1577" s="25" t="s">
        <v>55</v>
      </c>
      <c r="O1577" s="26"/>
      <c r="P1577" s="26" t="s">
        <v>1386</v>
      </c>
      <c r="Q1577" s="26"/>
      <c r="R1577" s="5"/>
      <c r="S1577" s="5"/>
      <c r="T1577" s="5"/>
      <c r="U1577" s="5"/>
      <c r="V1577" s="5"/>
      <c r="W1577" s="5"/>
      <c r="X1577" s="5"/>
      <c r="Y1577" s="5"/>
    </row>
    <row r="1578" spans="13:25" ht="33.75" x14ac:dyDescent="0.2">
      <c r="M1578" s="26" t="s">
        <v>53</v>
      </c>
      <c r="N1578" s="25" t="s">
        <v>55</v>
      </c>
      <c r="O1578" s="26"/>
      <c r="P1578" s="26" t="s">
        <v>1387</v>
      </c>
      <c r="Q1578" s="26"/>
      <c r="R1578" s="5"/>
      <c r="S1578" s="5"/>
      <c r="T1578" s="5"/>
      <c r="U1578" s="5"/>
      <c r="V1578" s="5"/>
      <c r="W1578" s="5"/>
      <c r="X1578" s="5"/>
      <c r="Y1578" s="5"/>
    </row>
    <row r="1579" spans="13:25" ht="101.25" x14ac:dyDescent="0.2">
      <c r="M1579" s="26" t="s">
        <v>53</v>
      </c>
      <c r="N1579" s="25" t="s">
        <v>55</v>
      </c>
      <c r="O1579" s="26"/>
      <c r="P1579" s="26" t="s">
        <v>460</v>
      </c>
      <c r="Q1579" s="26"/>
      <c r="R1579" s="5"/>
      <c r="S1579" s="5"/>
      <c r="T1579" s="5"/>
      <c r="U1579" s="5"/>
      <c r="V1579" s="5"/>
      <c r="W1579" s="5"/>
      <c r="X1579" s="5"/>
      <c r="Y1579" s="5"/>
    </row>
    <row r="1580" spans="13:25" ht="22.5" x14ac:dyDescent="0.2">
      <c r="M1580" s="26" t="s">
        <v>53</v>
      </c>
      <c r="N1580" s="25" t="s">
        <v>55</v>
      </c>
      <c r="O1580" s="26" t="s">
        <v>1388</v>
      </c>
      <c r="P1580" s="26"/>
      <c r="Q1580" s="26"/>
      <c r="R1580" s="5"/>
      <c r="S1580" s="5"/>
      <c r="T1580" s="5"/>
      <c r="U1580" s="5"/>
      <c r="V1580" s="5"/>
      <c r="W1580" s="5"/>
      <c r="X1580" s="5"/>
      <c r="Y1580" s="5"/>
    </row>
    <row r="1581" spans="13:25" ht="22.5" x14ac:dyDescent="0.2">
      <c r="M1581" s="26" t="s">
        <v>53</v>
      </c>
      <c r="N1581" s="25" t="s">
        <v>55</v>
      </c>
      <c r="O1581" s="26" t="s">
        <v>1389</v>
      </c>
      <c r="P1581" s="26"/>
      <c r="Q1581" s="26"/>
      <c r="R1581" s="5"/>
      <c r="S1581" s="5"/>
      <c r="T1581" s="5"/>
      <c r="U1581" s="5"/>
      <c r="V1581" s="5"/>
      <c r="W1581" s="5"/>
      <c r="X1581" s="5"/>
      <c r="Y1581" s="5"/>
    </row>
    <row r="1582" spans="13:25" ht="22.5" x14ac:dyDescent="0.2">
      <c r="M1582" s="26" t="s">
        <v>53</v>
      </c>
      <c r="N1582" s="25" t="s">
        <v>51</v>
      </c>
      <c r="O1582" s="26" t="s">
        <v>1390</v>
      </c>
      <c r="P1582" s="26"/>
      <c r="Q1582" s="26"/>
      <c r="R1582" s="5"/>
      <c r="S1582" s="5"/>
      <c r="T1582" s="5"/>
      <c r="U1582" s="5"/>
      <c r="V1582" s="5"/>
      <c r="W1582" s="5"/>
      <c r="X1582" s="5"/>
      <c r="Y1582" s="5"/>
    </row>
    <row r="1583" spans="13:25" ht="45" x14ac:dyDescent="0.2">
      <c r="M1583" s="26" t="s">
        <v>53</v>
      </c>
      <c r="N1583" s="25" t="s">
        <v>55</v>
      </c>
      <c r="O1583" s="26"/>
      <c r="P1583" s="26" t="s">
        <v>1391</v>
      </c>
      <c r="Q1583" s="26"/>
      <c r="R1583" s="5"/>
      <c r="S1583" s="5"/>
      <c r="T1583" s="5"/>
      <c r="U1583" s="5"/>
      <c r="V1583" s="5"/>
      <c r="W1583" s="5"/>
      <c r="X1583" s="5"/>
      <c r="Y1583" s="5"/>
    </row>
    <row r="1584" spans="13:25" ht="22.5" x14ac:dyDescent="0.2">
      <c r="M1584" s="26" t="s">
        <v>53</v>
      </c>
      <c r="N1584" s="25" t="s">
        <v>55</v>
      </c>
      <c r="O1584" s="26"/>
      <c r="P1584" s="26" t="s">
        <v>1392</v>
      </c>
      <c r="Q1584" s="26"/>
      <c r="R1584" s="5"/>
      <c r="S1584" s="5"/>
      <c r="T1584" s="5"/>
      <c r="U1584" s="5"/>
      <c r="V1584" s="5"/>
      <c r="W1584" s="5"/>
      <c r="X1584" s="5"/>
      <c r="Y1584" s="5"/>
    </row>
    <row r="1585" spans="13:25" ht="33.75" x14ac:dyDescent="0.2">
      <c r="M1585" s="26" t="s">
        <v>53</v>
      </c>
      <c r="N1585" s="25" t="s">
        <v>55</v>
      </c>
      <c r="O1585" s="26"/>
      <c r="P1585" s="26" t="s">
        <v>1393</v>
      </c>
      <c r="Q1585" s="26"/>
      <c r="R1585" s="5"/>
      <c r="S1585" s="5"/>
      <c r="T1585" s="5"/>
      <c r="U1585" s="5"/>
      <c r="V1585" s="5"/>
      <c r="W1585" s="5"/>
      <c r="X1585" s="5"/>
      <c r="Y1585" s="5"/>
    </row>
    <row r="1586" spans="13:25" ht="22.5" x14ac:dyDescent="0.2">
      <c r="M1586" s="26" t="s">
        <v>53</v>
      </c>
      <c r="N1586" s="25" t="s">
        <v>55</v>
      </c>
      <c r="O1586" s="26"/>
      <c r="P1586" s="26" t="s">
        <v>1394</v>
      </c>
      <c r="Q1586" s="26"/>
      <c r="R1586" s="5"/>
      <c r="S1586" s="5"/>
      <c r="T1586" s="5"/>
      <c r="U1586" s="5"/>
      <c r="V1586" s="5"/>
      <c r="W1586" s="5"/>
      <c r="X1586" s="5"/>
      <c r="Y1586" s="5"/>
    </row>
    <row r="1587" spans="13:25" ht="22.5" x14ac:dyDescent="0.2">
      <c r="M1587" s="26" t="s">
        <v>53</v>
      </c>
      <c r="N1587" s="25" t="s">
        <v>55</v>
      </c>
      <c r="O1587" s="26"/>
      <c r="P1587" s="26" t="s">
        <v>1395</v>
      </c>
      <c r="Q1587" s="26"/>
      <c r="R1587" s="5"/>
      <c r="S1587" s="5"/>
      <c r="T1587" s="5"/>
      <c r="U1587" s="5"/>
      <c r="V1587" s="5"/>
      <c r="W1587" s="5"/>
      <c r="X1587" s="5"/>
      <c r="Y1587" s="5"/>
    </row>
    <row r="1588" spans="13:25" ht="22.5" x14ac:dyDescent="0.2">
      <c r="M1588" s="26" t="s">
        <v>53</v>
      </c>
      <c r="N1588" s="25" t="s">
        <v>55</v>
      </c>
      <c r="O1588" s="26"/>
      <c r="P1588" s="26" t="s">
        <v>1396</v>
      </c>
      <c r="Q1588" s="26"/>
      <c r="R1588" s="5"/>
      <c r="S1588" s="5"/>
      <c r="T1588" s="5"/>
      <c r="U1588" s="5"/>
      <c r="V1588" s="5"/>
      <c r="W1588" s="5"/>
      <c r="X1588" s="5"/>
      <c r="Y1588" s="5"/>
    </row>
    <row r="1589" spans="13:25" ht="22.5" x14ac:dyDescent="0.2">
      <c r="M1589" s="26" t="s">
        <v>53</v>
      </c>
      <c r="N1589" s="25" t="s">
        <v>55</v>
      </c>
      <c r="O1589" s="26"/>
      <c r="P1589" s="26" t="s">
        <v>1397</v>
      </c>
      <c r="Q1589" s="26"/>
      <c r="R1589" s="5"/>
      <c r="S1589" s="5"/>
      <c r="T1589" s="5"/>
      <c r="U1589" s="5"/>
      <c r="V1589" s="5"/>
      <c r="W1589" s="5"/>
      <c r="X1589" s="5"/>
      <c r="Y1589" s="5"/>
    </row>
    <row r="1590" spans="13:25" ht="22.5" x14ac:dyDescent="0.2">
      <c r="M1590" s="26" t="s">
        <v>53</v>
      </c>
      <c r="N1590" s="25" t="s">
        <v>55</v>
      </c>
      <c r="O1590" s="26"/>
      <c r="P1590" s="26" t="s">
        <v>1398</v>
      </c>
      <c r="Q1590" s="26"/>
      <c r="R1590" s="5"/>
      <c r="S1590" s="5"/>
      <c r="T1590" s="5"/>
      <c r="U1590" s="5"/>
      <c r="V1590" s="5"/>
      <c r="W1590" s="5"/>
      <c r="X1590" s="5"/>
      <c r="Y1590" s="5"/>
    </row>
    <row r="1591" spans="13:25" ht="45" x14ac:dyDescent="0.2">
      <c r="M1591" s="26" t="s">
        <v>53</v>
      </c>
      <c r="N1591" s="25" t="s">
        <v>55</v>
      </c>
      <c r="O1591" s="26"/>
      <c r="P1591" s="26" t="s">
        <v>1399</v>
      </c>
      <c r="Q1591" s="26"/>
      <c r="R1591" s="5"/>
      <c r="S1591" s="5"/>
      <c r="T1591" s="5"/>
      <c r="U1591" s="5"/>
      <c r="V1591" s="5"/>
      <c r="W1591" s="5"/>
      <c r="X1591" s="5"/>
      <c r="Y1591" s="5"/>
    </row>
    <row r="1592" spans="13:25" ht="33.75" x14ac:dyDescent="0.2">
      <c r="M1592" s="26" t="s">
        <v>53</v>
      </c>
      <c r="N1592" s="25" t="s">
        <v>55</v>
      </c>
      <c r="O1592" s="26"/>
      <c r="P1592" s="26" t="s">
        <v>1400</v>
      </c>
      <c r="Q1592" s="26"/>
      <c r="R1592" s="5"/>
      <c r="S1592" s="5"/>
      <c r="T1592" s="5"/>
      <c r="U1592" s="5"/>
      <c r="V1592" s="5"/>
      <c r="W1592" s="5"/>
      <c r="X1592" s="5"/>
      <c r="Y1592" s="5"/>
    </row>
    <row r="1593" spans="13:25" ht="33.75" x14ac:dyDescent="0.2">
      <c r="M1593" s="26" t="s">
        <v>53</v>
      </c>
      <c r="N1593" s="25" t="s">
        <v>55</v>
      </c>
      <c r="O1593" s="26"/>
      <c r="P1593" s="26" t="s">
        <v>1401</v>
      </c>
      <c r="Q1593" s="26"/>
      <c r="R1593" s="5"/>
      <c r="S1593" s="5"/>
      <c r="T1593" s="5"/>
      <c r="U1593" s="5"/>
      <c r="V1593" s="5"/>
      <c r="W1593" s="5"/>
      <c r="X1593" s="5"/>
      <c r="Y1593" s="5"/>
    </row>
    <row r="1594" spans="13:25" ht="22.5" x14ac:dyDescent="0.2">
      <c r="M1594" s="26" t="s">
        <v>53</v>
      </c>
      <c r="N1594" s="25" t="s">
        <v>55</v>
      </c>
      <c r="O1594" s="26"/>
      <c r="P1594" s="26" t="s">
        <v>1402</v>
      </c>
      <c r="Q1594" s="26"/>
      <c r="R1594" s="5"/>
      <c r="S1594" s="5"/>
      <c r="T1594" s="5"/>
      <c r="U1594" s="5"/>
      <c r="V1594" s="5"/>
      <c r="W1594" s="5"/>
      <c r="X1594" s="5"/>
      <c r="Y1594" s="5"/>
    </row>
    <row r="1595" spans="13:25" ht="22.5" x14ac:dyDescent="0.2">
      <c r="M1595" s="26" t="s">
        <v>53</v>
      </c>
      <c r="N1595" s="25" t="s">
        <v>55</v>
      </c>
      <c r="O1595" s="26"/>
      <c r="P1595" s="26" t="s">
        <v>1403</v>
      </c>
      <c r="Q1595" s="26"/>
      <c r="R1595" s="5"/>
      <c r="S1595" s="5"/>
      <c r="T1595" s="5"/>
      <c r="U1595" s="5"/>
      <c r="V1595" s="5"/>
      <c r="W1595" s="5"/>
      <c r="X1595" s="5"/>
      <c r="Y1595" s="5"/>
    </row>
    <row r="1596" spans="13:25" ht="45" x14ac:dyDescent="0.2">
      <c r="M1596" s="26" t="s">
        <v>53</v>
      </c>
      <c r="N1596" s="25" t="s">
        <v>55</v>
      </c>
      <c r="O1596" s="26"/>
      <c r="P1596" s="26" t="s">
        <v>1404</v>
      </c>
      <c r="Q1596" s="26"/>
      <c r="R1596" s="5"/>
      <c r="S1596" s="5"/>
      <c r="T1596" s="5"/>
      <c r="U1596" s="5"/>
      <c r="V1596" s="5"/>
      <c r="W1596" s="5"/>
      <c r="X1596" s="5"/>
      <c r="Y1596" s="5"/>
    </row>
    <row r="1597" spans="13:25" ht="33.75" x14ac:dyDescent="0.2">
      <c r="M1597" s="26" t="s">
        <v>53</v>
      </c>
      <c r="N1597" s="25" t="s">
        <v>55</v>
      </c>
      <c r="O1597" s="26"/>
      <c r="P1597" s="26" t="s">
        <v>1405</v>
      </c>
      <c r="Q1597" s="26"/>
      <c r="R1597" s="5"/>
      <c r="S1597" s="5"/>
      <c r="T1597" s="5"/>
      <c r="U1597" s="5"/>
      <c r="V1597" s="5"/>
      <c r="W1597" s="5"/>
      <c r="X1597" s="5"/>
      <c r="Y1597" s="5"/>
    </row>
    <row r="1598" spans="13:25" ht="33.75" x14ac:dyDescent="0.2">
      <c r="M1598" s="26" t="s">
        <v>53</v>
      </c>
      <c r="N1598" s="25" t="s">
        <v>55</v>
      </c>
      <c r="O1598" s="26"/>
      <c r="P1598" s="26" t="s">
        <v>1406</v>
      </c>
      <c r="Q1598" s="26"/>
      <c r="R1598" s="5"/>
      <c r="S1598" s="5"/>
      <c r="T1598" s="5"/>
      <c r="U1598" s="5"/>
      <c r="V1598" s="5"/>
      <c r="W1598" s="5"/>
      <c r="X1598" s="5"/>
      <c r="Y1598" s="5"/>
    </row>
    <row r="1599" spans="13:25" ht="33.75" x14ac:dyDescent="0.2">
      <c r="M1599" s="26" t="s">
        <v>53</v>
      </c>
      <c r="N1599" s="25" t="s">
        <v>55</v>
      </c>
      <c r="O1599" s="26"/>
      <c r="P1599" s="26" t="s">
        <v>1407</v>
      </c>
      <c r="Q1599" s="26"/>
      <c r="R1599" s="5"/>
      <c r="S1599" s="5"/>
      <c r="T1599" s="5"/>
      <c r="U1599" s="5"/>
      <c r="V1599" s="5"/>
      <c r="W1599" s="5"/>
      <c r="X1599" s="5"/>
      <c r="Y1599" s="5"/>
    </row>
    <row r="1600" spans="13:25" ht="22.5" x14ac:dyDescent="0.2">
      <c r="M1600" s="26" t="s">
        <v>53</v>
      </c>
      <c r="N1600" s="25" t="s">
        <v>55</v>
      </c>
      <c r="O1600" s="26"/>
      <c r="P1600" s="26" t="s">
        <v>1408</v>
      </c>
      <c r="Q1600" s="26"/>
      <c r="R1600" s="5"/>
      <c r="S1600" s="5"/>
      <c r="T1600" s="5"/>
      <c r="U1600" s="5"/>
      <c r="V1600" s="5"/>
      <c r="W1600" s="5"/>
      <c r="X1600" s="5"/>
      <c r="Y1600" s="5"/>
    </row>
    <row r="1601" spans="13:25" ht="22.5" x14ac:dyDescent="0.2">
      <c r="M1601" s="26" t="s">
        <v>53</v>
      </c>
      <c r="N1601" s="25" t="s">
        <v>55</v>
      </c>
      <c r="O1601" s="26"/>
      <c r="P1601" s="26" t="s">
        <v>1409</v>
      </c>
      <c r="Q1601" s="26"/>
      <c r="R1601" s="5"/>
      <c r="S1601" s="5"/>
      <c r="T1601" s="5"/>
      <c r="U1601" s="5"/>
      <c r="V1601" s="5"/>
      <c r="W1601" s="5"/>
      <c r="X1601" s="5"/>
      <c r="Y1601" s="5"/>
    </row>
    <row r="1602" spans="13:25" ht="33.75" x14ac:dyDescent="0.2">
      <c r="M1602" s="26" t="s">
        <v>53</v>
      </c>
      <c r="N1602" s="25" t="s">
        <v>55</v>
      </c>
      <c r="O1602" s="26"/>
      <c r="P1602" s="26" t="s">
        <v>1410</v>
      </c>
      <c r="Q1602" s="26"/>
      <c r="R1602" s="5"/>
      <c r="S1602" s="5"/>
      <c r="T1602" s="5"/>
      <c r="U1602" s="5"/>
      <c r="V1602" s="5"/>
      <c r="W1602" s="5"/>
      <c r="X1602" s="5"/>
      <c r="Y1602" s="5"/>
    </row>
    <row r="1603" spans="13:25" ht="22.5" x14ac:dyDescent="0.2">
      <c r="M1603" s="26" t="s">
        <v>53</v>
      </c>
      <c r="N1603" s="25" t="s">
        <v>55</v>
      </c>
      <c r="O1603" s="26"/>
      <c r="P1603" s="26" t="s">
        <v>1411</v>
      </c>
      <c r="Q1603" s="26"/>
      <c r="R1603" s="5"/>
      <c r="S1603" s="5"/>
      <c r="T1603" s="5"/>
      <c r="U1603" s="5"/>
      <c r="V1603" s="5"/>
      <c r="W1603" s="5"/>
      <c r="X1603" s="5"/>
      <c r="Y1603" s="5"/>
    </row>
    <row r="1604" spans="13:25" ht="22.5" x14ac:dyDescent="0.2">
      <c r="M1604" s="26" t="s">
        <v>53</v>
      </c>
      <c r="N1604" s="25" t="s">
        <v>55</v>
      </c>
      <c r="O1604" s="26"/>
      <c r="P1604" s="26" t="s">
        <v>1412</v>
      </c>
      <c r="Q1604" s="26"/>
      <c r="R1604" s="5"/>
      <c r="S1604" s="5"/>
      <c r="T1604" s="5"/>
      <c r="U1604" s="5"/>
      <c r="V1604" s="5"/>
      <c r="W1604" s="5"/>
      <c r="X1604" s="5"/>
      <c r="Y1604" s="5"/>
    </row>
    <row r="1605" spans="13:25" ht="45" x14ac:dyDescent="0.2">
      <c r="M1605" s="26" t="s">
        <v>53</v>
      </c>
      <c r="N1605" s="25" t="s">
        <v>55</v>
      </c>
      <c r="O1605" s="26"/>
      <c r="P1605" s="26" t="s">
        <v>1413</v>
      </c>
      <c r="Q1605" s="26"/>
      <c r="R1605" s="5"/>
      <c r="S1605" s="5"/>
      <c r="T1605" s="5"/>
      <c r="U1605" s="5"/>
      <c r="V1605" s="5"/>
      <c r="W1605" s="5"/>
      <c r="X1605" s="5"/>
      <c r="Y1605" s="5"/>
    </row>
    <row r="1606" spans="13:25" ht="33.75" x14ac:dyDescent="0.2">
      <c r="M1606" s="26" t="s">
        <v>53</v>
      </c>
      <c r="N1606" s="25" t="s">
        <v>55</v>
      </c>
      <c r="O1606" s="26"/>
      <c r="P1606" s="26" t="s">
        <v>1414</v>
      </c>
      <c r="Q1606" s="26"/>
      <c r="R1606" s="5"/>
      <c r="S1606" s="5"/>
      <c r="T1606" s="5"/>
      <c r="U1606" s="5"/>
      <c r="V1606" s="5"/>
      <c r="W1606" s="5"/>
      <c r="X1606" s="5"/>
      <c r="Y1606" s="5"/>
    </row>
    <row r="1607" spans="13:25" ht="33.75" x14ac:dyDescent="0.2">
      <c r="M1607" s="26" t="s">
        <v>53</v>
      </c>
      <c r="N1607" s="25" t="s">
        <v>55</v>
      </c>
      <c r="O1607" s="26"/>
      <c r="P1607" s="26" t="s">
        <v>1415</v>
      </c>
      <c r="Q1607" s="26"/>
      <c r="R1607" s="5"/>
      <c r="S1607" s="5"/>
      <c r="T1607" s="5"/>
      <c r="U1607" s="5"/>
      <c r="V1607" s="5"/>
      <c r="W1607" s="5"/>
      <c r="X1607" s="5"/>
      <c r="Y1607" s="5"/>
    </row>
    <row r="1608" spans="13:25" ht="22.5" x14ac:dyDescent="0.2">
      <c r="M1608" s="26" t="s">
        <v>53</v>
      </c>
      <c r="N1608" s="25" t="s">
        <v>55</v>
      </c>
      <c r="O1608" s="26"/>
      <c r="P1608" s="26" t="s">
        <v>1416</v>
      </c>
      <c r="Q1608" s="26"/>
      <c r="R1608" s="5"/>
      <c r="S1608" s="5"/>
      <c r="T1608" s="5"/>
      <c r="U1608" s="5"/>
      <c r="V1608" s="5"/>
      <c r="W1608" s="5"/>
      <c r="X1608" s="5"/>
      <c r="Y1608" s="5"/>
    </row>
    <row r="1609" spans="13:25" ht="22.5" x14ac:dyDescent="0.2">
      <c r="M1609" s="26" t="s">
        <v>53</v>
      </c>
      <c r="N1609" s="25" t="s">
        <v>55</v>
      </c>
      <c r="O1609" s="26"/>
      <c r="P1609" s="26" t="s">
        <v>1417</v>
      </c>
      <c r="Q1609" s="26"/>
      <c r="R1609" s="5"/>
      <c r="S1609" s="5"/>
      <c r="T1609" s="5"/>
      <c r="U1609" s="5"/>
      <c r="V1609" s="5"/>
      <c r="W1609" s="5"/>
      <c r="X1609" s="5"/>
      <c r="Y1609" s="5"/>
    </row>
    <row r="1610" spans="13:25" ht="33.75" x14ac:dyDescent="0.2">
      <c r="M1610" s="26" t="s">
        <v>53</v>
      </c>
      <c r="N1610" s="25" t="s">
        <v>55</v>
      </c>
      <c r="O1610" s="26"/>
      <c r="P1610" s="26" t="s">
        <v>1418</v>
      </c>
      <c r="Q1610" s="26"/>
      <c r="R1610" s="5"/>
      <c r="S1610" s="5"/>
      <c r="T1610" s="5"/>
      <c r="U1610" s="5"/>
      <c r="V1610" s="5"/>
      <c r="W1610" s="5"/>
      <c r="X1610" s="5"/>
      <c r="Y1610" s="5"/>
    </row>
    <row r="1611" spans="13:25" ht="22.5" x14ac:dyDescent="0.2">
      <c r="M1611" s="26" t="s">
        <v>53</v>
      </c>
      <c r="N1611" s="25" t="s">
        <v>51</v>
      </c>
      <c r="O1611" s="26"/>
      <c r="P1611" s="26" t="s">
        <v>1419</v>
      </c>
      <c r="Q1611" s="26"/>
      <c r="R1611" s="5"/>
      <c r="S1611" s="5"/>
      <c r="T1611" s="5"/>
      <c r="U1611" s="5"/>
      <c r="V1611" s="5"/>
      <c r="W1611" s="5"/>
      <c r="X1611" s="5"/>
      <c r="Y1611" s="5"/>
    </row>
    <row r="1612" spans="13:25" ht="33.75" x14ac:dyDescent="0.2">
      <c r="M1612" s="26" t="s">
        <v>53</v>
      </c>
      <c r="N1612" s="25" t="s">
        <v>55</v>
      </c>
      <c r="O1612" s="26"/>
      <c r="P1612" s="26" t="s">
        <v>1420</v>
      </c>
      <c r="Q1612" s="26"/>
      <c r="R1612" s="5"/>
      <c r="S1612" s="5"/>
      <c r="T1612" s="5"/>
      <c r="U1612" s="5"/>
      <c r="V1612" s="5"/>
      <c r="W1612" s="5"/>
      <c r="X1612" s="5"/>
      <c r="Y1612" s="5"/>
    </row>
    <row r="1613" spans="13:25" ht="33.75" x14ac:dyDescent="0.2">
      <c r="M1613" s="26" t="s">
        <v>53</v>
      </c>
      <c r="N1613" s="25" t="s">
        <v>55</v>
      </c>
      <c r="O1613" s="26"/>
      <c r="P1613" s="26" t="s">
        <v>1421</v>
      </c>
      <c r="Q1613" s="26"/>
      <c r="R1613" s="5"/>
      <c r="S1613" s="5"/>
      <c r="T1613" s="5"/>
      <c r="U1613" s="5"/>
      <c r="V1613" s="5"/>
      <c r="W1613" s="5"/>
      <c r="X1613" s="5"/>
      <c r="Y1613" s="5"/>
    </row>
    <row r="1614" spans="13:25" ht="33.75" x14ac:dyDescent="0.2">
      <c r="M1614" s="26" t="s">
        <v>53</v>
      </c>
      <c r="N1614" s="25" t="s">
        <v>51</v>
      </c>
      <c r="O1614" s="26"/>
      <c r="P1614" s="26" t="s">
        <v>769</v>
      </c>
      <c r="Q1614" s="26"/>
      <c r="R1614" s="5"/>
      <c r="S1614" s="5"/>
      <c r="T1614" s="5"/>
      <c r="U1614" s="5"/>
      <c r="V1614" s="5"/>
      <c r="W1614" s="5"/>
      <c r="X1614" s="5"/>
      <c r="Y1614" s="5"/>
    </row>
    <row r="1615" spans="13:25" ht="22.5" x14ac:dyDescent="0.2">
      <c r="M1615" s="26" t="s">
        <v>53</v>
      </c>
      <c r="N1615" s="25" t="s">
        <v>65</v>
      </c>
      <c r="O1615" s="26" t="s">
        <v>1422</v>
      </c>
      <c r="P1615" s="26"/>
      <c r="Q1615" s="26"/>
      <c r="R1615" s="5"/>
      <c r="S1615" s="5"/>
      <c r="T1615" s="5"/>
      <c r="U1615" s="5"/>
      <c r="V1615" s="5"/>
      <c r="W1615" s="5"/>
      <c r="X1615" s="5"/>
      <c r="Y1615" s="5"/>
    </row>
    <row r="1616" spans="13:25" ht="22.5" x14ac:dyDescent="0.2">
      <c r="M1616" s="26" t="s">
        <v>53</v>
      </c>
      <c r="N1616" s="25" t="s">
        <v>65</v>
      </c>
      <c r="O1616" s="26" t="s">
        <v>1422</v>
      </c>
      <c r="P1616" s="26"/>
      <c r="Q1616" s="26"/>
      <c r="R1616" s="5"/>
      <c r="S1616" s="5"/>
      <c r="T1616" s="5"/>
      <c r="U1616" s="5"/>
      <c r="V1616" s="5"/>
      <c r="W1616" s="5"/>
      <c r="X1616" s="5"/>
      <c r="Y1616" s="5"/>
    </row>
    <row r="1617" spans="13:25" ht="22.5" x14ac:dyDescent="0.2">
      <c r="M1617" s="26" t="s">
        <v>53</v>
      </c>
      <c r="N1617" s="25" t="s">
        <v>51</v>
      </c>
      <c r="O1617" s="26" t="s">
        <v>1423</v>
      </c>
      <c r="P1617" s="26"/>
      <c r="Q1617" s="26"/>
      <c r="R1617" s="5"/>
      <c r="S1617" s="5"/>
      <c r="T1617" s="5"/>
      <c r="U1617" s="5"/>
      <c r="V1617" s="5"/>
      <c r="W1617" s="5"/>
      <c r="X1617" s="5"/>
      <c r="Y1617" s="5"/>
    </row>
    <row r="1618" spans="13:25" ht="22.5" x14ac:dyDescent="0.2">
      <c r="M1618" s="26" t="s">
        <v>53</v>
      </c>
      <c r="N1618" s="25" t="s">
        <v>51</v>
      </c>
      <c r="O1618" s="26" t="s">
        <v>1423</v>
      </c>
      <c r="P1618" s="26"/>
      <c r="Q1618" s="26"/>
      <c r="R1618" s="5"/>
      <c r="S1618" s="5"/>
      <c r="T1618" s="5"/>
      <c r="U1618" s="5"/>
      <c r="V1618" s="5"/>
      <c r="W1618" s="5"/>
      <c r="X1618" s="5"/>
      <c r="Y1618" s="5"/>
    </row>
    <row r="1619" spans="13:25" ht="22.5" x14ac:dyDescent="0.2">
      <c r="M1619" s="26" t="s">
        <v>53</v>
      </c>
      <c r="N1619" s="25" t="s">
        <v>51</v>
      </c>
      <c r="O1619" s="26" t="s">
        <v>1424</v>
      </c>
      <c r="P1619" s="26"/>
      <c r="Q1619" s="26"/>
      <c r="R1619" s="5"/>
      <c r="S1619" s="5"/>
      <c r="T1619" s="5"/>
      <c r="U1619" s="5"/>
      <c r="V1619" s="5"/>
      <c r="W1619" s="5"/>
      <c r="X1619" s="5"/>
      <c r="Y1619" s="5"/>
    </row>
    <row r="1620" spans="13:25" ht="33.75" x14ac:dyDescent="0.2">
      <c r="M1620" s="26" t="s">
        <v>53</v>
      </c>
      <c r="N1620" s="25" t="s">
        <v>55</v>
      </c>
      <c r="O1620" s="26"/>
      <c r="P1620" s="26" t="s">
        <v>1425</v>
      </c>
      <c r="Q1620" s="26"/>
      <c r="R1620" s="5"/>
      <c r="S1620" s="5"/>
      <c r="T1620" s="5"/>
      <c r="U1620" s="5"/>
      <c r="V1620" s="5"/>
      <c r="W1620" s="5"/>
      <c r="X1620" s="5"/>
      <c r="Y1620" s="5"/>
    </row>
    <row r="1621" spans="13:25" ht="33.75" x14ac:dyDescent="0.2">
      <c r="M1621" s="26" t="s">
        <v>53</v>
      </c>
      <c r="N1621" s="25" t="s">
        <v>55</v>
      </c>
      <c r="O1621" s="26"/>
      <c r="P1621" s="26" t="s">
        <v>1426</v>
      </c>
      <c r="Q1621" s="26"/>
      <c r="R1621" s="5"/>
      <c r="S1621" s="5"/>
      <c r="T1621" s="5"/>
      <c r="U1621" s="5"/>
      <c r="V1621" s="5"/>
      <c r="W1621" s="5"/>
      <c r="X1621" s="5"/>
      <c r="Y1621" s="5"/>
    </row>
    <row r="1622" spans="13:25" ht="33.75" x14ac:dyDescent="0.2">
      <c r="M1622" s="26" t="s">
        <v>53</v>
      </c>
      <c r="N1622" s="25" t="s">
        <v>55</v>
      </c>
      <c r="O1622" s="26"/>
      <c r="P1622" s="26" t="s">
        <v>1427</v>
      </c>
      <c r="Q1622" s="26"/>
      <c r="R1622" s="5"/>
      <c r="S1622" s="5"/>
      <c r="T1622" s="5"/>
      <c r="U1622" s="5"/>
      <c r="V1622" s="5"/>
      <c r="W1622" s="5"/>
      <c r="X1622" s="5"/>
      <c r="Y1622" s="5"/>
    </row>
    <row r="1623" spans="13:25" ht="22.5" x14ac:dyDescent="0.2">
      <c r="M1623" s="26" t="s">
        <v>53</v>
      </c>
      <c r="N1623" s="25" t="s">
        <v>55</v>
      </c>
      <c r="O1623" s="26"/>
      <c r="P1623" s="26" t="s">
        <v>1428</v>
      </c>
      <c r="Q1623" s="26"/>
      <c r="R1623" s="5"/>
      <c r="S1623" s="5"/>
      <c r="T1623" s="5"/>
      <c r="U1623" s="5"/>
      <c r="V1623" s="5"/>
      <c r="W1623" s="5"/>
      <c r="X1623" s="5"/>
      <c r="Y1623" s="5"/>
    </row>
    <row r="1624" spans="13:25" ht="22.5" x14ac:dyDescent="0.2">
      <c r="M1624" s="26" t="s">
        <v>53</v>
      </c>
      <c r="N1624" s="25" t="s">
        <v>55</v>
      </c>
      <c r="O1624" s="26"/>
      <c r="P1624" s="26" t="s">
        <v>1429</v>
      </c>
      <c r="Q1624" s="26"/>
      <c r="R1624" s="5"/>
      <c r="S1624" s="5"/>
      <c r="T1624" s="5"/>
      <c r="U1624" s="5"/>
      <c r="V1624" s="5"/>
      <c r="W1624" s="5"/>
      <c r="X1624" s="5"/>
      <c r="Y1624" s="5"/>
    </row>
    <row r="1625" spans="13:25" ht="22.5" x14ac:dyDescent="0.2">
      <c r="M1625" s="26" t="s">
        <v>53</v>
      </c>
      <c r="N1625" s="25" t="s">
        <v>55</v>
      </c>
      <c r="O1625" s="26" t="s">
        <v>1430</v>
      </c>
      <c r="P1625" s="26"/>
      <c r="Q1625" s="26"/>
      <c r="R1625" s="5"/>
      <c r="S1625" s="5"/>
      <c r="T1625" s="5"/>
      <c r="U1625" s="5"/>
      <c r="V1625" s="5"/>
      <c r="W1625" s="5"/>
      <c r="X1625" s="5"/>
      <c r="Y1625" s="5"/>
    </row>
    <row r="1626" spans="13:25" ht="45" x14ac:dyDescent="0.2">
      <c r="M1626" s="26" t="s">
        <v>53</v>
      </c>
      <c r="N1626" s="25" t="s">
        <v>55</v>
      </c>
      <c r="O1626" s="26" t="s">
        <v>1431</v>
      </c>
      <c r="P1626" s="26"/>
      <c r="Q1626" s="26"/>
      <c r="R1626" s="5"/>
      <c r="S1626" s="5"/>
      <c r="T1626" s="5"/>
      <c r="U1626" s="5"/>
      <c r="V1626" s="5"/>
      <c r="W1626" s="5"/>
      <c r="X1626" s="5"/>
      <c r="Y1626" s="5"/>
    </row>
    <row r="1627" spans="13:25" ht="45" x14ac:dyDescent="0.2">
      <c r="M1627" s="26" t="s">
        <v>53</v>
      </c>
      <c r="N1627" s="25" t="s">
        <v>55</v>
      </c>
      <c r="O1627" s="26" t="s">
        <v>1432</v>
      </c>
      <c r="P1627" s="26"/>
      <c r="Q1627" s="26"/>
      <c r="R1627" s="5"/>
      <c r="S1627" s="5"/>
      <c r="T1627" s="5"/>
      <c r="U1627" s="5"/>
      <c r="V1627" s="5"/>
      <c r="W1627" s="5"/>
      <c r="X1627" s="5"/>
      <c r="Y1627" s="5"/>
    </row>
    <row r="1628" spans="13:25" ht="22.5" x14ac:dyDescent="0.2">
      <c r="M1628" s="26" t="s">
        <v>53</v>
      </c>
      <c r="N1628" s="25" t="s">
        <v>51</v>
      </c>
      <c r="O1628" s="26" t="s">
        <v>1433</v>
      </c>
      <c r="P1628" s="26"/>
      <c r="Q1628" s="26"/>
      <c r="R1628" s="5"/>
      <c r="S1628" s="5"/>
      <c r="T1628" s="5"/>
      <c r="U1628" s="5"/>
      <c r="V1628" s="5"/>
      <c r="W1628" s="5"/>
      <c r="X1628" s="5"/>
      <c r="Y1628" s="5"/>
    </row>
    <row r="1629" spans="13:25" ht="22.5" x14ac:dyDescent="0.2">
      <c r="M1629" s="26" t="s">
        <v>53</v>
      </c>
      <c r="N1629" s="25" t="s">
        <v>70</v>
      </c>
      <c r="O1629" s="26"/>
      <c r="P1629" s="26" t="s">
        <v>1434</v>
      </c>
      <c r="Q1629" s="26"/>
      <c r="R1629" s="5"/>
      <c r="S1629" s="5"/>
      <c r="T1629" s="5"/>
      <c r="U1629" s="5"/>
      <c r="V1629" s="5"/>
      <c r="W1629" s="5"/>
      <c r="X1629" s="5"/>
      <c r="Y1629" s="5"/>
    </row>
    <row r="1630" spans="13:25" ht="22.5" x14ac:dyDescent="0.2">
      <c r="M1630" s="26" t="s">
        <v>53</v>
      </c>
      <c r="N1630" s="25" t="s">
        <v>51</v>
      </c>
      <c r="O1630" s="26" t="s">
        <v>1435</v>
      </c>
      <c r="P1630" s="26"/>
      <c r="Q1630" s="26"/>
      <c r="R1630" s="5"/>
      <c r="S1630" s="5"/>
      <c r="T1630" s="5"/>
      <c r="U1630" s="5"/>
      <c r="V1630" s="5"/>
      <c r="W1630" s="5"/>
      <c r="X1630" s="5"/>
      <c r="Y1630" s="5"/>
    </row>
    <row r="1631" spans="13:25" ht="22.5" x14ac:dyDescent="0.2">
      <c r="M1631" s="26" t="s">
        <v>53</v>
      </c>
      <c r="N1631" s="25" t="s">
        <v>51</v>
      </c>
      <c r="O1631" s="26" t="s">
        <v>1436</v>
      </c>
      <c r="P1631" s="26"/>
      <c r="Q1631" s="26"/>
      <c r="R1631" s="5"/>
      <c r="S1631" s="5"/>
      <c r="T1631" s="5"/>
      <c r="U1631" s="5"/>
      <c r="V1631" s="5"/>
      <c r="W1631" s="5"/>
      <c r="X1631" s="5"/>
      <c r="Y1631" s="5"/>
    </row>
    <row r="1632" spans="13:25" ht="33.75" x14ac:dyDescent="0.2">
      <c r="M1632" s="26" t="s">
        <v>53</v>
      </c>
      <c r="N1632" s="25" t="s">
        <v>55</v>
      </c>
      <c r="O1632" s="26"/>
      <c r="P1632" s="26" t="s">
        <v>379</v>
      </c>
      <c r="Q1632" s="26"/>
      <c r="R1632" s="5"/>
      <c r="S1632" s="5"/>
      <c r="T1632" s="5"/>
      <c r="U1632" s="5"/>
      <c r="V1632" s="5"/>
      <c r="W1632" s="5"/>
      <c r="X1632" s="5"/>
      <c r="Y1632" s="5"/>
    </row>
    <row r="1633" spans="13:25" ht="33.75" x14ac:dyDescent="0.2">
      <c r="M1633" s="26" t="s">
        <v>53</v>
      </c>
      <c r="N1633" s="25" t="s">
        <v>55</v>
      </c>
      <c r="O1633" s="26"/>
      <c r="P1633" s="26" t="s">
        <v>1437</v>
      </c>
      <c r="Q1633" s="26"/>
      <c r="R1633" s="5"/>
      <c r="S1633" s="5"/>
      <c r="T1633" s="5"/>
      <c r="U1633" s="5"/>
      <c r="V1633" s="5"/>
      <c r="W1633" s="5"/>
      <c r="X1633" s="5"/>
      <c r="Y1633" s="5"/>
    </row>
    <row r="1634" spans="13:25" ht="56.25" x14ac:dyDescent="0.2">
      <c r="M1634" s="26" t="s">
        <v>53</v>
      </c>
      <c r="N1634" s="25" t="s">
        <v>55</v>
      </c>
      <c r="O1634" s="26"/>
      <c r="P1634" s="26" t="s">
        <v>1438</v>
      </c>
      <c r="Q1634" s="26"/>
      <c r="R1634" s="5"/>
      <c r="S1634" s="5"/>
      <c r="T1634" s="5"/>
      <c r="U1634" s="5"/>
      <c r="V1634" s="5"/>
      <c r="W1634" s="5"/>
      <c r="X1634" s="5"/>
      <c r="Y1634" s="5"/>
    </row>
    <row r="1635" spans="13:25" ht="56.25" x14ac:dyDescent="0.2">
      <c r="M1635" s="26" t="s">
        <v>53</v>
      </c>
      <c r="N1635" s="25" t="s">
        <v>55</v>
      </c>
      <c r="O1635" s="26"/>
      <c r="P1635" s="26" t="s">
        <v>353</v>
      </c>
      <c r="Q1635" s="26"/>
      <c r="R1635" s="5"/>
      <c r="S1635" s="5"/>
      <c r="T1635" s="5"/>
      <c r="U1635" s="5"/>
      <c r="V1635" s="5"/>
      <c r="W1635" s="5"/>
      <c r="X1635" s="5"/>
      <c r="Y1635" s="5"/>
    </row>
    <row r="1636" spans="13:25" ht="56.25" x14ac:dyDescent="0.2">
      <c r="M1636" s="26" t="s">
        <v>53</v>
      </c>
      <c r="N1636" s="25" t="s">
        <v>55</v>
      </c>
      <c r="O1636" s="26"/>
      <c r="P1636" s="26" t="s">
        <v>381</v>
      </c>
      <c r="Q1636" s="26"/>
      <c r="R1636" s="5"/>
      <c r="S1636" s="5"/>
      <c r="T1636" s="5"/>
      <c r="U1636" s="5"/>
      <c r="V1636" s="5"/>
      <c r="W1636" s="5"/>
      <c r="X1636" s="5"/>
      <c r="Y1636" s="5"/>
    </row>
    <row r="1637" spans="13:25" ht="56.25" x14ac:dyDescent="0.2">
      <c r="M1637" s="26" t="s">
        <v>53</v>
      </c>
      <c r="N1637" s="25" t="s">
        <v>55</v>
      </c>
      <c r="O1637" s="26"/>
      <c r="P1637" s="26" t="s">
        <v>353</v>
      </c>
      <c r="Q1637" s="26"/>
      <c r="R1637" s="5"/>
      <c r="S1637" s="5"/>
      <c r="T1637" s="5"/>
      <c r="U1637" s="5"/>
      <c r="V1637" s="5"/>
      <c r="W1637" s="5"/>
      <c r="X1637" s="5"/>
      <c r="Y1637" s="5"/>
    </row>
    <row r="1638" spans="13:25" ht="56.25" x14ac:dyDescent="0.2">
      <c r="M1638" s="26" t="s">
        <v>53</v>
      </c>
      <c r="N1638" s="25" t="s">
        <v>55</v>
      </c>
      <c r="O1638" s="26"/>
      <c r="P1638" s="26" t="s">
        <v>1439</v>
      </c>
      <c r="Q1638" s="26"/>
      <c r="R1638" s="5"/>
      <c r="S1638" s="5"/>
      <c r="T1638" s="5"/>
      <c r="U1638" s="5"/>
      <c r="V1638" s="5"/>
      <c r="W1638" s="5"/>
      <c r="X1638" s="5"/>
      <c r="Y1638" s="5"/>
    </row>
    <row r="1639" spans="13:25" ht="56.25" x14ac:dyDescent="0.2">
      <c r="M1639" s="26" t="s">
        <v>53</v>
      </c>
      <c r="N1639" s="25" t="s">
        <v>55</v>
      </c>
      <c r="O1639" s="26"/>
      <c r="P1639" s="26" t="s">
        <v>354</v>
      </c>
      <c r="Q1639" s="26"/>
      <c r="R1639" s="5"/>
      <c r="S1639" s="5"/>
      <c r="T1639" s="5"/>
      <c r="U1639" s="5"/>
      <c r="V1639" s="5"/>
      <c r="W1639" s="5"/>
      <c r="X1639" s="5"/>
      <c r="Y1639" s="5"/>
    </row>
    <row r="1640" spans="13:25" ht="33.75" x14ac:dyDescent="0.2">
      <c r="M1640" s="26" t="s">
        <v>53</v>
      </c>
      <c r="N1640" s="25" t="s">
        <v>55</v>
      </c>
      <c r="O1640" s="26"/>
      <c r="P1640" s="26" t="s">
        <v>1440</v>
      </c>
      <c r="Q1640" s="26"/>
      <c r="R1640" s="5"/>
      <c r="S1640" s="5"/>
      <c r="T1640" s="5"/>
      <c r="U1640" s="5"/>
      <c r="V1640" s="5"/>
      <c r="W1640" s="5"/>
      <c r="X1640" s="5"/>
      <c r="Y1640" s="5"/>
    </row>
    <row r="1641" spans="13:25" ht="33.75" x14ac:dyDescent="0.2">
      <c r="M1641" s="26" t="s">
        <v>53</v>
      </c>
      <c r="N1641" s="25" t="s">
        <v>55</v>
      </c>
      <c r="O1641" s="26"/>
      <c r="P1641" s="26" t="s">
        <v>389</v>
      </c>
      <c r="Q1641" s="26"/>
      <c r="R1641" s="5"/>
      <c r="S1641" s="5"/>
      <c r="T1641" s="5"/>
      <c r="U1641" s="5"/>
      <c r="V1641" s="5"/>
      <c r="W1641" s="5"/>
      <c r="X1641" s="5"/>
      <c r="Y1641" s="5"/>
    </row>
    <row r="1642" spans="13:25" ht="33.75" x14ac:dyDescent="0.2">
      <c r="M1642" s="26" t="s">
        <v>53</v>
      </c>
      <c r="N1642" s="25" t="s">
        <v>55</v>
      </c>
      <c r="O1642" s="26"/>
      <c r="P1642" s="26" t="s">
        <v>1441</v>
      </c>
      <c r="Q1642" s="26"/>
      <c r="R1642" s="5"/>
      <c r="S1642" s="5"/>
      <c r="T1642" s="5"/>
      <c r="U1642" s="5"/>
      <c r="V1642" s="5"/>
      <c r="W1642" s="5"/>
      <c r="X1642" s="5"/>
      <c r="Y1642" s="5"/>
    </row>
    <row r="1643" spans="13:25" ht="45" x14ac:dyDescent="0.2">
      <c r="M1643" s="26" t="s">
        <v>53</v>
      </c>
      <c r="N1643" s="25" t="s">
        <v>55</v>
      </c>
      <c r="O1643" s="26"/>
      <c r="P1643" s="26" t="s">
        <v>371</v>
      </c>
      <c r="Q1643" s="26"/>
      <c r="R1643" s="5"/>
      <c r="S1643" s="5"/>
      <c r="T1643" s="5"/>
      <c r="U1643" s="5"/>
      <c r="V1643" s="5"/>
      <c r="W1643" s="5"/>
      <c r="X1643" s="5"/>
      <c r="Y1643" s="5"/>
    </row>
    <row r="1644" spans="13:25" ht="45" x14ac:dyDescent="0.2">
      <c r="M1644" s="26" t="s">
        <v>53</v>
      </c>
      <c r="N1644" s="25" t="s">
        <v>55</v>
      </c>
      <c r="O1644" s="26"/>
      <c r="P1644" s="26" t="s">
        <v>391</v>
      </c>
      <c r="Q1644" s="26"/>
      <c r="R1644" s="5"/>
      <c r="S1644" s="5"/>
      <c r="T1644" s="5"/>
      <c r="U1644" s="5"/>
      <c r="V1644" s="5"/>
      <c r="W1644" s="5"/>
      <c r="X1644" s="5"/>
      <c r="Y1644" s="5"/>
    </row>
    <row r="1645" spans="13:25" ht="45" x14ac:dyDescent="0.2">
      <c r="M1645" s="26" t="s">
        <v>53</v>
      </c>
      <c r="N1645" s="25" t="s">
        <v>55</v>
      </c>
      <c r="O1645" s="26"/>
      <c r="P1645" s="26" t="s">
        <v>371</v>
      </c>
      <c r="Q1645" s="26"/>
      <c r="R1645" s="5"/>
      <c r="S1645" s="5"/>
      <c r="T1645" s="5"/>
      <c r="U1645" s="5"/>
      <c r="V1645" s="5"/>
      <c r="W1645" s="5"/>
      <c r="X1645" s="5"/>
      <c r="Y1645" s="5"/>
    </row>
    <row r="1646" spans="13:25" ht="45" x14ac:dyDescent="0.2">
      <c r="M1646" s="26" t="s">
        <v>53</v>
      </c>
      <c r="N1646" s="25" t="s">
        <v>55</v>
      </c>
      <c r="O1646" s="26"/>
      <c r="P1646" s="26" t="s">
        <v>1442</v>
      </c>
      <c r="Q1646" s="26"/>
      <c r="R1646" s="5"/>
      <c r="S1646" s="5"/>
      <c r="T1646" s="5"/>
      <c r="U1646" s="5"/>
      <c r="V1646" s="5"/>
      <c r="W1646" s="5"/>
      <c r="X1646" s="5"/>
      <c r="Y1646" s="5"/>
    </row>
    <row r="1647" spans="13:25" ht="33.75" x14ac:dyDescent="0.2">
      <c r="M1647" s="26" t="s">
        <v>53</v>
      </c>
      <c r="N1647" s="25" t="s">
        <v>55</v>
      </c>
      <c r="O1647" s="26"/>
      <c r="P1647" s="26" t="s">
        <v>1443</v>
      </c>
      <c r="Q1647" s="26"/>
      <c r="R1647" s="5"/>
      <c r="S1647" s="5"/>
      <c r="T1647" s="5"/>
      <c r="U1647" s="5"/>
      <c r="V1647" s="5"/>
      <c r="W1647" s="5"/>
      <c r="X1647" s="5"/>
      <c r="Y1647" s="5"/>
    </row>
    <row r="1648" spans="13:25" ht="45" x14ac:dyDescent="0.2">
      <c r="M1648" s="26" t="s">
        <v>53</v>
      </c>
      <c r="N1648" s="25" t="s">
        <v>55</v>
      </c>
      <c r="O1648" s="26"/>
      <c r="P1648" s="26" t="s">
        <v>400</v>
      </c>
      <c r="Q1648" s="26"/>
      <c r="R1648" s="5"/>
      <c r="S1648" s="5"/>
      <c r="T1648" s="5"/>
      <c r="U1648" s="5"/>
      <c r="V1648" s="5"/>
      <c r="W1648" s="5"/>
      <c r="X1648" s="5"/>
      <c r="Y1648" s="5"/>
    </row>
    <row r="1649" spans="13:25" ht="45" x14ac:dyDescent="0.2">
      <c r="M1649" s="26" t="s">
        <v>53</v>
      </c>
      <c r="N1649" s="25" t="s">
        <v>55</v>
      </c>
      <c r="O1649" s="26"/>
      <c r="P1649" s="26" t="s">
        <v>401</v>
      </c>
      <c r="Q1649" s="26"/>
      <c r="R1649" s="5"/>
      <c r="S1649" s="5"/>
      <c r="T1649" s="5"/>
      <c r="U1649" s="5"/>
      <c r="V1649" s="5"/>
      <c r="W1649" s="5"/>
      <c r="X1649" s="5"/>
      <c r="Y1649" s="5"/>
    </row>
    <row r="1650" spans="13:25" ht="22.5" x14ac:dyDescent="0.2">
      <c r="M1650" s="26" t="s">
        <v>53</v>
      </c>
      <c r="N1650" s="25" t="s">
        <v>55</v>
      </c>
      <c r="O1650" s="26"/>
      <c r="P1650" s="26" t="s">
        <v>1444</v>
      </c>
      <c r="Q1650" s="26"/>
      <c r="R1650" s="5"/>
      <c r="S1650" s="5"/>
      <c r="T1650" s="5"/>
      <c r="U1650" s="5"/>
      <c r="V1650" s="5"/>
      <c r="W1650" s="5"/>
      <c r="X1650" s="5"/>
      <c r="Y1650" s="5"/>
    </row>
    <row r="1651" spans="13:25" ht="22.5" x14ac:dyDescent="0.2">
      <c r="M1651" s="26" t="s">
        <v>53</v>
      </c>
      <c r="N1651" s="25" t="s">
        <v>55</v>
      </c>
      <c r="O1651" s="26"/>
      <c r="P1651" s="26" t="s">
        <v>1445</v>
      </c>
      <c r="Q1651" s="26"/>
      <c r="R1651" s="5"/>
      <c r="S1651" s="5"/>
      <c r="T1651" s="5"/>
      <c r="U1651" s="5"/>
      <c r="V1651" s="5"/>
      <c r="W1651" s="5"/>
      <c r="X1651" s="5"/>
      <c r="Y1651" s="5"/>
    </row>
    <row r="1652" spans="13:25" ht="33.75" x14ac:dyDescent="0.2">
      <c r="M1652" s="26" t="s">
        <v>53</v>
      </c>
      <c r="N1652" s="25" t="s">
        <v>55</v>
      </c>
      <c r="O1652" s="26"/>
      <c r="P1652" s="26" t="s">
        <v>672</v>
      </c>
      <c r="Q1652" s="26"/>
      <c r="R1652" s="5"/>
      <c r="S1652" s="5"/>
      <c r="T1652" s="5"/>
      <c r="U1652" s="5"/>
      <c r="V1652" s="5"/>
      <c r="W1652" s="5"/>
      <c r="X1652" s="5"/>
      <c r="Y1652" s="5"/>
    </row>
    <row r="1653" spans="13:25" ht="33.75" x14ac:dyDescent="0.2">
      <c r="M1653" s="26" t="s">
        <v>53</v>
      </c>
      <c r="N1653" s="25" t="s">
        <v>55</v>
      </c>
      <c r="O1653" s="26"/>
      <c r="P1653" s="26" t="s">
        <v>1446</v>
      </c>
      <c r="Q1653" s="26"/>
      <c r="R1653" s="5"/>
      <c r="S1653" s="5"/>
      <c r="T1653" s="5"/>
      <c r="U1653" s="5"/>
      <c r="V1653" s="5"/>
      <c r="W1653" s="5"/>
      <c r="X1653" s="5"/>
      <c r="Y1653" s="5"/>
    </row>
    <row r="1654" spans="13:25" ht="22.5" x14ac:dyDescent="0.2">
      <c r="M1654" s="26" t="s">
        <v>53</v>
      </c>
      <c r="N1654" s="25" t="s">
        <v>57</v>
      </c>
      <c r="O1654" s="26"/>
      <c r="P1654" s="26" t="s">
        <v>1447</v>
      </c>
      <c r="Q1654" s="26"/>
      <c r="R1654" s="5"/>
      <c r="S1654" s="5"/>
      <c r="T1654" s="5"/>
      <c r="U1654" s="5"/>
      <c r="V1654" s="5"/>
      <c r="W1654" s="5"/>
      <c r="X1654" s="5"/>
      <c r="Y1654" s="5"/>
    </row>
    <row r="1655" spans="13:25" ht="33.75" x14ac:dyDescent="0.2">
      <c r="M1655" s="26" t="s">
        <v>53</v>
      </c>
      <c r="N1655" s="25" t="s">
        <v>51</v>
      </c>
      <c r="O1655" s="26"/>
      <c r="P1655" s="26" t="s">
        <v>1448</v>
      </c>
      <c r="Q1655" s="26"/>
      <c r="R1655" s="5"/>
      <c r="S1655" s="5"/>
      <c r="T1655" s="5"/>
      <c r="U1655" s="5"/>
      <c r="V1655" s="5"/>
      <c r="W1655" s="5"/>
      <c r="X1655" s="5"/>
      <c r="Y1655" s="5"/>
    </row>
    <row r="1656" spans="13:25" ht="67.5" x14ac:dyDescent="0.2">
      <c r="M1656" s="26" t="s">
        <v>53</v>
      </c>
      <c r="N1656" s="25" t="s">
        <v>51</v>
      </c>
      <c r="O1656" s="26"/>
      <c r="P1656" s="26" t="s">
        <v>1449</v>
      </c>
      <c r="Q1656" s="26"/>
      <c r="R1656" s="5"/>
      <c r="S1656" s="5"/>
      <c r="T1656" s="5"/>
      <c r="U1656" s="5"/>
      <c r="V1656" s="5"/>
      <c r="W1656" s="5"/>
      <c r="X1656" s="5"/>
      <c r="Y1656" s="5"/>
    </row>
    <row r="1657" spans="13:25" ht="22.5" x14ac:dyDescent="0.2">
      <c r="M1657" s="26" t="s">
        <v>53</v>
      </c>
      <c r="N1657" s="25" t="s">
        <v>51</v>
      </c>
      <c r="O1657" s="26"/>
      <c r="P1657" s="26" t="s">
        <v>1450</v>
      </c>
      <c r="Q1657" s="26"/>
      <c r="R1657" s="5"/>
      <c r="S1657" s="5"/>
      <c r="T1657" s="5"/>
      <c r="U1657" s="5"/>
      <c r="V1657" s="5"/>
      <c r="W1657" s="5"/>
      <c r="X1657" s="5"/>
      <c r="Y1657" s="5"/>
    </row>
    <row r="1658" spans="13:25" ht="22.5" x14ac:dyDescent="0.2">
      <c r="M1658" s="26" t="s">
        <v>53</v>
      </c>
      <c r="N1658" s="25" t="s">
        <v>51</v>
      </c>
      <c r="O1658" s="26"/>
      <c r="P1658" s="26" t="s">
        <v>1451</v>
      </c>
      <c r="Q1658" s="26"/>
      <c r="R1658" s="5"/>
      <c r="S1658" s="5"/>
      <c r="T1658" s="5"/>
      <c r="U1658" s="5"/>
      <c r="V1658" s="5"/>
      <c r="W1658" s="5"/>
      <c r="X1658" s="5"/>
      <c r="Y1658" s="5"/>
    </row>
    <row r="1659" spans="13:25" ht="33.75" x14ac:dyDescent="0.2">
      <c r="M1659" s="26" t="s">
        <v>53</v>
      </c>
      <c r="N1659" s="25" t="s">
        <v>51</v>
      </c>
      <c r="O1659" s="26"/>
      <c r="P1659" s="26" t="s">
        <v>425</v>
      </c>
      <c r="Q1659" s="26"/>
      <c r="R1659" s="5"/>
      <c r="S1659" s="5"/>
      <c r="T1659" s="5"/>
      <c r="U1659" s="5"/>
      <c r="V1659" s="5"/>
      <c r="W1659" s="5"/>
      <c r="X1659" s="5"/>
      <c r="Y1659" s="5"/>
    </row>
    <row r="1660" spans="13:25" ht="45" x14ac:dyDescent="0.2">
      <c r="M1660" s="26" t="s">
        <v>53</v>
      </c>
      <c r="N1660" s="25" t="s">
        <v>51</v>
      </c>
      <c r="O1660" s="26"/>
      <c r="P1660" s="26" t="s">
        <v>1452</v>
      </c>
      <c r="Q1660" s="26"/>
      <c r="R1660" s="5"/>
      <c r="S1660" s="5"/>
      <c r="T1660" s="5"/>
      <c r="U1660" s="5"/>
      <c r="V1660" s="5"/>
      <c r="W1660" s="5"/>
      <c r="X1660" s="5"/>
      <c r="Y1660" s="5"/>
    </row>
    <row r="1661" spans="13:25" ht="45" x14ac:dyDescent="0.2">
      <c r="M1661" s="26" t="s">
        <v>53</v>
      </c>
      <c r="N1661" s="25" t="s">
        <v>51</v>
      </c>
      <c r="O1661" s="26"/>
      <c r="P1661" s="26" t="s">
        <v>1453</v>
      </c>
      <c r="Q1661" s="26"/>
      <c r="R1661" s="5"/>
      <c r="S1661" s="5"/>
      <c r="T1661" s="5"/>
      <c r="U1661" s="5"/>
      <c r="V1661" s="5"/>
      <c r="W1661" s="5"/>
      <c r="X1661" s="5"/>
      <c r="Y1661" s="5"/>
    </row>
    <row r="1662" spans="13:25" ht="22.5" x14ac:dyDescent="0.2">
      <c r="M1662" s="26" t="s">
        <v>53</v>
      </c>
      <c r="N1662" s="25" t="s">
        <v>70</v>
      </c>
      <c r="O1662" s="26"/>
      <c r="P1662" s="26" t="s">
        <v>1454</v>
      </c>
      <c r="Q1662" s="26"/>
      <c r="R1662" s="5"/>
      <c r="S1662" s="5"/>
      <c r="T1662" s="5"/>
      <c r="U1662" s="5"/>
      <c r="V1662" s="5"/>
      <c r="W1662" s="5"/>
      <c r="X1662" s="5"/>
      <c r="Y1662" s="5"/>
    </row>
    <row r="1663" spans="13:25" ht="78.75" x14ac:dyDescent="0.2">
      <c r="M1663" s="26" t="s">
        <v>53</v>
      </c>
      <c r="N1663" s="25" t="s">
        <v>55</v>
      </c>
      <c r="O1663" s="26"/>
      <c r="P1663" s="26" t="s">
        <v>1455</v>
      </c>
      <c r="Q1663" s="26"/>
      <c r="R1663" s="5"/>
      <c r="S1663" s="5"/>
      <c r="T1663" s="5"/>
      <c r="U1663" s="5"/>
      <c r="V1663" s="5"/>
      <c r="W1663" s="5"/>
      <c r="X1663" s="5"/>
      <c r="Y1663" s="5"/>
    </row>
    <row r="1664" spans="13:25" ht="90" x14ac:dyDescent="0.2">
      <c r="M1664" s="26" t="s">
        <v>53</v>
      </c>
      <c r="N1664" s="25" t="s">
        <v>55</v>
      </c>
      <c r="O1664" s="26"/>
      <c r="P1664" s="26" t="s">
        <v>1456</v>
      </c>
      <c r="Q1664" s="26"/>
      <c r="R1664" s="5"/>
      <c r="S1664" s="5"/>
      <c r="T1664" s="5"/>
      <c r="U1664" s="5"/>
      <c r="V1664" s="5"/>
      <c r="W1664" s="5"/>
      <c r="X1664" s="5"/>
      <c r="Y1664" s="5"/>
    </row>
    <row r="1665" spans="13:25" ht="56.25" x14ac:dyDescent="0.2">
      <c r="M1665" s="26" t="s">
        <v>53</v>
      </c>
      <c r="N1665" s="25" t="s">
        <v>55</v>
      </c>
      <c r="O1665" s="26"/>
      <c r="P1665" s="26" t="s">
        <v>1457</v>
      </c>
      <c r="Q1665" s="26"/>
      <c r="R1665" s="5"/>
      <c r="S1665" s="5"/>
      <c r="T1665" s="5"/>
      <c r="U1665" s="5"/>
      <c r="V1665" s="5"/>
      <c r="W1665" s="5"/>
      <c r="X1665" s="5"/>
      <c r="Y1665" s="5"/>
    </row>
    <row r="1666" spans="13:25" ht="101.25" x14ac:dyDescent="0.2">
      <c r="M1666" s="26" t="s">
        <v>53</v>
      </c>
      <c r="N1666" s="25" t="s">
        <v>55</v>
      </c>
      <c r="O1666" s="26"/>
      <c r="P1666" s="26" t="s">
        <v>1458</v>
      </c>
      <c r="Q1666" s="26"/>
      <c r="R1666" s="5"/>
      <c r="S1666" s="5"/>
      <c r="T1666" s="5"/>
      <c r="U1666" s="5"/>
      <c r="V1666" s="5"/>
      <c r="W1666" s="5"/>
      <c r="X1666" s="5"/>
      <c r="Y1666" s="5"/>
    </row>
    <row r="1667" spans="13:25" ht="90" x14ac:dyDescent="0.2">
      <c r="M1667" s="26" t="s">
        <v>53</v>
      </c>
      <c r="N1667" s="25" t="s">
        <v>55</v>
      </c>
      <c r="O1667" s="26"/>
      <c r="P1667" s="26" t="s">
        <v>1456</v>
      </c>
      <c r="Q1667" s="26"/>
      <c r="R1667" s="5"/>
      <c r="S1667" s="5"/>
      <c r="T1667" s="5"/>
      <c r="U1667" s="5"/>
      <c r="V1667" s="5"/>
      <c r="W1667" s="5"/>
      <c r="X1667" s="5"/>
      <c r="Y1667" s="5"/>
    </row>
    <row r="1668" spans="13:25" ht="33.75" x14ac:dyDescent="0.2">
      <c r="M1668" s="26" t="s">
        <v>53</v>
      </c>
      <c r="N1668" s="25" t="s">
        <v>51</v>
      </c>
      <c r="O1668" s="26"/>
      <c r="P1668" s="26" t="s">
        <v>1459</v>
      </c>
      <c r="Q1668" s="26"/>
      <c r="R1668" s="5"/>
      <c r="S1668" s="5"/>
      <c r="T1668" s="5"/>
      <c r="U1668" s="5"/>
      <c r="V1668" s="5"/>
      <c r="W1668" s="5"/>
      <c r="X1668" s="5"/>
      <c r="Y1668" s="5"/>
    </row>
    <row r="1669" spans="13:25" ht="56.25" x14ac:dyDescent="0.2">
      <c r="M1669" s="26" t="s">
        <v>53</v>
      </c>
      <c r="N1669" s="25" t="s">
        <v>55</v>
      </c>
      <c r="O1669" s="26"/>
      <c r="P1669" s="26" t="s">
        <v>467</v>
      </c>
      <c r="Q1669" s="26"/>
      <c r="R1669" s="5"/>
      <c r="S1669" s="5"/>
      <c r="T1669" s="5"/>
      <c r="U1669" s="5"/>
      <c r="V1669" s="5"/>
      <c r="W1669" s="5"/>
      <c r="X1669" s="5"/>
      <c r="Y1669" s="5"/>
    </row>
    <row r="1670" spans="13:25" ht="101.25" x14ac:dyDescent="0.2">
      <c r="M1670" s="26" t="s">
        <v>53</v>
      </c>
      <c r="N1670" s="25" t="s">
        <v>55</v>
      </c>
      <c r="O1670" s="26"/>
      <c r="P1670" s="26" t="s">
        <v>460</v>
      </c>
      <c r="Q1670" s="26"/>
      <c r="R1670" s="5"/>
      <c r="S1670" s="5"/>
      <c r="T1670" s="5"/>
      <c r="U1670" s="5"/>
      <c r="V1670" s="5"/>
      <c r="W1670" s="5"/>
      <c r="X1670" s="5"/>
      <c r="Y1670" s="5"/>
    </row>
    <row r="1671" spans="13:25" ht="90" x14ac:dyDescent="0.2">
      <c r="M1671" s="26" t="s">
        <v>53</v>
      </c>
      <c r="N1671" s="25" t="s">
        <v>55</v>
      </c>
      <c r="O1671" s="26"/>
      <c r="P1671" s="26" t="s">
        <v>1456</v>
      </c>
      <c r="Q1671" s="26"/>
      <c r="R1671" s="5"/>
      <c r="S1671" s="5"/>
      <c r="T1671" s="5"/>
      <c r="U1671" s="5"/>
      <c r="V1671" s="5"/>
      <c r="W1671" s="5"/>
      <c r="X1671" s="5"/>
      <c r="Y1671" s="5"/>
    </row>
    <row r="1672" spans="13:25" ht="67.5" x14ac:dyDescent="0.2">
      <c r="M1672" s="26" t="s">
        <v>53</v>
      </c>
      <c r="N1672" s="25" t="s">
        <v>55</v>
      </c>
      <c r="O1672" s="26"/>
      <c r="P1672" s="26" t="s">
        <v>1460</v>
      </c>
      <c r="Q1672" s="26"/>
      <c r="R1672" s="5"/>
      <c r="S1672" s="5"/>
      <c r="T1672" s="5"/>
      <c r="U1672" s="5"/>
      <c r="V1672" s="5"/>
      <c r="W1672" s="5"/>
      <c r="X1672" s="5"/>
      <c r="Y1672" s="5"/>
    </row>
    <row r="1673" spans="13:25" ht="22.5" x14ac:dyDescent="0.2">
      <c r="M1673" s="26" t="s">
        <v>53</v>
      </c>
      <c r="N1673" s="25" t="s">
        <v>51</v>
      </c>
      <c r="O1673" s="26"/>
      <c r="P1673" s="26" t="s">
        <v>1461</v>
      </c>
      <c r="Q1673" s="26"/>
      <c r="R1673" s="5"/>
      <c r="S1673" s="5"/>
      <c r="T1673" s="5"/>
      <c r="U1673" s="5"/>
      <c r="V1673" s="5"/>
      <c r="W1673" s="5"/>
      <c r="X1673" s="5"/>
      <c r="Y1673" s="5"/>
    </row>
    <row r="1674" spans="13:25" ht="45" x14ac:dyDescent="0.2">
      <c r="M1674" s="26" t="s">
        <v>53</v>
      </c>
      <c r="N1674" s="25" t="s">
        <v>51</v>
      </c>
      <c r="O1674" s="26"/>
      <c r="P1674" s="26" t="s">
        <v>429</v>
      </c>
      <c r="Q1674" s="26"/>
      <c r="R1674" s="5"/>
      <c r="S1674" s="5"/>
      <c r="T1674" s="5"/>
      <c r="U1674" s="5"/>
      <c r="V1674" s="5"/>
      <c r="W1674" s="5"/>
      <c r="X1674" s="5"/>
      <c r="Y1674" s="5"/>
    </row>
    <row r="1675" spans="13:25" ht="78.75" x14ac:dyDescent="0.2">
      <c r="M1675" s="26" t="s">
        <v>53</v>
      </c>
      <c r="N1675" s="25" t="s">
        <v>55</v>
      </c>
      <c r="O1675" s="26"/>
      <c r="P1675" s="26" t="s">
        <v>1455</v>
      </c>
      <c r="Q1675" s="26"/>
      <c r="R1675" s="5"/>
      <c r="S1675" s="5"/>
      <c r="T1675" s="5"/>
      <c r="U1675" s="5"/>
      <c r="V1675" s="5"/>
      <c r="W1675" s="5"/>
      <c r="X1675" s="5"/>
      <c r="Y1675" s="5"/>
    </row>
    <row r="1676" spans="13:25" ht="56.25" x14ac:dyDescent="0.2">
      <c r="M1676" s="26" t="s">
        <v>53</v>
      </c>
      <c r="N1676" s="25" t="s">
        <v>55</v>
      </c>
      <c r="O1676" s="26"/>
      <c r="P1676" s="26" t="s">
        <v>1462</v>
      </c>
      <c r="Q1676" s="26"/>
      <c r="R1676" s="5"/>
      <c r="S1676" s="5"/>
      <c r="T1676" s="5"/>
      <c r="U1676" s="5"/>
      <c r="V1676" s="5"/>
      <c r="W1676" s="5"/>
      <c r="X1676" s="5"/>
      <c r="Y1676" s="5"/>
    </row>
    <row r="1677" spans="13:25" ht="45" x14ac:dyDescent="0.2">
      <c r="M1677" s="26" t="s">
        <v>53</v>
      </c>
      <c r="N1677" s="25" t="s">
        <v>70</v>
      </c>
      <c r="O1677" s="26"/>
      <c r="P1677" s="26" t="s">
        <v>1463</v>
      </c>
      <c r="Q1677" s="26"/>
      <c r="R1677" s="5"/>
      <c r="S1677" s="5"/>
      <c r="T1677" s="5"/>
      <c r="U1677" s="5"/>
      <c r="V1677" s="5"/>
      <c r="W1677" s="5"/>
      <c r="X1677" s="5"/>
      <c r="Y1677" s="5"/>
    </row>
    <row r="1678" spans="13:25" ht="90" x14ac:dyDescent="0.2">
      <c r="M1678" s="26" t="s">
        <v>53</v>
      </c>
      <c r="N1678" s="25" t="s">
        <v>55</v>
      </c>
      <c r="O1678" s="26"/>
      <c r="P1678" s="26" t="s">
        <v>1464</v>
      </c>
      <c r="Q1678" s="26"/>
      <c r="R1678" s="5"/>
      <c r="S1678" s="5"/>
      <c r="T1678" s="5"/>
      <c r="U1678" s="5"/>
      <c r="V1678" s="5"/>
      <c r="W1678" s="5"/>
      <c r="X1678" s="5"/>
      <c r="Y1678" s="5"/>
    </row>
    <row r="1679" spans="13:25" ht="22.5" x14ac:dyDescent="0.2">
      <c r="M1679" s="26" t="s">
        <v>53</v>
      </c>
      <c r="N1679" s="25" t="s">
        <v>70</v>
      </c>
      <c r="O1679" s="26"/>
      <c r="P1679" s="26" t="s">
        <v>1465</v>
      </c>
      <c r="Q1679" s="26"/>
      <c r="R1679" s="5"/>
      <c r="S1679" s="5"/>
      <c r="T1679" s="5"/>
      <c r="U1679" s="5"/>
      <c r="V1679" s="5"/>
      <c r="W1679" s="5"/>
      <c r="X1679" s="5"/>
      <c r="Y1679" s="5"/>
    </row>
    <row r="1680" spans="13:25" ht="67.5" x14ac:dyDescent="0.2">
      <c r="M1680" s="26" t="s">
        <v>53</v>
      </c>
      <c r="N1680" s="25" t="s">
        <v>51</v>
      </c>
      <c r="O1680" s="26"/>
      <c r="P1680" s="26" t="s">
        <v>1466</v>
      </c>
      <c r="Q1680" s="26"/>
      <c r="R1680" s="5"/>
      <c r="S1680" s="5"/>
      <c r="T1680" s="5"/>
      <c r="U1680" s="5"/>
      <c r="V1680" s="5"/>
      <c r="W1680" s="5"/>
      <c r="X1680" s="5"/>
      <c r="Y1680" s="5"/>
    </row>
    <row r="1681" spans="13:25" ht="45" x14ac:dyDescent="0.2">
      <c r="M1681" s="26" t="s">
        <v>53</v>
      </c>
      <c r="N1681" s="25" t="s">
        <v>55</v>
      </c>
      <c r="O1681" s="26"/>
      <c r="P1681" s="26" t="s">
        <v>1467</v>
      </c>
      <c r="Q1681" s="26"/>
      <c r="R1681" s="5"/>
      <c r="S1681" s="5"/>
      <c r="T1681" s="5"/>
      <c r="U1681" s="5"/>
      <c r="V1681" s="5"/>
      <c r="W1681" s="5"/>
      <c r="X1681" s="5"/>
      <c r="Y1681" s="5"/>
    </row>
    <row r="1682" spans="13:25" ht="22.5" x14ac:dyDescent="0.2">
      <c r="M1682" s="26" t="s">
        <v>53</v>
      </c>
      <c r="N1682" s="25" t="s">
        <v>55</v>
      </c>
      <c r="O1682" s="26"/>
      <c r="P1682" s="26" t="s">
        <v>1468</v>
      </c>
      <c r="Q1682" s="26"/>
      <c r="R1682" s="5"/>
      <c r="S1682" s="5"/>
      <c r="T1682" s="5"/>
      <c r="U1682" s="5"/>
      <c r="V1682" s="5"/>
      <c r="W1682" s="5"/>
      <c r="X1682" s="5"/>
      <c r="Y1682" s="5"/>
    </row>
    <row r="1683" spans="13:25" ht="78.75" x14ac:dyDescent="0.2">
      <c r="M1683" s="26" t="s">
        <v>53</v>
      </c>
      <c r="N1683" s="25" t="s">
        <v>55</v>
      </c>
      <c r="O1683" s="26"/>
      <c r="P1683" s="26" t="s">
        <v>563</v>
      </c>
      <c r="Q1683" s="26"/>
      <c r="R1683" s="5"/>
      <c r="S1683" s="5"/>
      <c r="T1683" s="5"/>
      <c r="U1683" s="5"/>
      <c r="V1683" s="5"/>
      <c r="W1683" s="5"/>
      <c r="X1683" s="5"/>
      <c r="Y1683" s="5"/>
    </row>
    <row r="1684" spans="13:25" ht="67.5" x14ac:dyDescent="0.2">
      <c r="M1684" s="26" t="s">
        <v>53</v>
      </c>
      <c r="N1684" s="25" t="s">
        <v>55</v>
      </c>
      <c r="O1684" s="26"/>
      <c r="P1684" s="26" t="s">
        <v>1469</v>
      </c>
      <c r="Q1684" s="26"/>
      <c r="R1684" s="5"/>
      <c r="S1684" s="5"/>
      <c r="T1684" s="5"/>
      <c r="U1684" s="5"/>
      <c r="V1684" s="5"/>
      <c r="W1684" s="5"/>
      <c r="X1684" s="5"/>
      <c r="Y1684" s="5"/>
    </row>
    <row r="1685" spans="13:25" ht="56.25" x14ac:dyDescent="0.2">
      <c r="M1685" s="26" t="s">
        <v>53</v>
      </c>
      <c r="N1685" s="25" t="s">
        <v>55</v>
      </c>
      <c r="O1685" s="26"/>
      <c r="P1685" s="26" t="s">
        <v>1470</v>
      </c>
      <c r="Q1685" s="26"/>
      <c r="R1685" s="5"/>
      <c r="S1685" s="5"/>
      <c r="T1685" s="5"/>
      <c r="U1685" s="5"/>
      <c r="V1685" s="5"/>
      <c r="W1685" s="5"/>
      <c r="X1685" s="5"/>
      <c r="Y1685" s="5"/>
    </row>
    <row r="1686" spans="13:25" ht="22.5" x14ac:dyDescent="0.2">
      <c r="M1686" s="26" t="s">
        <v>53</v>
      </c>
      <c r="N1686" s="25" t="s">
        <v>51</v>
      </c>
      <c r="O1686" s="26"/>
      <c r="P1686" s="26" t="s">
        <v>1471</v>
      </c>
      <c r="Q1686" s="26"/>
      <c r="R1686" s="5"/>
      <c r="S1686" s="5"/>
      <c r="T1686" s="5"/>
      <c r="U1686" s="5"/>
      <c r="V1686" s="5"/>
      <c r="W1686" s="5"/>
      <c r="X1686" s="5"/>
      <c r="Y1686" s="5"/>
    </row>
    <row r="1687" spans="13:25" ht="22.5" x14ac:dyDescent="0.2">
      <c r="M1687" s="26" t="s">
        <v>53</v>
      </c>
      <c r="N1687" s="25" t="s">
        <v>51</v>
      </c>
      <c r="O1687" s="26"/>
      <c r="P1687" s="26" t="s">
        <v>1472</v>
      </c>
      <c r="Q1687" s="26"/>
      <c r="R1687" s="5"/>
      <c r="S1687" s="5"/>
      <c r="T1687" s="5"/>
      <c r="U1687" s="5"/>
      <c r="V1687" s="5"/>
      <c r="W1687" s="5"/>
      <c r="X1687" s="5"/>
      <c r="Y1687" s="5"/>
    </row>
    <row r="1688" spans="13:25" ht="45" x14ac:dyDescent="0.2">
      <c r="M1688" s="26" t="s">
        <v>53</v>
      </c>
      <c r="N1688" s="25" t="s">
        <v>51</v>
      </c>
      <c r="O1688" s="26"/>
      <c r="P1688" s="26" t="s">
        <v>438</v>
      </c>
      <c r="Q1688" s="26"/>
      <c r="R1688" s="5"/>
      <c r="S1688" s="5"/>
      <c r="T1688" s="5"/>
      <c r="U1688" s="5"/>
      <c r="V1688" s="5"/>
      <c r="W1688" s="5"/>
      <c r="X1688" s="5"/>
      <c r="Y1688" s="5"/>
    </row>
    <row r="1689" spans="13:25" ht="45" x14ac:dyDescent="0.2">
      <c r="M1689" s="26" t="s">
        <v>53</v>
      </c>
      <c r="N1689" s="25" t="s">
        <v>70</v>
      </c>
      <c r="O1689" s="26"/>
      <c r="P1689" s="26" t="s">
        <v>1473</v>
      </c>
      <c r="Q1689" s="26"/>
      <c r="R1689" s="5"/>
      <c r="S1689" s="5"/>
      <c r="T1689" s="5"/>
      <c r="U1689" s="5"/>
      <c r="V1689" s="5"/>
      <c r="W1689" s="5"/>
      <c r="X1689" s="5"/>
      <c r="Y1689" s="5"/>
    </row>
    <row r="1690" spans="13:25" ht="45" x14ac:dyDescent="0.2">
      <c r="M1690" s="26" t="s">
        <v>53</v>
      </c>
      <c r="N1690" s="25" t="s">
        <v>70</v>
      </c>
      <c r="O1690" s="26"/>
      <c r="P1690" s="26" t="s">
        <v>1474</v>
      </c>
      <c r="Q1690" s="26"/>
      <c r="R1690" s="5"/>
      <c r="S1690" s="5"/>
      <c r="T1690" s="5"/>
      <c r="U1690" s="5"/>
      <c r="V1690" s="5"/>
      <c r="W1690" s="5"/>
      <c r="X1690" s="5"/>
      <c r="Y1690" s="5"/>
    </row>
    <row r="1691" spans="13:25" ht="33.75" x14ac:dyDescent="0.2">
      <c r="M1691" s="26" t="s">
        <v>53</v>
      </c>
      <c r="N1691" s="25" t="s">
        <v>51</v>
      </c>
      <c r="O1691" s="26"/>
      <c r="P1691" s="26" t="s">
        <v>1475</v>
      </c>
      <c r="Q1691" s="26"/>
      <c r="R1691" s="5"/>
      <c r="S1691" s="5"/>
      <c r="T1691" s="5"/>
      <c r="U1691" s="5"/>
      <c r="V1691" s="5"/>
      <c r="W1691" s="5"/>
      <c r="X1691" s="5"/>
      <c r="Y1691" s="5"/>
    </row>
    <row r="1692" spans="13:25" ht="67.5" x14ac:dyDescent="0.2">
      <c r="M1692" s="26" t="s">
        <v>53</v>
      </c>
      <c r="N1692" s="25" t="s">
        <v>51</v>
      </c>
      <c r="O1692" s="26"/>
      <c r="P1692" s="26" t="s">
        <v>1466</v>
      </c>
      <c r="Q1692" s="26"/>
      <c r="R1692" s="5"/>
      <c r="S1692" s="5"/>
      <c r="T1692" s="5"/>
      <c r="U1692" s="5"/>
      <c r="V1692" s="5"/>
      <c r="W1692" s="5"/>
      <c r="X1692" s="5"/>
      <c r="Y1692" s="5"/>
    </row>
    <row r="1693" spans="13:25" ht="22.5" x14ac:dyDescent="0.2">
      <c r="M1693" s="26" t="s">
        <v>53</v>
      </c>
      <c r="N1693" s="25" t="s">
        <v>55</v>
      </c>
      <c r="O1693" s="26"/>
      <c r="P1693" s="26" t="s">
        <v>1476</v>
      </c>
      <c r="Q1693" s="26"/>
      <c r="R1693" s="5"/>
      <c r="S1693" s="5"/>
      <c r="T1693" s="5"/>
      <c r="U1693" s="5"/>
      <c r="V1693" s="5"/>
      <c r="W1693" s="5"/>
      <c r="X1693" s="5"/>
      <c r="Y1693" s="5"/>
    </row>
    <row r="1694" spans="13:25" ht="22.5" x14ac:dyDescent="0.2">
      <c r="M1694" s="26" t="s">
        <v>53</v>
      </c>
      <c r="N1694" s="25" t="s">
        <v>55</v>
      </c>
      <c r="O1694" s="26"/>
      <c r="P1694" s="26" t="s">
        <v>1477</v>
      </c>
      <c r="Q1694" s="26"/>
      <c r="R1694" s="5"/>
      <c r="S1694" s="5"/>
      <c r="T1694" s="5"/>
      <c r="U1694" s="5"/>
      <c r="V1694" s="5"/>
      <c r="W1694" s="5"/>
      <c r="X1694" s="5"/>
      <c r="Y1694" s="5"/>
    </row>
    <row r="1695" spans="13:25" ht="22.5" x14ac:dyDescent="0.2">
      <c r="M1695" s="26" t="s">
        <v>53</v>
      </c>
      <c r="N1695" s="25" t="s">
        <v>55</v>
      </c>
      <c r="O1695" s="26"/>
      <c r="P1695" s="26" t="s">
        <v>1478</v>
      </c>
      <c r="Q1695" s="26"/>
      <c r="R1695" s="5"/>
      <c r="S1695" s="5"/>
      <c r="T1695" s="5"/>
      <c r="U1695" s="5"/>
      <c r="V1695" s="5"/>
      <c r="W1695" s="5"/>
      <c r="X1695" s="5"/>
      <c r="Y1695" s="5"/>
    </row>
    <row r="1696" spans="13:25" ht="33.75" x14ac:dyDescent="0.2">
      <c r="M1696" s="26" t="s">
        <v>53</v>
      </c>
      <c r="N1696" s="25" t="s">
        <v>55</v>
      </c>
      <c r="O1696" s="26"/>
      <c r="P1696" s="26" t="s">
        <v>1479</v>
      </c>
      <c r="Q1696" s="26"/>
      <c r="R1696" s="5"/>
      <c r="S1696" s="5"/>
      <c r="T1696" s="5"/>
      <c r="U1696" s="5"/>
      <c r="V1696" s="5"/>
      <c r="W1696" s="5"/>
      <c r="X1696" s="5"/>
      <c r="Y1696" s="5"/>
    </row>
    <row r="1697" spans="13:25" ht="22.5" x14ac:dyDescent="0.2">
      <c r="M1697" s="26" t="s">
        <v>53</v>
      </c>
      <c r="N1697" s="25" t="s">
        <v>55</v>
      </c>
      <c r="O1697" s="26"/>
      <c r="P1697" s="26" t="s">
        <v>1480</v>
      </c>
      <c r="Q1697" s="26"/>
      <c r="R1697" s="5"/>
      <c r="S1697" s="5"/>
      <c r="T1697" s="5"/>
      <c r="U1697" s="5"/>
      <c r="V1697" s="5"/>
      <c r="W1697" s="5"/>
      <c r="X1697" s="5"/>
      <c r="Y1697" s="5"/>
    </row>
    <row r="1698" spans="13:25" ht="22.5" x14ac:dyDescent="0.2">
      <c r="M1698" s="26" t="s">
        <v>53</v>
      </c>
      <c r="N1698" s="25" t="s">
        <v>55</v>
      </c>
      <c r="O1698" s="26" t="s">
        <v>1481</v>
      </c>
      <c r="P1698" s="26"/>
      <c r="Q1698" s="26"/>
      <c r="R1698" s="5"/>
      <c r="S1698" s="5"/>
      <c r="T1698" s="5"/>
      <c r="U1698" s="5"/>
      <c r="V1698" s="5"/>
      <c r="W1698" s="5"/>
      <c r="X1698" s="5"/>
      <c r="Y1698" s="5"/>
    </row>
    <row r="1699" spans="13:25" ht="22.5" x14ac:dyDescent="0.2">
      <c r="M1699" s="26" t="s">
        <v>53</v>
      </c>
      <c r="N1699" s="25" t="s">
        <v>55</v>
      </c>
      <c r="O1699" s="26" t="s">
        <v>1482</v>
      </c>
      <c r="P1699" s="26"/>
      <c r="Q1699" s="26"/>
      <c r="R1699" s="5"/>
      <c r="S1699" s="5"/>
      <c r="T1699" s="5"/>
      <c r="U1699" s="5"/>
      <c r="V1699" s="5"/>
      <c r="W1699" s="5"/>
      <c r="X1699" s="5"/>
      <c r="Y1699" s="5"/>
    </row>
    <row r="1700" spans="13:25" ht="22.5" x14ac:dyDescent="0.2">
      <c r="M1700" s="26" t="s">
        <v>53</v>
      </c>
      <c r="N1700" s="25" t="s">
        <v>55</v>
      </c>
      <c r="O1700" s="26" t="s">
        <v>1483</v>
      </c>
      <c r="P1700" s="26"/>
      <c r="Q1700" s="26"/>
      <c r="R1700" s="5"/>
      <c r="S1700" s="5"/>
      <c r="T1700" s="5"/>
      <c r="U1700" s="5"/>
      <c r="V1700" s="5"/>
      <c r="W1700" s="5"/>
      <c r="X1700" s="5"/>
      <c r="Y1700" s="5"/>
    </row>
    <row r="1701" spans="13:25" ht="22.5" x14ac:dyDescent="0.2">
      <c r="M1701" s="26" t="s">
        <v>53</v>
      </c>
      <c r="N1701" s="25" t="s">
        <v>51</v>
      </c>
      <c r="O1701" s="26" t="s">
        <v>1484</v>
      </c>
      <c r="P1701" s="26"/>
      <c r="Q1701" s="26"/>
      <c r="R1701" s="5"/>
      <c r="S1701" s="5"/>
      <c r="T1701" s="5"/>
      <c r="U1701" s="5"/>
      <c r="V1701" s="5"/>
      <c r="W1701" s="5"/>
      <c r="X1701" s="5"/>
      <c r="Y1701" s="5"/>
    </row>
    <row r="1702" spans="13:25" ht="33.75" x14ac:dyDescent="0.2">
      <c r="M1702" s="26" t="s">
        <v>53</v>
      </c>
      <c r="N1702" s="25" t="s">
        <v>55</v>
      </c>
      <c r="O1702" s="26"/>
      <c r="P1702" s="26" t="s">
        <v>1485</v>
      </c>
      <c r="Q1702" s="26"/>
      <c r="R1702" s="5"/>
      <c r="S1702" s="5"/>
      <c r="T1702" s="5"/>
      <c r="U1702" s="5"/>
      <c r="V1702" s="5"/>
      <c r="W1702" s="5"/>
      <c r="X1702" s="5"/>
      <c r="Y1702" s="5"/>
    </row>
    <row r="1703" spans="13:25" ht="22.5" x14ac:dyDescent="0.2">
      <c r="M1703" s="26" t="s">
        <v>53</v>
      </c>
      <c r="N1703" s="25" t="s">
        <v>55</v>
      </c>
      <c r="O1703" s="26"/>
      <c r="P1703" s="26" t="s">
        <v>1486</v>
      </c>
      <c r="Q1703" s="26"/>
      <c r="R1703" s="5"/>
      <c r="S1703" s="5"/>
      <c r="T1703" s="5"/>
      <c r="U1703" s="5"/>
      <c r="V1703" s="5"/>
      <c r="W1703" s="5"/>
      <c r="X1703" s="5"/>
      <c r="Y1703" s="5"/>
    </row>
    <row r="1704" spans="13:25" ht="45" x14ac:dyDescent="0.2">
      <c r="M1704" s="26" t="s">
        <v>53</v>
      </c>
      <c r="N1704" s="25" t="s">
        <v>51</v>
      </c>
      <c r="O1704" s="26" t="s">
        <v>1487</v>
      </c>
      <c r="P1704" s="26"/>
      <c r="Q1704" s="26"/>
      <c r="R1704" s="5"/>
      <c r="S1704" s="5"/>
      <c r="T1704" s="5"/>
      <c r="U1704" s="5"/>
      <c r="V1704" s="5"/>
      <c r="W1704" s="5"/>
      <c r="X1704" s="5"/>
      <c r="Y1704" s="5"/>
    </row>
    <row r="1705" spans="13:25" ht="22.5" x14ac:dyDescent="0.2">
      <c r="M1705" s="26" t="s">
        <v>53</v>
      </c>
      <c r="N1705" s="25" t="s">
        <v>51</v>
      </c>
      <c r="O1705" s="26" t="s">
        <v>1488</v>
      </c>
      <c r="P1705" s="26"/>
      <c r="Q1705" s="26"/>
      <c r="R1705" s="5"/>
      <c r="S1705" s="5"/>
      <c r="T1705" s="5"/>
      <c r="U1705" s="5"/>
      <c r="V1705" s="5"/>
      <c r="W1705" s="5"/>
      <c r="X1705" s="5"/>
      <c r="Y1705" s="5"/>
    </row>
    <row r="1706" spans="13:25" ht="22.5" x14ac:dyDescent="0.2">
      <c r="M1706" s="26" t="s">
        <v>53</v>
      </c>
      <c r="N1706" s="25" t="s">
        <v>51</v>
      </c>
      <c r="O1706" s="26" t="s">
        <v>1489</v>
      </c>
      <c r="P1706" s="26"/>
      <c r="Q1706" s="26"/>
      <c r="R1706" s="5"/>
      <c r="S1706" s="5"/>
      <c r="T1706" s="5"/>
      <c r="U1706" s="5"/>
      <c r="V1706" s="5"/>
      <c r="W1706" s="5"/>
      <c r="X1706" s="5"/>
      <c r="Y1706" s="5"/>
    </row>
    <row r="1707" spans="13:25" ht="45" x14ac:dyDescent="0.2">
      <c r="M1707" s="26" t="s">
        <v>53</v>
      </c>
      <c r="N1707" s="25" t="s">
        <v>51</v>
      </c>
      <c r="O1707" s="26" t="s">
        <v>1490</v>
      </c>
      <c r="P1707" s="26"/>
      <c r="Q1707" s="26"/>
      <c r="R1707" s="5"/>
      <c r="S1707" s="5"/>
      <c r="T1707" s="5"/>
      <c r="U1707" s="5"/>
      <c r="V1707" s="5"/>
      <c r="W1707" s="5"/>
      <c r="X1707" s="5"/>
      <c r="Y1707" s="5"/>
    </row>
    <row r="1708" spans="13:25" ht="22.5" x14ac:dyDescent="0.2">
      <c r="M1708" s="26" t="s">
        <v>53</v>
      </c>
      <c r="N1708" s="25" t="s">
        <v>51</v>
      </c>
      <c r="O1708" s="26" t="s">
        <v>1491</v>
      </c>
      <c r="P1708" s="26"/>
      <c r="Q1708" s="26"/>
      <c r="R1708" s="5"/>
      <c r="S1708" s="5"/>
      <c r="T1708" s="5"/>
      <c r="U1708" s="5"/>
      <c r="V1708" s="5"/>
      <c r="W1708" s="5"/>
      <c r="X1708" s="5"/>
      <c r="Y1708" s="5"/>
    </row>
    <row r="1709" spans="13:25" ht="67.5" x14ac:dyDescent="0.2">
      <c r="M1709" s="26" t="s">
        <v>53</v>
      </c>
      <c r="N1709" s="25" t="s">
        <v>51</v>
      </c>
      <c r="O1709" s="26" t="s">
        <v>1492</v>
      </c>
      <c r="P1709" s="26"/>
      <c r="Q1709" s="26"/>
      <c r="R1709" s="5"/>
      <c r="S1709" s="5"/>
      <c r="T1709" s="5"/>
      <c r="U1709" s="5"/>
      <c r="V1709" s="5"/>
      <c r="W1709" s="5"/>
      <c r="X1709" s="5"/>
      <c r="Y1709" s="5"/>
    </row>
    <row r="1710" spans="13:25" ht="67.5" x14ac:dyDescent="0.2">
      <c r="M1710" s="26" t="s">
        <v>53</v>
      </c>
      <c r="N1710" s="25" t="s">
        <v>51</v>
      </c>
      <c r="O1710" s="26" t="s">
        <v>1493</v>
      </c>
      <c r="P1710" s="26"/>
      <c r="Q1710" s="26"/>
      <c r="R1710" s="5"/>
      <c r="S1710" s="5"/>
      <c r="T1710" s="5"/>
      <c r="U1710" s="5"/>
      <c r="V1710" s="5"/>
      <c r="W1710" s="5"/>
      <c r="X1710" s="5"/>
      <c r="Y1710" s="5"/>
    </row>
    <row r="1711" spans="13:25" ht="45" x14ac:dyDescent="0.2">
      <c r="M1711" s="26" t="s">
        <v>53</v>
      </c>
      <c r="N1711" s="25" t="s">
        <v>51</v>
      </c>
      <c r="O1711" s="26" t="s">
        <v>1494</v>
      </c>
      <c r="P1711" s="26"/>
      <c r="Q1711" s="26"/>
      <c r="R1711" s="5"/>
      <c r="S1711" s="5"/>
      <c r="T1711" s="5"/>
      <c r="U1711" s="5"/>
      <c r="V1711" s="5"/>
      <c r="W1711" s="5"/>
      <c r="X1711" s="5"/>
      <c r="Y1711" s="5"/>
    </row>
    <row r="1712" spans="13:25" ht="33.75" x14ac:dyDescent="0.2">
      <c r="M1712" s="26" t="s">
        <v>53</v>
      </c>
      <c r="N1712" s="25" t="s">
        <v>51</v>
      </c>
      <c r="O1712" s="26" t="s">
        <v>1495</v>
      </c>
      <c r="P1712" s="26"/>
      <c r="Q1712" s="26"/>
      <c r="R1712" s="5"/>
      <c r="S1712" s="5"/>
      <c r="T1712" s="5"/>
      <c r="U1712" s="5"/>
      <c r="V1712" s="5"/>
      <c r="W1712" s="5"/>
      <c r="X1712" s="5"/>
      <c r="Y1712" s="5"/>
    </row>
    <row r="1713" spans="13:25" ht="45" x14ac:dyDescent="0.2">
      <c r="M1713" s="26" t="s">
        <v>53</v>
      </c>
      <c r="N1713" s="25" t="s">
        <v>51</v>
      </c>
      <c r="O1713" s="26" t="s">
        <v>1496</v>
      </c>
      <c r="P1713" s="26"/>
      <c r="Q1713" s="26"/>
      <c r="R1713" s="5"/>
      <c r="S1713" s="5"/>
      <c r="T1713" s="5"/>
      <c r="U1713" s="5"/>
      <c r="V1713" s="5"/>
      <c r="W1713" s="5"/>
      <c r="X1713" s="5"/>
      <c r="Y1713" s="5"/>
    </row>
    <row r="1714" spans="13:25" ht="56.25" x14ac:dyDescent="0.2">
      <c r="M1714" s="26" t="s">
        <v>53</v>
      </c>
      <c r="N1714" s="25" t="s">
        <v>51</v>
      </c>
      <c r="O1714" s="26" t="s">
        <v>1497</v>
      </c>
      <c r="P1714" s="26"/>
      <c r="Q1714" s="26"/>
      <c r="R1714" s="5"/>
      <c r="S1714" s="5"/>
      <c r="T1714" s="5"/>
      <c r="U1714" s="5"/>
      <c r="V1714" s="5"/>
      <c r="W1714" s="5"/>
      <c r="X1714" s="5"/>
      <c r="Y1714" s="5"/>
    </row>
    <row r="1715" spans="13:25" ht="56.25" x14ac:dyDescent="0.2">
      <c r="M1715" s="26" t="s">
        <v>53</v>
      </c>
      <c r="N1715" s="25" t="s">
        <v>51</v>
      </c>
      <c r="O1715" s="26" t="s">
        <v>1498</v>
      </c>
      <c r="P1715" s="26"/>
      <c r="Q1715" s="26"/>
      <c r="R1715" s="5"/>
      <c r="S1715" s="5"/>
      <c r="T1715" s="5"/>
      <c r="U1715" s="5"/>
      <c r="V1715" s="5"/>
      <c r="W1715" s="5"/>
      <c r="X1715" s="5"/>
      <c r="Y1715" s="5"/>
    </row>
    <row r="1716" spans="13:25" ht="45" x14ac:dyDescent="0.2">
      <c r="M1716" s="26" t="s">
        <v>53</v>
      </c>
      <c r="N1716" s="25" t="s">
        <v>51</v>
      </c>
      <c r="O1716" s="26" t="s">
        <v>1499</v>
      </c>
      <c r="P1716" s="26"/>
      <c r="Q1716" s="26"/>
      <c r="R1716" s="5"/>
      <c r="S1716" s="5"/>
      <c r="T1716" s="5"/>
      <c r="U1716" s="5"/>
      <c r="V1716" s="5"/>
      <c r="W1716" s="5"/>
      <c r="X1716" s="5"/>
      <c r="Y1716" s="5"/>
    </row>
    <row r="1717" spans="13:25" ht="22.5" x14ac:dyDescent="0.2">
      <c r="M1717" s="26" t="s">
        <v>53</v>
      </c>
      <c r="N1717" s="25" t="s">
        <v>51</v>
      </c>
      <c r="O1717" s="26" t="s">
        <v>1500</v>
      </c>
      <c r="P1717" s="26"/>
      <c r="Q1717" s="26"/>
      <c r="R1717" s="5"/>
      <c r="S1717" s="5"/>
      <c r="T1717" s="5"/>
      <c r="U1717" s="5"/>
      <c r="V1717" s="5"/>
      <c r="W1717" s="5"/>
      <c r="X1717" s="5"/>
      <c r="Y1717" s="5"/>
    </row>
    <row r="1718" spans="13:25" ht="33.75" x14ac:dyDescent="0.2">
      <c r="M1718" s="26" t="s">
        <v>53</v>
      </c>
      <c r="N1718" s="25" t="s">
        <v>51</v>
      </c>
      <c r="O1718" s="26" t="s">
        <v>1501</v>
      </c>
      <c r="P1718" s="26"/>
      <c r="Q1718" s="26"/>
      <c r="R1718" s="5"/>
      <c r="S1718" s="5"/>
      <c r="T1718" s="5"/>
      <c r="U1718" s="5"/>
      <c r="V1718" s="5"/>
      <c r="W1718" s="5"/>
      <c r="X1718" s="5"/>
      <c r="Y1718" s="5"/>
    </row>
    <row r="1719" spans="13:25" ht="45" x14ac:dyDescent="0.2">
      <c r="M1719" s="26" t="s">
        <v>53</v>
      </c>
      <c r="N1719" s="25" t="s">
        <v>51</v>
      </c>
      <c r="O1719" s="26" t="s">
        <v>1502</v>
      </c>
      <c r="P1719" s="26"/>
      <c r="Q1719" s="26"/>
      <c r="R1719" s="5"/>
      <c r="S1719" s="5"/>
      <c r="T1719" s="5"/>
      <c r="U1719" s="5"/>
      <c r="V1719" s="5"/>
      <c r="W1719" s="5"/>
      <c r="X1719" s="5"/>
      <c r="Y1719" s="5"/>
    </row>
    <row r="1720" spans="13:25" ht="56.25" x14ac:dyDescent="0.2">
      <c r="M1720" s="26" t="s">
        <v>53</v>
      </c>
      <c r="N1720" s="25" t="s">
        <v>51</v>
      </c>
      <c r="O1720" s="26" t="s">
        <v>1503</v>
      </c>
      <c r="P1720" s="26"/>
      <c r="Q1720" s="26"/>
      <c r="R1720" s="5"/>
      <c r="S1720" s="5"/>
      <c r="T1720" s="5"/>
      <c r="U1720" s="5"/>
      <c r="V1720" s="5"/>
      <c r="W1720" s="5"/>
      <c r="X1720" s="5"/>
      <c r="Y1720" s="5"/>
    </row>
    <row r="1721" spans="13:25" ht="33.75" x14ac:dyDescent="0.2">
      <c r="M1721" s="26" t="s">
        <v>53</v>
      </c>
      <c r="N1721" s="25" t="s">
        <v>51</v>
      </c>
      <c r="O1721" s="26" t="s">
        <v>1504</v>
      </c>
      <c r="P1721" s="26"/>
      <c r="Q1721" s="26"/>
      <c r="R1721" s="5"/>
      <c r="S1721" s="5"/>
      <c r="T1721" s="5"/>
      <c r="U1721" s="5"/>
      <c r="V1721" s="5"/>
      <c r="W1721" s="5"/>
      <c r="X1721" s="5"/>
      <c r="Y1721" s="5"/>
    </row>
    <row r="1722" spans="13:25" ht="67.5" x14ac:dyDescent="0.2">
      <c r="M1722" s="26" t="s">
        <v>53</v>
      </c>
      <c r="N1722" s="25" t="s">
        <v>51</v>
      </c>
      <c r="O1722" s="26" t="s">
        <v>1505</v>
      </c>
      <c r="P1722" s="26"/>
      <c r="Q1722" s="26"/>
      <c r="R1722" s="5"/>
      <c r="S1722" s="5"/>
      <c r="T1722" s="5"/>
      <c r="U1722" s="5"/>
      <c r="V1722" s="5"/>
      <c r="W1722" s="5"/>
      <c r="X1722" s="5"/>
      <c r="Y1722" s="5"/>
    </row>
    <row r="1723" spans="13:25" ht="33.75" x14ac:dyDescent="0.2">
      <c r="M1723" s="26" t="s">
        <v>53</v>
      </c>
      <c r="N1723" s="25" t="s">
        <v>51</v>
      </c>
      <c r="O1723" s="26" t="s">
        <v>1506</v>
      </c>
      <c r="P1723" s="26"/>
      <c r="Q1723" s="26"/>
      <c r="R1723" s="5"/>
      <c r="S1723" s="5"/>
      <c r="T1723" s="5"/>
      <c r="U1723" s="5"/>
      <c r="V1723" s="5"/>
      <c r="W1723" s="5"/>
      <c r="X1723" s="5"/>
      <c r="Y1723" s="5"/>
    </row>
    <row r="1724" spans="13:25" ht="56.25" x14ac:dyDescent="0.2">
      <c r="M1724" s="26" t="s">
        <v>53</v>
      </c>
      <c r="N1724" s="25" t="s">
        <v>51</v>
      </c>
      <c r="O1724" s="26" t="s">
        <v>1507</v>
      </c>
      <c r="P1724" s="26"/>
      <c r="Q1724" s="26"/>
      <c r="R1724" s="5"/>
      <c r="S1724" s="5"/>
      <c r="T1724" s="5"/>
      <c r="U1724" s="5"/>
      <c r="V1724" s="5"/>
      <c r="W1724" s="5"/>
      <c r="X1724" s="5"/>
      <c r="Y1724" s="5"/>
    </row>
    <row r="1725" spans="13:25" ht="67.5" x14ac:dyDescent="0.2">
      <c r="M1725" s="26" t="s">
        <v>53</v>
      </c>
      <c r="N1725" s="25" t="s">
        <v>51</v>
      </c>
      <c r="O1725" s="26" t="s">
        <v>1508</v>
      </c>
      <c r="P1725" s="26"/>
      <c r="Q1725" s="26"/>
      <c r="R1725" s="5"/>
      <c r="S1725" s="5"/>
      <c r="T1725" s="5"/>
      <c r="U1725" s="5"/>
      <c r="V1725" s="5"/>
      <c r="W1725" s="5"/>
      <c r="X1725" s="5"/>
      <c r="Y1725" s="5"/>
    </row>
    <row r="1726" spans="13:25" ht="67.5" x14ac:dyDescent="0.2">
      <c r="M1726" s="26" t="s">
        <v>53</v>
      </c>
      <c r="N1726" s="25" t="s">
        <v>51</v>
      </c>
      <c r="O1726" s="26" t="s">
        <v>1509</v>
      </c>
      <c r="P1726" s="26"/>
      <c r="Q1726" s="26"/>
      <c r="R1726" s="5"/>
      <c r="S1726" s="5"/>
      <c r="T1726" s="5"/>
      <c r="U1726" s="5"/>
      <c r="V1726" s="5"/>
      <c r="W1726" s="5"/>
      <c r="X1726" s="5"/>
      <c r="Y1726" s="5"/>
    </row>
    <row r="1727" spans="13:25" ht="56.25" x14ac:dyDescent="0.2">
      <c r="M1727" s="26" t="s">
        <v>53</v>
      </c>
      <c r="N1727" s="25" t="s">
        <v>51</v>
      </c>
      <c r="O1727" s="26" t="s">
        <v>1510</v>
      </c>
      <c r="P1727" s="26"/>
      <c r="Q1727" s="26"/>
      <c r="R1727" s="5"/>
      <c r="S1727" s="5"/>
      <c r="T1727" s="5"/>
      <c r="U1727" s="5"/>
      <c r="V1727" s="5"/>
      <c r="W1727" s="5"/>
      <c r="X1727" s="5"/>
      <c r="Y1727" s="5"/>
    </row>
    <row r="1728" spans="13:25" ht="56.25" x14ac:dyDescent="0.2">
      <c r="M1728" s="26" t="s">
        <v>53</v>
      </c>
      <c r="N1728" s="25" t="s">
        <v>51</v>
      </c>
      <c r="O1728" s="26" t="s">
        <v>1511</v>
      </c>
      <c r="P1728" s="26"/>
      <c r="Q1728" s="26"/>
      <c r="R1728" s="5"/>
      <c r="S1728" s="5"/>
      <c r="T1728" s="5"/>
      <c r="U1728" s="5"/>
      <c r="V1728" s="5"/>
      <c r="W1728" s="5"/>
      <c r="X1728" s="5"/>
      <c r="Y1728" s="5"/>
    </row>
    <row r="1729" spans="13:25" ht="45" x14ac:dyDescent="0.2">
      <c r="M1729" s="26" t="s">
        <v>53</v>
      </c>
      <c r="N1729" s="25" t="s">
        <v>51</v>
      </c>
      <c r="O1729" s="26" t="s">
        <v>1512</v>
      </c>
      <c r="P1729" s="26"/>
      <c r="Q1729" s="26"/>
      <c r="R1729" s="5"/>
      <c r="S1729" s="5"/>
      <c r="T1729" s="5"/>
      <c r="U1729" s="5"/>
      <c r="V1729" s="5"/>
      <c r="W1729" s="5"/>
      <c r="X1729" s="5"/>
      <c r="Y1729" s="5"/>
    </row>
    <row r="1730" spans="13:25" ht="33.75" x14ac:dyDescent="0.2">
      <c r="M1730" s="26" t="s">
        <v>53</v>
      </c>
      <c r="N1730" s="25" t="s">
        <v>51</v>
      </c>
      <c r="O1730" s="26" t="s">
        <v>1513</v>
      </c>
      <c r="P1730" s="26"/>
      <c r="Q1730" s="26"/>
      <c r="R1730" s="5"/>
      <c r="S1730" s="5"/>
      <c r="T1730" s="5"/>
      <c r="U1730" s="5"/>
      <c r="V1730" s="5"/>
      <c r="W1730" s="5"/>
      <c r="X1730" s="5"/>
      <c r="Y1730" s="5"/>
    </row>
    <row r="1731" spans="13:25" ht="56.25" x14ac:dyDescent="0.2">
      <c r="M1731" s="26" t="s">
        <v>53</v>
      </c>
      <c r="N1731" s="25" t="s">
        <v>51</v>
      </c>
      <c r="O1731" s="26" t="s">
        <v>1514</v>
      </c>
      <c r="P1731" s="26"/>
      <c r="Q1731" s="26"/>
      <c r="R1731" s="5"/>
      <c r="S1731" s="5"/>
      <c r="T1731" s="5"/>
      <c r="U1731" s="5"/>
      <c r="V1731" s="5"/>
      <c r="W1731" s="5"/>
      <c r="X1731" s="5"/>
      <c r="Y1731" s="5"/>
    </row>
    <row r="1732" spans="13:25" ht="22.5" x14ac:dyDescent="0.2">
      <c r="M1732" s="26" t="s">
        <v>53</v>
      </c>
      <c r="N1732" s="25" t="s">
        <v>51</v>
      </c>
      <c r="O1732" s="26" t="s">
        <v>1515</v>
      </c>
      <c r="P1732" s="26"/>
      <c r="Q1732" s="26"/>
      <c r="R1732" s="5"/>
      <c r="S1732" s="5"/>
      <c r="T1732" s="5"/>
      <c r="U1732" s="5"/>
      <c r="V1732" s="5"/>
      <c r="W1732" s="5"/>
      <c r="X1732" s="5"/>
      <c r="Y1732" s="5"/>
    </row>
    <row r="1733" spans="13:25" ht="33.75" x14ac:dyDescent="0.2">
      <c r="M1733" s="26" t="s">
        <v>53</v>
      </c>
      <c r="N1733" s="25" t="s">
        <v>51</v>
      </c>
      <c r="O1733" s="26" t="s">
        <v>1516</v>
      </c>
      <c r="P1733" s="26"/>
      <c r="Q1733" s="26"/>
      <c r="R1733" s="5"/>
      <c r="S1733" s="5"/>
      <c r="T1733" s="5"/>
      <c r="U1733" s="5"/>
      <c r="V1733" s="5"/>
      <c r="W1733" s="5"/>
      <c r="X1733" s="5"/>
      <c r="Y1733" s="5"/>
    </row>
    <row r="1734" spans="13:25" ht="56.25" x14ac:dyDescent="0.2">
      <c r="M1734" s="26" t="s">
        <v>53</v>
      </c>
      <c r="N1734" s="25" t="s">
        <v>51</v>
      </c>
      <c r="O1734" s="26" t="s">
        <v>1517</v>
      </c>
      <c r="P1734" s="26"/>
      <c r="Q1734" s="26"/>
      <c r="R1734" s="5"/>
      <c r="S1734" s="5"/>
      <c r="T1734" s="5"/>
      <c r="U1734" s="5"/>
      <c r="V1734" s="5"/>
      <c r="W1734" s="5"/>
      <c r="X1734" s="5"/>
      <c r="Y1734" s="5"/>
    </row>
    <row r="1735" spans="13:25" ht="33.75" x14ac:dyDescent="0.2">
      <c r="M1735" s="26" t="s">
        <v>53</v>
      </c>
      <c r="N1735" s="25" t="s">
        <v>51</v>
      </c>
      <c r="O1735" s="26" t="s">
        <v>1518</v>
      </c>
      <c r="P1735" s="26"/>
      <c r="Q1735" s="26"/>
      <c r="R1735" s="5"/>
      <c r="S1735" s="5"/>
      <c r="T1735" s="5"/>
      <c r="U1735" s="5"/>
      <c r="V1735" s="5"/>
      <c r="W1735" s="5"/>
      <c r="X1735" s="5"/>
      <c r="Y1735" s="5"/>
    </row>
    <row r="1736" spans="13:25" ht="22.5" x14ac:dyDescent="0.2">
      <c r="M1736" s="26" t="s">
        <v>53</v>
      </c>
      <c r="N1736" s="25" t="s">
        <v>51</v>
      </c>
      <c r="O1736" s="26" t="s">
        <v>1519</v>
      </c>
      <c r="P1736" s="26"/>
      <c r="Q1736" s="26"/>
      <c r="R1736" s="5"/>
      <c r="S1736" s="5"/>
      <c r="T1736" s="5"/>
      <c r="U1736" s="5"/>
      <c r="V1736" s="5"/>
      <c r="W1736" s="5"/>
      <c r="X1736" s="5"/>
      <c r="Y1736" s="5"/>
    </row>
    <row r="1737" spans="13:25" ht="33.75" x14ac:dyDescent="0.2">
      <c r="M1737" s="26" t="s">
        <v>53</v>
      </c>
      <c r="N1737" s="25" t="s">
        <v>51</v>
      </c>
      <c r="O1737" s="26" t="s">
        <v>1513</v>
      </c>
      <c r="P1737" s="26"/>
      <c r="Q1737" s="26"/>
      <c r="R1737" s="5"/>
      <c r="S1737" s="5"/>
      <c r="T1737" s="5"/>
      <c r="U1737" s="5"/>
      <c r="V1737" s="5"/>
      <c r="W1737" s="5"/>
      <c r="X1737" s="5"/>
      <c r="Y1737" s="5"/>
    </row>
    <row r="1738" spans="13:25" ht="67.5" x14ac:dyDescent="0.2">
      <c r="M1738" s="26" t="s">
        <v>53</v>
      </c>
      <c r="N1738" s="25" t="s">
        <v>51</v>
      </c>
      <c r="O1738" s="26" t="s">
        <v>1520</v>
      </c>
      <c r="P1738" s="26"/>
      <c r="Q1738" s="26"/>
      <c r="R1738" s="5"/>
      <c r="S1738" s="5"/>
      <c r="T1738" s="5"/>
      <c r="U1738" s="5"/>
      <c r="V1738" s="5"/>
      <c r="W1738" s="5"/>
      <c r="X1738" s="5"/>
      <c r="Y1738" s="5"/>
    </row>
    <row r="1739" spans="13:25" ht="22.5" x14ac:dyDescent="0.2">
      <c r="M1739" s="26" t="s">
        <v>53</v>
      </c>
      <c r="N1739" s="25" t="s">
        <v>51</v>
      </c>
      <c r="O1739" s="26" t="s">
        <v>1521</v>
      </c>
      <c r="P1739" s="26"/>
      <c r="Q1739" s="26"/>
      <c r="R1739" s="5"/>
      <c r="S1739" s="5"/>
      <c r="T1739" s="5"/>
      <c r="U1739" s="5"/>
      <c r="V1739" s="5"/>
      <c r="W1739" s="5"/>
      <c r="X1739" s="5"/>
      <c r="Y1739" s="5"/>
    </row>
    <row r="1740" spans="13:25" ht="45" x14ac:dyDescent="0.2">
      <c r="M1740" s="26" t="s">
        <v>53</v>
      </c>
      <c r="N1740" s="25" t="s">
        <v>51</v>
      </c>
      <c r="O1740" s="26" t="s">
        <v>1522</v>
      </c>
      <c r="P1740" s="26"/>
      <c r="Q1740" s="26"/>
      <c r="R1740" s="5"/>
      <c r="S1740" s="5"/>
      <c r="T1740" s="5"/>
      <c r="U1740" s="5"/>
      <c r="V1740" s="5"/>
      <c r="W1740" s="5"/>
      <c r="X1740" s="5"/>
      <c r="Y1740" s="5"/>
    </row>
    <row r="1741" spans="13:25" ht="56.25" x14ac:dyDescent="0.2">
      <c r="M1741" s="26" t="s">
        <v>53</v>
      </c>
      <c r="N1741" s="25" t="s">
        <v>51</v>
      </c>
      <c r="O1741" s="26" t="s">
        <v>1523</v>
      </c>
      <c r="P1741" s="26"/>
      <c r="Q1741" s="26"/>
      <c r="R1741" s="5"/>
      <c r="S1741" s="5"/>
      <c r="T1741" s="5"/>
      <c r="U1741" s="5"/>
      <c r="V1741" s="5"/>
      <c r="W1741" s="5"/>
      <c r="X1741" s="5"/>
      <c r="Y1741" s="5"/>
    </row>
    <row r="1742" spans="13:25" ht="56.25" x14ac:dyDescent="0.2">
      <c r="M1742" s="26" t="s">
        <v>53</v>
      </c>
      <c r="N1742" s="25" t="s">
        <v>51</v>
      </c>
      <c r="O1742" s="26" t="s">
        <v>1524</v>
      </c>
      <c r="P1742" s="26"/>
      <c r="Q1742" s="26"/>
      <c r="R1742" s="5"/>
      <c r="S1742" s="5"/>
      <c r="T1742" s="5"/>
      <c r="U1742" s="5"/>
      <c r="V1742" s="5"/>
      <c r="W1742" s="5"/>
      <c r="X1742" s="5"/>
      <c r="Y1742" s="5"/>
    </row>
    <row r="1743" spans="13:25" ht="56.25" x14ac:dyDescent="0.2">
      <c r="M1743" s="26" t="s">
        <v>53</v>
      </c>
      <c r="N1743" s="25" t="s">
        <v>51</v>
      </c>
      <c r="O1743" s="26" t="s">
        <v>1525</v>
      </c>
      <c r="P1743" s="26"/>
      <c r="Q1743" s="26"/>
      <c r="R1743" s="5"/>
      <c r="S1743" s="5"/>
      <c r="T1743" s="5"/>
      <c r="U1743" s="5"/>
      <c r="V1743" s="5"/>
      <c r="W1743" s="5"/>
      <c r="X1743" s="5"/>
      <c r="Y1743" s="5"/>
    </row>
    <row r="1744" spans="13:25" ht="22.5" x14ac:dyDescent="0.2">
      <c r="M1744" s="26" t="s">
        <v>53</v>
      </c>
      <c r="N1744" s="25" t="s">
        <v>51</v>
      </c>
      <c r="O1744" s="26" t="s">
        <v>1526</v>
      </c>
      <c r="P1744" s="26"/>
      <c r="Q1744" s="26"/>
      <c r="R1744" s="5"/>
      <c r="S1744" s="5"/>
      <c r="T1744" s="5"/>
      <c r="U1744" s="5"/>
      <c r="V1744" s="5"/>
      <c r="W1744" s="5"/>
      <c r="X1744" s="5"/>
      <c r="Y1744" s="5"/>
    </row>
    <row r="1745" spans="13:25" ht="33.75" x14ac:dyDescent="0.2">
      <c r="M1745" s="26" t="s">
        <v>53</v>
      </c>
      <c r="N1745" s="25" t="s">
        <v>51</v>
      </c>
      <c r="O1745" s="26" t="s">
        <v>1527</v>
      </c>
      <c r="P1745" s="26"/>
      <c r="Q1745" s="26"/>
      <c r="R1745" s="5"/>
      <c r="S1745" s="5"/>
      <c r="T1745" s="5"/>
      <c r="U1745" s="5"/>
      <c r="V1745" s="5"/>
      <c r="W1745" s="5"/>
      <c r="X1745" s="5"/>
      <c r="Y1745" s="5"/>
    </row>
    <row r="1746" spans="13:25" ht="22.5" x14ac:dyDescent="0.2">
      <c r="M1746" s="26" t="s">
        <v>53</v>
      </c>
      <c r="N1746" s="25" t="s">
        <v>51</v>
      </c>
      <c r="O1746" s="26" t="s">
        <v>1528</v>
      </c>
      <c r="P1746" s="26"/>
      <c r="Q1746" s="26"/>
      <c r="R1746" s="5"/>
      <c r="S1746" s="5"/>
      <c r="T1746" s="5"/>
      <c r="U1746" s="5"/>
      <c r="V1746" s="5"/>
      <c r="W1746" s="5"/>
      <c r="X1746" s="5"/>
      <c r="Y1746" s="5"/>
    </row>
    <row r="1747" spans="13:25" ht="33.75" x14ac:dyDescent="0.2">
      <c r="M1747" s="26" t="s">
        <v>53</v>
      </c>
      <c r="N1747" s="25" t="s">
        <v>55</v>
      </c>
      <c r="O1747" s="26"/>
      <c r="P1747" s="26" t="s">
        <v>1529</v>
      </c>
      <c r="Q1747" s="26"/>
      <c r="R1747" s="5"/>
      <c r="S1747" s="5"/>
      <c r="T1747" s="5"/>
      <c r="U1747" s="5"/>
      <c r="V1747" s="5"/>
      <c r="W1747" s="5"/>
      <c r="X1747" s="5"/>
      <c r="Y1747" s="5"/>
    </row>
    <row r="1748" spans="13:25" ht="33.75" x14ac:dyDescent="0.2">
      <c r="M1748" s="26" t="s">
        <v>53</v>
      </c>
      <c r="N1748" s="25" t="s">
        <v>55</v>
      </c>
      <c r="O1748" s="26"/>
      <c r="P1748" s="26" t="s">
        <v>1530</v>
      </c>
      <c r="Q1748" s="26"/>
      <c r="R1748" s="5"/>
      <c r="S1748" s="5"/>
      <c r="T1748" s="5"/>
      <c r="U1748" s="5"/>
      <c r="V1748" s="5"/>
      <c r="W1748" s="5"/>
      <c r="X1748" s="5"/>
      <c r="Y1748" s="5"/>
    </row>
    <row r="1749" spans="13:25" ht="33.75" x14ac:dyDescent="0.2">
      <c r="M1749" s="26" t="s">
        <v>53</v>
      </c>
      <c r="N1749" s="25" t="s">
        <v>55</v>
      </c>
      <c r="O1749" s="26"/>
      <c r="P1749" s="26" t="s">
        <v>1531</v>
      </c>
      <c r="Q1749" s="26"/>
      <c r="R1749" s="5"/>
      <c r="S1749" s="5"/>
      <c r="T1749" s="5"/>
      <c r="U1749" s="5"/>
      <c r="V1749" s="5"/>
      <c r="W1749" s="5"/>
      <c r="X1749" s="5"/>
      <c r="Y1749" s="5"/>
    </row>
    <row r="1750" spans="13:25" ht="33.75" x14ac:dyDescent="0.2">
      <c r="M1750" s="26" t="s">
        <v>53</v>
      </c>
      <c r="N1750" s="25" t="s">
        <v>51</v>
      </c>
      <c r="O1750" s="26" t="s">
        <v>1532</v>
      </c>
      <c r="P1750" s="26"/>
      <c r="Q1750" s="26"/>
      <c r="R1750" s="5"/>
      <c r="S1750" s="5"/>
      <c r="T1750" s="5"/>
      <c r="U1750" s="5"/>
      <c r="V1750" s="5"/>
      <c r="W1750" s="5"/>
      <c r="X1750" s="5"/>
      <c r="Y1750" s="5"/>
    </row>
    <row r="1751" spans="13:25" ht="56.25" x14ac:dyDescent="0.2">
      <c r="M1751" s="26" t="s">
        <v>53</v>
      </c>
      <c r="N1751" s="25" t="s">
        <v>51</v>
      </c>
      <c r="O1751" s="26" t="s">
        <v>1533</v>
      </c>
      <c r="P1751" s="26"/>
      <c r="Q1751" s="26"/>
      <c r="R1751" s="5"/>
      <c r="S1751" s="5"/>
      <c r="T1751" s="5"/>
      <c r="U1751" s="5"/>
      <c r="V1751" s="5"/>
      <c r="W1751" s="5"/>
      <c r="X1751" s="5"/>
      <c r="Y1751" s="5"/>
    </row>
    <row r="1752" spans="13:25" ht="22.5" x14ac:dyDescent="0.2">
      <c r="M1752" s="26" t="s">
        <v>53</v>
      </c>
      <c r="N1752" s="25" t="s">
        <v>51</v>
      </c>
      <c r="O1752" s="26" t="s">
        <v>1534</v>
      </c>
      <c r="P1752" s="26"/>
      <c r="Q1752" s="26"/>
      <c r="R1752" s="5"/>
      <c r="S1752" s="5"/>
      <c r="T1752" s="5"/>
      <c r="U1752" s="5"/>
      <c r="V1752" s="5"/>
      <c r="W1752" s="5"/>
      <c r="X1752" s="5"/>
      <c r="Y1752" s="5"/>
    </row>
    <row r="1753" spans="13:25" ht="45" x14ac:dyDescent="0.2">
      <c r="M1753" s="26" t="s">
        <v>53</v>
      </c>
      <c r="N1753" s="25" t="s">
        <v>55</v>
      </c>
      <c r="O1753" s="26" t="s">
        <v>1535</v>
      </c>
      <c r="P1753" s="26"/>
      <c r="Q1753" s="26"/>
      <c r="R1753" s="5"/>
      <c r="S1753" s="5"/>
      <c r="T1753" s="5"/>
      <c r="U1753" s="5"/>
      <c r="V1753" s="5"/>
      <c r="W1753" s="5"/>
      <c r="X1753" s="5"/>
      <c r="Y1753" s="5"/>
    </row>
    <row r="1754" spans="13:25" ht="22.5" x14ac:dyDescent="0.2">
      <c r="M1754" s="26" t="s">
        <v>53</v>
      </c>
      <c r="N1754" s="25" t="s">
        <v>51</v>
      </c>
      <c r="O1754" s="26" t="s">
        <v>1536</v>
      </c>
      <c r="P1754" s="26"/>
      <c r="Q1754" s="26"/>
      <c r="R1754" s="5"/>
      <c r="S1754" s="5"/>
      <c r="T1754" s="5"/>
      <c r="U1754" s="5"/>
      <c r="V1754" s="5"/>
      <c r="W1754" s="5"/>
      <c r="X1754" s="5"/>
      <c r="Y1754" s="5"/>
    </row>
    <row r="1755" spans="13:25" ht="56.25" x14ac:dyDescent="0.2">
      <c r="M1755" s="26" t="s">
        <v>53</v>
      </c>
      <c r="N1755" s="25" t="s">
        <v>51</v>
      </c>
      <c r="O1755" s="26" t="s">
        <v>1537</v>
      </c>
      <c r="P1755" s="26"/>
      <c r="Q1755" s="26"/>
      <c r="R1755" s="5"/>
      <c r="S1755" s="5"/>
      <c r="T1755" s="5"/>
      <c r="U1755" s="5"/>
      <c r="V1755" s="5"/>
      <c r="W1755" s="5"/>
      <c r="X1755" s="5"/>
      <c r="Y1755" s="5"/>
    </row>
    <row r="1756" spans="13:25" ht="22.5" x14ac:dyDescent="0.2">
      <c r="M1756" s="26" t="s">
        <v>53</v>
      </c>
      <c r="N1756" s="25" t="s">
        <v>51</v>
      </c>
      <c r="O1756" s="26" t="s">
        <v>1538</v>
      </c>
      <c r="P1756" s="26"/>
      <c r="Q1756" s="26"/>
      <c r="R1756" s="5"/>
      <c r="S1756" s="5"/>
      <c r="T1756" s="5"/>
      <c r="U1756" s="5"/>
      <c r="V1756" s="5"/>
      <c r="W1756" s="5"/>
      <c r="X1756" s="5"/>
      <c r="Y1756" s="5"/>
    </row>
    <row r="1757" spans="13:25" ht="22.5" x14ac:dyDescent="0.2">
      <c r="M1757" s="26" t="s">
        <v>53</v>
      </c>
      <c r="N1757" s="25" t="s">
        <v>55</v>
      </c>
      <c r="O1757" s="26" t="s">
        <v>1539</v>
      </c>
      <c r="P1757" s="26"/>
      <c r="Q1757" s="26"/>
      <c r="R1757" s="5"/>
      <c r="S1757" s="5"/>
      <c r="T1757" s="5"/>
      <c r="U1757" s="5"/>
      <c r="V1757" s="5"/>
      <c r="W1757" s="5"/>
      <c r="X1757" s="5"/>
      <c r="Y1757" s="5"/>
    </row>
    <row r="1758" spans="13:25" ht="33.75" x14ac:dyDescent="0.2">
      <c r="M1758" s="26" t="s">
        <v>53</v>
      </c>
      <c r="N1758" s="25" t="s">
        <v>55</v>
      </c>
      <c r="O1758" s="26" t="s">
        <v>1540</v>
      </c>
      <c r="P1758" s="26"/>
      <c r="Q1758" s="26"/>
      <c r="R1758" s="5"/>
      <c r="S1758" s="5"/>
      <c r="T1758" s="5"/>
      <c r="U1758" s="5"/>
      <c r="V1758" s="5"/>
      <c r="W1758" s="5"/>
      <c r="X1758" s="5"/>
      <c r="Y1758" s="5"/>
    </row>
    <row r="1759" spans="13:25" ht="33.75" x14ac:dyDescent="0.2">
      <c r="M1759" s="26" t="s">
        <v>53</v>
      </c>
      <c r="N1759" s="25" t="s">
        <v>55</v>
      </c>
      <c r="O1759" s="26" t="s">
        <v>1541</v>
      </c>
      <c r="P1759" s="26"/>
      <c r="Q1759" s="26"/>
      <c r="R1759" s="5"/>
      <c r="S1759" s="5"/>
      <c r="T1759" s="5"/>
      <c r="U1759" s="5"/>
      <c r="V1759" s="5"/>
      <c r="W1759" s="5"/>
      <c r="X1759" s="5"/>
      <c r="Y1759" s="5"/>
    </row>
    <row r="1760" spans="13:25" ht="101.25" x14ac:dyDescent="0.2">
      <c r="M1760" s="26" t="s">
        <v>53</v>
      </c>
      <c r="N1760" s="25" t="s">
        <v>55</v>
      </c>
      <c r="O1760" s="26" t="s">
        <v>1542</v>
      </c>
      <c r="P1760" s="26"/>
      <c r="Q1760" s="26"/>
      <c r="R1760" s="5"/>
      <c r="S1760" s="5"/>
      <c r="T1760" s="5"/>
      <c r="U1760" s="5"/>
      <c r="V1760" s="5"/>
      <c r="W1760" s="5"/>
      <c r="X1760" s="5"/>
      <c r="Y1760" s="5"/>
    </row>
    <row r="1761" spans="13:25" ht="22.5" x14ac:dyDescent="0.2">
      <c r="M1761" s="26" t="s">
        <v>53</v>
      </c>
      <c r="N1761" s="25" t="s">
        <v>51</v>
      </c>
      <c r="O1761" s="26" t="s">
        <v>1543</v>
      </c>
      <c r="P1761" s="26"/>
      <c r="Q1761" s="26"/>
      <c r="R1761" s="5"/>
      <c r="S1761" s="5"/>
      <c r="T1761" s="5"/>
      <c r="U1761" s="5"/>
      <c r="V1761" s="5"/>
      <c r="W1761" s="5"/>
      <c r="X1761" s="5"/>
      <c r="Y1761" s="5"/>
    </row>
    <row r="1762" spans="13:25" ht="22.5" x14ac:dyDescent="0.2">
      <c r="M1762" s="26" t="s">
        <v>53</v>
      </c>
      <c r="N1762" s="25" t="s">
        <v>51</v>
      </c>
      <c r="O1762" s="26" t="s">
        <v>1544</v>
      </c>
      <c r="P1762" s="26"/>
      <c r="Q1762" s="26"/>
      <c r="R1762" s="5"/>
      <c r="S1762" s="5"/>
      <c r="T1762" s="5"/>
      <c r="U1762" s="5"/>
      <c r="V1762" s="5"/>
      <c r="W1762" s="5"/>
      <c r="X1762" s="5"/>
      <c r="Y1762" s="5"/>
    </row>
    <row r="1763" spans="13:25" ht="22.5" x14ac:dyDescent="0.2">
      <c r="M1763" s="26" t="s">
        <v>53</v>
      </c>
      <c r="N1763" s="25" t="s">
        <v>55</v>
      </c>
      <c r="O1763" s="26" t="s">
        <v>1545</v>
      </c>
      <c r="P1763" s="26"/>
      <c r="Q1763" s="26"/>
      <c r="R1763" s="5"/>
      <c r="S1763" s="5"/>
      <c r="T1763" s="5"/>
      <c r="U1763" s="5"/>
      <c r="V1763" s="5"/>
      <c r="W1763" s="5"/>
      <c r="X1763" s="5"/>
      <c r="Y1763" s="5"/>
    </row>
    <row r="1764" spans="13:25" ht="67.5" x14ac:dyDescent="0.2">
      <c r="M1764" s="26" t="s">
        <v>53</v>
      </c>
      <c r="N1764" s="25" t="s">
        <v>51</v>
      </c>
      <c r="O1764" s="26" t="s">
        <v>1546</v>
      </c>
      <c r="P1764" s="26"/>
      <c r="Q1764" s="26"/>
      <c r="R1764" s="5"/>
      <c r="S1764" s="5"/>
      <c r="T1764" s="5"/>
      <c r="U1764" s="5"/>
      <c r="V1764" s="5"/>
      <c r="W1764" s="5"/>
      <c r="X1764" s="5"/>
      <c r="Y1764" s="5"/>
    </row>
    <row r="1765" spans="13:25" ht="22.5" x14ac:dyDescent="0.2">
      <c r="M1765" s="26" t="s">
        <v>53</v>
      </c>
      <c r="N1765" s="25" t="s">
        <v>51</v>
      </c>
      <c r="O1765" s="26" t="s">
        <v>1547</v>
      </c>
      <c r="P1765" s="26"/>
      <c r="Q1765" s="26"/>
      <c r="R1765" s="5"/>
      <c r="S1765" s="5"/>
      <c r="T1765" s="5"/>
      <c r="U1765" s="5"/>
      <c r="V1765" s="5"/>
      <c r="W1765" s="5"/>
      <c r="X1765" s="5"/>
      <c r="Y1765" s="5"/>
    </row>
    <row r="1766" spans="13:25" ht="22.5" x14ac:dyDescent="0.2">
      <c r="M1766" s="26" t="s">
        <v>53</v>
      </c>
      <c r="N1766" s="25" t="s">
        <v>70</v>
      </c>
      <c r="O1766" s="26" t="s">
        <v>1548</v>
      </c>
      <c r="P1766" s="26"/>
      <c r="Q1766" s="26"/>
      <c r="R1766" s="5"/>
      <c r="S1766" s="5"/>
      <c r="T1766" s="5"/>
      <c r="U1766" s="5"/>
      <c r="V1766" s="5"/>
      <c r="W1766" s="5"/>
      <c r="X1766" s="5"/>
      <c r="Y1766" s="5"/>
    </row>
    <row r="1767" spans="13:25" ht="22.5" x14ac:dyDescent="0.2">
      <c r="M1767" s="26" t="s">
        <v>53</v>
      </c>
      <c r="N1767" s="25" t="s">
        <v>51</v>
      </c>
      <c r="O1767" s="26" t="s">
        <v>1549</v>
      </c>
      <c r="P1767" s="26"/>
      <c r="Q1767" s="26"/>
      <c r="R1767" s="5"/>
      <c r="S1767" s="5"/>
      <c r="T1767" s="5"/>
      <c r="U1767" s="5"/>
      <c r="V1767" s="5"/>
      <c r="W1767" s="5"/>
      <c r="X1767" s="5"/>
      <c r="Y1767" s="5"/>
    </row>
    <row r="1768" spans="13:25" ht="56.25" x14ac:dyDescent="0.2">
      <c r="M1768" s="26" t="s">
        <v>53</v>
      </c>
      <c r="N1768" s="25" t="s">
        <v>70</v>
      </c>
      <c r="O1768" s="26"/>
      <c r="P1768" s="26" t="s">
        <v>1550</v>
      </c>
      <c r="Q1768" s="26"/>
      <c r="R1768" s="5"/>
      <c r="S1768" s="5"/>
      <c r="T1768" s="5"/>
      <c r="U1768" s="5"/>
      <c r="V1768" s="5"/>
      <c r="W1768" s="5"/>
      <c r="X1768" s="5"/>
      <c r="Y1768" s="5"/>
    </row>
    <row r="1769" spans="13:25" ht="33.75" x14ac:dyDescent="0.2">
      <c r="M1769" s="26" t="s">
        <v>53</v>
      </c>
      <c r="N1769" s="25" t="s">
        <v>70</v>
      </c>
      <c r="O1769" s="26"/>
      <c r="P1769" s="26" t="s">
        <v>1551</v>
      </c>
      <c r="Q1769" s="26"/>
      <c r="R1769" s="5"/>
      <c r="S1769" s="5"/>
      <c r="T1769" s="5"/>
      <c r="U1769" s="5"/>
      <c r="V1769" s="5"/>
      <c r="W1769" s="5"/>
      <c r="X1769" s="5"/>
      <c r="Y1769" s="5"/>
    </row>
    <row r="1770" spans="13:25" ht="22.5" x14ac:dyDescent="0.2">
      <c r="M1770" s="26" t="s">
        <v>53</v>
      </c>
      <c r="N1770" s="25" t="s">
        <v>51</v>
      </c>
      <c r="O1770" s="26" t="s">
        <v>1552</v>
      </c>
      <c r="P1770" s="26"/>
      <c r="Q1770" s="26"/>
      <c r="R1770" s="5"/>
      <c r="S1770" s="5"/>
      <c r="T1770" s="5"/>
      <c r="U1770" s="5"/>
      <c r="V1770" s="5"/>
      <c r="W1770" s="5"/>
      <c r="X1770" s="5"/>
      <c r="Y1770" s="5"/>
    </row>
    <row r="1771" spans="13:25" ht="33.75" x14ac:dyDescent="0.2">
      <c r="M1771" s="26" t="s">
        <v>53</v>
      </c>
      <c r="N1771" s="25" t="s">
        <v>55</v>
      </c>
      <c r="O1771" s="26"/>
      <c r="P1771" s="26" t="s">
        <v>1529</v>
      </c>
      <c r="Q1771" s="26"/>
      <c r="R1771" s="5"/>
      <c r="S1771" s="5"/>
      <c r="T1771" s="5"/>
      <c r="U1771" s="5"/>
      <c r="V1771" s="5"/>
      <c r="W1771" s="5"/>
      <c r="X1771" s="5"/>
      <c r="Y1771" s="5"/>
    </row>
    <row r="1772" spans="13:25" ht="33.75" x14ac:dyDescent="0.2">
      <c r="M1772" s="26" t="s">
        <v>53</v>
      </c>
      <c r="N1772" s="25" t="s">
        <v>55</v>
      </c>
      <c r="O1772" s="26"/>
      <c r="P1772" s="26" t="s">
        <v>1530</v>
      </c>
      <c r="Q1772" s="26"/>
      <c r="R1772" s="5"/>
      <c r="S1772" s="5"/>
      <c r="T1772" s="5"/>
      <c r="U1772" s="5"/>
      <c r="V1772" s="5"/>
      <c r="W1772" s="5"/>
      <c r="X1772" s="5"/>
      <c r="Y1772" s="5"/>
    </row>
    <row r="1773" spans="13:25" ht="22.5" x14ac:dyDescent="0.2">
      <c r="M1773" s="26" t="s">
        <v>53</v>
      </c>
      <c r="N1773" s="25" t="s">
        <v>51</v>
      </c>
      <c r="O1773" s="26" t="s">
        <v>1553</v>
      </c>
      <c r="P1773" s="26"/>
      <c r="Q1773" s="26"/>
      <c r="R1773" s="5"/>
      <c r="S1773" s="5"/>
      <c r="T1773" s="5"/>
      <c r="U1773" s="5"/>
      <c r="V1773" s="5"/>
      <c r="W1773" s="5"/>
      <c r="X1773" s="5"/>
      <c r="Y1773" s="5"/>
    </row>
    <row r="1774" spans="13:25" ht="33.75" x14ac:dyDescent="0.2">
      <c r="M1774" s="26" t="s">
        <v>53</v>
      </c>
      <c r="N1774" s="25" t="s">
        <v>55</v>
      </c>
      <c r="O1774" s="26"/>
      <c r="P1774" s="26" t="s">
        <v>376</v>
      </c>
      <c r="Q1774" s="26"/>
      <c r="R1774" s="5"/>
      <c r="S1774" s="5"/>
      <c r="T1774" s="5"/>
      <c r="U1774" s="5"/>
      <c r="V1774" s="5"/>
      <c r="W1774" s="5"/>
      <c r="X1774" s="5"/>
      <c r="Y1774" s="5"/>
    </row>
    <row r="1775" spans="13:25" ht="33.75" x14ac:dyDescent="0.2">
      <c r="M1775" s="26" t="s">
        <v>53</v>
      </c>
      <c r="N1775" s="25" t="s">
        <v>55</v>
      </c>
      <c r="O1775" s="26"/>
      <c r="P1775" s="26" t="s">
        <v>1554</v>
      </c>
      <c r="Q1775" s="26"/>
      <c r="R1775" s="5"/>
      <c r="S1775" s="5"/>
      <c r="T1775" s="5"/>
      <c r="U1775" s="5"/>
      <c r="V1775" s="5"/>
      <c r="W1775" s="5"/>
      <c r="X1775" s="5"/>
      <c r="Y1775" s="5"/>
    </row>
    <row r="1776" spans="13:25" ht="33.75" x14ac:dyDescent="0.2">
      <c r="M1776" s="26" t="s">
        <v>53</v>
      </c>
      <c r="N1776" s="25" t="s">
        <v>55</v>
      </c>
      <c r="O1776" s="26"/>
      <c r="P1776" s="26" t="s">
        <v>1420</v>
      </c>
      <c r="Q1776" s="26"/>
      <c r="R1776" s="5"/>
      <c r="S1776" s="5"/>
      <c r="T1776" s="5"/>
      <c r="U1776" s="5"/>
      <c r="V1776" s="5"/>
      <c r="W1776" s="5"/>
      <c r="X1776" s="5"/>
      <c r="Y1776" s="5"/>
    </row>
    <row r="1777" spans="13:25" ht="33.75" x14ac:dyDescent="0.2">
      <c r="M1777" s="26" t="s">
        <v>53</v>
      </c>
      <c r="N1777" s="25" t="s">
        <v>55</v>
      </c>
      <c r="O1777" s="26"/>
      <c r="P1777" s="26" t="s">
        <v>1555</v>
      </c>
      <c r="Q1777" s="26"/>
      <c r="R1777" s="5"/>
      <c r="S1777" s="5"/>
      <c r="T1777" s="5"/>
      <c r="U1777" s="5"/>
      <c r="V1777" s="5"/>
      <c r="W1777" s="5"/>
      <c r="X1777" s="5"/>
      <c r="Y1777" s="5"/>
    </row>
    <row r="1778" spans="13:25" ht="67.5" x14ac:dyDescent="0.2">
      <c r="M1778" s="26" t="s">
        <v>53</v>
      </c>
      <c r="N1778" s="25" t="s">
        <v>55</v>
      </c>
      <c r="O1778" s="26"/>
      <c r="P1778" s="26" t="s">
        <v>1556</v>
      </c>
      <c r="Q1778" s="26"/>
      <c r="R1778" s="5"/>
      <c r="S1778" s="5"/>
      <c r="T1778" s="5"/>
      <c r="U1778" s="5"/>
      <c r="V1778" s="5"/>
      <c r="W1778" s="5"/>
      <c r="X1778" s="5"/>
      <c r="Y1778" s="5"/>
    </row>
    <row r="1779" spans="13:25" ht="67.5" x14ac:dyDescent="0.2">
      <c r="M1779" s="26" t="s">
        <v>53</v>
      </c>
      <c r="N1779" s="25" t="s">
        <v>55</v>
      </c>
      <c r="O1779" s="26"/>
      <c r="P1779" s="26" t="s">
        <v>1557</v>
      </c>
      <c r="Q1779" s="26"/>
      <c r="R1779" s="5"/>
      <c r="S1779" s="5"/>
      <c r="T1779" s="5"/>
      <c r="U1779" s="5"/>
      <c r="V1779" s="5"/>
      <c r="W1779" s="5"/>
      <c r="X1779" s="5"/>
      <c r="Y1779" s="5"/>
    </row>
    <row r="1780" spans="13:25" ht="33.75" x14ac:dyDescent="0.2">
      <c r="M1780" s="26" t="s">
        <v>53</v>
      </c>
      <c r="N1780" s="25" t="s">
        <v>55</v>
      </c>
      <c r="O1780" s="26"/>
      <c r="P1780" s="26" t="s">
        <v>1558</v>
      </c>
      <c r="Q1780" s="26"/>
      <c r="R1780" s="5"/>
      <c r="S1780" s="5"/>
      <c r="T1780" s="5"/>
      <c r="U1780" s="5"/>
      <c r="V1780" s="5"/>
      <c r="W1780" s="5"/>
      <c r="X1780" s="5"/>
      <c r="Y1780" s="5"/>
    </row>
    <row r="1781" spans="13:25" ht="22.5" x14ac:dyDescent="0.2">
      <c r="M1781" s="26" t="s">
        <v>53</v>
      </c>
      <c r="N1781" s="25" t="s">
        <v>51</v>
      </c>
      <c r="O1781" s="26" t="s">
        <v>1559</v>
      </c>
      <c r="P1781" s="26"/>
      <c r="Q1781" s="26"/>
      <c r="R1781" s="5"/>
      <c r="S1781" s="5"/>
      <c r="T1781" s="5"/>
      <c r="U1781" s="5"/>
      <c r="V1781" s="5"/>
      <c r="W1781" s="5"/>
      <c r="X1781" s="5"/>
      <c r="Y1781" s="5"/>
    </row>
    <row r="1782" spans="13:25" ht="33.75" x14ac:dyDescent="0.2">
      <c r="M1782" s="26" t="s">
        <v>53</v>
      </c>
      <c r="N1782" s="25" t="s">
        <v>55</v>
      </c>
      <c r="O1782" s="26"/>
      <c r="P1782" s="26" t="s">
        <v>376</v>
      </c>
      <c r="Q1782" s="26"/>
      <c r="R1782" s="5"/>
      <c r="S1782" s="5"/>
      <c r="T1782" s="5"/>
      <c r="U1782" s="5"/>
      <c r="V1782" s="5"/>
      <c r="W1782" s="5"/>
      <c r="X1782" s="5"/>
      <c r="Y1782" s="5"/>
    </row>
    <row r="1783" spans="13:25" ht="33.75" x14ac:dyDescent="0.2">
      <c r="M1783" s="26" t="s">
        <v>53</v>
      </c>
      <c r="N1783" s="25" t="s">
        <v>55</v>
      </c>
      <c r="O1783" s="26"/>
      <c r="P1783" s="26" t="s">
        <v>1560</v>
      </c>
      <c r="Q1783" s="26"/>
      <c r="R1783" s="5"/>
      <c r="S1783" s="5"/>
      <c r="T1783" s="5"/>
      <c r="U1783" s="5"/>
      <c r="V1783" s="5"/>
      <c r="W1783" s="5"/>
      <c r="X1783" s="5"/>
      <c r="Y1783" s="5"/>
    </row>
    <row r="1784" spans="13:25" ht="22.5" x14ac:dyDescent="0.2">
      <c r="M1784" s="26" t="s">
        <v>53</v>
      </c>
      <c r="N1784" s="25" t="s">
        <v>55</v>
      </c>
      <c r="O1784" s="26"/>
      <c r="P1784" s="26" t="s">
        <v>1561</v>
      </c>
      <c r="Q1784" s="26"/>
      <c r="R1784" s="5"/>
      <c r="S1784" s="5"/>
      <c r="T1784" s="5"/>
      <c r="U1784" s="5"/>
      <c r="V1784" s="5"/>
      <c r="W1784" s="5"/>
      <c r="X1784" s="5"/>
      <c r="Y1784" s="5"/>
    </row>
    <row r="1785" spans="13:25" ht="22.5" x14ac:dyDescent="0.2">
      <c r="M1785" s="26" t="s">
        <v>53</v>
      </c>
      <c r="N1785" s="25" t="s">
        <v>55</v>
      </c>
      <c r="O1785" s="26"/>
      <c r="P1785" s="26" t="s">
        <v>1562</v>
      </c>
      <c r="Q1785" s="26"/>
      <c r="R1785" s="5"/>
      <c r="S1785" s="5"/>
      <c r="T1785" s="5"/>
      <c r="U1785" s="5"/>
      <c r="V1785" s="5"/>
      <c r="W1785" s="5"/>
      <c r="X1785" s="5"/>
      <c r="Y1785" s="5"/>
    </row>
    <row r="1786" spans="13:25" ht="22.5" x14ac:dyDescent="0.2">
      <c r="M1786" s="26" t="s">
        <v>53</v>
      </c>
      <c r="N1786" s="25" t="s">
        <v>55</v>
      </c>
      <c r="O1786" s="26"/>
      <c r="P1786" s="26" t="s">
        <v>1563</v>
      </c>
      <c r="Q1786" s="26"/>
      <c r="R1786" s="5"/>
      <c r="S1786" s="5"/>
      <c r="T1786" s="5"/>
      <c r="U1786" s="5"/>
      <c r="V1786" s="5"/>
      <c r="W1786" s="5"/>
      <c r="X1786" s="5"/>
      <c r="Y1786" s="5"/>
    </row>
    <row r="1787" spans="13:25" ht="22.5" x14ac:dyDescent="0.2">
      <c r="M1787" s="26" t="s">
        <v>53</v>
      </c>
      <c r="N1787" s="25" t="s">
        <v>51</v>
      </c>
      <c r="O1787" s="26" t="s">
        <v>1564</v>
      </c>
      <c r="P1787" s="26"/>
      <c r="Q1787" s="26"/>
      <c r="R1787" s="5"/>
      <c r="S1787" s="5"/>
      <c r="T1787" s="5"/>
      <c r="U1787" s="5"/>
      <c r="V1787" s="5"/>
      <c r="W1787" s="5"/>
      <c r="X1787" s="5"/>
      <c r="Y1787" s="5"/>
    </row>
    <row r="1788" spans="13:25" ht="22.5" x14ac:dyDescent="0.2">
      <c r="M1788" s="26" t="s">
        <v>53</v>
      </c>
      <c r="N1788" s="25" t="s">
        <v>51</v>
      </c>
      <c r="O1788" s="26" t="s">
        <v>1565</v>
      </c>
      <c r="P1788" s="26"/>
      <c r="Q1788" s="26"/>
      <c r="R1788" s="5"/>
      <c r="S1788" s="5"/>
      <c r="T1788" s="5"/>
      <c r="U1788" s="5"/>
      <c r="V1788" s="5"/>
      <c r="W1788" s="5"/>
      <c r="X1788" s="5"/>
      <c r="Y1788" s="5"/>
    </row>
    <row r="1789" spans="13:25" ht="22.5" x14ac:dyDescent="0.2">
      <c r="M1789" s="26" t="s">
        <v>53</v>
      </c>
      <c r="N1789" s="25" t="s">
        <v>51</v>
      </c>
      <c r="O1789" s="26" t="s">
        <v>1566</v>
      </c>
      <c r="P1789" s="26"/>
      <c r="Q1789" s="26"/>
      <c r="R1789" s="5"/>
      <c r="S1789" s="5"/>
      <c r="T1789" s="5"/>
      <c r="U1789" s="5"/>
      <c r="V1789" s="5"/>
      <c r="W1789" s="5"/>
      <c r="X1789" s="5"/>
      <c r="Y1789" s="5"/>
    </row>
    <row r="1790" spans="13:25" ht="33.75" x14ac:dyDescent="0.2">
      <c r="M1790" s="26" t="s">
        <v>53</v>
      </c>
      <c r="N1790" s="25" t="s">
        <v>51</v>
      </c>
      <c r="O1790" s="26" t="s">
        <v>1567</v>
      </c>
      <c r="P1790" s="26"/>
      <c r="Q1790" s="26"/>
      <c r="R1790" s="5"/>
      <c r="S1790" s="5"/>
      <c r="T1790" s="5"/>
      <c r="U1790" s="5"/>
      <c r="V1790" s="5"/>
      <c r="W1790" s="5"/>
      <c r="X1790" s="5"/>
      <c r="Y1790" s="5"/>
    </row>
    <row r="1791" spans="13:25" ht="33.75" x14ac:dyDescent="0.2">
      <c r="M1791" s="26" t="s">
        <v>53</v>
      </c>
      <c r="N1791" s="25" t="s">
        <v>51</v>
      </c>
      <c r="O1791" s="26" t="s">
        <v>1568</v>
      </c>
      <c r="P1791" s="26"/>
      <c r="Q1791" s="26"/>
      <c r="R1791" s="5"/>
      <c r="S1791" s="5"/>
      <c r="T1791" s="5"/>
      <c r="U1791" s="5"/>
      <c r="V1791" s="5"/>
      <c r="W1791" s="5"/>
      <c r="X1791" s="5"/>
      <c r="Y1791" s="5"/>
    </row>
    <row r="1792" spans="13:25" ht="22.5" x14ac:dyDescent="0.2">
      <c r="M1792" s="26" t="s">
        <v>53</v>
      </c>
      <c r="N1792" s="25" t="s">
        <v>51</v>
      </c>
      <c r="O1792" s="26" t="s">
        <v>1569</v>
      </c>
      <c r="P1792" s="26"/>
      <c r="Q1792" s="26"/>
      <c r="R1792" s="5"/>
      <c r="S1792" s="5"/>
      <c r="T1792" s="5"/>
      <c r="U1792" s="5"/>
      <c r="V1792" s="5"/>
      <c r="W1792" s="5"/>
      <c r="X1792" s="5"/>
      <c r="Y1792" s="5"/>
    </row>
    <row r="1793" spans="13:25" ht="22.5" x14ac:dyDescent="0.2">
      <c r="M1793" s="26" t="s">
        <v>53</v>
      </c>
      <c r="N1793" s="25" t="s">
        <v>55</v>
      </c>
      <c r="O1793" s="26"/>
      <c r="P1793" s="26" t="s">
        <v>1570</v>
      </c>
      <c r="Q1793" s="26"/>
      <c r="R1793" s="5"/>
      <c r="S1793" s="5"/>
      <c r="T1793" s="5"/>
      <c r="U1793" s="5"/>
      <c r="V1793" s="5"/>
      <c r="W1793" s="5"/>
      <c r="X1793" s="5"/>
      <c r="Y1793" s="5"/>
    </row>
    <row r="1794" spans="13:25" ht="22.5" x14ac:dyDescent="0.2">
      <c r="M1794" s="26" t="s">
        <v>53</v>
      </c>
      <c r="N1794" s="25" t="s">
        <v>55</v>
      </c>
      <c r="O1794" s="26"/>
      <c r="P1794" s="26" t="s">
        <v>1570</v>
      </c>
      <c r="Q1794" s="26"/>
      <c r="R1794" s="5"/>
      <c r="S1794" s="5"/>
      <c r="T1794" s="5"/>
      <c r="U1794" s="5"/>
      <c r="V1794" s="5"/>
      <c r="W1794" s="5"/>
      <c r="X1794" s="5"/>
      <c r="Y1794" s="5"/>
    </row>
    <row r="1795" spans="13:25" ht="45" x14ac:dyDescent="0.2">
      <c r="M1795" s="26" t="s">
        <v>53</v>
      </c>
      <c r="N1795" s="25" t="s">
        <v>55</v>
      </c>
      <c r="O1795" s="26"/>
      <c r="P1795" s="26" t="s">
        <v>1535</v>
      </c>
      <c r="Q1795" s="26"/>
      <c r="R1795" s="5"/>
      <c r="S1795" s="5"/>
      <c r="T1795" s="5"/>
      <c r="U1795" s="5"/>
      <c r="V1795" s="5"/>
      <c r="W1795" s="5"/>
      <c r="X1795" s="5"/>
      <c r="Y1795" s="5"/>
    </row>
    <row r="1796" spans="13:25" ht="56.25" x14ac:dyDescent="0.2">
      <c r="M1796" s="26" t="s">
        <v>53</v>
      </c>
      <c r="N1796" s="25" t="s">
        <v>55</v>
      </c>
      <c r="O1796" s="26"/>
      <c r="P1796" s="26" t="s">
        <v>1571</v>
      </c>
      <c r="Q1796" s="26"/>
      <c r="R1796" s="5"/>
      <c r="S1796" s="5"/>
      <c r="T1796" s="5"/>
      <c r="U1796" s="5"/>
      <c r="V1796" s="5"/>
      <c r="W1796" s="5"/>
      <c r="X1796" s="5"/>
      <c r="Y1796" s="5"/>
    </row>
    <row r="1797" spans="13:25" ht="22.5" x14ac:dyDescent="0.2">
      <c r="M1797" s="26" t="s">
        <v>53</v>
      </c>
      <c r="N1797" s="25" t="s">
        <v>51</v>
      </c>
      <c r="O1797" s="26" t="s">
        <v>1572</v>
      </c>
      <c r="P1797" s="26"/>
      <c r="Q1797" s="26"/>
      <c r="R1797" s="5"/>
      <c r="S1797" s="5"/>
      <c r="T1797" s="5"/>
      <c r="U1797" s="5"/>
      <c r="V1797" s="5"/>
      <c r="W1797" s="5"/>
      <c r="X1797" s="5"/>
      <c r="Y1797" s="5"/>
    </row>
    <row r="1798" spans="13:25" ht="22.5" x14ac:dyDescent="0.2">
      <c r="M1798" s="26" t="s">
        <v>53</v>
      </c>
      <c r="N1798" s="25" t="s">
        <v>55</v>
      </c>
      <c r="O1798" s="26"/>
      <c r="P1798" s="26" t="s">
        <v>1573</v>
      </c>
      <c r="Q1798" s="26"/>
      <c r="R1798" s="5"/>
      <c r="S1798" s="5"/>
      <c r="T1798" s="5"/>
      <c r="U1798" s="5"/>
      <c r="V1798" s="5"/>
      <c r="W1798" s="5"/>
      <c r="X1798" s="5"/>
      <c r="Y1798" s="5"/>
    </row>
    <row r="1799" spans="13:25" ht="33.75" x14ac:dyDescent="0.2">
      <c r="M1799" s="26" t="s">
        <v>53</v>
      </c>
      <c r="N1799" s="25" t="s">
        <v>55</v>
      </c>
      <c r="O1799" s="26"/>
      <c r="P1799" s="26" t="s">
        <v>1574</v>
      </c>
      <c r="Q1799" s="26"/>
      <c r="R1799" s="5"/>
      <c r="S1799" s="5"/>
      <c r="T1799" s="5"/>
      <c r="U1799" s="5"/>
      <c r="V1799" s="5"/>
      <c r="W1799" s="5"/>
      <c r="X1799" s="5"/>
      <c r="Y1799" s="5"/>
    </row>
    <row r="1800" spans="13:25" ht="22.5" x14ac:dyDescent="0.2">
      <c r="M1800" s="26" t="s">
        <v>53</v>
      </c>
      <c r="N1800" s="25" t="s">
        <v>51</v>
      </c>
      <c r="O1800" s="26" t="s">
        <v>1575</v>
      </c>
      <c r="P1800" s="26"/>
      <c r="Q1800" s="26"/>
      <c r="R1800" s="5"/>
      <c r="S1800" s="5"/>
      <c r="T1800" s="5"/>
      <c r="U1800" s="5"/>
      <c r="V1800" s="5"/>
      <c r="W1800" s="5"/>
      <c r="X1800" s="5"/>
      <c r="Y1800" s="5"/>
    </row>
    <row r="1801" spans="13:25" ht="22.5" x14ac:dyDescent="0.2">
      <c r="M1801" s="26" t="s">
        <v>53</v>
      </c>
      <c r="N1801" s="25" t="s">
        <v>55</v>
      </c>
      <c r="O1801" s="26"/>
      <c r="P1801" s="26" t="s">
        <v>1576</v>
      </c>
      <c r="Q1801" s="26"/>
      <c r="R1801" s="5"/>
      <c r="S1801" s="5"/>
      <c r="T1801" s="5"/>
      <c r="U1801" s="5"/>
      <c r="V1801" s="5"/>
      <c r="W1801" s="5"/>
      <c r="X1801" s="5"/>
      <c r="Y1801" s="5"/>
    </row>
    <row r="1802" spans="13:25" ht="22.5" x14ac:dyDescent="0.2">
      <c r="M1802" s="26" t="s">
        <v>53</v>
      </c>
      <c r="N1802" s="25" t="s">
        <v>51</v>
      </c>
      <c r="O1802" s="26" t="s">
        <v>1577</v>
      </c>
      <c r="P1802" s="26"/>
      <c r="Q1802" s="26"/>
      <c r="R1802" s="5"/>
      <c r="S1802" s="5"/>
      <c r="T1802" s="5"/>
      <c r="U1802" s="5"/>
      <c r="V1802" s="5"/>
      <c r="W1802" s="5"/>
      <c r="X1802" s="5"/>
      <c r="Y1802" s="5"/>
    </row>
    <row r="1803" spans="13:25" ht="33.75" x14ac:dyDescent="0.2">
      <c r="M1803" s="26" t="s">
        <v>53</v>
      </c>
      <c r="N1803" s="25" t="s">
        <v>55</v>
      </c>
      <c r="O1803" s="26"/>
      <c r="P1803" s="26" t="s">
        <v>1393</v>
      </c>
      <c r="Q1803" s="26"/>
      <c r="R1803" s="5"/>
      <c r="S1803" s="5"/>
      <c r="T1803" s="5"/>
      <c r="U1803" s="5"/>
      <c r="V1803" s="5"/>
      <c r="W1803" s="5"/>
      <c r="X1803" s="5"/>
      <c r="Y1803" s="5"/>
    </row>
    <row r="1804" spans="13:25" ht="33.75" x14ac:dyDescent="0.2">
      <c r="M1804" s="26" t="s">
        <v>53</v>
      </c>
      <c r="N1804" s="25" t="s">
        <v>55</v>
      </c>
      <c r="O1804" s="26"/>
      <c r="P1804" s="26" t="s">
        <v>1578</v>
      </c>
      <c r="Q1804" s="26"/>
      <c r="R1804" s="5"/>
      <c r="S1804" s="5"/>
      <c r="T1804" s="5"/>
      <c r="U1804" s="5"/>
      <c r="V1804" s="5"/>
      <c r="W1804" s="5"/>
      <c r="X1804" s="5"/>
      <c r="Y1804" s="5"/>
    </row>
    <row r="1805" spans="13:25" ht="22.5" x14ac:dyDescent="0.2">
      <c r="M1805" s="26" t="s">
        <v>53</v>
      </c>
      <c r="N1805" s="25" t="s">
        <v>51</v>
      </c>
      <c r="O1805" s="26"/>
      <c r="P1805" s="26" t="s">
        <v>1579</v>
      </c>
      <c r="Q1805" s="26"/>
      <c r="R1805" s="5"/>
      <c r="S1805" s="5"/>
      <c r="T1805" s="5"/>
      <c r="U1805" s="5"/>
      <c r="V1805" s="5"/>
      <c r="W1805" s="5"/>
      <c r="X1805" s="5"/>
      <c r="Y1805" s="5"/>
    </row>
    <row r="1806" spans="13:25" ht="56.25" x14ac:dyDescent="0.2">
      <c r="M1806" s="26" t="s">
        <v>53</v>
      </c>
      <c r="N1806" s="25" t="s">
        <v>55</v>
      </c>
      <c r="O1806" s="26"/>
      <c r="P1806" s="26" t="s">
        <v>1580</v>
      </c>
      <c r="Q1806" s="26"/>
      <c r="R1806" s="5"/>
      <c r="S1806" s="5"/>
      <c r="T1806" s="5"/>
      <c r="U1806" s="5"/>
      <c r="V1806" s="5"/>
      <c r="W1806" s="5"/>
      <c r="X1806" s="5"/>
      <c r="Y1806" s="5"/>
    </row>
    <row r="1807" spans="13:25" ht="45" x14ac:dyDescent="0.2">
      <c r="M1807" s="26" t="s">
        <v>53</v>
      </c>
      <c r="N1807" s="25" t="s">
        <v>55</v>
      </c>
      <c r="O1807" s="26"/>
      <c r="P1807" s="26" t="s">
        <v>1581</v>
      </c>
      <c r="Q1807" s="26"/>
      <c r="R1807" s="5"/>
      <c r="S1807" s="5"/>
      <c r="T1807" s="5"/>
      <c r="U1807" s="5"/>
      <c r="V1807" s="5"/>
      <c r="W1807" s="5"/>
      <c r="X1807" s="5"/>
      <c r="Y1807" s="5"/>
    </row>
    <row r="1808" spans="13:25" ht="45" x14ac:dyDescent="0.2">
      <c r="M1808" s="26" t="s">
        <v>53</v>
      </c>
      <c r="N1808" s="25" t="s">
        <v>70</v>
      </c>
      <c r="O1808" s="26" t="s">
        <v>1582</v>
      </c>
      <c r="P1808" s="26"/>
      <c r="Q1808" s="26"/>
      <c r="R1808" s="5"/>
      <c r="S1808" s="5"/>
      <c r="T1808" s="5"/>
      <c r="U1808" s="5"/>
      <c r="V1808" s="5"/>
      <c r="W1808" s="5"/>
      <c r="X1808" s="5"/>
      <c r="Y1808" s="5"/>
    </row>
    <row r="1809" spans="13:25" ht="33.75" x14ac:dyDescent="0.2">
      <c r="M1809" s="26" t="s">
        <v>53</v>
      </c>
      <c r="N1809" s="25" t="s">
        <v>70</v>
      </c>
      <c r="O1809" s="26" t="s">
        <v>1583</v>
      </c>
      <c r="P1809" s="26"/>
      <c r="Q1809" s="26"/>
      <c r="R1809" s="5"/>
      <c r="S1809" s="5"/>
      <c r="T1809" s="5"/>
      <c r="U1809" s="5"/>
      <c r="V1809" s="5"/>
      <c r="W1809" s="5"/>
      <c r="X1809" s="5"/>
      <c r="Y1809" s="5"/>
    </row>
    <row r="1810" spans="13:25" ht="22.5" x14ac:dyDescent="0.2">
      <c r="M1810" s="26" t="s">
        <v>53</v>
      </c>
      <c r="N1810" s="25" t="s">
        <v>70</v>
      </c>
      <c r="O1810" s="26" t="s">
        <v>1584</v>
      </c>
      <c r="P1810" s="26"/>
      <c r="Q1810" s="26"/>
      <c r="R1810" s="5"/>
      <c r="S1810" s="5"/>
      <c r="T1810" s="5"/>
      <c r="U1810" s="5"/>
      <c r="V1810" s="5"/>
      <c r="W1810" s="5"/>
      <c r="X1810" s="5"/>
      <c r="Y1810" s="5"/>
    </row>
    <row r="1811" spans="13:25" ht="22.5" x14ac:dyDescent="0.2">
      <c r="M1811" s="26" t="s">
        <v>53</v>
      </c>
      <c r="N1811" s="25" t="s">
        <v>70</v>
      </c>
      <c r="O1811" s="26" t="s">
        <v>1585</v>
      </c>
      <c r="P1811" s="26"/>
      <c r="Q1811" s="26"/>
      <c r="R1811" s="5"/>
      <c r="S1811" s="5"/>
      <c r="T1811" s="5"/>
      <c r="U1811" s="5"/>
      <c r="V1811" s="5"/>
      <c r="W1811" s="5"/>
      <c r="X1811" s="5"/>
      <c r="Y1811" s="5"/>
    </row>
    <row r="1812" spans="13:25" ht="45" x14ac:dyDescent="0.2">
      <c r="M1812" s="26" t="s">
        <v>53</v>
      </c>
      <c r="N1812" s="25" t="s">
        <v>51</v>
      </c>
      <c r="O1812" s="26" t="s">
        <v>1586</v>
      </c>
      <c r="P1812" s="26"/>
      <c r="Q1812" s="26"/>
      <c r="R1812" s="5"/>
      <c r="S1812" s="5"/>
      <c r="T1812" s="5"/>
      <c r="U1812" s="5"/>
      <c r="V1812" s="5"/>
      <c r="W1812" s="5"/>
      <c r="X1812" s="5"/>
      <c r="Y1812" s="5"/>
    </row>
    <row r="1813" spans="13:25" ht="45" x14ac:dyDescent="0.2">
      <c r="M1813" s="26" t="s">
        <v>53</v>
      </c>
      <c r="N1813" s="25" t="s">
        <v>51</v>
      </c>
      <c r="O1813" s="26" t="s">
        <v>1587</v>
      </c>
      <c r="P1813" s="26"/>
      <c r="Q1813" s="26"/>
      <c r="R1813" s="5"/>
      <c r="S1813" s="5"/>
      <c r="T1813" s="5"/>
      <c r="U1813" s="5"/>
      <c r="V1813" s="5"/>
      <c r="W1813" s="5"/>
      <c r="X1813" s="5"/>
      <c r="Y1813" s="5"/>
    </row>
    <row r="1814" spans="13:25" ht="56.25" x14ac:dyDescent="0.2">
      <c r="M1814" s="26" t="s">
        <v>53</v>
      </c>
      <c r="N1814" s="25" t="s">
        <v>70</v>
      </c>
      <c r="O1814" s="26" t="s">
        <v>1550</v>
      </c>
      <c r="P1814" s="26"/>
      <c r="Q1814" s="26"/>
      <c r="R1814" s="5"/>
      <c r="S1814" s="5"/>
      <c r="T1814" s="5"/>
      <c r="U1814" s="5"/>
      <c r="V1814" s="5"/>
      <c r="W1814" s="5"/>
      <c r="X1814" s="5"/>
      <c r="Y1814" s="5"/>
    </row>
    <row r="1815" spans="13:25" ht="78.75" x14ac:dyDescent="0.2">
      <c r="M1815" s="26" t="s">
        <v>53</v>
      </c>
      <c r="N1815" s="25" t="s">
        <v>51</v>
      </c>
      <c r="O1815" s="26" t="s">
        <v>1588</v>
      </c>
      <c r="P1815" s="26"/>
      <c r="Q1815" s="26"/>
      <c r="R1815" s="5"/>
      <c r="S1815" s="5"/>
      <c r="T1815" s="5"/>
      <c r="U1815" s="5"/>
      <c r="V1815" s="5"/>
      <c r="W1815" s="5"/>
      <c r="X1815" s="5"/>
      <c r="Y1815" s="5"/>
    </row>
    <row r="1816" spans="13:25" ht="22.5" x14ac:dyDescent="0.2">
      <c r="M1816" s="26" t="s">
        <v>53</v>
      </c>
      <c r="N1816" s="25" t="s">
        <v>70</v>
      </c>
      <c r="O1816" s="26" t="s">
        <v>1589</v>
      </c>
      <c r="P1816" s="26"/>
      <c r="Q1816" s="26"/>
      <c r="R1816" s="5"/>
      <c r="S1816" s="5"/>
      <c r="T1816" s="5"/>
      <c r="U1816" s="5"/>
      <c r="V1816" s="5"/>
      <c r="W1816" s="5"/>
      <c r="X1816" s="5"/>
      <c r="Y1816" s="5"/>
    </row>
    <row r="1817" spans="13:25" ht="45" x14ac:dyDescent="0.2">
      <c r="M1817" s="26" t="s">
        <v>53</v>
      </c>
      <c r="N1817" s="25" t="s">
        <v>70</v>
      </c>
      <c r="O1817" s="26" t="s">
        <v>1590</v>
      </c>
      <c r="P1817" s="26"/>
      <c r="Q1817" s="26"/>
      <c r="R1817" s="5"/>
      <c r="S1817" s="5"/>
      <c r="T1817" s="5"/>
      <c r="U1817" s="5"/>
      <c r="V1817" s="5"/>
      <c r="W1817" s="5"/>
      <c r="X1817" s="5"/>
      <c r="Y1817" s="5"/>
    </row>
    <row r="1818" spans="13:25" ht="22.5" x14ac:dyDescent="0.2">
      <c r="M1818" s="26" t="s">
        <v>53</v>
      </c>
      <c r="N1818" s="25" t="s">
        <v>51</v>
      </c>
      <c r="O1818" s="26" t="s">
        <v>1591</v>
      </c>
      <c r="P1818" s="26"/>
      <c r="Q1818" s="26"/>
      <c r="R1818" s="5"/>
      <c r="S1818" s="5"/>
      <c r="T1818" s="5"/>
      <c r="U1818" s="5"/>
      <c r="V1818" s="5"/>
      <c r="W1818" s="5"/>
      <c r="X1818" s="5"/>
      <c r="Y1818" s="5"/>
    </row>
    <row r="1819" spans="13:25" ht="33.75" x14ac:dyDescent="0.2">
      <c r="M1819" s="26" t="s">
        <v>53</v>
      </c>
      <c r="N1819" s="25" t="s">
        <v>70</v>
      </c>
      <c r="O1819" s="26" t="s">
        <v>734</v>
      </c>
      <c r="P1819" s="26"/>
      <c r="Q1819" s="26"/>
      <c r="R1819" s="5"/>
      <c r="S1819" s="5"/>
      <c r="T1819" s="5"/>
      <c r="U1819" s="5"/>
      <c r="V1819" s="5"/>
      <c r="W1819" s="5"/>
      <c r="X1819" s="5"/>
      <c r="Y1819" s="5"/>
    </row>
    <row r="1820" spans="13:25" ht="33.75" x14ac:dyDescent="0.2">
      <c r="M1820" s="26" t="s">
        <v>53</v>
      </c>
      <c r="N1820" s="25" t="s">
        <v>70</v>
      </c>
      <c r="O1820" s="26" t="s">
        <v>1592</v>
      </c>
      <c r="P1820" s="26"/>
      <c r="Q1820" s="26"/>
      <c r="R1820" s="5"/>
      <c r="S1820" s="5"/>
      <c r="T1820" s="5"/>
      <c r="U1820" s="5"/>
      <c r="V1820" s="5"/>
      <c r="W1820" s="5"/>
      <c r="X1820" s="5"/>
      <c r="Y1820" s="5"/>
    </row>
    <row r="1821" spans="13:25" ht="33.75" x14ac:dyDescent="0.2">
      <c r="M1821" s="26" t="s">
        <v>53</v>
      </c>
      <c r="N1821" s="25" t="s">
        <v>70</v>
      </c>
      <c r="O1821" s="26" t="s">
        <v>1593</v>
      </c>
      <c r="P1821" s="26"/>
      <c r="Q1821" s="26"/>
      <c r="R1821" s="5"/>
      <c r="S1821" s="5"/>
      <c r="T1821" s="5"/>
      <c r="U1821" s="5"/>
      <c r="V1821" s="5"/>
      <c r="W1821" s="5"/>
      <c r="X1821" s="5"/>
      <c r="Y1821" s="5"/>
    </row>
    <row r="1822" spans="13:25" ht="33.75" x14ac:dyDescent="0.2">
      <c r="M1822" s="26" t="s">
        <v>53</v>
      </c>
      <c r="N1822" s="25" t="s">
        <v>55</v>
      </c>
      <c r="O1822" s="26" t="s">
        <v>1594</v>
      </c>
      <c r="P1822" s="26"/>
      <c r="Q1822" s="26"/>
      <c r="R1822" s="5"/>
      <c r="S1822" s="5"/>
      <c r="T1822" s="5"/>
      <c r="U1822" s="5"/>
      <c r="V1822" s="5"/>
      <c r="W1822" s="5"/>
      <c r="X1822" s="5"/>
      <c r="Y1822" s="5"/>
    </row>
    <row r="1823" spans="13:25" ht="22.5" x14ac:dyDescent="0.2">
      <c r="M1823" s="26" t="s">
        <v>53</v>
      </c>
      <c r="N1823" s="25" t="s">
        <v>51</v>
      </c>
      <c r="O1823" s="26" t="s">
        <v>1595</v>
      </c>
      <c r="P1823" s="26"/>
      <c r="Q1823" s="26"/>
      <c r="R1823" s="5"/>
      <c r="S1823" s="5"/>
      <c r="T1823" s="5"/>
      <c r="U1823" s="5"/>
      <c r="V1823" s="5"/>
      <c r="W1823" s="5"/>
      <c r="X1823" s="5"/>
      <c r="Y1823" s="5"/>
    </row>
    <row r="1824" spans="13:25" ht="22.5" x14ac:dyDescent="0.2">
      <c r="M1824" s="26" t="s">
        <v>53</v>
      </c>
      <c r="N1824" s="25" t="s">
        <v>70</v>
      </c>
      <c r="O1824" s="26"/>
      <c r="P1824" s="26" t="s">
        <v>1596</v>
      </c>
      <c r="Q1824" s="26"/>
      <c r="R1824" s="5"/>
      <c r="S1824" s="5"/>
      <c r="T1824" s="5"/>
      <c r="U1824" s="5"/>
      <c r="V1824" s="5"/>
      <c r="W1824" s="5"/>
      <c r="X1824" s="5"/>
      <c r="Y1824" s="5"/>
    </row>
    <row r="1825" spans="13:25" ht="56.25" x14ac:dyDescent="0.2">
      <c r="M1825" s="26" t="s">
        <v>53</v>
      </c>
      <c r="N1825" s="25" t="s">
        <v>70</v>
      </c>
      <c r="O1825" s="26"/>
      <c r="P1825" s="26" t="s">
        <v>615</v>
      </c>
      <c r="Q1825" s="26"/>
      <c r="R1825" s="5"/>
      <c r="S1825" s="5"/>
      <c r="T1825" s="5"/>
      <c r="U1825" s="5"/>
      <c r="V1825" s="5"/>
      <c r="W1825" s="5"/>
      <c r="X1825" s="5"/>
      <c r="Y1825" s="5"/>
    </row>
    <row r="1826" spans="13:25" ht="56.25" x14ac:dyDescent="0.2">
      <c r="M1826" s="26" t="s">
        <v>53</v>
      </c>
      <c r="N1826" s="25" t="s">
        <v>70</v>
      </c>
      <c r="O1826" s="26"/>
      <c r="P1826" s="26" t="s">
        <v>616</v>
      </c>
      <c r="Q1826" s="26"/>
      <c r="R1826" s="5"/>
      <c r="S1826" s="5"/>
      <c r="T1826" s="5"/>
      <c r="U1826" s="5"/>
      <c r="V1826" s="5"/>
      <c r="W1826" s="5"/>
      <c r="X1826" s="5"/>
      <c r="Y1826" s="5"/>
    </row>
    <row r="1827" spans="13:25" ht="56.25" x14ac:dyDescent="0.2">
      <c r="M1827" s="26" t="s">
        <v>53</v>
      </c>
      <c r="N1827" s="25" t="s">
        <v>70</v>
      </c>
      <c r="O1827" s="26"/>
      <c r="P1827" s="26" t="s">
        <v>1597</v>
      </c>
      <c r="Q1827" s="26"/>
      <c r="R1827" s="5"/>
      <c r="S1827" s="5"/>
      <c r="T1827" s="5"/>
      <c r="U1827" s="5"/>
      <c r="V1827" s="5"/>
      <c r="W1827" s="5"/>
      <c r="X1827" s="5"/>
      <c r="Y1827" s="5"/>
    </row>
    <row r="1828" spans="13:25" ht="22.5" x14ac:dyDescent="0.2">
      <c r="M1828" s="26" t="s">
        <v>53</v>
      </c>
      <c r="N1828" s="25" t="s">
        <v>51</v>
      </c>
      <c r="O1828" s="26" t="s">
        <v>1598</v>
      </c>
      <c r="P1828" s="26"/>
      <c r="Q1828" s="26"/>
      <c r="R1828" s="5"/>
      <c r="S1828" s="5"/>
      <c r="T1828" s="5"/>
      <c r="U1828" s="5"/>
      <c r="V1828" s="5"/>
      <c r="W1828" s="5"/>
      <c r="X1828" s="5"/>
      <c r="Y1828" s="5"/>
    </row>
    <row r="1829" spans="13:25" ht="33.75" x14ac:dyDescent="0.2">
      <c r="M1829" s="26" t="s">
        <v>53</v>
      </c>
      <c r="N1829" s="25" t="s">
        <v>55</v>
      </c>
      <c r="O1829" s="26"/>
      <c r="P1829" s="26" t="s">
        <v>1529</v>
      </c>
      <c r="Q1829" s="26"/>
      <c r="R1829" s="5"/>
      <c r="S1829" s="5"/>
      <c r="T1829" s="5"/>
      <c r="U1829" s="5"/>
      <c r="V1829" s="5"/>
      <c r="W1829" s="5"/>
      <c r="X1829" s="5"/>
      <c r="Y1829" s="5"/>
    </row>
    <row r="1830" spans="13:25" ht="33.75" x14ac:dyDescent="0.2">
      <c r="M1830" s="26" t="s">
        <v>53</v>
      </c>
      <c r="N1830" s="25" t="s">
        <v>55</v>
      </c>
      <c r="O1830" s="26"/>
      <c r="P1830" s="26" t="s">
        <v>1531</v>
      </c>
      <c r="Q1830" s="26"/>
      <c r="R1830" s="5"/>
      <c r="S1830" s="5"/>
      <c r="T1830" s="5"/>
      <c r="U1830" s="5"/>
      <c r="V1830" s="5"/>
      <c r="W1830" s="5"/>
      <c r="X1830" s="5"/>
      <c r="Y1830" s="5"/>
    </row>
    <row r="1831" spans="13:25" ht="22.5" x14ac:dyDescent="0.2">
      <c r="M1831" s="26" t="s">
        <v>53</v>
      </c>
      <c r="N1831" s="25" t="s">
        <v>51</v>
      </c>
      <c r="O1831" s="26" t="s">
        <v>1599</v>
      </c>
      <c r="P1831" s="26"/>
      <c r="Q1831" s="26"/>
      <c r="R1831" s="5"/>
      <c r="S1831" s="5"/>
      <c r="T1831" s="5"/>
      <c r="U1831" s="5"/>
      <c r="V1831" s="5"/>
      <c r="W1831" s="5"/>
      <c r="X1831" s="5"/>
      <c r="Y1831" s="5"/>
    </row>
    <row r="1832" spans="13:25" ht="22.5" x14ac:dyDescent="0.2">
      <c r="M1832" s="26" t="s">
        <v>53</v>
      </c>
      <c r="N1832" s="25" t="s">
        <v>55</v>
      </c>
      <c r="O1832" s="26" t="s">
        <v>1600</v>
      </c>
      <c r="P1832" s="26"/>
      <c r="Q1832" s="26"/>
      <c r="R1832" s="5"/>
      <c r="S1832" s="5"/>
      <c r="T1832" s="5"/>
      <c r="U1832" s="5"/>
      <c r="V1832" s="5"/>
      <c r="W1832" s="5"/>
      <c r="X1832" s="5"/>
      <c r="Y1832" s="5"/>
    </row>
    <row r="1833" spans="13:25" ht="56.25" x14ac:dyDescent="0.2">
      <c r="M1833" s="26" t="s">
        <v>53</v>
      </c>
      <c r="N1833" s="25" t="s">
        <v>51</v>
      </c>
      <c r="O1833" s="26" t="s">
        <v>322</v>
      </c>
      <c r="P1833" s="26"/>
      <c r="Q1833" s="26"/>
      <c r="R1833" s="5"/>
      <c r="S1833" s="5"/>
      <c r="T1833" s="5"/>
      <c r="U1833" s="5"/>
      <c r="V1833" s="5"/>
      <c r="W1833" s="5"/>
      <c r="X1833" s="5"/>
      <c r="Y1833" s="5"/>
    </row>
    <row r="1834" spans="13:25" ht="45" x14ac:dyDescent="0.2">
      <c r="M1834" s="26" t="s">
        <v>53</v>
      </c>
      <c r="N1834" s="25" t="s">
        <v>51</v>
      </c>
      <c r="O1834" s="26" t="s">
        <v>1601</v>
      </c>
      <c r="P1834" s="26"/>
      <c r="Q1834" s="26"/>
      <c r="R1834" s="5"/>
      <c r="S1834" s="5"/>
      <c r="T1834" s="5"/>
      <c r="U1834" s="5"/>
      <c r="V1834" s="5"/>
      <c r="W1834" s="5"/>
      <c r="X1834" s="5"/>
      <c r="Y1834" s="5"/>
    </row>
    <row r="1835" spans="13:25" ht="22.5" x14ac:dyDescent="0.2">
      <c r="M1835" s="26" t="s">
        <v>53</v>
      </c>
      <c r="N1835" s="25" t="s">
        <v>51</v>
      </c>
      <c r="O1835" s="26" t="s">
        <v>1602</v>
      </c>
      <c r="P1835" s="26"/>
      <c r="Q1835" s="26"/>
      <c r="R1835" s="5"/>
      <c r="S1835" s="5"/>
      <c r="T1835" s="5"/>
      <c r="U1835" s="5"/>
      <c r="V1835" s="5"/>
      <c r="W1835" s="5"/>
      <c r="X1835" s="5"/>
      <c r="Y1835" s="5"/>
    </row>
    <row r="1836" spans="13:25" ht="22.5" x14ac:dyDescent="0.2">
      <c r="M1836" s="26" t="s">
        <v>53</v>
      </c>
      <c r="N1836" s="25" t="s">
        <v>51</v>
      </c>
      <c r="O1836" s="26" t="s">
        <v>1603</v>
      </c>
      <c r="P1836" s="26"/>
      <c r="Q1836" s="26"/>
      <c r="R1836" s="5"/>
      <c r="S1836" s="5"/>
      <c r="T1836" s="5"/>
      <c r="U1836" s="5"/>
      <c r="V1836" s="5"/>
      <c r="W1836" s="5"/>
      <c r="X1836" s="5"/>
      <c r="Y1836" s="5"/>
    </row>
    <row r="1837" spans="13:25" ht="56.25" x14ac:dyDescent="0.2">
      <c r="M1837" s="26" t="s">
        <v>53</v>
      </c>
      <c r="N1837" s="25" t="s">
        <v>51</v>
      </c>
      <c r="O1837" s="26" t="s">
        <v>1604</v>
      </c>
      <c r="P1837" s="26"/>
      <c r="Q1837" s="26"/>
      <c r="R1837" s="5"/>
      <c r="S1837" s="5"/>
      <c r="T1837" s="5"/>
      <c r="U1837" s="5"/>
      <c r="V1837" s="5"/>
      <c r="W1837" s="5"/>
      <c r="X1837" s="5"/>
      <c r="Y1837" s="5"/>
    </row>
    <row r="1838" spans="13:25" ht="33.75" x14ac:dyDescent="0.2">
      <c r="M1838" s="26" t="s">
        <v>53</v>
      </c>
      <c r="N1838" s="25" t="s">
        <v>51</v>
      </c>
      <c r="O1838" s="26" t="s">
        <v>1605</v>
      </c>
      <c r="P1838" s="26"/>
      <c r="Q1838" s="26"/>
      <c r="R1838" s="5"/>
      <c r="S1838" s="5"/>
      <c r="T1838" s="5"/>
      <c r="U1838" s="5"/>
      <c r="V1838" s="5"/>
      <c r="W1838" s="5"/>
      <c r="X1838" s="5"/>
      <c r="Y1838" s="5"/>
    </row>
    <row r="1839" spans="13:25" ht="22.5" x14ac:dyDescent="0.2">
      <c r="M1839" s="26" t="s">
        <v>53</v>
      </c>
      <c r="N1839" s="25" t="s">
        <v>51</v>
      </c>
      <c r="O1839" s="26" t="s">
        <v>1606</v>
      </c>
      <c r="P1839" s="26"/>
      <c r="Q1839" s="26"/>
      <c r="R1839" s="5"/>
      <c r="S1839" s="5"/>
      <c r="T1839" s="5"/>
      <c r="U1839" s="5"/>
      <c r="V1839" s="5"/>
      <c r="W1839" s="5"/>
      <c r="X1839" s="5"/>
      <c r="Y1839" s="5"/>
    </row>
    <row r="1840" spans="13:25" ht="22.5" x14ac:dyDescent="0.2">
      <c r="M1840" s="26" t="s">
        <v>53</v>
      </c>
      <c r="N1840" s="25" t="s">
        <v>51</v>
      </c>
      <c r="O1840" s="26" t="s">
        <v>1607</v>
      </c>
      <c r="P1840" s="26"/>
      <c r="Q1840" s="26"/>
      <c r="R1840" s="5"/>
      <c r="S1840" s="5"/>
      <c r="T1840" s="5"/>
      <c r="U1840" s="5"/>
      <c r="V1840" s="5"/>
      <c r="W1840" s="5"/>
      <c r="X1840" s="5"/>
      <c r="Y1840" s="5"/>
    </row>
    <row r="1841" spans="13:25" ht="22.5" x14ac:dyDescent="0.2">
      <c r="M1841" s="26" t="s">
        <v>53</v>
      </c>
      <c r="N1841" s="25" t="s">
        <v>51</v>
      </c>
      <c r="O1841" s="26" t="s">
        <v>1608</v>
      </c>
      <c r="P1841" s="26"/>
      <c r="Q1841" s="26"/>
      <c r="R1841" s="5"/>
      <c r="S1841" s="5"/>
      <c r="T1841" s="5"/>
      <c r="U1841" s="5"/>
      <c r="V1841" s="5"/>
      <c r="W1841" s="5"/>
      <c r="X1841" s="5"/>
      <c r="Y1841" s="5"/>
    </row>
    <row r="1842" spans="13:25" ht="33.75" x14ac:dyDescent="0.2">
      <c r="M1842" s="26" t="s">
        <v>53</v>
      </c>
      <c r="N1842" s="25" t="s">
        <v>51</v>
      </c>
      <c r="O1842" s="26" t="s">
        <v>1609</v>
      </c>
      <c r="P1842" s="26"/>
      <c r="Q1842" s="26"/>
      <c r="R1842" s="5"/>
      <c r="S1842" s="5"/>
      <c r="T1842" s="5"/>
      <c r="U1842" s="5"/>
      <c r="V1842" s="5"/>
      <c r="W1842" s="5"/>
      <c r="X1842" s="5"/>
      <c r="Y1842" s="5"/>
    </row>
    <row r="1843" spans="13:25" ht="22.5" x14ac:dyDescent="0.2">
      <c r="M1843" s="26" t="s">
        <v>53</v>
      </c>
      <c r="N1843" s="25" t="s">
        <v>51</v>
      </c>
      <c r="O1843" s="26" t="s">
        <v>1610</v>
      </c>
      <c r="P1843" s="26"/>
      <c r="Q1843" s="26"/>
      <c r="R1843" s="5"/>
      <c r="S1843" s="5"/>
      <c r="T1843" s="5"/>
      <c r="U1843" s="5"/>
      <c r="V1843" s="5"/>
      <c r="W1843" s="5"/>
      <c r="X1843" s="5"/>
      <c r="Y1843" s="5"/>
    </row>
    <row r="1844" spans="13:25" ht="22.5" x14ac:dyDescent="0.2">
      <c r="M1844" s="26" t="s">
        <v>53</v>
      </c>
      <c r="N1844" s="25" t="s">
        <v>51</v>
      </c>
      <c r="O1844" s="26" t="s">
        <v>1611</v>
      </c>
      <c r="P1844" s="26"/>
      <c r="Q1844" s="26"/>
      <c r="R1844" s="5"/>
      <c r="S1844" s="5"/>
      <c r="T1844" s="5"/>
      <c r="U1844" s="5"/>
      <c r="V1844" s="5"/>
      <c r="W1844" s="5"/>
      <c r="X1844" s="5"/>
      <c r="Y1844" s="5"/>
    </row>
    <row r="1845" spans="13:25" ht="67.5" x14ac:dyDescent="0.2">
      <c r="M1845" s="26" t="s">
        <v>53</v>
      </c>
      <c r="N1845" s="25" t="s">
        <v>51</v>
      </c>
      <c r="O1845" s="26" t="s">
        <v>1493</v>
      </c>
      <c r="P1845" s="26"/>
      <c r="Q1845" s="26"/>
      <c r="R1845" s="5"/>
      <c r="S1845" s="5"/>
      <c r="T1845" s="5"/>
      <c r="U1845" s="5"/>
      <c r="V1845" s="5"/>
      <c r="W1845" s="5"/>
      <c r="X1845" s="5"/>
      <c r="Y1845" s="5"/>
    </row>
    <row r="1846" spans="13:25" ht="56.25" x14ac:dyDescent="0.2">
      <c r="M1846" s="26" t="s">
        <v>53</v>
      </c>
      <c r="N1846" s="25" t="s">
        <v>51</v>
      </c>
      <c r="O1846" s="26" t="s">
        <v>1612</v>
      </c>
      <c r="P1846" s="26"/>
      <c r="Q1846" s="26"/>
      <c r="R1846" s="5"/>
      <c r="S1846" s="5"/>
      <c r="T1846" s="5"/>
      <c r="U1846" s="5"/>
      <c r="V1846" s="5"/>
      <c r="W1846" s="5"/>
      <c r="X1846" s="5"/>
      <c r="Y1846" s="5"/>
    </row>
    <row r="1847" spans="13:25" ht="56.25" x14ac:dyDescent="0.2">
      <c r="M1847" s="26" t="s">
        <v>53</v>
      </c>
      <c r="N1847" s="25" t="s">
        <v>51</v>
      </c>
      <c r="O1847" s="26" t="s">
        <v>1613</v>
      </c>
      <c r="P1847" s="26"/>
      <c r="Q1847" s="26"/>
      <c r="R1847" s="5"/>
      <c r="S1847" s="5"/>
      <c r="T1847" s="5"/>
      <c r="U1847" s="5"/>
      <c r="V1847" s="5"/>
      <c r="W1847" s="5"/>
      <c r="X1847" s="5"/>
      <c r="Y1847" s="5"/>
    </row>
    <row r="1848" spans="13:25" ht="67.5" x14ac:dyDescent="0.2">
      <c r="M1848" s="26" t="s">
        <v>53</v>
      </c>
      <c r="N1848" s="25" t="s">
        <v>51</v>
      </c>
      <c r="O1848" s="26" t="s">
        <v>1614</v>
      </c>
      <c r="P1848" s="26"/>
      <c r="Q1848" s="26"/>
      <c r="R1848" s="5"/>
      <c r="S1848" s="5"/>
      <c r="T1848" s="5"/>
      <c r="U1848" s="5"/>
      <c r="V1848" s="5"/>
      <c r="W1848" s="5"/>
      <c r="X1848" s="5"/>
      <c r="Y1848" s="5"/>
    </row>
    <row r="1849" spans="13:25" ht="45" x14ac:dyDescent="0.2">
      <c r="M1849" s="26" t="s">
        <v>53</v>
      </c>
      <c r="N1849" s="25" t="s">
        <v>51</v>
      </c>
      <c r="O1849" s="26" t="s">
        <v>1615</v>
      </c>
      <c r="P1849" s="26"/>
      <c r="Q1849" s="26"/>
      <c r="R1849" s="5"/>
      <c r="S1849" s="5"/>
      <c r="T1849" s="5"/>
      <c r="U1849" s="5"/>
      <c r="V1849" s="5"/>
      <c r="W1849" s="5"/>
      <c r="X1849" s="5"/>
      <c r="Y1849" s="5"/>
    </row>
    <row r="1850" spans="13:25" ht="22.5" x14ac:dyDescent="0.2">
      <c r="M1850" s="26" t="s">
        <v>53</v>
      </c>
      <c r="N1850" s="25" t="s">
        <v>51</v>
      </c>
      <c r="O1850" s="26" t="s">
        <v>1616</v>
      </c>
      <c r="P1850" s="26"/>
      <c r="Q1850" s="26"/>
      <c r="R1850" s="5"/>
      <c r="S1850" s="5"/>
      <c r="T1850" s="5"/>
      <c r="U1850" s="5"/>
      <c r="V1850" s="5"/>
      <c r="W1850" s="5"/>
      <c r="X1850" s="5"/>
      <c r="Y1850" s="5"/>
    </row>
    <row r="1851" spans="13:25" ht="22.5" x14ac:dyDescent="0.2">
      <c r="M1851" s="26" t="s">
        <v>53</v>
      </c>
      <c r="N1851" s="25" t="s">
        <v>51</v>
      </c>
      <c r="O1851" s="26" t="s">
        <v>1617</v>
      </c>
      <c r="P1851" s="26"/>
      <c r="Q1851" s="26"/>
      <c r="R1851" s="5"/>
      <c r="S1851" s="5"/>
      <c r="T1851" s="5"/>
      <c r="U1851" s="5"/>
      <c r="V1851" s="5"/>
      <c r="W1851" s="5"/>
      <c r="X1851" s="5"/>
      <c r="Y1851" s="5"/>
    </row>
    <row r="1852" spans="13:25" ht="22.5" x14ac:dyDescent="0.2">
      <c r="M1852" s="26" t="s">
        <v>53</v>
      </c>
      <c r="N1852" s="25" t="s">
        <v>51</v>
      </c>
      <c r="O1852" s="26" t="s">
        <v>1618</v>
      </c>
      <c r="P1852" s="26"/>
      <c r="Q1852" s="26"/>
      <c r="R1852" s="5"/>
      <c r="S1852" s="5"/>
      <c r="T1852" s="5"/>
      <c r="U1852" s="5"/>
      <c r="V1852" s="5"/>
      <c r="W1852" s="5"/>
      <c r="X1852" s="5"/>
      <c r="Y1852" s="5"/>
    </row>
    <row r="1853" spans="13:25" ht="45" x14ac:dyDescent="0.2">
      <c r="M1853" s="26" t="s">
        <v>53</v>
      </c>
      <c r="N1853" s="25" t="s">
        <v>51</v>
      </c>
      <c r="O1853" s="26" t="s">
        <v>1619</v>
      </c>
      <c r="P1853" s="26"/>
      <c r="Q1853" s="26"/>
      <c r="R1853" s="5"/>
      <c r="S1853" s="5"/>
      <c r="T1853" s="5"/>
      <c r="U1853" s="5"/>
      <c r="V1853" s="5"/>
      <c r="W1853" s="5"/>
      <c r="X1853" s="5"/>
      <c r="Y1853" s="5"/>
    </row>
    <row r="1854" spans="13:25" ht="33.75" x14ac:dyDescent="0.2">
      <c r="M1854" s="26" t="s">
        <v>53</v>
      </c>
      <c r="N1854" s="25" t="s">
        <v>51</v>
      </c>
      <c r="O1854" s="26" t="s">
        <v>1620</v>
      </c>
      <c r="P1854" s="26"/>
      <c r="Q1854" s="26"/>
      <c r="R1854" s="5"/>
      <c r="S1854" s="5"/>
      <c r="T1854" s="5"/>
      <c r="U1854" s="5"/>
      <c r="V1854" s="5"/>
      <c r="W1854" s="5"/>
      <c r="X1854" s="5"/>
      <c r="Y1854" s="5"/>
    </row>
    <row r="1855" spans="13:25" ht="45" x14ac:dyDescent="0.2">
      <c r="M1855" s="26" t="s">
        <v>53</v>
      </c>
      <c r="N1855" s="25" t="s">
        <v>51</v>
      </c>
      <c r="O1855" s="26" t="s">
        <v>1621</v>
      </c>
      <c r="P1855" s="26"/>
      <c r="Q1855" s="26"/>
      <c r="R1855" s="5"/>
      <c r="S1855" s="5"/>
      <c r="T1855" s="5"/>
      <c r="U1855" s="5"/>
      <c r="V1855" s="5"/>
      <c r="W1855" s="5"/>
      <c r="X1855" s="5"/>
      <c r="Y1855" s="5"/>
    </row>
    <row r="1856" spans="13:25" ht="22.5" x14ac:dyDescent="0.2">
      <c r="M1856" s="26" t="s">
        <v>53</v>
      </c>
      <c r="N1856" s="25" t="s">
        <v>51</v>
      </c>
      <c r="O1856" s="26" t="s">
        <v>1622</v>
      </c>
      <c r="P1856" s="26"/>
      <c r="Q1856" s="26"/>
      <c r="R1856" s="5"/>
      <c r="S1856" s="5"/>
      <c r="T1856" s="5"/>
      <c r="U1856" s="5"/>
      <c r="V1856" s="5"/>
      <c r="W1856" s="5"/>
      <c r="X1856" s="5"/>
      <c r="Y1856" s="5"/>
    </row>
    <row r="1857" spans="13:25" ht="56.25" x14ac:dyDescent="0.2">
      <c r="M1857" s="26" t="s">
        <v>53</v>
      </c>
      <c r="N1857" s="25" t="s">
        <v>55</v>
      </c>
      <c r="O1857" s="26"/>
      <c r="P1857" s="26" t="s">
        <v>752</v>
      </c>
      <c r="Q1857" s="26"/>
      <c r="R1857" s="5"/>
      <c r="S1857" s="5"/>
      <c r="T1857" s="5"/>
      <c r="U1857" s="5"/>
      <c r="V1857" s="5"/>
      <c r="W1857" s="5"/>
      <c r="X1857" s="5"/>
      <c r="Y1857" s="5"/>
    </row>
    <row r="1858" spans="13:25" ht="56.25" x14ac:dyDescent="0.2">
      <c r="M1858" s="26" t="s">
        <v>53</v>
      </c>
      <c r="N1858" s="25" t="s">
        <v>55</v>
      </c>
      <c r="O1858" s="26"/>
      <c r="P1858" s="26" t="s">
        <v>753</v>
      </c>
      <c r="Q1858" s="26"/>
      <c r="R1858" s="5"/>
      <c r="S1858" s="5"/>
      <c r="T1858" s="5"/>
      <c r="U1858" s="5"/>
      <c r="V1858" s="5"/>
      <c r="W1858" s="5"/>
      <c r="X1858" s="5"/>
      <c r="Y1858" s="5"/>
    </row>
    <row r="1859" spans="13:25" ht="56.25" x14ac:dyDescent="0.2">
      <c r="M1859" s="26" t="s">
        <v>53</v>
      </c>
      <c r="N1859" s="25" t="s">
        <v>55</v>
      </c>
      <c r="O1859" s="26"/>
      <c r="P1859" s="26" t="s">
        <v>752</v>
      </c>
      <c r="Q1859" s="26"/>
      <c r="R1859" s="5"/>
      <c r="S1859" s="5"/>
      <c r="T1859" s="5"/>
      <c r="U1859" s="5"/>
      <c r="V1859" s="5"/>
      <c r="W1859" s="5"/>
      <c r="X1859" s="5"/>
      <c r="Y1859" s="5"/>
    </row>
    <row r="1860" spans="13:25" ht="56.25" x14ac:dyDescent="0.2">
      <c r="M1860" s="26" t="s">
        <v>53</v>
      </c>
      <c r="N1860" s="25" t="s">
        <v>55</v>
      </c>
      <c r="O1860" s="26"/>
      <c r="P1860" s="26" t="s">
        <v>1623</v>
      </c>
      <c r="Q1860" s="26"/>
      <c r="R1860" s="5"/>
      <c r="S1860" s="5"/>
      <c r="T1860" s="5"/>
      <c r="U1860" s="5"/>
      <c r="V1860" s="5"/>
      <c r="W1860" s="5"/>
      <c r="X1860" s="5"/>
      <c r="Y1860" s="5"/>
    </row>
    <row r="1861" spans="13:25" ht="22.5" x14ac:dyDescent="0.2">
      <c r="M1861" s="26" t="s">
        <v>53</v>
      </c>
      <c r="N1861" s="25" t="s">
        <v>55</v>
      </c>
      <c r="O1861" s="26"/>
      <c r="P1861" s="26" t="s">
        <v>1624</v>
      </c>
      <c r="Q1861" s="26"/>
      <c r="R1861" s="5"/>
      <c r="S1861" s="5"/>
      <c r="T1861" s="5"/>
      <c r="U1861" s="5"/>
      <c r="V1861" s="5"/>
      <c r="W1861" s="5"/>
      <c r="X1861" s="5"/>
      <c r="Y1861" s="5"/>
    </row>
    <row r="1862" spans="13:25" ht="45" x14ac:dyDescent="0.2">
      <c r="M1862" s="26" t="s">
        <v>53</v>
      </c>
      <c r="N1862" s="25" t="s">
        <v>55</v>
      </c>
      <c r="O1862" s="26"/>
      <c r="P1862" s="26" t="s">
        <v>1535</v>
      </c>
      <c r="Q1862" s="26"/>
      <c r="R1862" s="5"/>
      <c r="S1862" s="5"/>
      <c r="T1862" s="5"/>
      <c r="U1862" s="5"/>
      <c r="V1862" s="5"/>
      <c r="W1862" s="5"/>
      <c r="X1862" s="5"/>
      <c r="Y1862" s="5"/>
    </row>
    <row r="1863" spans="13:25" ht="45" x14ac:dyDescent="0.2">
      <c r="M1863" s="26" t="s">
        <v>53</v>
      </c>
      <c r="N1863" s="25" t="s">
        <v>51</v>
      </c>
      <c r="O1863" s="26" t="s">
        <v>1625</v>
      </c>
      <c r="P1863" s="26"/>
      <c r="Q1863" s="26"/>
      <c r="R1863" s="5"/>
      <c r="S1863" s="5"/>
      <c r="T1863" s="5"/>
      <c r="U1863" s="5"/>
      <c r="V1863" s="5"/>
      <c r="W1863" s="5"/>
      <c r="X1863" s="5"/>
      <c r="Y1863" s="5"/>
    </row>
    <row r="1864" spans="13:25" ht="45" x14ac:dyDescent="0.2">
      <c r="M1864" s="26" t="s">
        <v>53</v>
      </c>
      <c r="N1864" s="25" t="s">
        <v>51</v>
      </c>
      <c r="O1864" s="26" t="s">
        <v>1626</v>
      </c>
      <c r="P1864" s="26"/>
      <c r="Q1864" s="26"/>
      <c r="R1864" s="5"/>
      <c r="S1864" s="5"/>
      <c r="T1864" s="5"/>
      <c r="U1864" s="5"/>
      <c r="V1864" s="5"/>
      <c r="W1864" s="5"/>
      <c r="X1864" s="5"/>
      <c r="Y1864" s="5"/>
    </row>
    <row r="1865" spans="13:25" ht="67.5" x14ac:dyDescent="0.2">
      <c r="M1865" s="26" t="s">
        <v>53</v>
      </c>
      <c r="N1865" s="25" t="s">
        <v>51</v>
      </c>
      <c r="O1865" s="26" t="s">
        <v>1627</v>
      </c>
      <c r="P1865" s="26"/>
      <c r="Q1865" s="26"/>
      <c r="R1865" s="5"/>
      <c r="S1865" s="5"/>
      <c r="T1865" s="5"/>
      <c r="U1865" s="5"/>
      <c r="V1865" s="5"/>
      <c r="W1865" s="5"/>
      <c r="X1865" s="5"/>
      <c r="Y1865" s="5"/>
    </row>
    <row r="1866" spans="13:25" ht="56.25" x14ac:dyDescent="0.2">
      <c r="M1866" s="26" t="s">
        <v>53</v>
      </c>
      <c r="N1866" s="25" t="s">
        <v>51</v>
      </c>
      <c r="O1866" s="26" t="s">
        <v>1628</v>
      </c>
      <c r="P1866" s="26"/>
      <c r="Q1866" s="26"/>
      <c r="R1866" s="5"/>
      <c r="S1866" s="5"/>
      <c r="T1866" s="5"/>
      <c r="U1866" s="5"/>
      <c r="V1866" s="5"/>
      <c r="W1866" s="5"/>
      <c r="X1866" s="5"/>
      <c r="Y1866" s="5"/>
    </row>
    <row r="1867" spans="13:25" ht="45" x14ac:dyDescent="0.2">
      <c r="M1867" s="26" t="s">
        <v>53</v>
      </c>
      <c r="N1867" s="25" t="s">
        <v>51</v>
      </c>
      <c r="O1867" s="26" t="s">
        <v>1502</v>
      </c>
      <c r="P1867" s="26"/>
      <c r="Q1867" s="26"/>
      <c r="R1867" s="5"/>
      <c r="S1867" s="5"/>
      <c r="T1867" s="5"/>
      <c r="U1867" s="5"/>
      <c r="V1867" s="5"/>
      <c r="W1867" s="5"/>
      <c r="X1867" s="5"/>
      <c r="Y1867" s="5"/>
    </row>
    <row r="1868" spans="13:25" ht="22.5" x14ac:dyDescent="0.2">
      <c r="M1868" s="26" t="s">
        <v>53</v>
      </c>
      <c r="N1868" s="25" t="s">
        <v>51</v>
      </c>
      <c r="O1868" s="26" t="s">
        <v>1629</v>
      </c>
      <c r="P1868" s="26"/>
      <c r="Q1868" s="26"/>
      <c r="R1868" s="5"/>
      <c r="S1868" s="5"/>
      <c r="T1868" s="5"/>
      <c r="U1868" s="5"/>
      <c r="V1868" s="5"/>
      <c r="W1868" s="5"/>
      <c r="X1868" s="5"/>
      <c r="Y1868" s="5"/>
    </row>
    <row r="1869" spans="13:25" ht="22.5" x14ac:dyDescent="0.2">
      <c r="M1869" s="26" t="s">
        <v>53</v>
      </c>
      <c r="N1869" s="25" t="s">
        <v>55</v>
      </c>
      <c r="O1869" s="26"/>
      <c r="P1869" s="26" t="s">
        <v>1630</v>
      </c>
      <c r="Q1869" s="26"/>
      <c r="R1869" s="5"/>
      <c r="S1869" s="5"/>
      <c r="T1869" s="5"/>
      <c r="U1869" s="5"/>
      <c r="V1869" s="5"/>
      <c r="W1869" s="5"/>
      <c r="X1869" s="5"/>
      <c r="Y1869" s="5"/>
    </row>
    <row r="1870" spans="13:25" ht="22.5" x14ac:dyDescent="0.2">
      <c r="M1870" s="26" t="s">
        <v>53</v>
      </c>
      <c r="N1870" s="25" t="s">
        <v>55</v>
      </c>
      <c r="O1870" s="26"/>
      <c r="P1870" s="26" t="s">
        <v>1631</v>
      </c>
      <c r="Q1870" s="26"/>
      <c r="R1870" s="5"/>
      <c r="S1870" s="5"/>
      <c r="T1870" s="5"/>
      <c r="U1870" s="5"/>
      <c r="V1870" s="5"/>
      <c r="W1870" s="5"/>
      <c r="X1870" s="5"/>
      <c r="Y1870" s="5"/>
    </row>
    <row r="1871" spans="13:25" ht="22.5" x14ac:dyDescent="0.2">
      <c r="M1871" s="26" t="s">
        <v>53</v>
      </c>
      <c r="N1871" s="25" t="s">
        <v>55</v>
      </c>
      <c r="O1871" s="26"/>
      <c r="P1871" s="26" t="s">
        <v>1632</v>
      </c>
      <c r="Q1871" s="26"/>
      <c r="R1871" s="5"/>
      <c r="S1871" s="5"/>
      <c r="T1871" s="5"/>
      <c r="U1871" s="5"/>
      <c r="V1871" s="5"/>
      <c r="W1871" s="5"/>
      <c r="X1871" s="5"/>
      <c r="Y1871" s="5"/>
    </row>
    <row r="1872" spans="13:25" ht="67.5" x14ac:dyDescent="0.2">
      <c r="M1872" s="26" t="s">
        <v>53</v>
      </c>
      <c r="N1872" s="25" t="s">
        <v>51</v>
      </c>
      <c r="O1872" s="26" t="s">
        <v>1633</v>
      </c>
      <c r="P1872" s="26"/>
      <c r="Q1872" s="26"/>
      <c r="R1872" s="5"/>
      <c r="S1872" s="5"/>
      <c r="T1872" s="5"/>
      <c r="U1872" s="5"/>
      <c r="V1872" s="5"/>
      <c r="W1872" s="5"/>
      <c r="X1872" s="5"/>
      <c r="Y1872" s="5"/>
    </row>
    <row r="1873" spans="13:25" ht="22.5" x14ac:dyDescent="0.2">
      <c r="M1873" s="26" t="s">
        <v>53</v>
      </c>
      <c r="N1873" s="25" t="s">
        <v>66</v>
      </c>
      <c r="O1873" s="26" t="s">
        <v>1634</v>
      </c>
      <c r="P1873" s="26"/>
      <c r="Q1873" s="26"/>
      <c r="R1873" s="5"/>
      <c r="S1873" s="5"/>
      <c r="T1873" s="5"/>
      <c r="U1873" s="5"/>
      <c r="V1873" s="5"/>
      <c r="W1873" s="5"/>
      <c r="X1873" s="5"/>
      <c r="Y1873" s="5"/>
    </row>
    <row r="1874" spans="13:25" ht="22.5" x14ac:dyDescent="0.2">
      <c r="M1874" s="26" t="s">
        <v>53</v>
      </c>
      <c r="N1874" s="25" t="s">
        <v>66</v>
      </c>
      <c r="O1874" s="26" t="s">
        <v>1635</v>
      </c>
      <c r="P1874" s="26"/>
      <c r="Q1874" s="26"/>
      <c r="R1874" s="5"/>
      <c r="S1874" s="5"/>
      <c r="T1874" s="5"/>
      <c r="U1874" s="5"/>
      <c r="V1874" s="5"/>
      <c r="W1874" s="5"/>
      <c r="X1874" s="5"/>
      <c r="Y1874" s="5"/>
    </row>
    <row r="1875" spans="13:25" ht="22.5" x14ac:dyDescent="0.2">
      <c r="M1875" s="26" t="s">
        <v>53</v>
      </c>
      <c r="N1875" s="25" t="s">
        <v>66</v>
      </c>
      <c r="O1875" s="26" t="s">
        <v>1636</v>
      </c>
      <c r="P1875" s="26"/>
      <c r="Q1875" s="26"/>
      <c r="R1875" s="5"/>
      <c r="S1875" s="5"/>
      <c r="T1875" s="5"/>
      <c r="U1875" s="5"/>
      <c r="V1875" s="5"/>
      <c r="W1875" s="5"/>
      <c r="X1875" s="5"/>
      <c r="Y1875" s="5"/>
    </row>
    <row r="1876" spans="13:25" ht="22.5" x14ac:dyDescent="0.2">
      <c r="M1876" s="26" t="s">
        <v>53</v>
      </c>
      <c r="N1876" s="25" t="s">
        <v>55</v>
      </c>
      <c r="O1876" s="26" t="s">
        <v>1637</v>
      </c>
      <c r="P1876" s="26"/>
      <c r="Q1876" s="26"/>
      <c r="R1876" s="5"/>
      <c r="S1876" s="5"/>
      <c r="T1876" s="5"/>
      <c r="U1876" s="5"/>
      <c r="V1876" s="5"/>
      <c r="W1876" s="5"/>
      <c r="X1876" s="5"/>
      <c r="Y1876" s="5"/>
    </row>
    <row r="1877" spans="13:25" ht="22.5" x14ac:dyDescent="0.2">
      <c r="M1877" s="26" t="s">
        <v>53</v>
      </c>
      <c r="N1877" s="25" t="s">
        <v>55</v>
      </c>
      <c r="O1877" s="26" t="s">
        <v>1638</v>
      </c>
      <c r="P1877" s="26"/>
      <c r="Q1877" s="26"/>
      <c r="R1877" s="5"/>
      <c r="S1877" s="5"/>
      <c r="T1877" s="5"/>
      <c r="U1877" s="5"/>
      <c r="V1877" s="5"/>
      <c r="W1877" s="5"/>
      <c r="X1877" s="5"/>
      <c r="Y1877" s="5"/>
    </row>
    <row r="1878" spans="13:25" ht="22.5" x14ac:dyDescent="0.2">
      <c r="M1878" s="26" t="s">
        <v>53</v>
      </c>
      <c r="N1878" s="25" t="s">
        <v>55</v>
      </c>
      <c r="O1878" s="26" t="s">
        <v>1639</v>
      </c>
      <c r="P1878" s="26"/>
      <c r="Q1878" s="26"/>
      <c r="R1878" s="5"/>
      <c r="S1878" s="5"/>
      <c r="T1878" s="5"/>
      <c r="U1878" s="5"/>
      <c r="V1878" s="5"/>
      <c r="W1878" s="5"/>
      <c r="X1878" s="5"/>
      <c r="Y1878" s="5"/>
    </row>
    <row r="1879" spans="13:25" ht="22.5" x14ac:dyDescent="0.2">
      <c r="M1879" s="26" t="s">
        <v>53</v>
      </c>
      <c r="N1879" s="25" t="s">
        <v>51</v>
      </c>
      <c r="O1879" s="26" t="s">
        <v>1640</v>
      </c>
      <c r="P1879" s="26"/>
      <c r="Q1879" s="26"/>
      <c r="R1879" s="5"/>
      <c r="S1879" s="5"/>
      <c r="T1879" s="5"/>
      <c r="U1879" s="5"/>
      <c r="V1879" s="5"/>
      <c r="W1879" s="5"/>
      <c r="X1879" s="5"/>
      <c r="Y1879" s="5"/>
    </row>
    <row r="1880" spans="13:25" ht="22.5" x14ac:dyDescent="0.2">
      <c r="M1880" s="26" t="s">
        <v>53</v>
      </c>
      <c r="N1880" s="25" t="s">
        <v>51</v>
      </c>
      <c r="O1880" s="26" t="s">
        <v>1641</v>
      </c>
      <c r="P1880" s="26"/>
      <c r="Q1880" s="26"/>
      <c r="R1880" s="5"/>
      <c r="S1880" s="5"/>
      <c r="T1880" s="5"/>
      <c r="U1880" s="5"/>
      <c r="V1880" s="5"/>
      <c r="W1880" s="5"/>
      <c r="X1880" s="5"/>
      <c r="Y1880" s="5"/>
    </row>
    <row r="1881" spans="13:25" ht="22.5" x14ac:dyDescent="0.2">
      <c r="M1881" s="26" t="s">
        <v>53</v>
      </c>
      <c r="N1881" s="25" t="s">
        <v>55</v>
      </c>
      <c r="O1881" s="26"/>
      <c r="P1881" s="26" t="s">
        <v>1642</v>
      </c>
      <c r="Q1881" s="26"/>
      <c r="R1881" s="5"/>
      <c r="S1881" s="5"/>
      <c r="T1881" s="5"/>
      <c r="U1881" s="5"/>
      <c r="V1881" s="5"/>
      <c r="W1881" s="5"/>
      <c r="X1881" s="5"/>
      <c r="Y1881" s="5"/>
    </row>
    <row r="1882" spans="13:25" ht="56.25" x14ac:dyDescent="0.2">
      <c r="M1882" s="26" t="s">
        <v>53</v>
      </c>
      <c r="N1882" s="25" t="s">
        <v>51</v>
      </c>
      <c r="O1882" s="26" t="s">
        <v>1613</v>
      </c>
      <c r="P1882" s="26"/>
      <c r="Q1882" s="26"/>
      <c r="R1882" s="5"/>
      <c r="S1882" s="5"/>
      <c r="T1882" s="5"/>
      <c r="U1882" s="5"/>
      <c r="V1882" s="5"/>
      <c r="W1882" s="5"/>
      <c r="X1882" s="5"/>
      <c r="Y1882" s="5"/>
    </row>
    <row r="1883" spans="13:25" ht="45" x14ac:dyDescent="0.2">
      <c r="M1883" s="26" t="s">
        <v>53</v>
      </c>
      <c r="N1883" s="25" t="s">
        <v>51</v>
      </c>
      <c r="O1883" s="26" t="s">
        <v>1643</v>
      </c>
      <c r="P1883" s="26"/>
      <c r="Q1883" s="26"/>
      <c r="R1883" s="5"/>
      <c r="S1883" s="5"/>
      <c r="T1883" s="5"/>
      <c r="U1883" s="5"/>
      <c r="V1883" s="5"/>
      <c r="W1883" s="5"/>
      <c r="X1883" s="5"/>
      <c r="Y1883" s="5"/>
    </row>
    <row r="1884" spans="13:25" ht="22.5" x14ac:dyDescent="0.2">
      <c r="M1884" s="26" t="s">
        <v>53</v>
      </c>
      <c r="N1884" s="25" t="s">
        <v>51</v>
      </c>
      <c r="O1884" s="26" t="s">
        <v>1644</v>
      </c>
      <c r="P1884" s="26"/>
      <c r="Q1884" s="26"/>
      <c r="R1884" s="5"/>
      <c r="S1884" s="5"/>
      <c r="T1884" s="5"/>
      <c r="U1884" s="5"/>
      <c r="V1884" s="5"/>
      <c r="W1884" s="5"/>
      <c r="X1884" s="5"/>
      <c r="Y1884" s="5"/>
    </row>
    <row r="1885" spans="13:25" ht="45" x14ac:dyDescent="0.2">
      <c r="M1885" s="26" t="s">
        <v>53</v>
      </c>
      <c r="N1885" s="25" t="s">
        <v>51</v>
      </c>
      <c r="O1885" s="26" t="s">
        <v>1645</v>
      </c>
      <c r="P1885" s="26"/>
      <c r="Q1885" s="26"/>
      <c r="R1885" s="5"/>
      <c r="S1885" s="5"/>
      <c r="T1885" s="5"/>
      <c r="U1885" s="5"/>
      <c r="V1885" s="5"/>
      <c r="W1885" s="5"/>
      <c r="X1885" s="5"/>
      <c r="Y1885" s="5"/>
    </row>
    <row r="1886" spans="13:25" ht="33.75" x14ac:dyDescent="0.2">
      <c r="M1886" s="26" t="s">
        <v>53</v>
      </c>
      <c r="N1886" s="25" t="s">
        <v>51</v>
      </c>
      <c r="O1886" s="26" t="s">
        <v>1646</v>
      </c>
      <c r="P1886" s="26"/>
      <c r="Q1886" s="26"/>
      <c r="R1886" s="5"/>
      <c r="S1886" s="5"/>
      <c r="T1886" s="5"/>
      <c r="U1886" s="5"/>
      <c r="V1886" s="5"/>
      <c r="W1886" s="5"/>
      <c r="X1886" s="5"/>
      <c r="Y1886" s="5"/>
    </row>
    <row r="1887" spans="13:25" ht="22.5" x14ac:dyDescent="0.2">
      <c r="M1887" s="26" t="s">
        <v>53</v>
      </c>
      <c r="N1887" s="25" t="s">
        <v>65</v>
      </c>
      <c r="O1887" s="26" t="s">
        <v>1647</v>
      </c>
      <c r="P1887" s="26"/>
      <c r="Q1887" s="26"/>
      <c r="R1887" s="5"/>
      <c r="S1887" s="5"/>
      <c r="T1887" s="5"/>
      <c r="U1887" s="5"/>
      <c r="V1887" s="5"/>
      <c r="W1887" s="5"/>
      <c r="X1887" s="5"/>
      <c r="Y1887" s="5"/>
    </row>
    <row r="1888" spans="13:25" ht="22.5" x14ac:dyDescent="0.2">
      <c r="M1888" s="26" t="s">
        <v>53</v>
      </c>
      <c r="N1888" s="25" t="s">
        <v>65</v>
      </c>
      <c r="O1888" s="26" t="s">
        <v>1648</v>
      </c>
      <c r="P1888" s="26"/>
      <c r="Q1888" s="26"/>
      <c r="R1888" s="5"/>
      <c r="S1888" s="5"/>
      <c r="T1888" s="5"/>
      <c r="U1888" s="5"/>
      <c r="V1888" s="5"/>
      <c r="W1888" s="5"/>
      <c r="X1888" s="5"/>
      <c r="Y1888" s="5"/>
    </row>
    <row r="1889" spans="13:25" ht="22.5" x14ac:dyDescent="0.2">
      <c r="M1889" s="26" t="s">
        <v>53</v>
      </c>
      <c r="N1889" s="25" t="s">
        <v>51</v>
      </c>
      <c r="O1889" s="26" t="s">
        <v>1649</v>
      </c>
      <c r="P1889" s="26"/>
      <c r="Q1889" s="26"/>
      <c r="R1889" s="5"/>
      <c r="S1889" s="5"/>
      <c r="T1889" s="5"/>
      <c r="U1889" s="5"/>
      <c r="V1889" s="5"/>
      <c r="W1889" s="5"/>
      <c r="X1889" s="5"/>
      <c r="Y1889" s="5"/>
    </row>
    <row r="1890" spans="13:25" ht="22.5" x14ac:dyDescent="0.2">
      <c r="M1890" s="26" t="s">
        <v>53</v>
      </c>
      <c r="N1890" s="25" t="s">
        <v>65</v>
      </c>
      <c r="O1890" s="26" t="s">
        <v>1650</v>
      </c>
      <c r="P1890" s="26"/>
      <c r="Q1890" s="26"/>
      <c r="R1890" s="5"/>
      <c r="S1890" s="5"/>
      <c r="T1890" s="5"/>
      <c r="U1890" s="5"/>
      <c r="V1890" s="5"/>
      <c r="W1890" s="5"/>
      <c r="X1890" s="5"/>
      <c r="Y1890" s="5"/>
    </row>
    <row r="1891" spans="13:25" ht="22.5" x14ac:dyDescent="0.2">
      <c r="M1891" s="26" t="s">
        <v>53</v>
      </c>
      <c r="N1891" s="25" t="s">
        <v>51</v>
      </c>
      <c r="O1891" s="26" t="s">
        <v>1651</v>
      </c>
      <c r="P1891" s="26"/>
      <c r="Q1891" s="26"/>
      <c r="R1891" s="5"/>
      <c r="S1891" s="5"/>
      <c r="T1891" s="5"/>
      <c r="U1891" s="5"/>
      <c r="V1891" s="5"/>
      <c r="W1891" s="5"/>
      <c r="X1891" s="5"/>
      <c r="Y1891" s="5"/>
    </row>
    <row r="1892" spans="13:25" ht="45" x14ac:dyDescent="0.2">
      <c r="M1892" s="26" t="s">
        <v>53</v>
      </c>
      <c r="N1892" s="25" t="s">
        <v>55</v>
      </c>
      <c r="O1892" s="26"/>
      <c r="P1892" s="26" t="s">
        <v>345</v>
      </c>
      <c r="Q1892" s="26"/>
      <c r="R1892" s="5"/>
      <c r="S1892" s="5"/>
      <c r="T1892" s="5"/>
      <c r="U1892" s="5"/>
      <c r="V1892" s="5"/>
      <c r="W1892" s="5"/>
      <c r="X1892" s="5"/>
      <c r="Y1892" s="5"/>
    </row>
    <row r="1893" spans="13:25" ht="45" x14ac:dyDescent="0.2">
      <c r="M1893" s="26" t="s">
        <v>53</v>
      </c>
      <c r="N1893" s="25" t="s">
        <v>55</v>
      </c>
      <c r="O1893" s="26"/>
      <c r="P1893" s="26" t="s">
        <v>1652</v>
      </c>
      <c r="Q1893" s="26"/>
      <c r="R1893" s="5"/>
      <c r="S1893" s="5"/>
      <c r="T1893" s="5"/>
      <c r="U1893" s="5"/>
      <c r="V1893" s="5"/>
      <c r="W1893" s="5"/>
      <c r="X1893" s="5"/>
      <c r="Y1893" s="5"/>
    </row>
    <row r="1894" spans="13:25" ht="45" x14ac:dyDescent="0.2">
      <c r="M1894" s="26" t="s">
        <v>53</v>
      </c>
      <c r="N1894" s="25" t="s">
        <v>55</v>
      </c>
      <c r="O1894" s="26"/>
      <c r="P1894" s="26" t="s">
        <v>345</v>
      </c>
      <c r="Q1894" s="26"/>
      <c r="R1894" s="5"/>
      <c r="S1894" s="5"/>
      <c r="T1894" s="5"/>
      <c r="U1894" s="5"/>
      <c r="V1894" s="5"/>
      <c r="W1894" s="5"/>
      <c r="X1894" s="5"/>
      <c r="Y1894" s="5"/>
    </row>
    <row r="1895" spans="13:25" ht="45" x14ac:dyDescent="0.2">
      <c r="M1895" s="26" t="s">
        <v>53</v>
      </c>
      <c r="N1895" s="25" t="s">
        <v>55</v>
      </c>
      <c r="O1895" s="26"/>
      <c r="P1895" s="26" t="s">
        <v>1653</v>
      </c>
      <c r="Q1895" s="26"/>
      <c r="R1895" s="5"/>
      <c r="S1895" s="5"/>
      <c r="T1895" s="5"/>
      <c r="U1895" s="5"/>
      <c r="V1895" s="5"/>
      <c r="W1895" s="5"/>
      <c r="X1895" s="5"/>
      <c r="Y1895" s="5"/>
    </row>
    <row r="1896" spans="13:25" ht="56.25" x14ac:dyDescent="0.2">
      <c r="M1896" s="26" t="s">
        <v>53</v>
      </c>
      <c r="N1896" s="25" t="s">
        <v>55</v>
      </c>
      <c r="O1896" s="26"/>
      <c r="P1896" s="26" t="s">
        <v>1654</v>
      </c>
      <c r="Q1896" s="26"/>
      <c r="R1896" s="5"/>
      <c r="S1896" s="5"/>
      <c r="T1896" s="5"/>
      <c r="U1896" s="5"/>
      <c r="V1896" s="5"/>
      <c r="W1896" s="5"/>
      <c r="X1896" s="5"/>
      <c r="Y1896" s="5"/>
    </row>
    <row r="1897" spans="13:25" ht="33.75" x14ac:dyDescent="0.2">
      <c r="M1897" s="26" t="s">
        <v>53</v>
      </c>
      <c r="N1897" s="25" t="s">
        <v>55</v>
      </c>
      <c r="O1897" s="26" t="s">
        <v>1574</v>
      </c>
      <c r="P1897" s="26"/>
      <c r="Q1897" s="26"/>
      <c r="R1897" s="5"/>
      <c r="S1897" s="5"/>
      <c r="T1897" s="5"/>
      <c r="U1897" s="5"/>
      <c r="V1897" s="5"/>
      <c r="W1897" s="5"/>
      <c r="X1897" s="5"/>
      <c r="Y1897" s="5"/>
    </row>
    <row r="1898" spans="13:25" ht="33.75" x14ac:dyDescent="0.2">
      <c r="M1898" s="26" t="s">
        <v>53</v>
      </c>
      <c r="N1898" s="25" t="s">
        <v>51</v>
      </c>
      <c r="O1898" s="26" t="s">
        <v>1655</v>
      </c>
      <c r="P1898" s="26"/>
      <c r="Q1898" s="26"/>
      <c r="R1898" s="5"/>
      <c r="S1898" s="5"/>
      <c r="T1898" s="5"/>
      <c r="U1898" s="5"/>
      <c r="V1898" s="5"/>
      <c r="W1898" s="5"/>
      <c r="X1898" s="5"/>
      <c r="Y1898" s="5"/>
    </row>
    <row r="1899" spans="13:25" ht="56.25" x14ac:dyDescent="0.2">
      <c r="M1899" s="26" t="s">
        <v>53</v>
      </c>
      <c r="N1899" s="25" t="s">
        <v>51</v>
      </c>
      <c r="O1899" s="26" t="s">
        <v>1656</v>
      </c>
      <c r="P1899" s="26"/>
      <c r="Q1899" s="26"/>
      <c r="R1899" s="5"/>
      <c r="S1899" s="5"/>
      <c r="T1899" s="5"/>
      <c r="U1899" s="5"/>
      <c r="V1899" s="5"/>
      <c r="W1899" s="5"/>
      <c r="X1899" s="5"/>
      <c r="Y1899" s="5"/>
    </row>
    <row r="1900" spans="13:25" ht="33.75" x14ac:dyDescent="0.2">
      <c r="M1900" s="26" t="s">
        <v>53</v>
      </c>
      <c r="N1900" s="25" t="s">
        <v>55</v>
      </c>
      <c r="O1900" s="26" t="s">
        <v>396</v>
      </c>
      <c r="P1900" s="26"/>
      <c r="Q1900" s="26"/>
      <c r="R1900" s="5"/>
      <c r="S1900" s="5"/>
      <c r="T1900" s="5"/>
      <c r="U1900" s="5"/>
      <c r="V1900" s="5"/>
      <c r="W1900" s="5"/>
      <c r="X1900" s="5"/>
      <c r="Y1900" s="5"/>
    </row>
    <row r="1901" spans="13:25" ht="33.75" x14ac:dyDescent="0.2">
      <c r="M1901" s="26" t="s">
        <v>53</v>
      </c>
      <c r="N1901" s="25" t="s">
        <v>55</v>
      </c>
      <c r="O1901" s="26" t="s">
        <v>1657</v>
      </c>
      <c r="P1901" s="26"/>
      <c r="Q1901" s="26"/>
      <c r="R1901" s="5"/>
      <c r="S1901" s="5"/>
      <c r="T1901" s="5"/>
      <c r="U1901" s="5"/>
      <c r="V1901" s="5"/>
      <c r="W1901" s="5"/>
      <c r="X1901" s="5"/>
      <c r="Y1901" s="5"/>
    </row>
    <row r="1902" spans="13:25" ht="67.5" x14ac:dyDescent="0.2">
      <c r="M1902" s="26" t="s">
        <v>53</v>
      </c>
      <c r="N1902" s="25" t="s">
        <v>51</v>
      </c>
      <c r="O1902" s="26" t="s">
        <v>1658</v>
      </c>
      <c r="P1902" s="26"/>
      <c r="Q1902" s="26"/>
      <c r="R1902" s="5"/>
      <c r="S1902" s="5"/>
      <c r="T1902" s="5"/>
      <c r="U1902" s="5"/>
      <c r="V1902" s="5"/>
      <c r="W1902" s="5"/>
      <c r="X1902" s="5"/>
      <c r="Y1902" s="5"/>
    </row>
    <row r="1903" spans="13:25" ht="45" x14ac:dyDescent="0.2">
      <c r="M1903" s="26" t="s">
        <v>53</v>
      </c>
      <c r="N1903" s="25" t="s">
        <v>51</v>
      </c>
      <c r="O1903" s="26" t="s">
        <v>1659</v>
      </c>
      <c r="P1903" s="26"/>
      <c r="Q1903" s="26"/>
      <c r="R1903" s="5"/>
      <c r="S1903" s="5"/>
      <c r="T1903" s="5"/>
      <c r="U1903" s="5"/>
      <c r="V1903" s="5"/>
      <c r="W1903" s="5"/>
      <c r="X1903" s="5"/>
      <c r="Y1903" s="5"/>
    </row>
    <row r="1904" spans="13:25" ht="78.75" x14ac:dyDescent="0.2">
      <c r="M1904" s="26" t="s">
        <v>53</v>
      </c>
      <c r="N1904" s="25" t="s">
        <v>51</v>
      </c>
      <c r="O1904" s="26" t="s">
        <v>451</v>
      </c>
      <c r="P1904" s="26"/>
      <c r="Q1904" s="26"/>
      <c r="R1904" s="5"/>
      <c r="S1904" s="5"/>
      <c r="T1904" s="5"/>
      <c r="U1904" s="5"/>
      <c r="V1904" s="5"/>
      <c r="W1904" s="5"/>
      <c r="X1904" s="5"/>
      <c r="Y1904" s="5"/>
    </row>
    <row r="1905" spans="13:25" ht="45" x14ac:dyDescent="0.2">
      <c r="M1905" s="26" t="s">
        <v>53</v>
      </c>
      <c r="N1905" s="25" t="s">
        <v>55</v>
      </c>
      <c r="O1905" s="26" t="s">
        <v>667</v>
      </c>
      <c r="P1905" s="26"/>
      <c r="Q1905" s="26"/>
      <c r="R1905" s="5"/>
      <c r="S1905" s="5"/>
      <c r="T1905" s="5"/>
      <c r="U1905" s="5"/>
      <c r="V1905" s="5"/>
      <c r="W1905" s="5"/>
      <c r="X1905" s="5"/>
      <c r="Y1905" s="5"/>
    </row>
    <row r="1906" spans="13:25" ht="45" x14ac:dyDescent="0.2">
      <c r="M1906" s="26" t="s">
        <v>53</v>
      </c>
      <c r="N1906" s="25" t="s">
        <v>55</v>
      </c>
      <c r="O1906" s="26" t="s">
        <v>1660</v>
      </c>
      <c r="P1906" s="26"/>
      <c r="Q1906" s="26"/>
      <c r="R1906" s="5"/>
      <c r="S1906" s="5"/>
      <c r="T1906" s="5"/>
      <c r="U1906" s="5"/>
      <c r="V1906" s="5"/>
      <c r="W1906" s="5"/>
      <c r="X1906" s="5"/>
      <c r="Y1906" s="5"/>
    </row>
    <row r="1907" spans="13:25" ht="22.5" x14ac:dyDescent="0.2">
      <c r="M1907" s="26" t="s">
        <v>53</v>
      </c>
      <c r="N1907" s="25" t="s">
        <v>51</v>
      </c>
      <c r="O1907" s="26" t="s">
        <v>1661</v>
      </c>
      <c r="P1907" s="26"/>
      <c r="Q1907" s="26"/>
      <c r="R1907" s="5"/>
      <c r="S1907" s="5"/>
      <c r="T1907" s="5"/>
      <c r="U1907" s="5"/>
      <c r="V1907" s="5"/>
      <c r="W1907" s="5"/>
      <c r="X1907" s="5"/>
      <c r="Y1907" s="5"/>
    </row>
    <row r="1908" spans="13:25" ht="33.75" x14ac:dyDescent="0.2">
      <c r="M1908" s="26" t="s">
        <v>53</v>
      </c>
      <c r="N1908" s="25" t="s">
        <v>55</v>
      </c>
      <c r="O1908" s="26"/>
      <c r="P1908" s="26" t="s">
        <v>996</v>
      </c>
      <c r="Q1908" s="26"/>
      <c r="R1908" s="5"/>
      <c r="S1908" s="5"/>
      <c r="T1908" s="5"/>
      <c r="U1908" s="5"/>
      <c r="V1908" s="5"/>
      <c r="W1908" s="5"/>
      <c r="X1908" s="5"/>
      <c r="Y1908" s="5"/>
    </row>
    <row r="1909" spans="13:25" ht="22.5" x14ac:dyDescent="0.2">
      <c r="M1909" s="26" t="s">
        <v>53</v>
      </c>
      <c r="N1909" s="25" t="s">
        <v>55</v>
      </c>
      <c r="O1909" s="26"/>
      <c r="P1909" s="26" t="s">
        <v>1662</v>
      </c>
      <c r="Q1909" s="26"/>
      <c r="R1909" s="5"/>
      <c r="S1909" s="5"/>
      <c r="T1909" s="5"/>
      <c r="U1909" s="5"/>
      <c r="V1909" s="5"/>
      <c r="W1909" s="5"/>
      <c r="X1909" s="5"/>
      <c r="Y1909" s="5"/>
    </row>
    <row r="1910" spans="13:25" ht="22.5" x14ac:dyDescent="0.2">
      <c r="M1910" s="26" t="s">
        <v>53</v>
      </c>
      <c r="N1910" s="25" t="s">
        <v>55</v>
      </c>
      <c r="O1910" s="26"/>
      <c r="P1910" s="26" t="s">
        <v>1663</v>
      </c>
      <c r="Q1910" s="26"/>
      <c r="R1910" s="5"/>
      <c r="S1910" s="5"/>
      <c r="T1910" s="5"/>
      <c r="U1910" s="5"/>
      <c r="V1910" s="5"/>
      <c r="W1910" s="5"/>
      <c r="X1910" s="5"/>
      <c r="Y1910" s="5"/>
    </row>
    <row r="1911" spans="13:25" ht="56.25" x14ac:dyDescent="0.2">
      <c r="M1911" s="26" t="s">
        <v>53</v>
      </c>
      <c r="N1911" s="25" t="s">
        <v>51</v>
      </c>
      <c r="O1911" s="26" t="s">
        <v>1656</v>
      </c>
      <c r="P1911" s="26"/>
      <c r="Q1911" s="26"/>
      <c r="R1911" s="5"/>
      <c r="S1911" s="5"/>
      <c r="T1911" s="5"/>
      <c r="U1911" s="5"/>
      <c r="V1911" s="5"/>
      <c r="W1911" s="5"/>
      <c r="X1911" s="5"/>
      <c r="Y1911" s="5"/>
    </row>
    <row r="1912" spans="13:25" ht="33.75" x14ac:dyDescent="0.2">
      <c r="M1912" s="26" t="s">
        <v>53</v>
      </c>
      <c r="N1912" s="25" t="s">
        <v>51</v>
      </c>
      <c r="O1912" s="26" t="s">
        <v>1664</v>
      </c>
      <c r="P1912" s="26"/>
      <c r="Q1912" s="26"/>
      <c r="R1912" s="5"/>
      <c r="S1912" s="5"/>
      <c r="T1912" s="5"/>
      <c r="U1912" s="5"/>
      <c r="V1912" s="5"/>
      <c r="W1912" s="5"/>
      <c r="X1912" s="5"/>
      <c r="Y1912" s="5"/>
    </row>
    <row r="1913" spans="13:25" ht="45" x14ac:dyDescent="0.2">
      <c r="M1913" s="26" t="s">
        <v>53</v>
      </c>
      <c r="N1913" s="25" t="s">
        <v>55</v>
      </c>
      <c r="O1913" s="26" t="s">
        <v>683</v>
      </c>
      <c r="P1913" s="26"/>
      <c r="Q1913" s="26"/>
      <c r="R1913" s="5"/>
      <c r="S1913" s="5"/>
      <c r="T1913" s="5"/>
      <c r="U1913" s="5"/>
      <c r="V1913" s="5"/>
      <c r="W1913" s="5"/>
      <c r="X1913" s="5"/>
      <c r="Y1913" s="5"/>
    </row>
    <row r="1914" spans="13:25" ht="45" x14ac:dyDescent="0.2">
      <c r="M1914" s="26" t="s">
        <v>53</v>
      </c>
      <c r="N1914" s="25" t="s">
        <v>55</v>
      </c>
      <c r="O1914" s="26" t="s">
        <v>1665</v>
      </c>
      <c r="P1914" s="26"/>
      <c r="Q1914" s="26"/>
      <c r="R1914" s="5"/>
      <c r="S1914" s="5"/>
      <c r="T1914" s="5"/>
      <c r="U1914" s="5"/>
      <c r="V1914" s="5"/>
      <c r="W1914" s="5"/>
      <c r="X1914" s="5"/>
      <c r="Y1914" s="5"/>
    </row>
    <row r="1915" spans="13:25" ht="33.75" x14ac:dyDescent="0.2">
      <c r="M1915" s="26" t="s">
        <v>53</v>
      </c>
      <c r="N1915" s="25" t="s">
        <v>55</v>
      </c>
      <c r="O1915" s="26" t="s">
        <v>1666</v>
      </c>
      <c r="P1915" s="26"/>
      <c r="Q1915" s="26"/>
      <c r="R1915" s="5"/>
      <c r="S1915" s="5"/>
      <c r="T1915" s="5"/>
      <c r="U1915" s="5"/>
      <c r="V1915" s="5"/>
      <c r="W1915" s="5"/>
      <c r="X1915" s="5"/>
      <c r="Y1915" s="5"/>
    </row>
    <row r="1916" spans="13:25" ht="22.5" x14ac:dyDescent="0.2">
      <c r="M1916" s="26" t="s">
        <v>53</v>
      </c>
      <c r="N1916" s="25" t="s">
        <v>65</v>
      </c>
      <c r="O1916" s="26" t="s">
        <v>1667</v>
      </c>
      <c r="P1916" s="26"/>
      <c r="Q1916" s="26"/>
      <c r="R1916" s="5"/>
      <c r="S1916" s="5"/>
      <c r="T1916" s="5"/>
      <c r="U1916" s="5"/>
      <c r="V1916" s="5"/>
      <c r="W1916" s="5"/>
      <c r="X1916" s="5"/>
      <c r="Y1916" s="5"/>
    </row>
    <row r="1917" spans="13:25" ht="22.5" x14ac:dyDescent="0.2">
      <c r="M1917" s="26" t="s">
        <v>53</v>
      </c>
      <c r="N1917" s="25" t="s">
        <v>65</v>
      </c>
      <c r="O1917" s="26" t="s">
        <v>1668</v>
      </c>
      <c r="P1917" s="26"/>
      <c r="Q1917" s="26"/>
      <c r="R1917" s="5"/>
      <c r="S1917" s="5"/>
      <c r="T1917" s="5"/>
      <c r="U1917" s="5"/>
      <c r="V1917" s="5"/>
      <c r="W1917" s="5"/>
      <c r="X1917" s="5"/>
      <c r="Y1917" s="5"/>
    </row>
    <row r="1918" spans="13:25" ht="22.5" x14ac:dyDescent="0.2">
      <c r="M1918" s="26" t="s">
        <v>53</v>
      </c>
      <c r="N1918" s="25" t="s">
        <v>51</v>
      </c>
      <c r="O1918" s="26" t="s">
        <v>1669</v>
      </c>
      <c r="P1918" s="26"/>
      <c r="Q1918" s="26"/>
      <c r="R1918" s="5"/>
      <c r="S1918" s="5"/>
      <c r="T1918" s="5"/>
      <c r="U1918" s="5"/>
      <c r="V1918" s="5"/>
      <c r="W1918" s="5"/>
      <c r="X1918" s="5"/>
      <c r="Y1918" s="5"/>
    </row>
    <row r="1919" spans="13:25" ht="56.25" x14ac:dyDescent="0.2">
      <c r="M1919" s="26" t="s">
        <v>53</v>
      </c>
      <c r="N1919" s="25" t="s">
        <v>55</v>
      </c>
      <c r="O1919" s="26"/>
      <c r="P1919" s="26" t="s">
        <v>1670</v>
      </c>
      <c r="Q1919" s="26"/>
      <c r="R1919" s="5"/>
      <c r="S1919" s="5"/>
      <c r="T1919" s="5"/>
      <c r="U1919" s="5"/>
      <c r="V1919" s="5"/>
      <c r="W1919" s="5"/>
      <c r="X1919" s="5"/>
      <c r="Y1919" s="5"/>
    </row>
    <row r="1920" spans="13:25" ht="67.5" x14ac:dyDescent="0.2">
      <c r="M1920" s="26" t="s">
        <v>53</v>
      </c>
      <c r="N1920" s="25" t="s">
        <v>55</v>
      </c>
      <c r="O1920" s="26"/>
      <c r="P1920" s="26" t="s">
        <v>1671</v>
      </c>
      <c r="Q1920" s="26"/>
      <c r="R1920" s="5"/>
      <c r="S1920" s="5"/>
      <c r="T1920" s="5"/>
      <c r="U1920" s="5"/>
      <c r="V1920" s="5"/>
      <c r="W1920" s="5"/>
      <c r="X1920" s="5"/>
      <c r="Y1920" s="5"/>
    </row>
    <row r="1921" spans="13:25" ht="33.75" x14ac:dyDescent="0.2">
      <c r="M1921" s="26" t="s">
        <v>53</v>
      </c>
      <c r="N1921" s="25" t="s">
        <v>55</v>
      </c>
      <c r="O1921" s="26"/>
      <c r="P1921" s="26" t="s">
        <v>1672</v>
      </c>
      <c r="Q1921" s="26"/>
      <c r="R1921" s="5"/>
      <c r="S1921" s="5"/>
      <c r="T1921" s="5"/>
      <c r="U1921" s="5"/>
      <c r="V1921" s="5"/>
      <c r="W1921" s="5"/>
      <c r="X1921" s="5"/>
      <c r="Y1921" s="5"/>
    </row>
    <row r="1922" spans="13:25" ht="22.5" x14ac:dyDescent="0.2">
      <c r="M1922" s="26" t="s">
        <v>53</v>
      </c>
      <c r="N1922" s="25" t="s">
        <v>55</v>
      </c>
      <c r="O1922" s="26" t="s">
        <v>1673</v>
      </c>
      <c r="P1922" s="26"/>
      <c r="Q1922" s="26"/>
      <c r="R1922" s="5"/>
      <c r="S1922" s="5"/>
      <c r="T1922" s="5"/>
      <c r="U1922" s="5"/>
      <c r="V1922" s="5"/>
      <c r="W1922" s="5"/>
      <c r="X1922" s="5"/>
      <c r="Y1922" s="5"/>
    </row>
    <row r="1923" spans="13:25" ht="33.75" x14ac:dyDescent="0.2">
      <c r="M1923" s="26" t="s">
        <v>53</v>
      </c>
      <c r="N1923" s="25" t="s">
        <v>51</v>
      </c>
      <c r="O1923" s="26" t="s">
        <v>1674</v>
      </c>
      <c r="P1923" s="26"/>
      <c r="Q1923" s="26"/>
      <c r="R1923" s="5"/>
      <c r="S1923" s="5"/>
      <c r="T1923" s="5"/>
      <c r="U1923" s="5"/>
      <c r="V1923" s="5"/>
      <c r="W1923" s="5"/>
      <c r="X1923" s="5"/>
      <c r="Y1923" s="5"/>
    </row>
    <row r="1924" spans="13:25" ht="22.5" x14ac:dyDescent="0.2">
      <c r="M1924" s="26" t="s">
        <v>53</v>
      </c>
      <c r="N1924" s="25" t="s">
        <v>51</v>
      </c>
      <c r="O1924" s="26" t="s">
        <v>1675</v>
      </c>
      <c r="P1924" s="26"/>
      <c r="Q1924" s="26"/>
      <c r="R1924" s="5"/>
      <c r="S1924" s="5"/>
      <c r="T1924" s="5"/>
      <c r="U1924" s="5"/>
      <c r="V1924" s="5"/>
      <c r="W1924" s="5"/>
      <c r="X1924" s="5"/>
      <c r="Y1924" s="5"/>
    </row>
    <row r="1925" spans="13:25" ht="45" x14ac:dyDescent="0.2">
      <c r="M1925" s="26" t="s">
        <v>53</v>
      </c>
      <c r="N1925" s="25" t="s">
        <v>55</v>
      </c>
      <c r="O1925" s="26"/>
      <c r="P1925" s="26" t="s">
        <v>1676</v>
      </c>
      <c r="Q1925" s="26"/>
      <c r="R1925" s="5"/>
      <c r="S1925" s="5"/>
      <c r="T1925" s="5"/>
      <c r="U1925" s="5"/>
      <c r="V1925" s="5"/>
      <c r="W1925" s="5"/>
      <c r="X1925" s="5"/>
      <c r="Y1925" s="5"/>
    </row>
    <row r="1926" spans="13:25" ht="45" x14ac:dyDescent="0.2">
      <c r="M1926" s="26" t="s">
        <v>53</v>
      </c>
      <c r="N1926" s="25" t="s">
        <v>55</v>
      </c>
      <c r="O1926" s="26"/>
      <c r="P1926" s="26" t="s">
        <v>1677</v>
      </c>
      <c r="Q1926" s="26"/>
      <c r="R1926" s="5"/>
      <c r="S1926" s="5"/>
      <c r="T1926" s="5"/>
      <c r="U1926" s="5"/>
      <c r="V1926" s="5"/>
      <c r="W1926" s="5"/>
      <c r="X1926" s="5"/>
      <c r="Y1926" s="5"/>
    </row>
    <row r="1927" spans="13:25" ht="33.75" x14ac:dyDescent="0.2">
      <c r="M1927" s="26" t="s">
        <v>53</v>
      </c>
      <c r="N1927" s="25" t="s">
        <v>70</v>
      </c>
      <c r="O1927" s="26" t="s">
        <v>1678</v>
      </c>
      <c r="P1927" s="26"/>
      <c r="Q1927" s="26"/>
      <c r="R1927" s="5"/>
      <c r="S1927" s="5"/>
      <c r="T1927" s="5"/>
      <c r="U1927" s="5"/>
      <c r="V1927" s="5"/>
      <c r="W1927" s="5"/>
      <c r="X1927" s="5"/>
      <c r="Y1927" s="5"/>
    </row>
    <row r="1928" spans="13:25" ht="22.5" x14ac:dyDescent="0.2">
      <c r="M1928" s="26" t="s">
        <v>53</v>
      </c>
      <c r="N1928" s="25" t="s">
        <v>51</v>
      </c>
      <c r="O1928" s="26" t="s">
        <v>1679</v>
      </c>
      <c r="P1928" s="26"/>
      <c r="Q1928" s="26"/>
      <c r="R1928" s="5"/>
      <c r="S1928" s="5"/>
      <c r="T1928" s="5"/>
      <c r="U1928" s="5"/>
      <c r="V1928" s="5"/>
      <c r="W1928" s="5"/>
      <c r="X1928" s="5"/>
      <c r="Y1928" s="5"/>
    </row>
    <row r="1929" spans="13:25" ht="67.5" x14ac:dyDescent="0.2">
      <c r="M1929" s="26" t="s">
        <v>53</v>
      </c>
      <c r="N1929" s="25" t="s">
        <v>55</v>
      </c>
      <c r="O1929" s="26"/>
      <c r="P1929" s="26" t="s">
        <v>1556</v>
      </c>
      <c r="Q1929" s="26"/>
      <c r="R1929" s="5"/>
      <c r="S1929" s="5"/>
      <c r="T1929" s="5"/>
      <c r="U1929" s="5"/>
      <c r="V1929" s="5"/>
      <c r="W1929" s="5"/>
      <c r="X1929" s="5"/>
      <c r="Y1929" s="5"/>
    </row>
    <row r="1930" spans="13:25" ht="67.5" x14ac:dyDescent="0.2">
      <c r="M1930" s="26" t="s">
        <v>53</v>
      </c>
      <c r="N1930" s="25" t="s">
        <v>55</v>
      </c>
      <c r="O1930" s="26"/>
      <c r="P1930" s="26" t="s">
        <v>1680</v>
      </c>
      <c r="Q1930" s="26"/>
      <c r="R1930" s="5"/>
      <c r="S1930" s="5"/>
      <c r="T1930" s="5"/>
      <c r="U1930" s="5"/>
      <c r="V1930" s="5"/>
      <c r="W1930" s="5"/>
      <c r="X1930" s="5"/>
      <c r="Y1930" s="5"/>
    </row>
    <row r="1931" spans="13:25" ht="22.5" x14ac:dyDescent="0.2">
      <c r="M1931" s="26" t="s">
        <v>53</v>
      </c>
      <c r="N1931" s="25" t="s">
        <v>51</v>
      </c>
      <c r="O1931" s="26" t="s">
        <v>1681</v>
      </c>
      <c r="P1931" s="26"/>
      <c r="Q1931" s="26"/>
      <c r="R1931" s="5"/>
      <c r="S1931" s="5"/>
      <c r="T1931" s="5"/>
      <c r="U1931" s="5"/>
      <c r="V1931" s="5"/>
      <c r="W1931" s="5"/>
      <c r="X1931" s="5"/>
      <c r="Y1931" s="5"/>
    </row>
    <row r="1932" spans="13:25" ht="67.5" x14ac:dyDescent="0.2">
      <c r="M1932" s="26" t="s">
        <v>53</v>
      </c>
      <c r="N1932" s="25" t="s">
        <v>55</v>
      </c>
      <c r="O1932" s="26"/>
      <c r="P1932" s="26" t="s">
        <v>745</v>
      </c>
      <c r="Q1932" s="26"/>
      <c r="R1932" s="5"/>
      <c r="S1932" s="5"/>
      <c r="T1932" s="5"/>
      <c r="U1932" s="5"/>
      <c r="V1932" s="5"/>
      <c r="W1932" s="5"/>
      <c r="X1932" s="5"/>
      <c r="Y1932" s="5"/>
    </row>
    <row r="1933" spans="13:25" ht="67.5" x14ac:dyDescent="0.2">
      <c r="M1933" s="26" t="s">
        <v>53</v>
      </c>
      <c r="N1933" s="25" t="s">
        <v>55</v>
      </c>
      <c r="O1933" s="26"/>
      <c r="P1933" s="26" t="s">
        <v>746</v>
      </c>
      <c r="Q1933" s="26"/>
      <c r="R1933" s="5"/>
      <c r="S1933" s="5"/>
      <c r="T1933" s="5"/>
      <c r="U1933" s="5"/>
      <c r="V1933" s="5"/>
      <c r="W1933" s="5"/>
      <c r="X1933" s="5"/>
      <c r="Y1933" s="5"/>
    </row>
    <row r="1934" spans="13:25" ht="67.5" x14ac:dyDescent="0.2">
      <c r="M1934" s="26" t="s">
        <v>53</v>
      </c>
      <c r="N1934" s="25" t="s">
        <v>55</v>
      </c>
      <c r="O1934" s="26"/>
      <c r="P1934" s="26" t="s">
        <v>1682</v>
      </c>
      <c r="Q1934" s="26"/>
      <c r="R1934" s="5"/>
      <c r="S1934" s="5"/>
      <c r="T1934" s="5"/>
      <c r="U1934" s="5"/>
      <c r="V1934" s="5"/>
      <c r="W1934" s="5"/>
      <c r="X1934" s="5"/>
      <c r="Y1934" s="5"/>
    </row>
    <row r="1935" spans="13:25" ht="33.75" x14ac:dyDescent="0.2">
      <c r="M1935" s="26" t="s">
        <v>53</v>
      </c>
      <c r="N1935" s="25" t="s">
        <v>55</v>
      </c>
      <c r="O1935" s="26"/>
      <c r="P1935" s="26" t="s">
        <v>1683</v>
      </c>
      <c r="Q1935" s="26"/>
      <c r="R1935" s="5"/>
      <c r="S1935" s="5"/>
      <c r="T1935" s="5"/>
      <c r="U1935" s="5"/>
      <c r="V1935" s="5"/>
      <c r="W1935" s="5"/>
      <c r="X1935" s="5"/>
      <c r="Y1935" s="5"/>
    </row>
    <row r="1936" spans="13:25" ht="22.5" x14ac:dyDescent="0.2">
      <c r="M1936" s="26" t="s">
        <v>53</v>
      </c>
      <c r="N1936" s="25" t="s">
        <v>55</v>
      </c>
      <c r="O1936" s="26" t="s">
        <v>1684</v>
      </c>
      <c r="P1936" s="26"/>
      <c r="Q1936" s="26"/>
      <c r="R1936" s="5"/>
      <c r="S1936" s="5"/>
      <c r="T1936" s="5"/>
      <c r="U1936" s="5"/>
      <c r="V1936" s="5"/>
      <c r="W1936" s="5"/>
      <c r="X1936" s="5"/>
      <c r="Y1936" s="5"/>
    </row>
    <row r="1937" spans="13:25" ht="22.5" x14ac:dyDescent="0.2">
      <c r="M1937" s="26" t="s">
        <v>53</v>
      </c>
      <c r="N1937" s="25" t="s">
        <v>51</v>
      </c>
      <c r="O1937" s="26" t="s">
        <v>1685</v>
      </c>
      <c r="P1937" s="26"/>
      <c r="Q1937" s="26"/>
      <c r="R1937" s="5"/>
      <c r="S1937" s="5"/>
      <c r="T1937" s="5"/>
      <c r="U1937" s="5"/>
      <c r="V1937" s="5"/>
      <c r="W1937" s="5"/>
      <c r="X1937" s="5"/>
      <c r="Y1937" s="5"/>
    </row>
    <row r="1938" spans="13:25" ht="45" x14ac:dyDescent="0.2">
      <c r="M1938" s="26" t="s">
        <v>53</v>
      </c>
      <c r="N1938" s="25" t="s">
        <v>55</v>
      </c>
      <c r="O1938" s="26"/>
      <c r="P1938" s="26" t="s">
        <v>775</v>
      </c>
      <c r="Q1938" s="26"/>
      <c r="R1938" s="5"/>
      <c r="S1938" s="5"/>
      <c r="T1938" s="5"/>
      <c r="U1938" s="5"/>
      <c r="V1938" s="5"/>
      <c r="W1938" s="5"/>
      <c r="X1938" s="5"/>
      <c r="Y1938" s="5"/>
    </row>
    <row r="1939" spans="13:25" ht="22.5" x14ac:dyDescent="0.2">
      <c r="M1939" s="26" t="s">
        <v>53</v>
      </c>
      <c r="N1939" s="25" t="s">
        <v>55</v>
      </c>
      <c r="O1939" s="26"/>
      <c r="P1939" s="26" t="s">
        <v>1686</v>
      </c>
      <c r="Q1939" s="26"/>
      <c r="R1939" s="5"/>
      <c r="S1939" s="5"/>
      <c r="T1939" s="5"/>
      <c r="U1939" s="5"/>
      <c r="V1939" s="5"/>
      <c r="W1939" s="5"/>
      <c r="X1939" s="5"/>
      <c r="Y1939" s="5"/>
    </row>
    <row r="1940" spans="13:25" ht="22.5" x14ac:dyDescent="0.2">
      <c r="M1940" s="26" t="s">
        <v>53</v>
      </c>
      <c r="N1940" s="25" t="s">
        <v>51</v>
      </c>
      <c r="O1940" s="26" t="s">
        <v>1687</v>
      </c>
      <c r="P1940" s="26"/>
      <c r="Q1940" s="26"/>
      <c r="R1940" s="5"/>
      <c r="S1940" s="5"/>
      <c r="T1940" s="5"/>
      <c r="U1940" s="5"/>
      <c r="V1940" s="5"/>
      <c r="W1940" s="5"/>
      <c r="X1940" s="5"/>
      <c r="Y1940" s="5"/>
    </row>
    <row r="1941" spans="13:25" ht="33.75" x14ac:dyDescent="0.2">
      <c r="M1941" s="26" t="s">
        <v>53</v>
      </c>
      <c r="N1941" s="25" t="s">
        <v>55</v>
      </c>
      <c r="O1941" s="26"/>
      <c r="P1941" s="26" t="s">
        <v>1688</v>
      </c>
      <c r="Q1941" s="26"/>
      <c r="R1941" s="5"/>
      <c r="S1941" s="5"/>
      <c r="T1941" s="5"/>
      <c r="U1941" s="5"/>
      <c r="V1941" s="5"/>
      <c r="W1941" s="5"/>
      <c r="X1941" s="5"/>
      <c r="Y1941" s="5"/>
    </row>
    <row r="1942" spans="13:25" ht="33.75" x14ac:dyDescent="0.2">
      <c r="M1942" s="26" t="s">
        <v>53</v>
      </c>
      <c r="N1942" s="25" t="s">
        <v>55</v>
      </c>
      <c r="O1942" s="26"/>
      <c r="P1942" s="26" t="s">
        <v>1689</v>
      </c>
      <c r="Q1942" s="26"/>
      <c r="R1942" s="5"/>
      <c r="S1942" s="5"/>
      <c r="T1942" s="5"/>
      <c r="U1942" s="5"/>
      <c r="V1942" s="5"/>
      <c r="W1942" s="5"/>
      <c r="X1942" s="5"/>
      <c r="Y1942" s="5"/>
    </row>
    <row r="1943" spans="13:25" ht="22.5" x14ac:dyDescent="0.2">
      <c r="M1943" s="26" t="s">
        <v>53</v>
      </c>
      <c r="N1943" s="25" t="s">
        <v>51</v>
      </c>
      <c r="O1943" s="26" t="s">
        <v>1690</v>
      </c>
      <c r="P1943" s="26"/>
      <c r="Q1943" s="26"/>
      <c r="R1943" s="5"/>
      <c r="S1943" s="5"/>
      <c r="T1943" s="5"/>
      <c r="U1943" s="5"/>
      <c r="V1943" s="5"/>
      <c r="W1943" s="5"/>
      <c r="X1943" s="5"/>
      <c r="Y1943" s="5"/>
    </row>
    <row r="1944" spans="13:25" ht="33.75" x14ac:dyDescent="0.2">
      <c r="M1944" s="26" t="s">
        <v>53</v>
      </c>
      <c r="N1944" s="25" t="s">
        <v>55</v>
      </c>
      <c r="O1944" s="26"/>
      <c r="P1944" s="26" t="s">
        <v>1691</v>
      </c>
      <c r="Q1944" s="26"/>
      <c r="R1944" s="5"/>
      <c r="S1944" s="5"/>
      <c r="T1944" s="5"/>
      <c r="U1944" s="5"/>
      <c r="V1944" s="5"/>
      <c r="W1944" s="5"/>
      <c r="X1944" s="5"/>
      <c r="Y1944" s="5"/>
    </row>
    <row r="1945" spans="13:25" ht="22.5" x14ac:dyDescent="0.2">
      <c r="M1945" s="26" t="s">
        <v>53</v>
      </c>
      <c r="N1945" s="25" t="s">
        <v>55</v>
      </c>
      <c r="O1945" s="26"/>
      <c r="P1945" s="26" t="s">
        <v>1692</v>
      </c>
      <c r="Q1945" s="26"/>
      <c r="R1945" s="5"/>
      <c r="S1945" s="5"/>
      <c r="T1945" s="5"/>
      <c r="U1945" s="5"/>
      <c r="V1945" s="5"/>
      <c r="W1945" s="5"/>
      <c r="X1945" s="5"/>
      <c r="Y1945" s="5"/>
    </row>
    <row r="1946" spans="13:25" ht="22.5" x14ac:dyDescent="0.2">
      <c r="M1946" s="26" t="s">
        <v>53</v>
      </c>
      <c r="N1946" s="25" t="s">
        <v>51</v>
      </c>
      <c r="O1946" s="26" t="s">
        <v>1693</v>
      </c>
      <c r="P1946" s="26"/>
      <c r="Q1946" s="26"/>
      <c r="R1946" s="5"/>
      <c r="S1946" s="5"/>
      <c r="T1946" s="5"/>
      <c r="U1946" s="5"/>
      <c r="V1946" s="5"/>
      <c r="W1946" s="5"/>
      <c r="X1946" s="5"/>
      <c r="Y1946" s="5"/>
    </row>
    <row r="1947" spans="13:25" ht="33.75" x14ac:dyDescent="0.2">
      <c r="M1947" s="26" t="s">
        <v>53</v>
      </c>
      <c r="N1947" s="25" t="s">
        <v>55</v>
      </c>
      <c r="O1947" s="26"/>
      <c r="P1947" s="26" t="s">
        <v>774</v>
      </c>
      <c r="Q1947" s="26"/>
      <c r="R1947" s="5"/>
      <c r="S1947" s="5"/>
      <c r="T1947" s="5"/>
      <c r="U1947" s="5"/>
      <c r="V1947" s="5"/>
      <c r="W1947" s="5"/>
      <c r="X1947" s="5"/>
      <c r="Y1947" s="5"/>
    </row>
    <row r="1948" spans="13:25" ht="33.75" x14ac:dyDescent="0.2">
      <c r="M1948" s="26" t="s">
        <v>53</v>
      </c>
      <c r="N1948" s="25" t="s">
        <v>55</v>
      </c>
      <c r="O1948" s="26"/>
      <c r="P1948" s="26" t="s">
        <v>1694</v>
      </c>
      <c r="Q1948" s="26"/>
      <c r="R1948" s="5"/>
      <c r="S1948" s="5"/>
      <c r="T1948" s="5"/>
      <c r="U1948" s="5"/>
      <c r="V1948" s="5"/>
      <c r="W1948" s="5"/>
      <c r="X1948" s="5"/>
      <c r="Y1948" s="5"/>
    </row>
    <row r="1949" spans="13:25" ht="45" x14ac:dyDescent="0.2">
      <c r="M1949" s="26" t="s">
        <v>53</v>
      </c>
      <c r="N1949" s="25" t="s">
        <v>55</v>
      </c>
      <c r="O1949" s="26"/>
      <c r="P1949" s="26" t="s">
        <v>775</v>
      </c>
      <c r="Q1949" s="26"/>
      <c r="R1949" s="5"/>
      <c r="S1949" s="5"/>
      <c r="T1949" s="5"/>
      <c r="U1949" s="5"/>
      <c r="V1949" s="5"/>
      <c r="W1949" s="5"/>
      <c r="X1949" s="5"/>
      <c r="Y1949" s="5"/>
    </row>
    <row r="1950" spans="13:25" ht="45" x14ac:dyDescent="0.2">
      <c r="M1950" s="26" t="s">
        <v>53</v>
      </c>
      <c r="N1950" s="25" t="s">
        <v>55</v>
      </c>
      <c r="O1950" s="26"/>
      <c r="P1950" s="26" t="s">
        <v>339</v>
      </c>
      <c r="Q1950" s="26"/>
      <c r="R1950" s="5"/>
      <c r="S1950" s="5"/>
      <c r="T1950" s="5"/>
      <c r="U1950" s="5"/>
      <c r="V1950" s="5"/>
      <c r="W1950" s="5"/>
      <c r="X1950" s="5"/>
      <c r="Y1950" s="5"/>
    </row>
    <row r="1951" spans="13:25" ht="22.5" x14ac:dyDescent="0.2">
      <c r="M1951" s="26" t="s">
        <v>53</v>
      </c>
      <c r="N1951" s="25" t="s">
        <v>55</v>
      </c>
      <c r="O1951" s="26"/>
      <c r="P1951" s="26" t="s">
        <v>1695</v>
      </c>
      <c r="Q1951" s="26"/>
      <c r="R1951" s="5"/>
      <c r="S1951" s="5"/>
      <c r="T1951" s="5"/>
      <c r="U1951" s="5"/>
      <c r="V1951" s="5"/>
      <c r="W1951" s="5"/>
      <c r="X1951" s="5"/>
      <c r="Y1951" s="5"/>
    </row>
    <row r="1952" spans="13:25" ht="22.5" x14ac:dyDescent="0.2">
      <c r="M1952" s="26" t="s">
        <v>53</v>
      </c>
      <c r="N1952" s="25" t="s">
        <v>55</v>
      </c>
      <c r="O1952" s="26"/>
      <c r="P1952" s="26" t="s">
        <v>1686</v>
      </c>
      <c r="Q1952" s="26"/>
      <c r="R1952" s="5"/>
      <c r="S1952" s="5"/>
      <c r="T1952" s="5"/>
      <c r="U1952" s="5"/>
      <c r="V1952" s="5"/>
      <c r="W1952" s="5"/>
      <c r="X1952" s="5"/>
      <c r="Y1952" s="5"/>
    </row>
    <row r="1953" spans="13:25" ht="22.5" x14ac:dyDescent="0.2">
      <c r="M1953" s="26" t="s">
        <v>53</v>
      </c>
      <c r="N1953" s="25" t="s">
        <v>55</v>
      </c>
      <c r="O1953" s="26"/>
      <c r="P1953" s="26" t="s">
        <v>1696</v>
      </c>
      <c r="Q1953" s="26"/>
      <c r="R1953" s="5"/>
      <c r="S1953" s="5"/>
      <c r="T1953" s="5"/>
      <c r="U1953" s="5"/>
      <c r="V1953" s="5"/>
      <c r="W1953" s="5"/>
      <c r="X1953" s="5"/>
      <c r="Y1953" s="5"/>
    </row>
    <row r="1954" spans="13:25" ht="22.5" x14ac:dyDescent="0.2">
      <c r="M1954" s="26" t="s">
        <v>53</v>
      </c>
      <c r="N1954" s="25" t="s">
        <v>55</v>
      </c>
      <c r="O1954" s="26" t="s">
        <v>1697</v>
      </c>
      <c r="P1954" s="26"/>
      <c r="Q1954" s="26"/>
      <c r="R1954" s="5"/>
      <c r="S1954" s="5"/>
      <c r="T1954" s="5"/>
      <c r="U1954" s="5"/>
      <c r="V1954" s="5"/>
      <c r="W1954" s="5"/>
      <c r="X1954" s="5"/>
      <c r="Y1954" s="5"/>
    </row>
    <row r="1955" spans="13:25" ht="22.5" x14ac:dyDescent="0.2">
      <c r="M1955" s="26" t="s">
        <v>53</v>
      </c>
      <c r="N1955" s="25" t="s">
        <v>65</v>
      </c>
      <c r="O1955" s="26" t="s">
        <v>1698</v>
      </c>
      <c r="P1955" s="26"/>
      <c r="Q1955" s="26"/>
      <c r="R1955" s="5"/>
      <c r="S1955" s="5"/>
      <c r="T1955" s="5"/>
      <c r="U1955" s="5"/>
      <c r="V1955" s="5"/>
      <c r="W1955" s="5"/>
      <c r="X1955" s="5"/>
      <c r="Y1955" s="5"/>
    </row>
    <row r="1956" spans="13:25" ht="45" x14ac:dyDescent="0.2">
      <c r="M1956" s="26" t="s">
        <v>53</v>
      </c>
      <c r="N1956" s="25" t="s">
        <v>51</v>
      </c>
      <c r="O1956" s="26" t="s">
        <v>1699</v>
      </c>
      <c r="P1956" s="26"/>
      <c r="Q1956" s="26"/>
      <c r="R1956" s="5"/>
      <c r="S1956" s="5"/>
      <c r="T1956" s="5"/>
      <c r="U1956" s="5"/>
      <c r="V1956" s="5"/>
      <c r="W1956" s="5"/>
      <c r="X1956" s="5"/>
      <c r="Y1956" s="5"/>
    </row>
    <row r="1957" spans="13:25" ht="78.75" x14ac:dyDescent="0.2">
      <c r="M1957" s="26" t="s">
        <v>53</v>
      </c>
      <c r="N1957" s="25" t="s">
        <v>51</v>
      </c>
      <c r="O1957" s="26" t="s">
        <v>1700</v>
      </c>
      <c r="P1957" s="26"/>
      <c r="Q1957" s="26"/>
      <c r="R1957" s="5"/>
      <c r="S1957" s="5"/>
      <c r="T1957" s="5"/>
      <c r="U1957" s="5"/>
      <c r="V1957" s="5"/>
      <c r="W1957" s="5"/>
      <c r="X1957" s="5"/>
      <c r="Y1957" s="5"/>
    </row>
    <row r="1958" spans="13:25" ht="67.5" x14ac:dyDescent="0.2">
      <c r="M1958" s="26" t="s">
        <v>53</v>
      </c>
      <c r="N1958" s="25" t="s">
        <v>51</v>
      </c>
      <c r="O1958" s="26" t="s">
        <v>1701</v>
      </c>
      <c r="P1958" s="26"/>
      <c r="Q1958" s="26"/>
      <c r="R1958" s="5"/>
      <c r="S1958" s="5"/>
      <c r="T1958" s="5"/>
      <c r="U1958" s="5"/>
      <c r="V1958" s="5"/>
      <c r="W1958" s="5"/>
      <c r="X1958" s="5"/>
      <c r="Y1958" s="5"/>
    </row>
    <row r="1959" spans="13:25" ht="33.75" x14ac:dyDescent="0.2">
      <c r="M1959" s="26" t="s">
        <v>53</v>
      </c>
      <c r="N1959" s="25" t="s">
        <v>51</v>
      </c>
      <c r="O1959" s="26" t="s">
        <v>1674</v>
      </c>
      <c r="P1959" s="26"/>
      <c r="Q1959" s="26"/>
      <c r="R1959" s="5"/>
      <c r="S1959" s="5"/>
      <c r="T1959" s="5"/>
      <c r="U1959" s="5"/>
      <c r="V1959" s="5"/>
      <c r="W1959" s="5"/>
      <c r="X1959" s="5"/>
      <c r="Y1959" s="5"/>
    </row>
    <row r="1960" spans="13:25" ht="33.75" x14ac:dyDescent="0.2">
      <c r="M1960" s="26" t="s">
        <v>53</v>
      </c>
      <c r="N1960" s="25" t="s">
        <v>55</v>
      </c>
      <c r="O1960" s="26" t="s">
        <v>1702</v>
      </c>
      <c r="P1960" s="26"/>
      <c r="Q1960" s="26"/>
      <c r="R1960" s="5"/>
      <c r="S1960" s="5"/>
      <c r="T1960" s="5"/>
      <c r="U1960" s="5"/>
      <c r="V1960" s="5"/>
      <c r="W1960" s="5"/>
      <c r="X1960" s="5"/>
      <c r="Y1960" s="5"/>
    </row>
    <row r="1961" spans="13:25" ht="33.75" x14ac:dyDescent="0.2">
      <c r="M1961" s="26" t="s">
        <v>53</v>
      </c>
      <c r="N1961" s="25" t="s">
        <v>55</v>
      </c>
      <c r="O1961" s="26" t="s">
        <v>1703</v>
      </c>
      <c r="P1961" s="26"/>
      <c r="Q1961" s="26"/>
      <c r="R1961" s="5"/>
      <c r="S1961" s="5"/>
      <c r="T1961" s="5"/>
      <c r="U1961" s="5"/>
      <c r="V1961" s="5"/>
      <c r="W1961" s="5"/>
      <c r="X1961" s="5"/>
      <c r="Y1961" s="5"/>
    </row>
    <row r="1962" spans="13:25" ht="78.75" x14ac:dyDescent="0.2">
      <c r="M1962" s="26" t="s">
        <v>53</v>
      </c>
      <c r="N1962" s="25" t="s">
        <v>51</v>
      </c>
      <c r="O1962" s="26" t="s">
        <v>1704</v>
      </c>
      <c r="P1962" s="26"/>
      <c r="Q1962" s="26"/>
      <c r="R1962" s="5"/>
      <c r="S1962" s="5"/>
      <c r="T1962" s="5"/>
      <c r="U1962" s="5"/>
      <c r="V1962" s="5"/>
      <c r="W1962" s="5"/>
      <c r="X1962" s="5"/>
      <c r="Y1962" s="5"/>
    </row>
    <row r="1963" spans="13:25" ht="45" x14ac:dyDescent="0.2">
      <c r="M1963" s="26" t="s">
        <v>53</v>
      </c>
      <c r="N1963" s="25" t="s">
        <v>70</v>
      </c>
      <c r="O1963" s="26" t="s">
        <v>1705</v>
      </c>
      <c r="P1963" s="26"/>
      <c r="Q1963" s="26"/>
      <c r="R1963" s="5"/>
      <c r="S1963" s="5"/>
      <c r="T1963" s="5"/>
      <c r="U1963" s="5"/>
      <c r="V1963" s="5"/>
      <c r="W1963" s="5"/>
      <c r="X1963" s="5"/>
      <c r="Y1963" s="5"/>
    </row>
    <row r="1964" spans="13:25" ht="22.5" x14ac:dyDescent="0.2">
      <c r="M1964" s="26" t="s">
        <v>53</v>
      </c>
      <c r="N1964" s="25" t="s">
        <v>51</v>
      </c>
      <c r="O1964" s="26" t="s">
        <v>1706</v>
      </c>
      <c r="P1964" s="26"/>
      <c r="Q1964" s="26"/>
      <c r="R1964" s="5"/>
      <c r="S1964" s="5"/>
      <c r="T1964" s="5"/>
      <c r="U1964" s="5"/>
      <c r="V1964" s="5"/>
      <c r="W1964" s="5"/>
      <c r="X1964" s="5"/>
      <c r="Y1964" s="5"/>
    </row>
    <row r="1965" spans="13:25" ht="45" x14ac:dyDescent="0.2">
      <c r="M1965" s="26" t="s">
        <v>53</v>
      </c>
      <c r="N1965" s="25" t="s">
        <v>55</v>
      </c>
      <c r="O1965" s="26"/>
      <c r="P1965" s="26" t="s">
        <v>1707</v>
      </c>
      <c r="Q1965" s="26"/>
      <c r="R1965" s="5"/>
      <c r="S1965" s="5"/>
      <c r="T1965" s="5"/>
      <c r="U1965" s="5"/>
      <c r="V1965" s="5"/>
      <c r="W1965" s="5"/>
      <c r="X1965" s="5"/>
      <c r="Y1965" s="5"/>
    </row>
    <row r="1966" spans="13:25" ht="45" x14ac:dyDescent="0.2">
      <c r="M1966" s="26" t="s">
        <v>53</v>
      </c>
      <c r="N1966" s="25" t="s">
        <v>65</v>
      </c>
      <c r="O1966" s="26" t="s">
        <v>1708</v>
      </c>
      <c r="P1966" s="26"/>
      <c r="Q1966" s="26"/>
      <c r="R1966" s="5"/>
      <c r="S1966" s="5"/>
      <c r="T1966" s="5"/>
      <c r="U1966" s="5"/>
      <c r="V1966" s="5"/>
      <c r="W1966" s="5"/>
      <c r="X1966" s="5"/>
      <c r="Y1966" s="5"/>
    </row>
    <row r="1967" spans="13:25" ht="90" x14ac:dyDescent="0.2">
      <c r="M1967" s="26" t="s">
        <v>53</v>
      </c>
      <c r="N1967" s="25" t="s">
        <v>66</v>
      </c>
      <c r="O1967" s="26" t="s">
        <v>1709</v>
      </c>
      <c r="P1967" s="26"/>
      <c r="Q1967" s="26"/>
      <c r="R1967" s="5"/>
      <c r="S1967" s="5"/>
      <c r="T1967" s="5"/>
      <c r="U1967" s="5"/>
      <c r="V1967" s="5"/>
      <c r="W1967" s="5"/>
      <c r="X1967" s="5"/>
      <c r="Y1967" s="5"/>
    </row>
    <row r="1968" spans="13:25" ht="33.75" x14ac:dyDescent="0.2">
      <c r="M1968" s="26" t="s">
        <v>81</v>
      </c>
      <c r="N1968" s="25" t="s">
        <v>64</v>
      </c>
      <c r="O1968" s="26" t="s">
        <v>1710</v>
      </c>
      <c r="P1968" s="26"/>
      <c r="Q1968" s="26"/>
      <c r="R1968" s="5"/>
      <c r="S1968" s="5"/>
      <c r="T1968" s="5"/>
      <c r="U1968" s="5"/>
      <c r="V1968" s="5"/>
      <c r="W1968" s="5"/>
      <c r="X1968" s="5"/>
      <c r="Y1968" s="5"/>
    </row>
    <row r="1969" spans="13:25" ht="22.5" x14ac:dyDescent="0.2">
      <c r="M1969" s="26" t="s">
        <v>81</v>
      </c>
      <c r="N1969" s="25" t="s">
        <v>64</v>
      </c>
      <c r="O1969" s="26" t="s">
        <v>1711</v>
      </c>
      <c r="P1969" s="26"/>
      <c r="Q1969" s="26"/>
      <c r="R1969" s="5"/>
      <c r="S1969" s="5"/>
      <c r="T1969" s="5"/>
      <c r="U1969" s="5"/>
      <c r="V1969" s="5"/>
      <c r="W1969" s="5"/>
      <c r="X1969" s="5"/>
      <c r="Y1969" s="5"/>
    </row>
    <row r="1970" spans="13:25" ht="22.5" x14ac:dyDescent="0.2">
      <c r="M1970" s="26" t="s">
        <v>67</v>
      </c>
      <c r="N1970" s="25" t="s">
        <v>66</v>
      </c>
      <c r="O1970" s="26" t="s">
        <v>1712</v>
      </c>
      <c r="P1970" s="26"/>
      <c r="Q1970" s="26"/>
      <c r="R1970" s="5"/>
      <c r="S1970" s="5"/>
      <c r="T1970" s="5"/>
      <c r="U1970" s="5"/>
      <c r="V1970" s="5"/>
      <c r="W1970" s="5"/>
      <c r="X1970" s="5"/>
      <c r="Y1970" s="5"/>
    </row>
    <row r="1971" spans="13:25" ht="33.75" x14ac:dyDescent="0.2">
      <c r="M1971" s="26" t="s">
        <v>67</v>
      </c>
      <c r="N1971" s="25" t="s">
        <v>68</v>
      </c>
      <c r="O1971" s="26" t="s">
        <v>1713</v>
      </c>
      <c r="P1971" s="26"/>
      <c r="Q1971" s="26"/>
      <c r="R1971" s="5"/>
      <c r="S1971" s="5"/>
      <c r="T1971" s="5"/>
      <c r="U1971" s="5"/>
      <c r="V1971" s="5"/>
      <c r="W1971" s="5"/>
      <c r="X1971" s="5"/>
      <c r="Y1971" s="5"/>
    </row>
    <row r="1972" spans="13:25" ht="22.5" x14ac:dyDescent="0.2">
      <c r="M1972" s="26" t="s">
        <v>67</v>
      </c>
      <c r="N1972" s="25" t="s">
        <v>66</v>
      </c>
      <c r="O1972" s="26" t="s">
        <v>1714</v>
      </c>
      <c r="P1972" s="26"/>
      <c r="Q1972" s="26"/>
      <c r="R1972" s="5"/>
      <c r="S1972" s="5"/>
      <c r="T1972" s="5"/>
      <c r="U1972" s="5"/>
      <c r="V1972" s="5"/>
      <c r="W1972" s="5"/>
      <c r="X1972" s="5"/>
      <c r="Y1972" s="5"/>
    </row>
    <row r="1973" spans="13:25" ht="22.5" x14ac:dyDescent="0.2">
      <c r="M1973" s="26" t="s">
        <v>73</v>
      </c>
      <c r="N1973" s="25" t="s">
        <v>64</v>
      </c>
      <c r="O1973" s="26" t="s">
        <v>1715</v>
      </c>
      <c r="P1973" s="26"/>
      <c r="Q1973" s="26"/>
      <c r="R1973" s="5"/>
      <c r="S1973" s="5"/>
      <c r="T1973" s="5"/>
      <c r="U1973" s="5"/>
      <c r="V1973" s="5"/>
      <c r="W1973" s="5"/>
      <c r="X1973" s="5"/>
      <c r="Y1973" s="5"/>
    </row>
    <row r="1974" spans="13:25" ht="22.5" x14ac:dyDescent="0.2">
      <c r="M1974" s="26" t="s">
        <v>73</v>
      </c>
      <c r="N1974" s="25" t="s">
        <v>64</v>
      </c>
      <c r="O1974" s="26" t="s">
        <v>1715</v>
      </c>
      <c r="P1974" s="26"/>
      <c r="Q1974" s="26"/>
      <c r="R1974" s="5"/>
      <c r="S1974" s="5"/>
      <c r="T1974" s="5"/>
      <c r="U1974" s="5"/>
      <c r="V1974" s="5"/>
      <c r="W1974" s="5"/>
      <c r="X1974" s="5"/>
      <c r="Y1974" s="5"/>
    </row>
    <row r="1975" spans="13:25" ht="22.5" x14ac:dyDescent="0.2">
      <c r="M1975" s="26" t="s">
        <v>73</v>
      </c>
      <c r="N1975" s="25" t="s">
        <v>57</v>
      </c>
      <c r="O1975" s="26" t="s">
        <v>1716</v>
      </c>
      <c r="P1975" s="26"/>
      <c r="Q1975" s="26"/>
      <c r="R1975" s="5"/>
      <c r="S1975" s="5"/>
      <c r="T1975" s="5"/>
      <c r="U1975" s="5"/>
      <c r="V1975" s="5"/>
      <c r="W1975" s="5"/>
      <c r="X1975" s="5"/>
      <c r="Y1975" s="5"/>
    </row>
    <row r="1976" spans="13:25" ht="22.5" x14ac:dyDescent="0.2">
      <c r="M1976" s="26" t="s">
        <v>73</v>
      </c>
      <c r="N1976" s="25" t="s">
        <v>57</v>
      </c>
      <c r="O1976" s="26" t="s">
        <v>1717</v>
      </c>
      <c r="P1976" s="26"/>
      <c r="Q1976" s="26"/>
      <c r="R1976" s="5"/>
      <c r="S1976" s="5"/>
      <c r="T1976" s="5"/>
      <c r="U1976" s="5"/>
      <c r="V1976" s="5"/>
      <c r="W1976" s="5"/>
      <c r="X1976" s="5"/>
      <c r="Y1976" s="5"/>
    </row>
    <row r="1977" spans="13:25" ht="33.75" x14ac:dyDescent="0.2">
      <c r="M1977" s="26" t="s">
        <v>73</v>
      </c>
      <c r="N1977" s="25" t="s">
        <v>64</v>
      </c>
      <c r="O1977" s="26" t="s">
        <v>1718</v>
      </c>
      <c r="P1977" s="26"/>
      <c r="Q1977" s="26"/>
      <c r="R1977" s="5"/>
      <c r="S1977" s="5"/>
      <c r="T1977" s="5"/>
      <c r="U1977" s="5"/>
      <c r="V1977" s="5"/>
      <c r="W1977" s="5"/>
      <c r="X1977" s="5"/>
      <c r="Y1977" s="5"/>
    </row>
    <row r="1978" spans="13:25" ht="45" x14ac:dyDescent="0.2">
      <c r="M1978" s="26" t="s">
        <v>73</v>
      </c>
      <c r="N1978" s="25" t="s">
        <v>68</v>
      </c>
      <c r="O1978" s="26" t="s">
        <v>1719</v>
      </c>
      <c r="P1978" s="26"/>
      <c r="Q1978" s="26"/>
      <c r="R1978" s="5"/>
      <c r="S1978" s="5"/>
      <c r="T1978" s="5"/>
      <c r="U1978" s="5"/>
      <c r="V1978" s="5"/>
      <c r="W1978" s="5"/>
      <c r="X1978" s="5"/>
      <c r="Y1978" s="5"/>
    </row>
    <row r="1979" spans="13:25" ht="22.5" x14ac:dyDescent="0.2">
      <c r="M1979" s="26" t="s">
        <v>73</v>
      </c>
      <c r="N1979" s="25" t="s">
        <v>65</v>
      </c>
      <c r="O1979" s="26" t="s">
        <v>1720</v>
      </c>
      <c r="P1979" s="26"/>
      <c r="Q1979" s="26"/>
      <c r="R1979" s="5"/>
      <c r="S1979" s="5"/>
      <c r="T1979" s="5"/>
      <c r="U1979" s="5"/>
      <c r="V1979" s="5"/>
      <c r="W1979" s="5"/>
      <c r="X1979" s="5"/>
      <c r="Y1979" s="5"/>
    </row>
    <row r="1980" spans="13:25" ht="22.5" x14ac:dyDescent="0.2">
      <c r="M1980" s="26" t="s">
        <v>58</v>
      </c>
      <c r="N1980" s="25" t="s">
        <v>51</v>
      </c>
      <c r="O1980" s="26" t="s">
        <v>1721</v>
      </c>
      <c r="P1980" s="26"/>
      <c r="Q1980" s="26"/>
      <c r="R1980" s="5"/>
      <c r="S1980" s="5"/>
      <c r="T1980" s="5"/>
      <c r="U1980" s="5"/>
      <c r="V1980" s="5"/>
      <c r="W1980" s="5"/>
      <c r="X1980" s="5"/>
      <c r="Y1980" s="5"/>
    </row>
    <row r="1981" spans="13:25" ht="22.5" x14ac:dyDescent="0.2">
      <c r="M1981" s="26" t="s">
        <v>58</v>
      </c>
      <c r="N1981" s="25" t="s">
        <v>51</v>
      </c>
      <c r="O1981" s="26" t="s">
        <v>1722</v>
      </c>
      <c r="P1981" s="26"/>
      <c r="Q1981" s="26"/>
      <c r="R1981" s="5"/>
      <c r="S1981" s="5"/>
      <c r="T1981" s="5"/>
      <c r="U1981" s="5"/>
      <c r="V1981" s="5"/>
      <c r="W1981" s="5"/>
      <c r="X1981" s="5"/>
      <c r="Y1981" s="5"/>
    </row>
    <row r="1982" spans="13:25" ht="22.5" x14ac:dyDescent="0.2">
      <c r="M1982" s="26" t="s">
        <v>58</v>
      </c>
      <c r="N1982" s="25" t="s">
        <v>51</v>
      </c>
      <c r="O1982" s="26" t="s">
        <v>1723</v>
      </c>
      <c r="P1982" s="26"/>
      <c r="Q1982" s="26"/>
      <c r="R1982" s="5"/>
      <c r="S1982" s="5"/>
      <c r="T1982" s="5"/>
      <c r="U1982" s="5"/>
      <c r="V1982" s="5"/>
      <c r="W1982" s="5"/>
      <c r="X1982" s="5"/>
      <c r="Y1982" s="5"/>
    </row>
    <row r="1983" spans="13:25" ht="22.5" x14ac:dyDescent="0.2">
      <c r="M1983" s="26" t="s">
        <v>58</v>
      </c>
      <c r="N1983" s="25" t="s">
        <v>51</v>
      </c>
      <c r="O1983" s="26" t="s">
        <v>1724</v>
      </c>
      <c r="P1983" s="26"/>
      <c r="Q1983" s="26"/>
      <c r="R1983" s="5"/>
      <c r="S1983" s="5"/>
      <c r="T1983" s="5"/>
      <c r="U1983" s="5"/>
      <c r="V1983" s="5"/>
      <c r="W1983" s="5"/>
      <c r="X1983" s="5"/>
      <c r="Y1983" s="5"/>
    </row>
    <row r="1984" spans="13:25" ht="45" x14ac:dyDescent="0.2">
      <c r="M1984" s="26" t="s">
        <v>58</v>
      </c>
      <c r="N1984" s="25" t="s">
        <v>51</v>
      </c>
      <c r="O1984" s="26" t="s">
        <v>1725</v>
      </c>
      <c r="P1984" s="26"/>
      <c r="Q1984" s="26"/>
      <c r="R1984" s="5"/>
      <c r="S1984" s="5"/>
      <c r="T1984" s="5"/>
      <c r="U1984" s="5"/>
      <c r="V1984" s="5"/>
      <c r="W1984" s="5"/>
      <c r="X1984" s="5"/>
      <c r="Y1984" s="5"/>
    </row>
    <row r="1985" spans="13:25" ht="22.5" x14ac:dyDescent="0.2">
      <c r="M1985" s="26" t="s">
        <v>58</v>
      </c>
      <c r="N1985" s="25" t="s">
        <v>51</v>
      </c>
      <c r="O1985" s="26" t="s">
        <v>1726</v>
      </c>
      <c r="P1985" s="26"/>
      <c r="Q1985" s="26"/>
      <c r="R1985" s="5"/>
      <c r="S1985" s="5"/>
      <c r="T1985" s="5"/>
      <c r="U1985" s="5"/>
      <c r="V1985" s="5"/>
      <c r="W1985" s="5"/>
      <c r="X1985" s="5"/>
      <c r="Y1985" s="5"/>
    </row>
    <row r="1986" spans="13:25" ht="45" x14ac:dyDescent="0.2">
      <c r="M1986" s="26" t="s">
        <v>58</v>
      </c>
      <c r="N1986" s="25" t="s">
        <v>51</v>
      </c>
      <c r="O1986" s="26" t="s">
        <v>1727</v>
      </c>
      <c r="P1986" s="26"/>
      <c r="Q1986" s="26"/>
      <c r="R1986" s="5"/>
      <c r="S1986" s="5"/>
      <c r="T1986" s="5"/>
      <c r="U1986" s="5"/>
      <c r="V1986" s="5"/>
      <c r="W1986" s="5"/>
      <c r="X1986" s="5"/>
      <c r="Y1986" s="5"/>
    </row>
    <row r="1987" spans="13:25" ht="56.25" x14ac:dyDescent="0.2">
      <c r="M1987" s="26" t="s">
        <v>58</v>
      </c>
      <c r="N1987" s="25" t="s">
        <v>51</v>
      </c>
      <c r="O1987" s="26" t="s">
        <v>1728</v>
      </c>
      <c r="P1987" s="26"/>
      <c r="Q1987" s="26"/>
      <c r="R1987" s="5"/>
      <c r="S1987" s="5"/>
      <c r="T1987" s="5"/>
      <c r="U1987" s="5"/>
      <c r="V1987" s="5"/>
      <c r="W1987" s="5"/>
      <c r="X1987" s="5"/>
      <c r="Y1987" s="5"/>
    </row>
    <row r="1988" spans="13:25" ht="157.5" x14ac:dyDescent="0.2">
      <c r="M1988" s="26" t="s">
        <v>58</v>
      </c>
      <c r="N1988" s="25" t="s">
        <v>51</v>
      </c>
      <c r="O1988" s="26" t="s">
        <v>1729</v>
      </c>
      <c r="P1988" s="26"/>
      <c r="Q1988" s="26"/>
      <c r="R1988" s="5"/>
      <c r="S1988" s="5"/>
      <c r="T1988" s="5"/>
      <c r="U1988" s="5"/>
      <c r="V1988" s="5"/>
      <c r="W1988" s="5"/>
      <c r="X1988" s="5"/>
      <c r="Y1988" s="5"/>
    </row>
    <row r="1989" spans="13:25" ht="33.75" x14ac:dyDescent="0.2">
      <c r="M1989" s="26" t="s">
        <v>58</v>
      </c>
      <c r="N1989" s="25" t="s">
        <v>51</v>
      </c>
      <c r="O1989" s="26" t="s">
        <v>1730</v>
      </c>
      <c r="P1989" s="26"/>
      <c r="Q1989" s="26"/>
      <c r="R1989" s="5"/>
      <c r="S1989" s="5"/>
      <c r="T1989" s="5"/>
      <c r="U1989" s="5"/>
      <c r="V1989" s="5"/>
      <c r="W1989" s="5"/>
      <c r="X1989" s="5"/>
      <c r="Y1989" s="5"/>
    </row>
    <row r="1990" spans="13:25" ht="22.5" x14ac:dyDescent="0.2">
      <c r="M1990" s="26" t="s">
        <v>58</v>
      </c>
      <c r="N1990" s="25" t="s">
        <v>51</v>
      </c>
      <c r="O1990" s="26" t="s">
        <v>1731</v>
      </c>
      <c r="P1990" s="26"/>
      <c r="Q1990" s="26"/>
      <c r="R1990" s="5"/>
      <c r="S1990" s="5"/>
      <c r="T1990" s="5"/>
      <c r="U1990" s="5"/>
      <c r="V1990" s="5"/>
      <c r="W1990" s="5"/>
      <c r="X1990" s="5"/>
      <c r="Y1990" s="5"/>
    </row>
    <row r="1991" spans="13:25" ht="22.5" x14ac:dyDescent="0.2">
      <c r="M1991" s="26" t="s">
        <v>58</v>
      </c>
      <c r="N1991" s="25" t="s">
        <v>51</v>
      </c>
      <c r="O1991" s="26" t="s">
        <v>1732</v>
      </c>
      <c r="P1991" s="26"/>
      <c r="Q1991" s="26"/>
      <c r="R1991" s="5"/>
      <c r="S1991" s="5"/>
      <c r="T1991" s="5"/>
      <c r="U1991" s="5"/>
      <c r="V1991" s="5"/>
      <c r="W1991" s="5"/>
      <c r="X1991" s="5"/>
      <c r="Y1991" s="5"/>
    </row>
    <row r="1992" spans="13:25" ht="22.5" x14ac:dyDescent="0.2">
      <c r="M1992" s="26" t="s">
        <v>58</v>
      </c>
      <c r="N1992" s="25" t="s">
        <v>51</v>
      </c>
      <c r="O1992" s="26" t="s">
        <v>1733</v>
      </c>
      <c r="P1992" s="26"/>
      <c r="Q1992" s="26"/>
      <c r="R1992" s="5"/>
      <c r="S1992" s="5"/>
      <c r="T1992" s="5"/>
      <c r="U1992" s="5"/>
      <c r="V1992" s="5"/>
      <c r="W1992" s="5"/>
      <c r="X1992" s="5"/>
      <c r="Y1992" s="5"/>
    </row>
    <row r="1993" spans="13:25" ht="22.5" x14ac:dyDescent="0.2">
      <c r="M1993" s="26" t="s">
        <v>58</v>
      </c>
      <c r="N1993" s="25" t="s">
        <v>70</v>
      </c>
      <c r="O1993" s="26" t="s">
        <v>1734</v>
      </c>
      <c r="P1993" s="26"/>
      <c r="Q1993" s="26"/>
      <c r="R1993" s="5"/>
      <c r="S1993" s="5"/>
      <c r="T1993" s="5"/>
      <c r="U1993" s="5"/>
      <c r="V1993" s="5"/>
      <c r="W1993" s="5"/>
      <c r="X1993" s="5"/>
      <c r="Y1993" s="5"/>
    </row>
    <row r="1994" spans="13:25" ht="78.75" x14ac:dyDescent="0.2">
      <c r="M1994" s="26" t="s">
        <v>58</v>
      </c>
      <c r="N1994" s="25" t="s">
        <v>51</v>
      </c>
      <c r="O1994" s="26" t="s">
        <v>1735</v>
      </c>
      <c r="P1994" s="26"/>
      <c r="Q1994" s="26"/>
      <c r="R1994" s="5"/>
      <c r="S1994" s="5"/>
      <c r="T1994" s="5"/>
      <c r="U1994" s="5"/>
      <c r="V1994" s="5"/>
      <c r="W1994" s="5"/>
      <c r="X1994" s="5"/>
      <c r="Y1994" s="5"/>
    </row>
    <row r="1995" spans="13:25" ht="22.5" x14ac:dyDescent="0.2">
      <c r="M1995" s="26" t="s">
        <v>58</v>
      </c>
      <c r="N1995" s="25" t="s">
        <v>51</v>
      </c>
      <c r="O1995" s="26" t="s">
        <v>1736</v>
      </c>
      <c r="P1995" s="26"/>
      <c r="Q1995" s="26"/>
      <c r="R1995" s="5"/>
      <c r="S1995" s="5"/>
      <c r="T1995" s="5"/>
      <c r="U1995" s="5"/>
      <c r="V1995" s="5"/>
      <c r="W1995" s="5"/>
      <c r="X1995" s="5"/>
      <c r="Y1995" s="5"/>
    </row>
    <row r="1996" spans="13:25" ht="22.5" x14ac:dyDescent="0.2">
      <c r="M1996" s="26" t="s">
        <v>58</v>
      </c>
      <c r="N1996" s="25" t="s">
        <v>51</v>
      </c>
      <c r="O1996" s="26" t="s">
        <v>1737</v>
      </c>
      <c r="P1996" s="26"/>
      <c r="Q1996" s="26"/>
      <c r="R1996" s="5"/>
      <c r="S1996" s="5"/>
      <c r="T1996" s="5"/>
      <c r="U1996" s="5"/>
      <c r="V1996" s="5"/>
      <c r="W1996" s="5"/>
      <c r="X1996" s="5"/>
      <c r="Y1996" s="5"/>
    </row>
    <row r="1997" spans="13:25" ht="67.5" x14ac:dyDescent="0.2">
      <c r="M1997" s="26" t="s">
        <v>58</v>
      </c>
      <c r="N1997" s="25" t="s">
        <v>51</v>
      </c>
      <c r="O1997" s="26" t="s">
        <v>1738</v>
      </c>
      <c r="P1997" s="26"/>
      <c r="Q1997" s="26"/>
      <c r="R1997" s="5"/>
      <c r="S1997" s="5"/>
      <c r="T1997" s="5"/>
      <c r="U1997" s="5"/>
      <c r="V1997" s="5"/>
      <c r="W1997" s="5"/>
      <c r="X1997" s="5"/>
      <c r="Y1997" s="5"/>
    </row>
    <row r="1998" spans="13:25" ht="33.75" x14ac:dyDescent="0.2">
      <c r="M1998" s="26" t="s">
        <v>58</v>
      </c>
      <c r="N1998" s="25" t="s">
        <v>51</v>
      </c>
      <c r="O1998" s="26" t="s">
        <v>1739</v>
      </c>
      <c r="P1998" s="26"/>
      <c r="Q1998" s="26"/>
      <c r="R1998" s="5"/>
      <c r="S1998" s="5"/>
      <c r="T1998" s="5"/>
      <c r="U1998" s="5"/>
      <c r="V1998" s="5"/>
      <c r="W1998" s="5"/>
      <c r="X1998" s="5"/>
      <c r="Y1998" s="5"/>
    </row>
    <row r="1999" spans="13:25" ht="45" x14ac:dyDescent="0.2">
      <c r="M1999" s="26" t="s">
        <v>58</v>
      </c>
      <c r="N1999" s="25" t="s">
        <v>51</v>
      </c>
      <c r="O1999" s="26" t="s">
        <v>1740</v>
      </c>
      <c r="P1999" s="26"/>
      <c r="Q1999" s="26"/>
      <c r="R1999" s="5"/>
      <c r="S1999" s="5"/>
      <c r="T1999" s="5"/>
      <c r="U1999" s="5"/>
      <c r="V1999" s="5"/>
      <c r="W1999" s="5"/>
      <c r="X1999" s="5"/>
      <c r="Y1999" s="5"/>
    </row>
    <row r="2000" spans="13:25" ht="22.5" x14ac:dyDescent="0.2">
      <c r="M2000" s="26" t="s">
        <v>58</v>
      </c>
      <c r="N2000" s="25" t="s">
        <v>51</v>
      </c>
      <c r="O2000" s="26" t="s">
        <v>1741</v>
      </c>
      <c r="P2000" s="26"/>
      <c r="Q2000" s="26"/>
      <c r="R2000" s="5"/>
      <c r="S2000" s="5"/>
      <c r="T2000" s="5"/>
      <c r="U2000" s="5"/>
      <c r="V2000" s="5"/>
      <c r="W2000" s="5"/>
      <c r="X2000" s="5"/>
      <c r="Y2000" s="5"/>
    </row>
    <row r="2001" spans="13:25" ht="67.5" x14ac:dyDescent="0.2">
      <c r="M2001" s="26" t="s">
        <v>58</v>
      </c>
      <c r="N2001" s="25" t="s">
        <v>51</v>
      </c>
      <c r="O2001" s="26" t="s">
        <v>1742</v>
      </c>
      <c r="P2001" s="26"/>
      <c r="Q2001" s="26"/>
      <c r="R2001" s="5"/>
      <c r="S2001" s="5"/>
      <c r="T2001" s="5"/>
      <c r="U2001" s="5"/>
      <c r="V2001" s="5"/>
      <c r="W2001" s="5"/>
      <c r="X2001" s="5"/>
      <c r="Y2001" s="5"/>
    </row>
    <row r="2002" spans="13:25" ht="67.5" x14ac:dyDescent="0.2">
      <c r="M2002" s="26" t="s">
        <v>58</v>
      </c>
      <c r="N2002" s="25" t="s">
        <v>51</v>
      </c>
      <c r="O2002" s="26" t="s">
        <v>172</v>
      </c>
      <c r="P2002" s="26"/>
      <c r="Q2002" s="26"/>
      <c r="R2002" s="5"/>
      <c r="S2002" s="5"/>
      <c r="T2002" s="5"/>
      <c r="U2002" s="5"/>
      <c r="V2002" s="5"/>
      <c r="W2002" s="5"/>
      <c r="X2002" s="5"/>
      <c r="Y2002" s="5"/>
    </row>
    <row r="2003" spans="13:25" ht="33.75" x14ac:dyDescent="0.2">
      <c r="M2003" s="26" t="s">
        <v>58</v>
      </c>
      <c r="N2003" s="25" t="s">
        <v>51</v>
      </c>
      <c r="O2003" s="26" t="s">
        <v>1743</v>
      </c>
      <c r="P2003" s="26"/>
      <c r="Q2003" s="26"/>
      <c r="R2003" s="5"/>
      <c r="S2003" s="5"/>
      <c r="T2003" s="5"/>
      <c r="U2003" s="5"/>
      <c r="V2003" s="5"/>
      <c r="W2003" s="5"/>
      <c r="X2003" s="5"/>
      <c r="Y2003" s="5"/>
    </row>
    <row r="2004" spans="13:25" ht="33.75" x14ac:dyDescent="0.2">
      <c r="M2004" s="26" t="s">
        <v>58</v>
      </c>
      <c r="N2004" s="25" t="s">
        <v>51</v>
      </c>
      <c r="O2004" s="26" t="s">
        <v>1744</v>
      </c>
      <c r="P2004" s="26"/>
      <c r="Q2004" s="26"/>
      <c r="R2004" s="5"/>
      <c r="S2004" s="5"/>
      <c r="T2004" s="5"/>
      <c r="U2004" s="5"/>
      <c r="V2004" s="5"/>
      <c r="W2004" s="5"/>
      <c r="X2004" s="5"/>
      <c r="Y2004" s="5"/>
    </row>
    <row r="2005" spans="13:25" ht="33.75" x14ac:dyDescent="0.2">
      <c r="M2005" s="26" t="s">
        <v>58</v>
      </c>
      <c r="N2005" s="25" t="s">
        <v>51</v>
      </c>
      <c r="O2005" s="26" t="s">
        <v>1745</v>
      </c>
      <c r="P2005" s="26"/>
      <c r="Q2005" s="26"/>
      <c r="R2005" s="5"/>
      <c r="S2005" s="5"/>
      <c r="T2005" s="5"/>
      <c r="U2005" s="5"/>
      <c r="V2005" s="5"/>
      <c r="W2005" s="5"/>
      <c r="X2005" s="5"/>
      <c r="Y2005" s="5"/>
    </row>
    <row r="2006" spans="13:25" ht="33.75" x14ac:dyDescent="0.2">
      <c r="M2006" s="26" t="s">
        <v>58</v>
      </c>
      <c r="N2006" s="25" t="s">
        <v>51</v>
      </c>
      <c r="O2006" s="26" t="s">
        <v>1746</v>
      </c>
      <c r="P2006" s="26"/>
      <c r="Q2006" s="26"/>
      <c r="R2006" s="5"/>
      <c r="S2006" s="5"/>
      <c r="T2006" s="5"/>
      <c r="U2006" s="5"/>
      <c r="V2006" s="5"/>
      <c r="W2006" s="5"/>
      <c r="X2006" s="5"/>
      <c r="Y2006" s="5"/>
    </row>
    <row r="2007" spans="13:25" ht="22.5" x14ac:dyDescent="0.2">
      <c r="M2007" s="26" t="s">
        <v>58</v>
      </c>
      <c r="N2007" s="25" t="s">
        <v>51</v>
      </c>
      <c r="O2007" s="26" t="s">
        <v>1747</v>
      </c>
      <c r="P2007" s="26"/>
      <c r="Q2007" s="26"/>
      <c r="R2007" s="5"/>
      <c r="S2007" s="5"/>
      <c r="T2007" s="5"/>
      <c r="U2007" s="5"/>
      <c r="V2007" s="5"/>
      <c r="W2007" s="5"/>
      <c r="X2007" s="5"/>
      <c r="Y2007" s="5"/>
    </row>
    <row r="2008" spans="13:25" ht="22.5" x14ac:dyDescent="0.2">
      <c r="M2008" s="26" t="s">
        <v>58</v>
      </c>
      <c r="N2008" s="25" t="s">
        <v>51</v>
      </c>
      <c r="O2008" s="26" t="s">
        <v>1748</v>
      </c>
      <c r="P2008" s="26"/>
      <c r="Q2008" s="26"/>
      <c r="R2008" s="5"/>
      <c r="S2008" s="5"/>
      <c r="T2008" s="5"/>
      <c r="U2008" s="5"/>
      <c r="V2008" s="5"/>
      <c r="W2008" s="5"/>
      <c r="X2008" s="5"/>
      <c r="Y2008" s="5"/>
    </row>
    <row r="2009" spans="13:25" ht="22.5" x14ac:dyDescent="0.2">
      <c r="M2009" s="26" t="s">
        <v>58</v>
      </c>
      <c r="N2009" s="25" t="s">
        <v>51</v>
      </c>
      <c r="O2009" s="26" t="s">
        <v>1749</v>
      </c>
      <c r="P2009" s="26"/>
      <c r="Q2009" s="26"/>
      <c r="R2009" s="5"/>
      <c r="S2009" s="5"/>
      <c r="T2009" s="5"/>
      <c r="U2009" s="5"/>
      <c r="V2009" s="5"/>
      <c r="W2009" s="5"/>
      <c r="X2009" s="5"/>
      <c r="Y2009" s="5"/>
    </row>
    <row r="2010" spans="13:25" ht="22.5" x14ac:dyDescent="0.2">
      <c r="M2010" s="26" t="s">
        <v>58</v>
      </c>
      <c r="N2010" s="25" t="s">
        <v>51</v>
      </c>
      <c r="O2010" s="26" t="s">
        <v>1750</v>
      </c>
      <c r="P2010" s="26"/>
      <c r="Q2010" s="26"/>
      <c r="R2010" s="5"/>
      <c r="S2010" s="5"/>
      <c r="T2010" s="5"/>
      <c r="U2010" s="5"/>
      <c r="V2010" s="5"/>
      <c r="W2010" s="5"/>
      <c r="X2010" s="5"/>
      <c r="Y2010" s="5"/>
    </row>
    <row r="2011" spans="13:25" ht="22.5" x14ac:dyDescent="0.2">
      <c r="M2011" s="26" t="s">
        <v>58</v>
      </c>
      <c r="N2011" s="25" t="s">
        <v>51</v>
      </c>
      <c r="O2011" s="26" t="s">
        <v>1751</v>
      </c>
      <c r="P2011" s="26"/>
      <c r="Q2011" s="26"/>
      <c r="R2011" s="5"/>
      <c r="S2011" s="5"/>
      <c r="T2011" s="5"/>
      <c r="U2011" s="5"/>
      <c r="V2011" s="5"/>
      <c r="W2011" s="5"/>
      <c r="X2011" s="5"/>
      <c r="Y2011" s="5"/>
    </row>
    <row r="2012" spans="13:25" ht="22.5" x14ac:dyDescent="0.2">
      <c r="M2012" s="26" t="s">
        <v>58</v>
      </c>
      <c r="N2012" s="25" t="s">
        <v>51</v>
      </c>
      <c r="O2012" s="26" t="s">
        <v>1752</v>
      </c>
      <c r="P2012" s="26"/>
      <c r="Q2012" s="26"/>
      <c r="R2012" s="5"/>
      <c r="S2012" s="5"/>
      <c r="T2012" s="5"/>
      <c r="U2012" s="5"/>
      <c r="V2012" s="5"/>
      <c r="W2012" s="5"/>
      <c r="X2012" s="5"/>
      <c r="Y2012" s="5"/>
    </row>
    <row r="2013" spans="13:25" ht="22.5" x14ac:dyDescent="0.2">
      <c r="M2013" s="26" t="s">
        <v>58</v>
      </c>
      <c r="N2013" s="25" t="s">
        <v>51</v>
      </c>
      <c r="O2013" s="26" t="s">
        <v>1753</v>
      </c>
      <c r="P2013" s="26"/>
      <c r="Q2013" s="26"/>
      <c r="R2013" s="5"/>
      <c r="S2013" s="5"/>
      <c r="T2013" s="5"/>
      <c r="U2013" s="5"/>
      <c r="V2013" s="5"/>
      <c r="W2013" s="5"/>
      <c r="X2013" s="5"/>
      <c r="Y2013" s="5"/>
    </row>
    <row r="2014" spans="13:25" ht="22.5" x14ac:dyDescent="0.2">
      <c r="M2014" s="26" t="s">
        <v>58</v>
      </c>
      <c r="N2014" s="25" t="s">
        <v>51</v>
      </c>
      <c r="O2014" s="26" t="s">
        <v>1754</v>
      </c>
      <c r="P2014" s="26"/>
      <c r="Q2014" s="26"/>
      <c r="R2014" s="5"/>
      <c r="S2014" s="5"/>
      <c r="T2014" s="5"/>
      <c r="U2014" s="5"/>
      <c r="V2014" s="5"/>
      <c r="W2014" s="5"/>
      <c r="X2014" s="5"/>
      <c r="Y2014" s="5"/>
    </row>
    <row r="2015" spans="13:25" ht="101.25" x14ac:dyDescent="0.2">
      <c r="M2015" s="26" t="s">
        <v>58</v>
      </c>
      <c r="N2015" s="25" t="s">
        <v>65</v>
      </c>
      <c r="O2015" s="26" t="s">
        <v>1755</v>
      </c>
      <c r="P2015" s="26"/>
      <c r="Q2015" s="26"/>
      <c r="R2015" s="5"/>
      <c r="S2015" s="5"/>
      <c r="T2015" s="5"/>
      <c r="U2015" s="5"/>
      <c r="V2015" s="5"/>
      <c r="W2015" s="5"/>
      <c r="X2015" s="5"/>
      <c r="Y2015" s="5"/>
    </row>
    <row r="2016" spans="13:25" ht="56.25" x14ac:dyDescent="0.2">
      <c r="M2016" s="26" t="s">
        <v>72</v>
      </c>
      <c r="N2016" s="25" t="s">
        <v>72</v>
      </c>
      <c r="O2016" s="26" t="s">
        <v>1756</v>
      </c>
      <c r="P2016" s="26"/>
      <c r="Q2016" s="26"/>
      <c r="R2016" s="5"/>
      <c r="S2016" s="5"/>
      <c r="T2016" s="5"/>
      <c r="U2016" s="5"/>
      <c r="V2016" s="5"/>
      <c r="W2016" s="5"/>
      <c r="X2016" s="5"/>
      <c r="Y2016" s="5"/>
    </row>
    <row r="2017" spans="13:25" ht="409.5" x14ac:dyDescent="0.2">
      <c r="M2017" s="26" t="s">
        <v>88</v>
      </c>
      <c r="N2017" s="25" t="s">
        <v>85</v>
      </c>
      <c r="O2017" s="26"/>
      <c r="P2017" s="26" t="s">
        <v>1757</v>
      </c>
      <c r="Q2017" s="26"/>
      <c r="R2017" s="5"/>
      <c r="S2017" s="5"/>
      <c r="T2017" s="5"/>
      <c r="U2017" s="5"/>
      <c r="V2017" s="5"/>
      <c r="W2017" s="5"/>
      <c r="X2017" s="5"/>
      <c r="Y2017" s="5"/>
    </row>
    <row r="2018" spans="13:25" ht="112.5" x14ac:dyDescent="0.2">
      <c r="M2018" s="26" t="s">
        <v>88</v>
      </c>
      <c r="N2018" s="25" t="s">
        <v>85</v>
      </c>
      <c r="O2018" s="26"/>
      <c r="P2018" s="26" t="s">
        <v>1758</v>
      </c>
      <c r="Q2018" s="26"/>
      <c r="R2018" s="5"/>
      <c r="S2018" s="5"/>
      <c r="T2018" s="5"/>
      <c r="U2018" s="5"/>
      <c r="V2018" s="5"/>
      <c r="W2018" s="5"/>
      <c r="X2018" s="5"/>
      <c r="Y2018" s="5"/>
    </row>
    <row r="2019" spans="13:25" ht="22.5" x14ac:dyDescent="0.2">
      <c r="M2019" s="26" t="s">
        <v>88</v>
      </c>
      <c r="N2019" s="25" t="s">
        <v>85</v>
      </c>
      <c r="O2019" s="26"/>
      <c r="P2019" s="26" t="s">
        <v>1759</v>
      </c>
      <c r="Q2019" s="26"/>
      <c r="R2019" s="5"/>
      <c r="S2019" s="5"/>
      <c r="T2019" s="5"/>
      <c r="U2019" s="5"/>
      <c r="V2019" s="5"/>
      <c r="W2019" s="5"/>
      <c r="X2019" s="5"/>
      <c r="Y2019" s="5"/>
    </row>
  </sheetData>
  <dataConsolidate link="1"/>
  <phoneticPr fontId="7" type="noConversion"/>
  <dataValidations disablePrompts="1" count="1">
    <dataValidation type="list" allowBlank="1" showInputMessage="1" showErrorMessage="1" sqref="D11:D12" xr:uid="{7CDE8A36-724B-4925-A61E-74AA45AC6735}">
      <formula1>"O,X"</formula1>
    </dataValidation>
  </dataValidations>
  <pageMargins left="0.7" right="0.7" top="0.75" bottom="0.75" header="0.3" footer="0.3"/>
  <pageSetup paperSize="9" orientation="portrait" r:id="rId1"/>
  <headerFooter>
    <oddFooter>&amp;C_x000D_&amp;1#&amp;"Calibri"&amp;8&amp;K000000 Aernnova Group confidential information. Limited use on a need-to-know basis. All rights reserved.</oddFooter>
  </headerFooter>
  <tableParts count="2">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C9D80E-A159-48DF-8B3B-CCA7AC0E838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Query</vt:lpstr>
      <vt:lpstr>OutData</vt:lpstr>
      <vt:lpstr>InData</vt:lpstr>
      <vt:lpstr>LngS</vt:lpstr>
      <vt:lpstr>OsyS</vt:lpstr>
      <vt:lpstr>PrjX_Id</vt:lpstr>
      <vt:lpstr>Pth</vt:lpstr>
      <vt:lpstr>Vrs</vt:lpstr>
      <vt:lpstr>VrsStd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PEREZ GIL, DIEGO</dc:creator>
  <cp:lastModifiedBy>PEREZ GIL, DIEGO</cp:lastModifiedBy>
  <dcterms:created xsi:type="dcterms:W3CDTF">2024-11-27T21:01:14Z</dcterms:created>
  <dcterms:modified xsi:type="dcterms:W3CDTF">2025-03-30T14:13:57Z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c37234c-be34-48e6-861e-3e7763cedb77_Enabled">
    <vt:lpwstr>true</vt:lpwstr>
  </property>
  <property fmtid="{D5CDD505-2E9C-101B-9397-08002B2CF9AE}" pid="3" name="MSIP_Label_5c37234c-be34-48e6-861e-3e7763cedb77_SetDate">
    <vt:lpwstr>2024-11-27T21:12:17Z</vt:lpwstr>
  </property>
  <property fmtid="{D5CDD505-2E9C-101B-9397-08002B2CF9AE}" pid="4" name="MSIP_Label_5c37234c-be34-48e6-861e-3e7763cedb77_Method">
    <vt:lpwstr>Standard</vt:lpwstr>
  </property>
  <property fmtid="{D5CDD505-2E9C-101B-9397-08002B2CF9AE}" pid="5" name="MSIP_Label_5c37234c-be34-48e6-861e-3e7763cedb77_Name">
    <vt:lpwstr>5c37234c-be34-48e6-861e-3e7763cedb77</vt:lpwstr>
  </property>
  <property fmtid="{D5CDD505-2E9C-101B-9397-08002B2CF9AE}" pid="6" name="MSIP_Label_5c37234c-be34-48e6-861e-3e7763cedb77_SiteId">
    <vt:lpwstr>d2f1cc5e-9343-4a8e-9ce4-c0d8869b1510</vt:lpwstr>
  </property>
  <property fmtid="{D5CDD505-2E9C-101B-9397-08002B2CF9AE}" pid="7" name="MSIP_Label_5c37234c-be34-48e6-861e-3e7763cedb77_ActionId">
    <vt:lpwstr>df13cce9-065a-45f2-a3a1-b0c78434566d</vt:lpwstr>
  </property>
  <property fmtid="{D5CDD505-2E9C-101B-9397-08002B2CF9AE}" pid="8" name="MSIP_Label_5c37234c-be34-48e6-861e-3e7763cedb77_ContentBits">
    <vt:lpwstr>2</vt:lpwstr>
  </property>
</Properties>
</file>