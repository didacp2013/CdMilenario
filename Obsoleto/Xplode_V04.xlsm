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5" codeName="{6A26FB3C-EA34-E94E-B44F-155022A03E17}"/>
  <workbookPr codeName="ThisWorkbook" defaultThemeVersion="202300"/>
  <mc:AlternateContent xmlns:mc="http://schemas.openxmlformats.org/markup-compatibility/2006">
    <mc:Choice Requires="x15">
      <x15ac:absPath xmlns:x15ac="http://schemas.microsoft.com/office/spreadsheetml/2010/11/ac" url="/Users/didac/Downloads/Story/DashBTracker/PruebasCdM/"/>
    </mc:Choice>
  </mc:AlternateContent>
  <xr:revisionPtr revIDLastSave="0" documentId="13_ncr:1_{C1DE6348-20C0-FF4B-85F9-7483074692F3}" xr6:coauthVersionLast="47" xr6:coauthVersionMax="47" xr10:uidLastSave="{00000000-0000-0000-0000-000000000000}"/>
  <bookViews>
    <workbookView xWindow="0" yWindow="740" windowWidth="29400" windowHeight="18380" xr2:uid="{1DED43E1-C979-419C-90BB-6D754B3B8A13}"/>
  </bookViews>
  <sheets>
    <sheet name="F_Asg2" sheetId="5" r:id="rId1"/>
    <sheet name="InOutData" sheetId="4" r:id="rId2"/>
  </sheets>
  <definedNames>
    <definedName name="_xlnm._FilterDatabase" localSheetId="1" hidden="1">InOutData!#REF!</definedName>
    <definedName name="_xlpm.x" hidden="1" xlm="1">#NAME?</definedName>
    <definedName name="ExternalData_1" localSheetId="1" hidden="1">InOutData!$M$2:$Q$2019</definedName>
    <definedName name="ExternalData_2" localSheetId="0" hidden="1">F_Asg2!$A$1:$C$458</definedName>
    <definedName name="ExternalData_5" localSheetId="1" hidden="1">InOutData!#REF!</definedName>
    <definedName name="LngS">InOutData!$F$2</definedName>
    <definedName name="OsyS">InOutData!$F$3</definedName>
    <definedName name="PrjX_Id">InOutData!$C$6</definedName>
    <definedName name="Pth">InOutData!$C$2</definedName>
    <definedName name="Vrs">InOutData!$C$7</definedName>
    <definedName name="VrsStd">InOutData!$C$8</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 i="4" l="1"/>
  <c r="F2" i="4" a="1"/>
  <c r="F2" i="4" l="1"/>
  <c r="C4" i="4"/>
  <c r="B1" i="4" l="1" a="1"/>
  <c r="B1" i="4" s="1"/>
  <c r="C2" i="4" s="1"/>
  <c r="F3" i="4" s="1"/>
  <c r="C3" i="4" s="1"/>
  <c r="C5" i="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FD34CF0-318E-2648-920A-E5E18B4AAB26}" keepAlive="1" name="Query - _ExcelMix" description="Connection to the '_ExcelMix' query in the workbook." type="5" refreshedVersion="0" background="1">
    <dbPr connection="Provider=Microsoft.Mashup.OleDb.1;Data Source=$Workbook$;Location=_ExcelMix;Extended Properties=&quot;&quot;" command="SELECT * FROM [_ExcelMix]"/>
  </connection>
  <connection id="2" xr16:uid="{63B2F8E6-D3B6-4E1E-8F70-69C1F4A7E42E}" keepAlive="1" name="Query - _GetPath" description="Connection to the '_GetPath' query in the workbook." type="5" refreshedVersion="0" background="1">
    <dbPr connection="Provider=Microsoft.Mashup.OleDb.1;Data Source=$Workbook$;Location=_GetPath;Extended Properties=&quot;&quot;" command="SELECT * FROM [_GetPath]"/>
  </connection>
  <connection id="3" xr16:uid="{7A38988B-C5D1-473F-ACC2-A6A7D6428D71}" keepAlive="1" name="Query - BdD1" description="Connection to the 'BdD1' query in the workbook." type="5" refreshedVersion="0" background="1">
    <dbPr connection="Provider=Microsoft.Mashup.OleDb.1;Data Source=$Workbook$;Location=BdD1;Extended Properties=&quot;&quot;" command="SELECT * FROM [BdD1]"/>
  </connection>
  <connection id="4" xr16:uid="{9C0BE895-DE98-414E-AF51-0AF08BEFC384}" keepAlive="1" name="Query - DhB0" description="Connection to the 'DhB0' query in the workbook." type="5" refreshedVersion="0" background="1">
    <dbPr connection="Provider=Microsoft.Mashup.OleDb.1;Data Source=$Workbook$;Location=DhB0;Extended Properties=&quot;&quot;" command="SELECT * FROM [DhB0]"/>
  </connection>
  <connection id="5" xr16:uid="{210C37F9-4C74-4176-B927-EEE95F416030}" keepAlive="1" name="Query - DhB1" description="Connection to the 'DhB1' query in the workbook." type="5" refreshedVersion="0" background="1">
    <dbPr connection="Provider=Microsoft.Mashup.OleDb.1;Data Source=$Workbook$;Location=DhB1;Extended Properties=&quot;&quot;" command="SELECT * FROM [DhB1]"/>
  </connection>
  <connection id="6" xr16:uid="{F608EC58-2D5B-43AE-AE6B-7DBF7726FC6F}" keepAlive="1" name="Query - DhB2" description="Connection to the 'DhB2' query in the workbook." type="5" refreshedVersion="0" background="1">
    <dbPr connection="Provider=Microsoft.Mashup.OleDb.1;Data Source=$Workbook$;Location=DhB2;Extended Properties=&quot;&quot;" command="SELECT * FROM [DhB2]"/>
  </connection>
  <connection id="7" xr16:uid="{146D658D-E28E-4F54-A903-922F8881E326}" keepAlive="1" name="Query - DhB3" description="Connection to the 'DhB3' query in the workbook." type="5" refreshedVersion="0" background="1">
    <dbPr connection="Provider=Microsoft.Mashup.OleDb.1;Data Source=$Workbook$;Location=DhB3;Extended Properties=&quot;&quot;" command="SELECT * FROM [DhB3]"/>
  </connection>
  <connection id="8" xr16:uid="{2148A807-11B7-4BA6-94DC-416FDF18907E}" keepAlive="1" name="Query - Dt_Cst1" description="Connection to the 'Dt_Cst1' query in the workbook." type="5" refreshedVersion="0" background="1">
    <dbPr connection="Provider=Microsoft.Mashup.OleDb.1;Data Source=$Workbook$;Location=Dt_Cst1;Extended Properties=&quot;&quot;" command="SELECT * FROM [Dt_Cst1]"/>
  </connection>
  <connection id="9" xr16:uid="{621A04F5-6142-4D6E-BC30-7E21B4CED218}" keepAlive="1" name="Query - Dt_Cst5" description="Connection to the 'Dt_Cst5' query in the workbook." type="5" refreshedVersion="8" background="1" saveData="1">
    <dbPr connection="Provider=Microsoft.Mashup.OleDb.1;Data Source=$Workbook$;Location=Dt_Cst5;Extended Properties=&quot;&quot;" command="SELECT * FROM [Dt_Cst5]"/>
  </connection>
  <connection id="10" xr16:uid="{AF919484-8460-4D6D-B285-26191E6CFD9D}" keepAlive="1" name="Query - F_Asg0" description="Connection to the 'F_Asg0' query in the workbook." type="5" refreshedVersion="0" background="1">
    <dbPr connection="Provider=Microsoft.Mashup.OleDb.1;Data Source=$Workbook$;Location=F_Asg0;Extended Properties=&quot;&quot;" command="SELECT * FROM [F_Asg0]"/>
  </connection>
  <connection id="11" xr16:uid="{571055C8-EA8C-4ECB-BC08-AB8BC38D9D11}" keepAlive="1" name="Query - F_Asg1" description="Connection to the 'F_Asg1' query in the workbook." type="5" refreshedVersion="8" background="1" saveData="1">
    <dbPr connection="Provider=Microsoft.Mashup.OleDb.1;Data Source=$Workbook$;Location=F_Asg1;Extended Properties=&quot;&quot;" command="SELECT * FROM [F_Asg1]"/>
  </connection>
  <connection id="12" xr16:uid="{2AD2653F-E44C-4218-A74F-5564EB3DB7A0}" keepAlive="1" name="Query - F_Asg2" description="Connection to the 'F_Asg2' query in the workbook." type="5" refreshedVersion="8" background="1" saveData="1">
    <dbPr connection="Provider=Microsoft.Mashup.OleDb.1;Data Source=$Workbook$;Location=F_Asg2;Extended Properties=&quot;&quot;" command="SELECT * FROM [F_Asg2]"/>
  </connection>
  <connection id="13" xr16:uid="{6408294A-F8A2-48EE-9B1A-1217AE53338A}" keepAlive="1" name="Query - F_Fil0" description="Connection to the 'F_Fil0' query in the workbook." type="5" refreshedVersion="0" background="1">
    <dbPr connection="Provider=Microsoft.Mashup.OleDb.1;Data Source=$Workbook$;Location=F_Fil0;Extended Properties=&quot;&quot;" command="SELECT * FROM [F_Fil0]"/>
  </connection>
  <connection id="14" xr16:uid="{B84ADE30-3DA3-4D79-96D8-C0FDB8D7049D}" keepAlive="1" name="Query - F_Fil1" description="Connection to the 'F_Fil1' query in the workbook." type="5" refreshedVersion="8" background="1" saveData="1">
    <dbPr connection="Provider=Microsoft.Mashup.OleDb.1;Data Source=$Workbook$;Location=F_Fil1;Extended Properties=&quot;&quot;" command="SELECT * FROM [F_Fil1]"/>
  </connection>
  <connection id="15" xr16:uid="{A2E45655-7076-48C3-BF84-7AA425ED6BC0}" keepAlive="1" name="Query - F_GEn0" description="Connection to the 'F_GEn0' query in the workbook." type="5" refreshedVersion="0" background="1">
    <dbPr connection="Provider=Microsoft.Mashup.OleDb.1;Data Source=$Workbook$;Location=F_GEn0;Extended Properties=&quot;&quot;" command="SELECT * FROM [F_GEn0]"/>
  </connection>
  <connection id="16" xr16:uid="{E80904FF-7002-4CA5-BBE5-323773F54364}" keepAlive="1" name="Query - F_GEn1" description="Connection to the 'F_GEn1' query in the workbook." type="5" refreshedVersion="0" background="1">
    <dbPr connection="Provider=Microsoft.Mashup.OleDb.1;Data Source=$Workbook$;Location=F_GEn1;Extended Properties=&quot;&quot;" command="SELECT * FROM [F_GEn1]"/>
  </connection>
  <connection id="17" xr16:uid="{B677B82F-6A45-40E7-BD1F-9019B2A9DAA9}" keepAlive="1" name="Query - F_GEn2" description="Connection to the 'F_GEn2' query in the workbook." type="5" refreshedVersion="0" background="1">
    <dbPr connection="Provider=Microsoft.Mashup.OleDb.1;Data Source=$Workbook$;Location=F_GEn2;Extended Properties=&quot;&quot;" command="SELECT * FROM [F_GEn2]"/>
  </connection>
  <connection id="18" xr16:uid="{BE8C4BD1-09DB-46F9-B799-B09C9AA8C43E}" keepAlive="1" name="Query - F_GEn3" description="Connection to the 'F_GEn3' query in the workbook." type="5" refreshedVersion="0" background="1" saveData="1">
    <dbPr connection="Provider=Microsoft.Mashup.OleDb.1;Data Source=$Workbook$;Location=F_GEn3;Extended Properties=&quot;&quot;" command="SELECT * FROM [F_GEn3]"/>
  </connection>
  <connection id="19" xr16:uid="{32D70CDB-4A0A-4D1A-98C5-970E6B291B4A}" keepAlive="1" name="Query - F_GEn4" description="Connection to the 'F_GEn4' query in the workbook." type="5" refreshedVersion="0" background="1">
    <dbPr connection="Provider=Microsoft.Mashup.OleDb.1;Data Source=$Workbook$;Location=F_GEn4;Extended Properties=&quot;&quot;" command="SELECT * FROM [F_GEn4]"/>
  </connection>
  <connection id="20" xr16:uid="{57133165-6099-4538-9D11-CE6401729077}" keepAlive="1" name="Query - F_GEn5" description="Connection to the 'F_GEn5' query in the workbook." type="5" refreshedVersion="8" background="1" saveData="1">
    <dbPr connection="Provider=Microsoft.Mashup.OleDb.1;Data Source=$Workbook$;Location=F_GEn5;Extended Properties=&quot;&quot;" command="SELECT * FROM [F_GEn5]"/>
  </connection>
  <connection id="21" xr16:uid="{D08EF113-A0C7-4685-AB93-53A304883808}" keepAlive="1" name="Query - F_GEn6" description="Connection to the 'F_GEn6' query in the workbook." type="5" refreshedVersion="8" background="1" saveData="1">
    <dbPr connection="Provider=Microsoft.Mashup.OleDb.1;Data Source=$Workbook$;Location=F_GEn6;Extended Properties=&quot;&quot;" command="SELECT * FROM [F_GEn6]"/>
  </connection>
  <connection id="22" xr16:uid="{28BB02EF-6978-4663-BE30-7CDA0C97D1A1}" keepAlive="1" name="Query - F_GEn7" description="Connection to the 'F_GEn7' query in the workbook." type="5" refreshedVersion="8" background="1" saveData="1">
    <dbPr connection="Provider=Microsoft.Mashup.OleDb.1;Data Source=$Workbook$;Location=F_GEn7;Extended Properties=&quot;&quot;" command="SELECT * FROM [F_GEn7]"/>
  </connection>
  <connection id="23" xr16:uid="{6F8F85DE-45B4-4D99-8507-2F0736642863}" keepAlive="1" name="Query - F_GEn8" description="Connection to the 'F_GEn8' query in the workbook." type="5" refreshedVersion="0" background="1" saveData="1">
    <dbPr connection="Provider=Microsoft.Mashup.OleDb.1;Data Source=$Workbook$;Location=F_GEn8;Extended Properties=&quot;&quot;" command="SELECT * FROM [F_GEn8]"/>
  </connection>
  <connection id="24" xr16:uid="{45D7F73A-5BDE-454E-829D-BF09270EB9EC}" keepAlive="1" name="Query - F_Itm0" description="Connection to the 'F_Itm0' query in the workbook." type="5" refreshedVersion="0" background="1">
    <dbPr connection="Provider=Microsoft.Mashup.OleDb.1;Data Source=$Workbook$;Location=F_Itm0;Extended Properties=&quot;&quot;" command="SELECT * FROM [F_Itm0]"/>
  </connection>
  <connection id="25" xr16:uid="{37EB9028-283A-4AC2-B1A6-F54089D24D5F}" keepAlive="1" name="Query - F_Itm1" description="Connection to the 'F_Itm1' query in the workbook." type="5" refreshedVersion="0" background="1">
    <dbPr connection="Provider=Microsoft.Mashup.OleDb.1;Data Source=$Workbook$;Location=F_Itm1;Extended Properties=&quot;&quot;" command="SELECT * FROM [F_Itm1]"/>
  </connection>
  <connection id="26" xr16:uid="{860BA721-F2F2-45E4-A420-05734B5B96BE}" keepAlive="1" name="Query - F_Itm4" description="Connection to the 'F_Itm4' query in the workbook." type="5" refreshedVersion="0" background="1" saveData="1">
    <dbPr connection="Provider=Microsoft.Mashup.OleDb.1;Data Source=$Workbook$;Location=F_Itm4;Extended Properties=&quot;&quot;" command="SELECT * FROM [F_Itm4]"/>
  </connection>
  <connection id="27" xr16:uid="{4FCD8611-8F47-450B-878F-EE7034FFD9AD}" keepAlive="1" name="Query - F_Mod" description="Connection to the 'F_Mod' query in the workbook." type="5" refreshedVersion="0" background="1">
    <dbPr connection="Provider=Microsoft.Mashup.OleDb.1;Data Source=$Workbook$;Location=F_Mod;Extended Properties=&quot;&quot;" command="SELECT * FROM [F_Mod]"/>
  </connection>
  <connection id="28" xr16:uid="{ED02E08F-E026-437E-839C-EE6863677809}" keepAlive="1" name="Query - F_STw0" description="Connection to the 'F_STw0' query in the workbook." type="5" refreshedVersion="8" background="1" saveData="1">
    <dbPr connection="Provider=Microsoft.Mashup.OleDb.1;Data Source=$Workbook$;Location=F_STw0;Extended Properties=&quot;&quot;" command="SELECT * FROM [F_STw0]"/>
  </connection>
  <connection id="29" xr16:uid="{7A14D692-67B4-429C-9278-113482779BC6}" keepAlive="1" name="Query - F_STw1" description="Connection to the 'F_STw1' query in the workbook." type="5" refreshedVersion="8" background="1" saveData="1">
    <dbPr connection="Provider=Microsoft.Mashup.OleDb.1;Data Source=$Workbook$;Location=F_STw1;Extended Properties=&quot;&quot;" command="SELECT * FROM [F_STw1]"/>
  </connection>
  <connection id="30" xr16:uid="{E4AF0158-1AC0-41EA-87F0-C0AC662C973B}" keepAlive="1" name="Query - F_STx0" description="Connection to the 'F_STx0' query in the workbook." type="5" refreshedVersion="8" background="1" saveData="1">
    <dbPr connection="Provider=Microsoft.Mashup.OleDb.1;Data Source=$Workbook$;Location=F_STx0;Extended Properties=&quot;&quot;" command="SELECT * FROM [F_STx0]"/>
  </connection>
  <connection id="31" xr16:uid="{DE758A03-6BD4-4AC0-88B2-80C2F2FD6ACA}" keepAlive="1" name="Query - F_STx1" description="Connection to the 'F_STx1' query in the workbook." type="5" refreshedVersion="8" background="1" saveData="1">
    <dbPr connection="Provider=Microsoft.Mashup.OleDb.1;Data Source=$Workbook$;Location=F_STx1;Extended Properties=&quot;&quot;" command="SELECT * FROM [F_STx1]"/>
  </connection>
  <connection id="32" xr16:uid="{716B3A68-D688-4694-9C61-52CA9BA4B372}" keepAlive="1" name="Query - FilDet" description="Connection to the 'FilDet' query in the workbook." type="5" refreshedVersion="0" background="1">
    <dbPr connection="Provider=Microsoft.Mashup.OleDb.1;Data Source=$Workbook$;Location=FilDet;Extended Properties=&quot;&quot;" command="SELECT * FROM [FilDet]"/>
  </connection>
  <connection id="33" xr16:uid="{1C5453B3-9078-9846-8D56-24A6F7B6E05C}" keepAlive="1" name="Query - P_Xls(1)" description="Connection to the 'P_Xls' query in the workbook." type="5" refreshedVersion="0" background="1">
    <dbPr connection="Provider=Microsoft.Mashup.OleDb.1;Data Source=$Workbook$;Location=P_Xls;Extended Properties=&quot;&quot;" command="SELECT * FROM [P_Xls]"/>
  </connection>
  <connection id="34" xr16:uid="{F5C35402-E4BB-4635-B96E-B1897F994EC5}" keepAlive="1" name="Query - ParamD1" description="Connection to the 'ParamD1' query in the workbook." type="5" refreshedVersion="0" background="1">
    <dbPr connection="Provider=Microsoft.Mashup.OleDb.1;Data Source=$Workbook$;Location=ParamD1;Extended Properties=&quot;&quot;" command="SELECT * FROM [ParamD1]"/>
  </connection>
  <connection id="35" xr16:uid="{293C27E7-B7BB-4B79-8D52-B6EB97C105E1}" keepAlive="1" name="Query - ParamD2" description="Connection to the 'ParamD2' query in the workbook." type="5" refreshedVersion="0" background="1">
    <dbPr connection="Provider=Microsoft.Mashup.OleDb.1;Data Source=$Workbook$;Location=ParamD2;Extended Properties=&quot;&quot;" command="SELECT * FROM [ParamD2]"/>
  </connection>
  <connection id="36" xr16:uid="{FF6E3309-0C97-4997-B90C-A7AE42468B7A}" keepAlive="1" name="Query - PrjPrj0" description="Connection to the 'PrjPrj0' query in the workbook." type="5" refreshedVersion="0" background="1">
    <dbPr connection="Provider=Microsoft.Mashup.OleDb.1;Data Source=$Workbook$;Location=PrjPrj0;Extended Properties=&quot;&quot;" command="SELECT * FROM [PrjPrj0]"/>
  </connection>
  <connection id="37" xr16:uid="{EC41495D-FC86-4DE0-8AD6-0385A9F15956}" keepAlive="1" name="Query - PrjPrj1" description="Connection to the 'PrjPrj1' query in the workbook." type="5" refreshedVersion="0" background="1">
    <dbPr connection="Provider=Microsoft.Mashup.OleDb.1;Data Source=$Workbook$;Location=PrjPrj1;Extended Properties=&quot;&quot;" command="SELECT * FROM [PrjPrj1]"/>
  </connection>
  <connection id="38" xr16:uid="{D846246C-7F82-4AF7-9D19-795B39750E41}" keepAlive="1" name="Query - SampleD1" description="Connection to the 'SampleD1' query in the workbook." type="5" refreshedVersion="0" background="1">
    <dbPr connection="Provider=Microsoft.Mashup.OleDb.1;Data Source=$Workbook$;Location=SampleD1;Extended Properties=&quot;&quot;" command="SELECT * FROM [SampleD1]"/>
  </connection>
  <connection id="39" xr16:uid="{A32DCEB5-C3A5-4C7E-A60E-FDA23D0967AA}" keepAlive="1" name="Query - SampleD2" description="Connection to the 'SampleD2' query in the workbook." type="5" refreshedVersion="0" background="1">
    <dbPr connection="Provider=Microsoft.Mashup.OleDb.1;Data Source=$Workbook$;Location=SampleD2;Extended Properties=&quot;&quot;" command="SELECT * FROM [SampleD2]"/>
  </connection>
  <connection id="40" xr16:uid="{2FA90779-B072-A248-B9D9-32F4B077B2D6}" keepAlive="1" name="Query - T_Xls(1)" description="Connection to the 'T_Xls' query in the workbook." type="5" refreshedVersion="0" background="1">
    <dbPr connection="Provider=Microsoft.Mashup.OleDb.1;Data Source=$Workbook$;Location=T_Xls;Extended Properties=&quot;&quot;" command="SELECT * FROM [T_Xls]"/>
  </connection>
  <connection id="41" xr16:uid="{D8E0083A-8785-419B-82C6-6747220FEF53}" keepAlive="1" name="Query - TbItmExp" description="Connection to the 'TbItmExp' query in the workbook." type="5" refreshedVersion="0" background="1">
    <dbPr connection="Provider=Microsoft.Mashup.OleDb.1;Data Source=$Workbook$;Location=TbItmExp;Extended Properties=&quot;&quot;" command="SELECT * FROM [TbItmExp]"/>
  </connection>
  <connection id="42" xr16:uid="{B7812FB5-F340-4EFA-8AD2-212CE7F75367}" keepAlive="1" name="Query - TrfD1" description="Connection to the 'TrfD1' query in the workbook." type="5" refreshedVersion="0" background="1">
    <dbPr connection="Provider=Microsoft.Mashup.OleDb.1;Data Source=$Workbook$;Location=TrfD1;Extended Properties=&quot;&quot;" command="SELECT * FROM [TrfD1]"/>
  </connection>
  <connection id="43" xr16:uid="{C4B8733C-6BC1-4295-AF04-08CA9BCFDC4A}" keepAlive="1" name="Query - TrfD2" description="Connection to the 'TrfD2' query in the workbook." type="5" refreshedVersion="0" background="1">
    <dbPr connection="Provider=Microsoft.Mashup.OleDb.1;Data Source=$Workbook$;Location=TrfD2;Extended Properties=&quot;&quot;" command="SELECT * FROM [TrfD2]"/>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<sst xmlns="http://schemas.openxmlformats.org/spreadsheetml/2006/main" count="7025" uniqueCount="2681">
  <si>
    <t>PathName</t>
  </si>
  <si>
    <t>SOR</t>
  </si>
  <si>
    <t>Windows System</t>
  </si>
  <si>
    <t>English Version</t>
  </si>
  <si>
    <t>Sheet Name</t>
  </si>
  <si>
    <t>LngS</t>
  </si>
  <si>
    <t>CstId</t>
  </si>
  <si>
    <t xml:space="preserve">ABONO                                </t>
  </si>
  <si>
    <t>008</t>
  </si>
  <si>
    <t xml:space="preserve">TRANSPORTEC                          </t>
  </si>
  <si>
    <t>041</t>
  </si>
  <si>
    <t xml:space="preserve">EMBALAJE                             </t>
  </si>
  <si>
    <t>046</t>
  </si>
  <si>
    <t xml:space="preserve">DES001                               </t>
  </si>
  <si>
    <t>038</t>
  </si>
  <si>
    <t xml:space="preserve">TRANSPORTEV                          </t>
  </si>
  <si>
    <t>045</t>
  </si>
  <si>
    <t>099</t>
  </si>
  <si>
    <t xml:space="preserve">ItmId              </t>
  </si>
  <si>
    <t>040</t>
  </si>
  <si>
    <t>042</t>
  </si>
  <si>
    <t>043</t>
  </si>
  <si>
    <t>044</t>
  </si>
  <si>
    <t>068</t>
  </si>
  <si>
    <t>070</t>
  </si>
  <si>
    <t>071</t>
  </si>
  <si>
    <t>075</t>
  </si>
  <si>
    <t>076</t>
  </si>
  <si>
    <t>081</t>
  </si>
  <si>
    <t>082</t>
  </si>
  <si>
    <t>ANT</t>
  </si>
  <si>
    <t>ANTICIPOS</t>
  </si>
  <si>
    <t>P40</t>
  </si>
  <si>
    <t>P41</t>
  </si>
  <si>
    <t>DES000</t>
  </si>
  <si>
    <t>VENTA</t>
  </si>
  <si>
    <t>COMISION</t>
  </si>
  <si>
    <t>FINANC</t>
  </si>
  <si>
    <t>DES003</t>
  </si>
  <si>
    <t>DES002</t>
  </si>
  <si>
    <t>TRANPORTECN</t>
  </si>
  <si>
    <t>TRANPORTEVN</t>
  </si>
  <si>
    <t>EMBALAJEN</t>
  </si>
  <si>
    <t>ADUANA1</t>
  </si>
  <si>
    <t>ADUANA2</t>
  </si>
  <si>
    <t>GENERAL</t>
  </si>
  <si>
    <t>DES010</t>
  </si>
  <si>
    <t>TRANSPORTE10</t>
  </si>
  <si>
    <t>Row</t>
  </si>
  <si>
    <t>Column</t>
  </si>
  <si>
    <t>MATERIAL SERRA UNP</t>
  </si>
  <si>
    <t>MATERIAL MECÁNICO</t>
  </si>
  <si>
    <t>DISEÑO HARDWARE</t>
  </si>
  <si>
    <t>MONTAJE EN SERRA</t>
  </si>
  <si>
    <t>ARMARIOS ELECTRICOS</t>
  </si>
  <si>
    <t>MATERIAL ELÉCTRICO</t>
  </si>
  <si>
    <t>DISEÑO UTILES/GARRAS</t>
  </si>
  <si>
    <t>FABRICACIÓN MECÁNICA</t>
  </si>
  <si>
    <t>RECEPCION UTILES</t>
  </si>
  <si>
    <t>FABRICACION UTILES/GARRAS</t>
  </si>
  <si>
    <t>FABRICACION ELEMENTOS IMPLANTA</t>
  </si>
  <si>
    <t>GESTION Y COORDINACION</t>
  </si>
  <si>
    <t>GESTIÓN DE PROYECTOS</t>
  </si>
  <si>
    <t>GESTIÓN MECÁNICA</t>
  </si>
  <si>
    <t>DISEÑO ELÉCTRICO</t>
  </si>
  <si>
    <t>MONTAJE MECÁNICO</t>
  </si>
  <si>
    <t>INSTALACIÓN E.N.R.</t>
  </si>
  <si>
    <t>PUESTA EN MARCHA EN PLANTA</t>
  </si>
  <si>
    <t>ROBÓTICA</t>
  </si>
  <si>
    <t>DISEÑO SOFTWARE</t>
  </si>
  <si>
    <t>MATERIAL FLUIDOS</t>
  </si>
  <si>
    <t>DISEÑO NR</t>
  </si>
  <si>
    <t>ROBCAD</t>
  </si>
  <si>
    <t>PUESTA EN MARCHA EN SERRA</t>
  </si>
  <si>
    <t>DESMONTAJE</t>
  </si>
  <si>
    <t>DISEÑO MECÁNICO</t>
  </si>
  <si>
    <t>DISEÑO ELEMENTOS IMPLANTACION</t>
  </si>
  <si>
    <t>FABRICACIÓN ELÉCTRICA</t>
  </si>
  <si>
    <t>METROLOGÍA</t>
  </si>
  <si>
    <t>ENR. UTILES/GARRAS</t>
  </si>
  <si>
    <t>GRANDES COMPRAS</t>
  </si>
  <si>
    <t>PROGRAMA STD PLC SIEMENS</t>
  </si>
  <si>
    <t>COSTES EVITABLES</t>
  </si>
  <si>
    <t>COSTES EVITABLES PROVEEDORES</t>
  </si>
  <si>
    <t>GASTOS ADUANALES</t>
  </si>
  <si>
    <t>TRANSP. &amp; DESPLAZ.</t>
  </si>
  <si>
    <t>GASTOS DE DESPLAZAMIENTO</t>
  </si>
  <si>
    <t>GASTOS GENERALES</t>
  </si>
  <si>
    <t>TRANSPORTES Y EMBALAJES</t>
  </si>
  <si>
    <t>1</t>
  </si>
  <si>
    <t>2</t>
  </si>
  <si>
    <t>3</t>
  </si>
  <si>
    <t>00N15-1-00Ax1=0
634344/10</t>
  </si>
  <si>
    <t>127249x37=1563,25
378766/00</t>
  </si>
  <si>
    <t>142355x4=392,48
420654/120
378785/00
378956/00</t>
  </si>
  <si>
    <t>142355x2=196,24
420654/120
378785/00
378956/00</t>
  </si>
  <si>
    <t>142356x36=3574,08
378785/00</t>
  </si>
  <si>
    <t>142908x9=198,99
378785/00</t>
  </si>
  <si>
    <t>142909x41=3870,81
378785/00
378956/00</t>
  </si>
  <si>
    <t>142910x8=7849,92
378785/00</t>
  </si>
  <si>
    <t>142911x2=865,8
378785/00</t>
  </si>
  <si>
    <t>142913x6=4012,44
378785/00</t>
  </si>
  <si>
    <t>142915x60=95,4
378785/00</t>
  </si>
  <si>
    <t>143037x27=611,55
378766/00</t>
  </si>
  <si>
    <t>142355x8=676
420654/120
378785/00
378956/00</t>
  </si>
  <si>
    <t>101263x8=16,4
420654/10
420654/130
420658/10
420690/10
420724/10</t>
  </si>
  <si>
    <t>01E02-1-00Ax1=0
634344/20</t>
  </si>
  <si>
    <t>102087x13=93,28
378775/00
378846/00
378989/00
379035/00</t>
  </si>
  <si>
    <t>106004x24=218,11
378775/00</t>
  </si>
  <si>
    <t>106918x160=33,57
378776/00
378848/00
379589/00</t>
  </si>
  <si>
    <t>110055x8=151,92
378772/00</t>
  </si>
  <si>
    <t>110851x46=249
378775/00
378846/00
378989/00
379035/00</t>
  </si>
  <si>
    <t>110860x32=301,22
420763/30
378775/00
378846/00
378930/00</t>
  </si>
  <si>
    <t>110866x13=121,07
378775/00
378989/00</t>
  </si>
  <si>
    <t>111037x46=399,65
421296/20
378775/00
378846/00
378989/00</t>
  </si>
  <si>
    <t>112381x120=153,16
378776/00
378848/00
379589/00</t>
  </si>
  <si>
    <t>112810x8=161,36
477126/00</t>
  </si>
  <si>
    <t>112944x8=302,54
378774/00</t>
  </si>
  <si>
    <t>113394x80=115,56
378772/00</t>
  </si>
  <si>
    <t>119770x800=186,72
378776/00
378848/00
477680/00</t>
  </si>
  <si>
    <t>120612x15=43,2
378772/00
378988/00</t>
  </si>
  <si>
    <t>120613x50=144
378772/00
378988/00</t>
  </si>
  <si>
    <t>122390x160=36,14
378776/00
378848/00
378936/00
477680/00</t>
  </si>
  <si>
    <t>123070x160=158,4
378778/00</t>
  </si>
  <si>
    <t>123497x8=776,88
378772/00</t>
  </si>
  <si>
    <t>123931x8=172,08
378772/00</t>
  </si>
  <si>
    <t>124155x40=51,38
477169/00
378776/00
378848/00</t>
  </si>
  <si>
    <t>124268x22=30,98
378776/00</t>
  </si>
  <si>
    <t>124268x20=28,16
378776/00</t>
  </si>
  <si>
    <t>124268x18=25,35
378776/00</t>
  </si>
  <si>
    <t>129094x32=14,59
378776/00</t>
  </si>
  <si>
    <t>129452x8=27,04
477126/00</t>
  </si>
  <si>
    <t>132456x48=457,8
378771/00
015952/00</t>
  </si>
  <si>
    <t>132456x6=57,23
378771/00
015952/00</t>
  </si>
  <si>
    <t>132459x8=205,68
477124/00</t>
  </si>
  <si>
    <t>132521x8=457,12
477126/00</t>
  </si>
  <si>
    <t>136289x80=436,13
378771/00
379586/00</t>
  </si>
  <si>
    <t>136290x40=218,06
378771/00
379022/00
379586/00</t>
  </si>
  <si>
    <t>137459x8=65,2
378771/00</t>
  </si>
  <si>
    <t>137500x8=42,24
378771/00</t>
  </si>
  <si>
    <t>137574x8=399,66
378771/00</t>
  </si>
  <si>
    <t>138598x300=101,4
378775/00
378846/00
379035/00</t>
  </si>
  <si>
    <t>138599x300=146,4
378775/00
378846/00
379035/00</t>
  </si>
  <si>
    <t>138978x36=38,05
378774/00
379020/00</t>
  </si>
  <si>
    <t>138979x16=378,22
378774/00
379020/00</t>
  </si>
  <si>
    <t>140216x185=70,02
378776/00
477680/00</t>
  </si>
  <si>
    <t>140367x195=398,97
378778/00
378850/00</t>
  </si>
  <si>
    <t>140472x48=152,93
378778/00
477300/00</t>
  </si>
  <si>
    <t>140491x8=161,92
477124/00</t>
  </si>
  <si>
    <t>140492x8=246,8
477124/00</t>
  </si>
  <si>
    <t>140703x50=345
378773/00
378998/00</t>
  </si>
  <si>
    <t>140752x8=522
378772/00
378929/00</t>
  </si>
  <si>
    <t>140753x8=136,08
378772/00
378929/00</t>
  </si>
  <si>
    <t>141070x8=132,43
378776/00</t>
  </si>
  <si>
    <t>141286x16=157,08
378771/00
379022/00
379586/00</t>
  </si>
  <si>
    <t>141673x16=141,6
477126/00</t>
  </si>
  <si>
    <t>141983x5=26,37
378772/00
015949/00</t>
  </si>
  <si>
    <t>141983x4=21,1
378772/00
015949/00</t>
  </si>
  <si>
    <t>141984x4=372,6
378772/00
378929/00
015948/00</t>
  </si>
  <si>
    <t>141984x1=93,15
378772/00
378929/00
015948/00</t>
  </si>
  <si>
    <t>141984x3=279,45
378772/00
378929/00
015948/00</t>
  </si>
  <si>
    <t>142247x4=100,08
378772/00
378929/00
015950/00</t>
  </si>
  <si>
    <t>142247x1=25,02
378772/00
378929/00
015950/00</t>
  </si>
  <si>
    <t>142247x3=75,06
378772/00
378929/00
015950/00</t>
  </si>
  <si>
    <t>143766x64=260,64
378772/00</t>
  </si>
  <si>
    <t>143787x16=709,2
378772/00</t>
  </si>
  <si>
    <t>143788x4=2494,8
378772/00</t>
  </si>
  <si>
    <t>144384x16=644,4
378772/00</t>
  </si>
  <si>
    <t>144529x16=171,36
378772/00</t>
  </si>
  <si>
    <t>99001x8=236,48
378838/00</t>
  </si>
  <si>
    <t>99046x8=79,76
477329/00</t>
  </si>
  <si>
    <t>101377x300=2,1
420658/590
634346/270
634346/420
634346/1310
420776/170</t>
  </si>
  <si>
    <t>105978x300=9,9
634343/230
420658/600
634346/430
634346/580
634346/1340</t>
  </si>
  <si>
    <t>103147x94=15,96
634343/240
420658/610</t>
  </si>
  <si>
    <t>132962x12=1,8
420658/620
420731/230</t>
  </si>
  <si>
    <t>126192x12=0,78
634343/270
420658/630</t>
  </si>
  <si>
    <t>101404x894=11,54
634343/70
420658/640
420733/270</t>
  </si>
  <si>
    <t>101455x30=0,99
420658/650</t>
  </si>
  <si>
    <t>104824x30=0,81
420658/660</t>
  </si>
  <si>
    <t>101442x30=0,95
420658/670
420658/800</t>
  </si>
  <si>
    <t>116021x30=0,9
420658/680
634347/220</t>
  </si>
  <si>
    <t>118970x40=4,6
634343/250
420658/690</t>
  </si>
  <si>
    <t>105411x30=0,74
420658/710</t>
  </si>
  <si>
    <t>105301x16=3,1
420658/720</t>
  </si>
  <si>
    <t>105302x16=3,08
420658/730</t>
  </si>
  <si>
    <t>128872x7=0,91
420658/740</t>
  </si>
  <si>
    <t>128874x16=2,51
420658/750</t>
  </si>
  <si>
    <t>104841x50=4,5
420658/760</t>
  </si>
  <si>
    <t>104842x50=3,95
420658/770</t>
  </si>
  <si>
    <t>128871x50=5,5
420658/780</t>
  </si>
  <si>
    <t>132975x50=2
634343/50
634343/200
420658/790</t>
  </si>
  <si>
    <t>101405x30=0,43
420658/810</t>
  </si>
  <si>
    <t>104150x3=3,9
420658/820
634346/1020</t>
  </si>
  <si>
    <t>104148x3=7,2
420658/830
420732/280
420732/290
420731/280
420733/460</t>
  </si>
  <si>
    <t>30991.00.419.000x99=21,88
634341/60
420658/840
420776/280</t>
  </si>
  <si>
    <t>01E05-1-00Ax1=0
634344/30</t>
  </si>
  <si>
    <t>141329x8=194,27
378857/00</t>
  </si>
  <si>
    <t>141727x8=634,58
378857/00
378875/00
379727/00</t>
  </si>
  <si>
    <t>141727x20=1586,44
378857/00
378875/00
379727/00</t>
  </si>
  <si>
    <t>141728x28=396,48
379727/00
015639/00
015644/00</t>
  </si>
  <si>
    <t>99014x8=6292
378857/00</t>
  </si>
  <si>
    <t>01E06-1-00Ax1=0
634344/40</t>
  </si>
  <si>
    <t>141728x8=113,28
379727/00
015639/00
015644/00</t>
  </si>
  <si>
    <t>21020.00.401.430x12=3,84
420734/30
420734/40
420869/410
420869/530
420869/540</t>
  </si>
  <si>
    <t>120948x10=77,9
420734/50
378843/00
379705/00</t>
  </si>
  <si>
    <t>66010x1=5704,75
378904/00</t>
  </si>
  <si>
    <t>66029x1=1303,7
378904/00</t>
  </si>
  <si>
    <t>04E01-1-00x1=0
634344/60</t>
  </si>
  <si>
    <t>111610x6=23,58
378929/00</t>
  </si>
  <si>
    <t>122379x40=18,29
378936/00</t>
  </si>
  <si>
    <t>122390x6=1,36
378776/00
378848/00
378936/00
477680/00</t>
  </si>
  <si>
    <t>122394x10=6,06
378936/00</t>
  </si>
  <si>
    <t>128808x1=26,23
477301/00</t>
  </si>
  <si>
    <t>139609x1=35,07
015938/00</t>
  </si>
  <si>
    <t>140276x1=33,36
378928/00</t>
  </si>
  <si>
    <t>140472x6=19,12
378778/00
477300/00</t>
  </si>
  <si>
    <t>140752x1=65,25
378772/00
378929/00</t>
  </si>
  <si>
    <t>140753x1=17,01
378772/00
378929/00</t>
  </si>
  <si>
    <t>141614x1=1,83
015796/00</t>
  </si>
  <si>
    <t>141620x1=4,34
378928/00</t>
  </si>
  <si>
    <t>141685x1=35,13
378998/00</t>
  </si>
  <si>
    <t>141722x1=55,71
378928/00</t>
  </si>
  <si>
    <t>142314x1=32,41
015954/00</t>
  </si>
  <si>
    <t>142333x1=13,59
015795/00</t>
  </si>
  <si>
    <t>142510x1=37,78
378928/00</t>
  </si>
  <si>
    <t>142592x1=4,2
378928/00</t>
  </si>
  <si>
    <t>143030x1=289,99
016025/00</t>
  </si>
  <si>
    <t>144327x1=7,84
378929/00</t>
  </si>
  <si>
    <t>144383x2=72,9
378929/00</t>
  </si>
  <si>
    <t>144566x1=364,5
378929/00</t>
  </si>
  <si>
    <t>144567x2=19,89
378929/00</t>
  </si>
  <si>
    <t>144953x2=173,7
378929/00</t>
  </si>
  <si>
    <t>145060x3=4833,68
378928/00
379669/00</t>
  </si>
  <si>
    <t>145294x12=10690,35
378928/00</t>
  </si>
  <si>
    <t>145339x1=4,51
378928/00</t>
  </si>
  <si>
    <t>99036x2=3292,2
378934/00</t>
  </si>
  <si>
    <t>99037x2=0
378934/00</t>
  </si>
  <si>
    <t>99038x6=15,08
378931/00</t>
  </si>
  <si>
    <t>99039x4=12,58
378931/00
379314/00</t>
  </si>
  <si>
    <t>101609x8=43,28
634344/70
420732/210</t>
  </si>
  <si>
    <t>66012x0,2=4138,71
378959/00</t>
  </si>
  <si>
    <t>66012x0,4=8277,42
378959/00</t>
  </si>
  <si>
    <t>66012x0,1=2069,36
378959/00</t>
  </si>
  <si>
    <t>66014x0,2=2131,05
378959/00</t>
  </si>
  <si>
    <t>66014x0,4=4262,1
378959/00</t>
  </si>
  <si>
    <t>66014x0,1=1065,53
378959/00</t>
  </si>
  <si>
    <t>01E00-0-00Ax1=0
634344/100</t>
  </si>
  <si>
    <t>102087x14=100,45
378775/00
378846/00
378989/00
379035/00</t>
  </si>
  <si>
    <t>102087x3=21,53
378775/00
378846/00
378989/00
379035/00</t>
  </si>
  <si>
    <t>110851x35=189,46
378775/00
378846/00
378989/00
379035/00</t>
  </si>
  <si>
    <t>110866x17=158,32
378775/00
378989/00</t>
  </si>
  <si>
    <t>111037x35=304,08
421296/20
378775/00
378846/00
378989/00</t>
  </si>
  <si>
    <t>120613x35=100,8
378772/00
378988/00</t>
  </si>
  <si>
    <t>01E13-1-00Ax1=0
634344/120</t>
  </si>
  <si>
    <t>145013x2=1573
379013/00</t>
  </si>
  <si>
    <t>00E04-0-00x1=0
634344/130</t>
  </si>
  <si>
    <t>142149x4=110,42
379033/00</t>
  </si>
  <si>
    <t>142150x30=27,59
379033/00</t>
  </si>
  <si>
    <t>99115x1=67,1
675884/00</t>
  </si>
  <si>
    <t>142909x4=377,64
378785/00
378956/00</t>
  </si>
  <si>
    <t>04E02-1-00Ax1=0
634344/160</t>
  </si>
  <si>
    <t>145337x1=38,34
379127/00</t>
  </si>
  <si>
    <t>145338x2=63,9
379127/00</t>
  </si>
  <si>
    <t>99149x1=19,89
379127/00</t>
  </si>
  <si>
    <t>109118x30=0,33
634344/170
634346/1050
420732/410</t>
  </si>
  <si>
    <t>109117x30=0,33
624324/30
634344/180
634346/1080
420776/160
420776/190
420776/260</t>
  </si>
  <si>
    <t>00E03-0-00Ax1=0
634344/190</t>
  </si>
  <si>
    <t>119770x100=23,34
378776/00
378848/00
477680/00</t>
  </si>
  <si>
    <t>01E17-1-00Ax1=0
634344/200</t>
  </si>
  <si>
    <t>122390x60=13,55
378776/00
378848/00
378936/00
477680/00</t>
  </si>
  <si>
    <t>140216x50=18,93
378776/00
477680/00</t>
  </si>
  <si>
    <t>00E06-0-00Ax1=0
634344/210</t>
  </si>
  <si>
    <t>144814x30=49,14
421026/50
421026/60
420763/40
477703/00</t>
  </si>
  <si>
    <t>139929x10=253,5
379295/00</t>
  </si>
  <si>
    <t>139929x20=507
379295/00</t>
  </si>
  <si>
    <t>99166x1=1370
379293/00</t>
  </si>
  <si>
    <t>04E03-1-00x1=0
634344/240</t>
  </si>
  <si>
    <t>99167x4=14,22
379314/00</t>
  </si>
  <si>
    <t>00E09-0-00Ax1=0
634344/250</t>
  </si>
  <si>
    <t>145974x4096=182,27
379554/00</t>
  </si>
  <si>
    <t>00E20-1-00Ax1=0
634344/260</t>
  </si>
  <si>
    <t>140194x2=122,82
379576/00</t>
  </si>
  <si>
    <t>144238x1=47,07
379576/00</t>
  </si>
  <si>
    <t>144387x1=212,66
379576/00</t>
  </si>
  <si>
    <t>00E21-1-00Ax1=0
634344/270</t>
  </si>
  <si>
    <t>136289x3=16,35
378771/00
379586/00</t>
  </si>
  <si>
    <t>136290x7=38,16
378771/00
379022/00
379586/00</t>
  </si>
  <si>
    <t>141286x8=78,54
378771/00
379022/00
379586/00</t>
  </si>
  <si>
    <t>01E22-1-00Ax1=0
634344/280</t>
  </si>
  <si>
    <t>106918x40=8,39
378776/00
378848/00
379589/00</t>
  </si>
  <si>
    <t>112381x20=25,53
378776/00
378848/00
379589/00</t>
  </si>
  <si>
    <t>99202x5=264,15
379608/00</t>
  </si>
  <si>
    <t>01E24-1-00Ax1=0
634344/290</t>
  </si>
  <si>
    <t>145060x2=3222,45
378928/00
379669/00</t>
  </si>
  <si>
    <t>120945x8=133,93
378843/00
379705/00</t>
  </si>
  <si>
    <t>141835x8=27,29
378843/00
379705/00</t>
  </si>
  <si>
    <t>120948x8=62,32
420734/50
378843/00
379705/00</t>
  </si>
  <si>
    <t>110967x8=180,85
378843/00
379705/00</t>
  </si>
  <si>
    <t>01E25-1-00x1=0
634344/340</t>
  </si>
  <si>
    <t>141727x6=475,94
378857/00
378875/00
379727/00</t>
  </si>
  <si>
    <t>141728x6=84,96
379727/00
015639/00
015644/00</t>
  </si>
  <si>
    <t>66063x1=2649,84
386587/00</t>
  </si>
  <si>
    <t>01E26-1-00Ax1=0
634344/360</t>
  </si>
  <si>
    <t>634344.0010x139=5125,69
138231(2h)
141024(16h)
138231(3h)
141025(8h)
141024(110h)</t>
  </si>
  <si>
    <t>44020x1=1191
477804/00</t>
  </si>
  <si>
    <t>44022x1=1191
477810/00</t>
  </si>
  <si>
    <t>44047x1=548
478157/00</t>
  </si>
  <si>
    <t>44048x1=942
478157/00</t>
  </si>
  <si>
    <t>651843.0040x52=1783,6
000273(40h)
000791(12h)</t>
  </si>
  <si>
    <t>651843.0050x16=582,88
141024(16h)</t>
  </si>
  <si>
    <t>651844.0040x30=1029
000273(30h)</t>
  </si>
  <si>
    <t>651844.0050x28=1020,04
000702(16h)
138760(12h)</t>
  </si>
  <si>
    <t>651844.0090x2=78,55
127763(2h)
127763(1h)</t>
  </si>
  <si>
    <t>66026x0,1=1980
386286/00</t>
  </si>
  <si>
    <t>66027x0,1=3294
386286/00</t>
  </si>
  <si>
    <t>624328.0020x54,5=1985,44
141024(55h)</t>
  </si>
  <si>
    <t>66015x1=3694,55
153505/00</t>
  </si>
  <si>
    <t>634342.0010x360,75=12635,6
000786(45h)
128475(76h)
128437(72h)
128475(160h)
000858(8h)</t>
  </si>
  <si>
    <t>66021x0,21=3150
386271/00</t>
  </si>
  <si>
    <t>66021x0,34=5100
386271/00</t>
  </si>
  <si>
    <t>66021x0,28=4200
386271/00</t>
  </si>
  <si>
    <t>66021x0,17=2550
386271/00</t>
  </si>
  <si>
    <t>101448x500=17,5
624324/20
634346/610
634346/1190
420723/1250</t>
  </si>
  <si>
    <t>109117x300=3,3
624324/30
634344/180
634346/1080
420776/160
420776/190
420776/260</t>
  </si>
  <si>
    <t>101601x3=4,17
624324/40
420723/500
420723/590</t>
  </si>
  <si>
    <t>101306x20=22,06
624324/50
420723/480
420723/780</t>
  </si>
  <si>
    <t>624324.0010x337=12340,94
000580(128h)
128724(173h)
000245(36h)</t>
  </si>
  <si>
    <t>624324.0020x268,5=10611,33
000407(93h)
000407(176h)</t>
  </si>
  <si>
    <t>624325.0010x290=12758,48
138388(254h)
138388(36h)</t>
  </si>
  <si>
    <t>624325.0020x1252,75=47426,8
137683(285h)
000227(212h)
137683(212h)
000227(519h)
136922(16h)
000327(9h)</t>
  </si>
  <si>
    <t>55000x192=3168
675598/00
675598/00
675598/00
675598/00
675598/00
675598/00
675598/00
675927/00</t>
  </si>
  <si>
    <t>55000x313=5164,5
675598/00
675598/00
675598/00
675598/00
675598/00
675598/00
675598/00
675927/00</t>
  </si>
  <si>
    <t>55000x150=2475
675598/00
675598/00
675598/00
675598/00
675598/00
675598/00
675598/00
675927/00</t>
  </si>
  <si>
    <t>55000x29=478,5
675598/00
675598/00
675598/00
675598/00
675598/00
675598/00
675598/00
675927/00</t>
  </si>
  <si>
    <t>55000x79=1303,5
675598/00
675598/00
675598/00
675598/00
675598/00
675598/00
675598/00
675927/00</t>
  </si>
  <si>
    <t>30991.00.419.000x100=25
634341/60
420658/840
420776/280</t>
  </si>
  <si>
    <t>123191x20=33,6
634341/70
421046/30
421053/30
420776/210</t>
  </si>
  <si>
    <t>123207x20=3,78
634341/80
421053/40
420723/870</t>
  </si>
  <si>
    <t>55000x85=1402,5
675598/00
675598/00
675598/00
675598/00
675598/00
675598/00
675598/00
675927/00</t>
  </si>
  <si>
    <t>126225x25=22,5
634341/120
675863/00
478235/00</t>
  </si>
  <si>
    <t>111306x10=26,9
634341/90
634341/130
477447/00</t>
  </si>
  <si>
    <t>55000x38=627
675598/00
675598/00
675598/00
675598/00
675598/00
675598/00
675598/00
675927/00</t>
  </si>
  <si>
    <t>55000x105=1732,5
675598/00
675598/00
675598/00
675598/00
675598/00
675598/00
675598/00
675927/00</t>
  </si>
  <si>
    <t>634341.0010x5368,55=201099,42
128437(895h)
138730(529h)
128437(1h)
001191(485h)
128475(692h)
136516(600h)
001059(587h)
128475(1193h)
138730(66h)
001059(4h)
128437(318h)</t>
  </si>
  <si>
    <t>00N15-1-00Ix1=0
634348/10</t>
  </si>
  <si>
    <t>99000x8=118,24
378768/00
378942/00
379614/00</t>
  </si>
  <si>
    <t>99001x4=118,24
378838/00</t>
  </si>
  <si>
    <t>99002x45=8208
378822/00</t>
  </si>
  <si>
    <t>99003x200=582
378781/00</t>
  </si>
  <si>
    <t>99004x200=410
378781/00</t>
  </si>
  <si>
    <t>01E03-1-00Fx1=0
634348/20</t>
  </si>
  <si>
    <t>101263x10=20,5
420654/10
420654/130
420658/10
420690/10
420724/10</t>
  </si>
  <si>
    <t>106918x30=6,29
378776/00
378848/00
379589/00</t>
  </si>
  <si>
    <t>110850x10=57,75
378826/00
378948/00
378846/00
379035/00</t>
  </si>
  <si>
    <t>110851x10=54,13
378775/00
378846/00
378989/00
379035/00</t>
  </si>
  <si>
    <t>111037x10=86,88
421296/20
378775/00
378846/00
378989/00</t>
  </si>
  <si>
    <t>112381x10=12,76
378776/00
378848/00
379589/00</t>
  </si>
  <si>
    <t>117247x10=256,89
378808/00</t>
  </si>
  <si>
    <t>117643x10=61,2
420724/90
378808/00
378843/00</t>
  </si>
  <si>
    <t>117644x10=167,41
378808/00</t>
  </si>
  <si>
    <t>117645x10=46,94
378808/00
378843/00
378843/00</t>
  </si>
  <si>
    <t>119534x20=39,1
378808/00
378843/00</t>
  </si>
  <si>
    <t>119536x10=706,91
378808/00</t>
  </si>
  <si>
    <t>119567x20=363,82
378808/00</t>
  </si>
  <si>
    <t>119770x350=81,69
378776/00
378848/00
477680/00</t>
  </si>
  <si>
    <t>120946x20=134,55
378808/00
378843/00</t>
  </si>
  <si>
    <t>122787x20=242,65
378808/00
378843/00
378843/00</t>
  </si>
  <si>
    <t>122790x10=121,33
378808/00
378843/00
378843/00</t>
  </si>
  <si>
    <t>122793x10=67,27
378808/00
378843/00</t>
  </si>
  <si>
    <t>124155x10=12,85
477169/00
378776/00
378848/00</t>
  </si>
  <si>
    <t>125266x10=716,78
378808/00</t>
  </si>
  <si>
    <t>126979x10=55,13
378826/00
378846/00
379035/00</t>
  </si>
  <si>
    <t>132401x20=321,83
378808/00</t>
  </si>
  <si>
    <t>138748x10=342,9
378805/00</t>
  </si>
  <si>
    <t>99005x10=1151,1
378805/00</t>
  </si>
  <si>
    <t>00E04-1-00Ix1=0
634348/30</t>
  </si>
  <si>
    <t>100755x100=204,77
378849/00
379220/00</t>
  </si>
  <si>
    <t>100759x300=614,3
378849/00
378849/00
378849/00</t>
  </si>
  <si>
    <t>100762x400=1523,13
378849/00</t>
  </si>
  <si>
    <t>102086x27=190,35
378846/00
379035/00</t>
  </si>
  <si>
    <t>102087x1=7,18
378775/00
378846/00
378989/00
379035/00</t>
  </si>
  <si>
    <t>110850x-10=-57,75
378826/00
378948/00
378846/00
379035/00</t>
  </si>
  <si>
    <t>110850x76=438,9
378826/00
378948/00
378846/00
379035/00</t>
  </si>
  <si>
    <t>110851x40=216,52
378775/00
378846/00
378989/00
379035/00</t>
  </si>
  <si>
    <t>110859x64=570,43
378846/00</t>
  </si>
  <si>
    <t>114643x100=285,61
378849/00</t>
  </si>
  <si>
    <t>114645x200=811,06
378849/00</t>
  </si>
  <si>
    <t>116848x800=458,69
378849/00</t>
  </si>
  <si>
    <t>126350x14=282,1
378846/00
379035/00</t>
  </si>
  <si>
    <t>126351x27=155,93
378846/00
379035/00</t>
  </si>
  <si>
    <t>126920x64=438,4
378846/00</t>
  </si>
  <si>
    <t>126979x-10=-55,13
378826/00
378846/00
379035/00</t>
  </si>
  <si>
    <t>126979x76=418,99
378826/00
378846/00
379035/00</t>
  </si>
  <si>
    <t>129495x1000=3739,35
378849/00</t>
  </si>
  <si>
    <t>129882x300=659,44
378849/00</t>
  </si>
  <si>
    <t>131776x40=407,6
378846/00
379035/00</t>
  </si>
  <si>
    <t>133476x600=870,9
378849/00
379616/00</t>
  </si>
  <si>
    <t>133477x300=575,71
378849/00</t>
  </si>
  <si>
    <t>135211x32=418,8
378846/00</t>
  </si>
  <si>
    <t>136521x30=216
477191/00</t>
  </si>
  <si>
    <t>138598x200=67,6
378775/00
378846/00
379035/00</t>
  </si>
  <si>
    <t>138599x200=97,6
378775/00
378846/00
379035/00</t>
  </si>
  <si>
    <t>139218x100=630,45
378849/00</t>
  </si>
  <si>
    <t>145359x30=930
378943/00</t>
  </si>
  <si>
    <t>99006x20=926,2
378858/00</t>
  </si>
  <si>
    <t>99007x100=400
378858/00</t>
  </si>
  <si>
    <t>99008x2=323,66
378858/00</t>
  </si>
  <si>
    <t>99009x17=629,51
378858/00</t>
  </si>
  <si>
    <t>99010x17=2125
378858/00</t>
  </si>
  <si>
    <t>99011x1548=1738,2
378849/00</t>
  </si>
  <si>
    <t>99012x110=304,66
378849/00</t>
  </si>
  <si>
    <t>99013x500=515,22
378849/00</t>
  </si>
  <si>
    <t>100752x100=121,7
420723/360</t>
  </si>
  <si>
    <t>104662x30=3,39
634343/150
634346/1700
634346/1940
634346/2020
420723/370
420723/830</t>
  </si>
  <si>
    <t>100980x300=14,9
420869/460
420723/390
420723/800
420723/1040</t>
  </si>
  <si>
    <t>100979x300=9,23
420869/450
634347/340
420723/400
420723/810
420723/1050</t>
  </si>
  <si>
    <t>101299x34=24,51
420723/410</t>
  </si>
  <si>
    <t>123184x80=26,4
420869/230
420869/360
420723/420
420723/960
420731/290
420733/360</t>
  </si>
  <si>
    <t>123183x100=22
634346/1990
420829/60
420869/260
420869/300
420723/430
420723/950
420723/1180
379160/00</t>
  </si>
  <si>
    <t>123182x50=9,1
420723/440</t>
  </si>
  <si>
    <t>123200x40=6,68
420869/250
420869/370
420723/450
420723/980</t>
  </si>
  <si>
    <t>123199x100=15,3
420869/240
420869/270
420869/310
420869/390
420723/460
420723/970
420723/1190</t>
  </si>
  <si>
    <t>101306x30=33,09
624324/50
420723/480
420723/780</t>
  </si>
  <si>
    <t>123231x20=31,68
420723/490</t>
  </si>
  <si>
    <t>101601x3=4,35
624324/40
420723/500
420723/590</t>
  </si>
  <si>
    <t>105058x50=9,4
420869/180
420723/510</t>
  </si>
  <si>
    <t>101472x150=3,3
634346/1350
420869/190
420723/530</t>
  </si>
  <si>
    <t>104843x10=0,58
420723/540</t>
  </si>
  <si>
    <t>137115x5=3,05
420723/550</t>
  </si>
  <si>
    <t>104831x20=0,6
420869/350
420723/560
420731/380</t>
  </si>
  <si>
    <t>105063x30=4,5
420723/570</t>
  </si>
  <si>
    <t>101602x1=1,85
420723/580</t>
  </si>
  <si>
    <t>101601x5=7,25
624324/40
420723/500
420723/590</t>
  </si>
  <si>
    <t>101600x3=5,15
420723/600</t>
  </si>
  <si>
    <t>101599x5=3,6
420723/610</t>
  </si>
  <si>
    <t>104840x16=0,88
420723/620
420731/240</t>
  </si>
  <si>
    <t>105045x10=1,4
634346/1660
634346/1730
420723/630
420723/640</t>
  </si>
  <si>
    <t>105045x1=0,14
634346/1660
634346/1730
420723/630
420723/640</t>
  </si>
  <si>
    <t>104832x30=0,77
634346/240
420869/490
420723/650</t>
  </si>
  <si>
    <t>109116x800=21,6
624331/120
420723/660
420723/670</t>
  </si>
  <si>
    <t>101007x8=9,5
420723/680</t>
  </si>
  <si>
    <t>100749x20=18,64
420723/690
378924/00
379624/00</t>
  </si>
  <si>
    <t>101345x100=11,7
420723/700
420723/1090
420723/1170</t>
  </si>
  <si>
    <t>110597x10=1,2
634346/530
634346/700
634347/250
420723/720</t>
  </si>
  <si>
    <t>105244x10=0,47
634346/520
634346/690
420723/730</t>
  </si>
  <si>
    <t>100669x100=10,5
420723/740
420723/880</t>
  </si>
  <si>
    <t>101327x100=3,64
420723/750
420723/890
420723/1260
420776/290</t>
  </si>
  <si>
    <t>104155x20=14,58
420723/770</t>
  </si>
  <si>
    <t>101306x16=17,65
624324/50
420723/480
420723/780</t>
  </si>
  <si>
    <t>101304x12=12,52
420723/790</t>
  </si>
  <si>
    <t>100977x600=6,4
420869/440
634347/330
420723/820
420723/1290
420732/420
420731/340</t>
  </si>
  <si>
    <t>104662x50=5,65
634343/150
634346/1700
634346/1940
634346/2020
420723/370
420723/830</t>
  </si>
  <si>
    <t>104660x25=3,78
634346/1690
634346/1930
420723/840</t>
  </si>
  <si>
    <t>105202x75=1,35
634346/1680
634346/1950
420723/380
420723/850
420731/330</t>
  </si>
  <si>
    <t>123207x10=1,89
634341/80
421053/40
420723/870</t>
  </si>
  <si>
    <t>104378x1=3,22
420723/900</t>
  </si>
  <si>
    <t>101444x1441=33,14
634346/330
634346/1570
420723/910</t>
  </si>
  <si>
    <t>114144x300=13,26
420723/710
420723/760
420723/920</t>
  </si>
  <si>
    <t>112099x3=4,08
420723/930</t>
  </si>
  <si>
    <t>21020.01.403.040x8=31,6
420723/940</t>
  </si>
  <si>
    <t>123183x20=4,4
634346/1990
420829/60
420869/260
420869/300
420723/430
420723/950
420723/1180
379160/00</t>
  </si>
  <si>
    <t>123184x20=6,6
420869/230
420869/360
420723/420
420723/960
420731/290
420733/360</t>
  </si>
  <si>
    <t>123199x20=3,06
420869/240
420869/270
420869/310
420869/390
420723/460
420723/970
420723/1190</t>
  </si>
  <si>
    <t>123200x20=3,34
420869/250
420869/370
420723/450
420723/980</t>
  </si>
  <si>
    <t>101295x12=6,28
420723/990</t>
  </si>
  <si>
    <t>101290x2=0,51
420869/580
420723/1000</t>
  </si>
  <si>
    <t>101292x2=0,62
420723/1010</t>
  </si>
  <si>
    <t>101331x500=3
420869/290
420723/1020
420723/1150
420723/1270</t>
  </si>
  <si>
    <t>100980x500=24,84
420869/460
420723/390
420723/800
420723/1040</t>
  </si>
  <si>
    <t>100979x500=15,38
420869/450
634347/340
420723/400
420723/810
420723/1050</t>
  </si>
  <si>
    <t>104379x2=4
420723/1060</t>
  </si>
  <si>
    <t>101296x1=0,56
420723/1070</t>
  </si>
  <si>
    <t>101293x1=0,38
420723/1080</t>
  </si>
  <si>
    <t>101344x200=22,6
420723/1100</t>
  </si>
  <si>
    <t>105281x80=27,2
634346/1060
420723/1120
420723/1140</t>
  </si>
  <si>
    <t>105284x20=27
634343/100
420723/1130</t>
  </si>
  <si>
    <t>105281x90=30,6
634346/1060
420723/1120
420723/1140</t>
  </si>
  <si>
    <t>101338x500=3
420723/1030
420723/1160
420723/1280</t>
  </si>
  <si>
    <t>123183x122=26,84
634346/1990
420829/60
420869/260
420869/300
420723/430
420723/950
420723/1180
379160/00</t>
  </si>
  <si>
    <t>123199x70=10,71
420869/240
420869/270
420869/310
420869/390
420723/460
420723/970
420723/1190</t>
  </si>
  <si>
    <t>110647x28=103,6
420723/1200</t>
  </si>
  <si>
    <t>105280x4=0,8
634343/80
634346/370
420723/1210
420776/310</t>
  </si>
  <si>
    <t>100735x50=29,55
420723/1220</t>
  </si>
  <si>
    <t>101079x4=1,27
420723/1230</t>
  </si>
  <si>
    <t>21020.00.401.420x1=4,24
420869/520
420723/1240</t>
  </si>
  <si>
    <t>101448x180=6,3
624324/20
634346/610
634346/1190
420723/1250</t>
  </si>
  <si>
    <t>100977x200=2,13
420869/440
634347/330
420723/820
420723/1290
420732/420
420731/340</t>
  </si>
  <si>
    <t>00E04-1-00Fx1=0
634348/40</t>
  </si>
  <si>
    <t>101263x15=30,75
420654/10
420654/130
420658/10
420690/10
420724/10</t>
  </si>
  <si>
    <t>106918x20=4,2
378776/00
378848/00
379589/00</t>
  </si>
  <si>
    <t>110850x5=28,88
378826/00
378948/00
378846/00
379035/00</t>
  </si>
  <si>
    <t>110851x15=81,2
378775/00
378846/00
378989/00
379035/00</t>
  </si>
  <si>
    <t>110967x27=610,36
378843/00
379705/00</t>
  </si>
  <si>
    <t>111037x15=130,32
421296/20
378775/00
378846/00
378989/00</t>
  </si>
  <si>
    <t>99047x6=177,69
378843/00</t>
  </si>
  <si>
    <t>112381x15=19,15
378776/00
378848/00
379589/00</t>
  </si>
  <si>
    <t>117645x3=14,08
378808/00
378843/00
378843/00</t>
  </si>
  <si>
    <t>117645x2=9,39
378808/00
378843/00
378843/00</t>
  </si>
  <si>
    <t>119534x6=11,73
378808/00
378843/00</t>
  </si>
  <si>
    <t>119569x30=70,65
378843/00</t>
  </si>
  <si>
    <t>119770x300=70,02
378776/00
378848/00
477680/00</t>
  </si>
  <si>
    <t>119898x3=48,26
378843/00</t>
  </si>
  <si>
    <t>120945x25=418,53
378843/00
379705/00</t>
  </si>
  <si>
    <t>120946x10=67,27
378808/00
378843/00</t>
  </si>
  <si>
    <t>120948x28=218,12
420734/50
378843/00
379705/00</t>
  </si>
  <si>
    <t>120964x14=207,65
378843/00</t>
  </si>
  <si>
    <t>122390x30=6,78
378776/00
378848/00
378936/00
477680/00</t>
  </si>
  <si>
    <t>122524x11=77,9
378843/00</t>
  </si>
  <si>
    <t>122777x15=88,36
378843/00</t>
  </si>
  <si>
    <t>122783x15=49,3
378843/00</t>
  </si>
  <si>
    <t>122786x15=181,99
378843/00</t>
  </si>
  <si>
    <t>122787x10=121,33
378808/00
378843/00
378843/00</t>
  </si>
  <si>
    <t>122790x11=133,46
378808/00
378843/00
378843/00</t>
  </si>
  <si>
    <t>122792x15=100,91
378843/00</t>
  </si>
  <si>
    <t>122793x11=74
378808/00
378843/00</t>
  </si>
  <si>
    <t>126979x5=27,56
378826/00
378846/00
379035/00</t>
  </si>
  <si>
    <t>139043x15=824,85
378841/00</t>
  </si>
  <si>
    <t>140216x15=5,68
378776/00
477680/00</t>
  </si>
  <si>
    <t>140367x15=30,69
378778/00
378850/00</t>
  </si>
  <si>
    <t>141835x28=95,51
378843/00
379705/00</t>
  </si>
  <si>
    <t>143950x15=1218,15
378853/00</t>
  </si>
  <si>
    <t>00N00-1-00Ix1=0
634348/50</t>
  </si>
  <si>
    <t>104283x50=123,9
420732/20
420733/410</t>
  </si>
  <si>
    <t>109590x40=144
675526/00</t>
  </si>
  <si>
    <t>111097x107=717,11
420732/40</t>
  </si>
  <si>
    <t>111098x150=536,4
420732/50</t>
  </si>
  <si>
    <t>112110x1000=5240
675526/00</t>
  </si>
  <si>
    <t>116238x50=223
420732/70</t>
  </si>
  <si>
    <t>116239x40=356
420732/80</t>
  </si>
  <si>
    <t>116240x75=1237,5
420732/90
420733/470</t>
  </si>
  <si>
    <t>116470x100=822
420732/100</t>
  </si>
  <si>
    <t>116471x50=645
420732/110</t>
  </si>
  <si>
    <t>116472x80=1143,68
634346/1130
420732/120</t>
  </si>
  <si>
    <t>116594x300=1785
675526/00</t>
  </si>
  <si>
    <t>116596x400=2096
675536/00</t>
  </si>
  <si>
    <t>116670x400=1856
675536/00</t>
  </si>
  <si>
    <t>142432x60=491,76
675526/00</t>
  </si>
  <si>
    <t>104075x80=193,92
420732/10
420732/170</t>
  </si>
  <si>
    <t>104175x20=82,05
015642/00
015641/00</t>
  </si>
  <si>
    <t>104175x50=205,14
015642/00
015641/00</t>
  </si>
  <si>
    <t>123172x25=12,83
420869/140
420732/190</t>
  </si>
  <si>
    <t>101462x110=3,63
420732/200
420776/320</t>
  </si>
  <si>
    <t>101609x4=21,64
634344/70
420732/210</t>
  </si>
  <si>
    <t>104280x5=21,36
420732/220
420731/30
420733/380</t>
  </si>
  <si>
    <t>104202x5=38,81
634346/1100
420732/230
420733/500</t>
  </si>
  <si>
    <t>104249x5=10,47
420732/240</t>
  </si>
  <si>
    <t>104207x5=45,42
420732/250
420733/400</t>
  </si>
  <si>
    <t>104284x5=12,51
420732/260</t>
  </si>
  <si>
    <t>117352x10=17,51
420732/270
420733/290</t>
  </si>
  <si>
    <t>104148x10=24
420658/830
420732/280
420732/290
420731/280
420733/460</t>
  </si>
  <si>
    <t>104148x50=120
420658/830
420732/280
420732/290
420731/280
420733/460</t>
  </si>
  <si>
    <t>113104x12=25
420869/200
420732/300
420732/350</t>
  </si>
  <si>
    <t>117346x20=22,86
420732/310</t>
  </si>
  <si>
    <t>117356x20=46,98
420869/500
420732/320
420732/380</t>
  </si>
  <si>
    <t>104161x30=60
420732/330
420732/340</t>
  </si>
  <si>
    <t>104161x5=10
420732/330
420732/340</t>
  </si>
  <si>
    <t>113104x20=46
420869/200
420732/300
420732/350</t>
  </si>
  <si>
    <t>117037x6=8,28
420732/360</t>
  </si>
  <si>
    <t>131028x6=4,44
420732/370</t>
  </si>
  <si>
    <t>117356x14=32,89
420869/500
420732/320
420732/380</t>
  </si>
  <si>
    <t>104153x10=13
420869/510
420732/390
421262/20</t>
  </si>
  <si>
    <t>104268x2=9,9
420732/400</t>
  </si>
  <si>
    <t>109118x50=0,55
634344/170
634346/1050
420732/410</t>
  </si>
  <si>
    <t>100977x400=4,27
420869/440
634347/330
420723/820
420723/1290
420732/420
420731/340</t>
  </si>
  <si>
    <t>104203x10=54,54
634347/300
420732/430
420732/440
420733/240
675695/00</t>
  </si>
  <si>
    <t>00N00-1-00Px1=0
634348/60</t>
  </si>
  <si>
    <t>104226x20=73,68
420731/10
420733/280
420733/420</t>
  </si>
  <si>
    <t>104244x10=50,22
420731/20</t>
  </si>
  <si>
    <t>104280x10=42,72
420732/220
420731/30
420733/380</t>
  </si>
  <si>
    <t>111543x14=289,23
378867/00</t>
  </si>
  <si>
    <t>116162x50=170
675524/00
676238/00</t>
  </si>
  <si>
    <t>120978x10=44,31
675526/00</t>
  </si>
  <si>
    <t>141630x7=367,92
675526/00
675883/00
676191/00
676271/00</t>
  </si>
  <si>
    <t>141631x8=306,8
675526/00
676191/00</t>
  </si>
  <si>
    <t>141632x10=91,87
675526/00</t>
  </si>
  <si>
    <t>141634x10=46,5
675526/00</t>
  </si>
  <si>
    <t>141635x10=20,4
675526/00</t>
  </si>
  <si>
    <t>144647x30=134,4
675526/00</t>
  </si>
  <si>
    <t>144648x30=241,8
675526/00</t>
  </si>
  <si>
    <t>99015x34=949,62
675522/00
675882/00</t>
  </si>
  <si>
    <t>99016x8=1345,36
675526/00
675883/00</t>
  </si>
  <si>
    <t>99017x8=182
675522/00
675882/00</t>
  </si>
  <si>
    <t>99018x4=1737,96
675522/00
675882/00</t>
  </si>
  <si>
    <t>99019x7=4003,72
675522/00
675882/00</t>
  </si>
  <si>
    <t>99020x9=4976,01
675522/00</t>
  </si>
  <si>
    <t>99021x5=3664,2
675522/00</t>
  </si>
  <si>
    <t>99022x42=459,9
675526/00</t>
  </si>
  <si>
    <t>99023x30=139,5
675526/00</t>
  </si>
  <si>
    <t>104840x20=1,1
420723/620
420731/240</t>
  </si>
  <si>
    <t>104224x4=17,53
420731/250
420731/370</t>
  </si>
  <si>
    <t>104186x4=2,72
420731/260</t>
  </si>
  <si>
    <t>104240x4=35,57
420731/270</t>
  </si>
  <si>
    <t>104148x20=48
420658/830
420732/280
420732/290
420731/280
420733/460</t>
  </si>
  <si>
    <t>123184x6=1,98
420869/230
420869/360
420723/420
420723/960
420731/290
420733/360</t>
  </si>
  <si>
    <t>123216x6=1,86
420731/300
420733/340</t>
  </si>
  <si>
    <t>101452x20=1,12
634346/410
634346/620
634346/1230
420731/310</t>
  </si>
  <si>
    <t>104652x20=1,4
634346/440
634346/630
634346/1460
420731/320</t>
  </si>
  <si>
    <t>105202x20=0,36
634346/1680
634346/1950
420723/380
420723/850
420731/330</t>
  </si>
  <si>
    <t>104241x1=11,27
420731/350</t>
  </si>
  <si>
    <t>104201x1=13,6
420731/360</t>
  </si>
  <si>
    <t>104224x1=4,38
420731/250
420731/370</t>
  </si>
  <si>
    <t>104831x120=3,6
420869/350
420723/560
420731/380</t>
  </si>
  <si>
    <t>00N00-1-00Ux1=0
634348/70</t>
  </si>
  <si>
    <t>104009x100=57,6
675526/00</t>
  </si>
  <si>
    <t>115658x100=194,35
675570/00</t>
  </si>
  <si>
    <t>115660x1200=4072,2
675522/00
675833/00
153545/00</t>
  </si>
  <si>
    <t>115662x200=905,84
675522/00
153585/00</t>
  </si>
  <si>
    <t>116162x40=136
675524/00
676238/00</t>
  </si>
  <si>
    <t>120978x28=124,07
675526/00</t>
  </si>
  <si>
    <t>125933x230=875,61
675525/00</t>
  </si>
  <si>
    <t>131929x700=161
675522/00
675833/00
153564/00</t>
  </si>
  <si>
    <t>135231x7=318,01
675522/00
675833/00</t>
  </si>
  <si>
    <t>135711x175=1687
675522/00
675833/00</t>
  </si>
  <si>
    <t>135712x400=3856
675522/00
675833/00</t>
  </si>
  <si>
    <t>138580x80=14,4
675522/00</t>
  </si>
  <si>
    <t>138584x5=15,45
675680/00
675522/00
675841/00
676299/00</t>
  </si>
  <si>
    <t>138584x35=108,15
675680/00
675522/00
675841/00
676299/00</t>
  </si>
  <si>
    <t>138585x30=100,5
675522/00
676904/00</t>
  </si>
  <si>
    <t>138587x40=97,2
675522/00</t>
  </si>
  <si>
    <t>138587x285=692,55
675522/00</t>
  </si>
  <si>
    <t>138589x50=203
675522/00</t>
  </si>
  <si>
    <t>104203x90=490,86
634347/300
420732/430
420732/440
420733/240
675695/00</t>
  </si>
  <si>
    <t>140550x500=3040
675522/00
675833/00</t>
  </si>
  <si>
    <t>140837x28=396,31
675526/00</t>
  </si>
  <si>
    <t>145518x24=1082,16
378863/00
015989/00
016002/00
016093/00</t>
  </si>
  <si>
    <t>99015x6=167,58
675522/00
675882/00</t>
  </si>
  <si>
    <t>99024x11=2823,37
675522/00
675833/00</t>
  </si>
  <si>
    <t>99024x6=1540,02
675522/00
675833/00</t>
  </si>
  <si>
    <t>104203x20=109,08
634347/300
420732/430
420732/440
420733/240
675695/00</t>
  </si>
  <si>
    <t>71254.02.210.016x10=8
420733/250
420733/300
420733/540
420776/220
420776/240</t>
  </si>
  <si>
    <t>104448x100=76,4
420733/260</t>
  </si>
  <si>
    <t>101404x1000=12,91
634343/70
420658/640
420733/270</t>
  </si>
  <si>
    <t>104226x10=38,1
420731/10
420733/280
420733/420</t>
  </si>
  <si>
    <t>71254.02.210.016x100=80
420733/250
420733/300
420733/540
420776/220
420776/240</t>
  </si>
  <si>
    <t>104447x50=43,65
420869/150
420733/310
420733/320
420776/230
420776/250</t>
  </si>
  <si>
    <t>104246x1=1,85
420733/330</t>
  </si>
  <si>
    <t>123217x1=0,17
420733/350</t>
  </si>
  <si>
    <t>123184x1=0,33
420869/230
420869/360
420723/420
420723/960
420731/290
420733/360</t>
  </si>
  <si>
    <t>123185x1=0,72
420733/370</t>
  </si>
  <si>
    <t>104280x1=4,27
420732/220
420731/30
420733/380</t>
  </si>
  <si>
    <t>104198x1=11,56
420733/390</t>
  </si>
  <si>
    <t>104207x1=9,08
420732/250
420733/400</t>
  </si>
  <si>
    <t>104283x1=2,48
420732/20
420733/410</t>
  </si>
  <si>
    <t>104226x1=3,81
420731/10
420733/280
420733/420</t>
  </si>
  <si>
    <t>104188x1=0,44
420733/430</t>
  </si>
  <si>
    <t>138466x4=27,3
420733/440
675840/00
016322/00</t>
  </si>
  <si>
    <t>138467x8=8,93
420733/450
675840/00</t>
  </si>
  <si>
    <t>104148x6=14,4
420658/830
420732/280
420732/290
420731/280
420733/460</t>
  </si>
  <si>
    <t>116240x10=165
420732/90
420733/470</t>
  </si>
  <si>
    <t>104253x4=5,57
634346/1010
420733/480
420776/200</t>
  </si>
  <si>
    <t>104194x2=6,38
420733/490</t>
  </si>
  <si>
    <t>104202x1=7,76
634346/1100
420732/230
420733/500</t>
  </si>
  <si>
    <t>104149x1=2,6
420733/510</t>
  </si>
  <si>
    <t>104303x1=1,93
634346/2030
420869/380
420733/520</t>
  </si>
  <si>
    <t>104003x10=21,39
420733/530</t>
  </si>
  <si>
    <t>71254.02.210.016x50=47,5
420733/250
420733/300
420733/540
420776/220
420776/240</t>
  </si>
  <si>
    <t>145139x10=9,3
420869/320
634347/280
420733/550
379231/00
379700/00</t>
  </si>
  <si>
    <t>141049x8=3,6
420733/560
420733/590
379015/00
379011/00
379700/00</t>
  </si>
  <si>
    <t>102804x4=6,49
420733/570</t>
  </si>
  <si>
    <t>141049x2=0,9
420733/560
420733/590
379015/00
379011/00
379700/00</t>
  </si>
  <si>
    <t>01E07-1-00Ix1=0
634348/80</t>
  </si>
  <si>
    <t>145781x80=1654,08
378897/00
378997/00</t>
  </si>
  <si>
    <t>145782x14=5657,4
378897/00
378997/00</t>
  </si>
  <si>
    <t>110860x2=18,82
420763/30
378775/00
378846/00
378930/00</t>
  </si>
  <si>
    <t>144814x4=7,28
421026/50
421026/60
420763/40
477703/00</t>
  </si>
  <si>
    <t>145788x3=11250
378899/00</t>
  </si>
  <si>
    <t>01E08-1-00x1=0
634348/100</t>
  </si>
  <si>
    <t>100749x130=124,83
420723/690
378924/00
379624/00</t>
  </si>
  <si>
    <t>123730x500=180
477280/00</t>
  </si>
  <si>
    <t>139127x130=177,45
378918/00</t>
  </si>
  <si>
    <t>139484x160=80,85
378918/00</t>
  </si>
  <si>
    <t>139485x188=5334,03
378918/00
379659/00</t>
  </si>
  <si>
    <t>139487x30=313,45
378918/00
379036/00</t>
  </si>
  <si>
    <t>140843x250=2225
477278/00</t>
  </si>
  <si>
    <t>140844x125=1075
477278/00
015800/00</t>
  </si>
  <si>
    <t>140844x175=1417,04
477278/00
015800/00</t>
  </si>
  <si>
    <t>140939x200=2100
477278/00</t>
  </si>
  <si>
    <t>141637x300=2430
477278/00</t>
  </si>
  <si>
    <t>141638x275=2530
477278/00
015799/00</t>
  </si>
  <si>
    <t>141638x125=1150
477278/00
015799/00</t>
  </si>
  <si>
    <t>145512x25=568
378917/00
379691/00
015784/00</t>
  </si>
  <si>
    <t>145512x30=695,4
378917/00
379691/00
015784/00</t>
  </si>
  <si>
    <t>145512x25=571,14
378917/00
379691/00
015784/00</t>
  </si>
  <si>
    <t>145513x25=589,5
378917/00
379658/00
015785/00</t>
  </si>
  <si>
    <t>145513x50=1202,5
378917/00
379658/00
015785/00</t>
  </si>
  <si>
    <t>145513x5=118,8
378917/00
379658/00
015785/00</t>
  </si>
  <si>
    <t>140937x100=800
016124/00</t>
  </si>
  <si>
    <t>140841x50=470
016208/00</t>
  </si>
  <si>
    <t>109117x15=0,17
624324/30
634344/180
634346/1080
420776/160
420776/190
420776/260</t>
  </si>
  <si>
    <t>101377x200=1,4
420658/590
634346/270
634346/420
634346/1310
420776/170</t>
  </si>
  <si>
    <t>105034x100=4,4
420776/180</t>
  </si>
  <si>
    <t>109117x40=0,44
624324/30
634344/180
634346/1080
420776/160
420776/190
420776/260</t>
  </si>
  <si>
    <t>104253x10=13,92
634346/1010
420733/480
420776/200</t>
  </si>
  <si>
    <t>104447x50=54,55
420869/150
420733/310
420733/320
420776/230
420776/250</t>
  </si>
  <si>
    <t>104447x40=43,64
420869/150
420733/310
420733/320
420776/230
420776/250</t>
  </si>
  <si>
    <t>104629x200=26
420776/270</t>
  </si>
  <si>
    <t>30991.00.419.000x200=44,2
634341/60
420658/840
420776/280</t>
  </si>
  <si>
    <t>101327x200=7,29
420723/750
420723/890
420723/1260
420776/290</t>
  </si>
  <si>
    <t>105280x40=8
634343/80
634346/370
420723/1210
420776/310</t>
  </si>
  <si>
    <t>101462x34=1,12
420732/200
420776/320</t>
  </si>
  <si>
    <t>117647x3=30
378957/00</t>
  </si>
  <si>
    <t>00N01-1-00x1=0
634348/120</t>
  </si>
  <si>
    <t>109963x50=319,5
675729/00</t>
  </si>
  <si>
    <t>00N02-1-00Ux1=0
634348/130</t>
  </si>
  <si>
    <t>115660x300=1018,05
675522/00
675833/00
153545/00</t>
  </si>
  <si>
    <t>117340x10=7,56
015988/00</t>
  </si>
  <si>
    <t>131929x500=115
675522/00
675833/00
153564/00</t>
  </si>
  <si>
    <t>135231x1=45,43
675522/00
675833/00</t>
  </si>
  <si>
    <t>135712x225=2169
675522/00
675833/00</t>
  </si>
  <si>
    <t>138584x20=61,8
675680/00
675522/00
675841/00
676299/00</t>
  </si>
  <si>
    <t>139205x5=26,3
675833/00
675841/00</t>
  </si>
  <si>
    <t>139205x20=105,2
675833/00
675841/00</t>
  </si>
  <si>
    <t>140550x100=608
675522/00
675833/00</t>
  </si>
  <si>
    <t>143837x6=259,2
675833/00
676265/00</t>
  </si>
  <si>
    <t>143838x5=233,6
675833/00
675833/00</t>
  </si>
  <si>
    <t>143838x1=46,72
675833/00
675833/00</t>
  </si>
  <si>
    <t>143838x2=93,44
675833/00
675833/00</t>
  </si>
  <si>
    <t>144829x6=324,54
379008/00</t>
  </si>
  <si>
    <t>145518x3=135,27
378863/00
015989/00
016002/00
016093/00</t>
  </si>
  <si>
    <t>99024x3=770,01
675522/00
675833/00</t>
  </si>
  <si>
    <t>99093x2=1473,76
675833/00</t>
  </si>
  <si>
    <t>99094x2=1713,72
675833/00</t>
  </si>
  <si>
    <t>99095x2=1353,78
675833/00</t>
  </si>
  <si>
    <t>99096x2=1319,72
675833/00
675882/00
675897/00</t>
  </si>
  <si>
    <t>99097x2=1199,76
675833/00</t>
  </si>
  <si>
    <t>99098x2=1113,82
675833/00</t>
  </si>
  <si>
    <t>99099x2=1319,72
675833/00</t>
  </si>
  <si>
    <t>99100x2=1439,7
675833/00</t>
  </si>
  <si>
    <t>99101x1=496,92
675833/00</t>
  </si>
  <si>
    <t>99102x2=1199,76
675833/00</t>
  </si>
  <si>
    <t>99103x2=1199,76
675833/00</t>
  </si>
  <si>
    <t>99104x1=479,9
675833/00</t>
  </si>
  <si>
    <t>99105x2=959,8
675833/00</t>
  </si>
  <si>
    <t>99106x1=711,71
675833/00</t>
  </si>
  <si>
    <t>143948x4=215,56
675939/00
676285/00</t>
  </si>
  <si>
    <t>00E01-0-00Fx1=0
634348/140</t>
  </si>
  <si>
    <t>141040x288=1163,52
379011/00</t>
  </si>
  <si>
    <t>141043x144=1023,84
379011/00</t>
  </si>
  <si>
    <t>141044x36=325,08
379015/00
379011/00
016323/00</t>
  </si>
  <si>
    <t>141044x132=1191,96
379015/00
379011/00
016323/00</t>
  </si>
  <si>
    <t>141045x84=971,88
379011/00</t>
  </si>
  <si>
    <t>141046x160=41,6
379011/00</t>
  </si>
  <si>
    <t>141047x200=62
379011/00</t>
  </si>
  <si>
    <t>141048x140=46,2
379015/00
379011/00</t>
  </si>
  <si>
    <t>141048x100=33
379015/00
379011/00</t>
  </si>
  <si>
    <t>141049x120=43,2
420733/560
420733/590
379015/00
379011/00
379700/00</t>
  </si>
  <si>
    <t>141049x10=3,6
420733/560
420733/590
379015/00
379011/00
379700/00</t>
  </si>
  <si>
    <t>141447x100=39
379011/00
379700/00</t>
  </si>
  <si>
    <t>141448x80=1216
379011/00</t>
  </si>
  <si>
    <t>141475x48=1224,48
379011/00</t>
  </si>
  <si>
    <t>99107x50=130
379011/00</t>
  </si>
  <si>
    <t>01E12-1-00Fx1=0
634348/150</t>
  </si>
  <si>
    <t>126344x2=20,47
379013/00
379548/00
015997/00
015996/00</t>
  </si>
  <si>
    <t>126344x-2=-20,47
379013/00
379548/00
015997/00
015996/00</t>
  </si>
  <si>
    <t>126344x6=62,65
379013/00
379548/00
015997/00
015996/00</t>
  </si>
  <si>
    <t>126365x6=58,38
379013/00
015993/00
016059/00
015971/00</t>
  </si>
  <si>
    <t>126365x-6=-58,38
379013/00
015993/00
016059/00
015971/00</t>
  </si>
  <si>
    <t>126365x6=52,36
379013/00
015993/00
016059/00
015971/00</t>
  </si>
  <si>
    <t>126940x1=9,09
016057/00
016058/00</t>
  </si>
  <si>
    <t>126940x11=99,97
016057/00
016058/00</t>
  </si>
  <si>
    <t>01E13-1-00Fx1=0
634348/160</t>
  </si>
  <si>
    <t>131033x3=343,71
379016/00</t>
  </si>
  <si>
    <t>99111x2=3463,69
379022/00</t>
  </si>
  <si>
    <t>99111x-2=-3463,69
379022/00</t>
  </si>
  <si>
    <t>99111x3=5195,53
379022/00</t>
  </si>
  <si>
    <t>00E02-0-00Ux1=0
634348/170</t>
  </si>
  <si>
    <t>21020.00.300.011x10=133,03
420853/10</t>
  </si>
  <si>
    <t>21020.00.300.411x3=14,58
420853/20</t>
  </si>
  <si>
    <t>21020.00.300.610x30=124,67
420869/280
420853/30</t>
  </si>
  <si>
    <t>21020.00.400.011x6=45,34
420840/310
420853/40</t>
  </si>
  <si>
    <t>21020.00.400.401x154=320
420853/50</t>
  </si>
  <si>
    <t>21020.00.401.810x20=30,22
420853/60</t>
  </si>
  <si>
    <t>00E02-0-00Fx1=0
634348/180</t>
  </si>
  <si>
    <t>124892x60=1403,28
379020/00</t>
  </si>
  <si>
    <t>126224x50=35
675863/00
478235/00</t>
  </si>
  <si>
    <t>126225x50=45
634341/120
675863/00
478235/00</t>
  </si>
  <si>
    <t>130908x150=1018,5
379020/00</t>
  </si>
  <si>
    <t>130908x50=339,5
379020/00</t>
  </si>
  <si>
    <t>138979x2=47,28
378774/00
379020/00</t>
  </si>
  <si>
    <t>140283x60=772,2
379020/00</t>
  </si>
  <si>
    <t>141361x100=401,24
379020/00
016334/00</t>
  </si>
  <si>
    <t>141853x2=16,6
477495/00</t>
  </si>
  <si>
    <t>00N03-1-00Px1=0
634348/190</t>
  </si>
  <si>
    <t>120978x2=8,86
675526/00</t>
  </si>
  <si>
    <t>141630x1=52,56
675526/00
675883/00
676191/00
676271/00</t>
  </si>
  <si>
    <t>145518x2=90,18
378863/00
015989/00
016002/00
016093/00</t>
  </si>
  <si>
    <t>99015x38=1061,34
675522/00
675882/00</t>
  </si>
  <si>
    <t>99016x2=336,34
675526/00
675883/00</t>
  </si>
  <si>
    <t>99017x2=45,5
675522/00
675882/00</t>
  </si>
  <si>
    <t>99018x1=434,49
675522/00
675882/00</t>
  </si>
  <si>
    <t>99019x1=571,96
675522/00
675882/00</t>
  </si>
  <si>
    <t>99113x1=546,32
675882/00</t>
  </si>
  <si>
    <t>44001x1=340
477484/00</t>
  </si>
  <si>
    <t>00N05-1-00Px1=0
634348/210</t>
  </si>
  <si>
    <t>142992x2=52,42
675897/00
676941/00</t>
  </si>
  <si>
    <t>99116x1=484,34
675897/00</t>
  </si>
  <si>
    <t>99117x4=2392,08
675897/00</t>
  </si>
  <si>
    <t>99118x4=82,2
675897/00</t>
  </si>
  <si>
    <t>99119x4=184,84
675897/00</t>
  </si>
  <si>
    <t>44002x1=380
477596/00</t>
  </si>
  <si>
    <t>44003x1=792
477596/00</t>
  </si>
  <si>
    <t>44004x1=272
477598/00</t>
  </si>
  <si>
    <t>66031x0,1=5235,5
386339/00</t>
  </si>
  <si>
    <t>66031x0,2=10471
386339/00</t>
  </si>
  <si>
    <t>66031x0,3=15706,5
386339/00</t>
  </si>
  <si>
    <t>66033x0,1=462
386339/00</t>
  </si>
  <si>
    <t>66033x0,9=4158
386339/00</t>
  </si>
  <si>
    <t>105028x1002=30,06
634348/270</t>
  </si>
  <si>
    <t>44005x1=119
477597/00</t>
  </si>
  <si>
    <t>44008x1=232
477629/00</t>
  </si>
  <si>
    <t>01E16-1-00Ux1=0
634348/300</t>
  </si>
  <si>
    <t>143039x40=440
477683/00
379681/00</t>
  </si>
  <si>
    <t>00N06-1-00x1=0
634348/320</t>
  </si>
  <si>
    <t>143837x4=172,8
675833/00
676265/00</t>
  </si>
  <si>
    <t>44013x1=552
477748/00</t>
  </si>
  <si>
    <t>141584x500=88
676338/00</t>
  </si>
  <si>
    <t>44016x1=380
477802/00</t>
  </si>
  <si>
    <t>44017x1=416
477802/00</t>
  </si>
  <si>
    <t>44018x1=560
477813/00</t>
  </si>
  <si>
    <t>44019x1=570
477813/00</t>
  </si>
  <si>
    <t>140101x3=70,5
676381/00</t>
  </si>
  <si>
    <t>99168x1=177,63
676507/00</t>
  </si>
  <si>
    <t>00N08-1-00Ux1=0
634348/420</t>
  </si>
  <si>
    <t>140179x300=907,41
676532/00</t>
  </si>
  <si>
    <t>00N09-1-00x1=0
634348/430</t>
  </si>
  <si>
    <t>99172x14=33,18
676824/00</t>
  </si>
  <si>
    <t>104153x20=26
420869/510
420732/390
421262/20</t>
  </si>
  <si>
    <t>00N10-1-00Ux1=0
634348/440</t>
  </si>
  <si>
    <t>99183x20=56,2
676880/00</t>
  </si>
  <si>
    <t>99184x20=83,4
676880/00</t>
  </si>
  <si>
    <t>140552x150=183,6
379557/00</t>
  </si>
  <si>
    <t>44026x1=846
478047/00</t>
  </si>
  <si>
    <t>138585x70=234,5
675522/00
676904/00</t>
  </si>
  <si>
    <t>00N11-1-00Ux1=0
634348/480</t>
  </si>
  <si>
    <t>131252x2=218,34
379590/00</t>
  </si>
  <si>
    <t>142992x1=26,21
675897/00
676941/00</t>
  </si>
  <si>
    <t>66057x1=390
478112/00</t>
  </si>
  <si>
    <t>44039x1=340
478133/00</t>
  </si>
  <si>
    <t>00N12-1-00Ux1=0
634348/510</t>
  </si>
  <si>
    <t>115660x500=1696,75
675522/00
675833/00
153545/00</t>
  </si>
  <si>
    <t>135294x50=105
379651/00
478204/00</t>
  </si>
  <si>
    <t>00N13-1-00Ux1=0
634348/530</t>
  </si>
  <si>
    <t>99200x2=925,76
153558/00</t>
  </si>
  <si>
    <t>140938x90=837
379681/00</t>
  </si>
  <si>
    <t>143039x-40=-440
477683/00
379681/00</t>
  </si>
  <si>
    <t>143039x10=110
477683/00
379681/00</t>
  </si>
  <si>
    <t>143039x-10=-110
477683/00
379681/00</t>
  </si>
  <si>
    <t>143039x20=220
477683/00
379681/00</t>
  </si>
  <si>
    <t>145512x5=115,9
378917/00
379691/00
015784/00</t>
  </si>
  <si>
    <t>00N14-1-00Ux1=0
634348/570</t>
  </si>
  <si>
    <t>99201x1=427,5
153563/00</t>
  </si>
  <si>
    <t>139271x20=63,2
153563/00</t>
  </si>
  <si>
    <t>00N15-1-00x1=0
634348/590</t>
  </si>
  <si>
    <t>99203x1=316,96
153564/00</t>
  </si>
  <si>
    <t>131929x120=27,6
675522/00
675833/00
153564/00</t>
  </si>
  <si>
    <t>115662x100=452,92
675522/00
153585/00</t>
  </si>
  <si>
    <t>01E26-1-00Ux1=0
634348/620</t>
  </si>
  <si>
    <t>145513x4=94,32
378917/00
379658/00
015785/00</t>
  </si>
  <si>
    <t>634348.0010x108,75=3961,76
138231(7h)
000702(102h)</t>
  </si>
  <si>
    <t>02M01-4-01x2=0
634345/10</t>
  </si>
  <si>
    <t>133258x24=81,6
675659/00</t>
  </si>
  <si>
    <t>C02M01-4-01x2=3572
764991/00</t>
  </si>
  <si>
    <t>02M01-4-06x6=0
634345/20</t>
  </si>
  <si>
    <t>133258x40=136
675659/00</t>
  </si>
  <si>
    <t>133258x32=108,8
675659/00</t>
  </si>
  <si>
    <t>C02M01-4-06x6=13074
764991/00</t>
  </si>
  <si>
    <t>06M01-0-00x8=0
634345/30</t>
  </si>
  <si>
    <t>144928x288=617,56
675658/00</t>
  </si>
  <si>
    <t>145358x16=416
378898/00</t>
  </si>
  <si>
    <t>21006.00.001.004x160=598,4
213284/30
213307/20
213308/20
213595/220
634346/850</t>
  </si>
  <si>
    <t>99032x8=5472
378898/00</t>
  </si>
  <si>
    <t>C06M01-0-00x4=24232
764994/00
764994/00</t>
  </si>
  <si>
    <t>105073x160=64
213284/60
213307/40
213308/40
213595/270</t>
  </si>
  <si>
    <t>126209x160=344
213284/70
213307/70
213308/50
213595/250</t>
  </si>
  <si>
    <t>120687x160=33,6
213284/80
213307/60
213308/60
213595/260
634346/1490</t>
  </si>
  <si>
    <t>C06M04-5-00x24=12840
764994/00</t>
  </si>
  <si>
    <t>C06M04-5-00x9=4815
764994/00</t>
  </si>
  <si>
    <t>C06M04-8-00x1=700
764994/00</t>
  </si>
  <si>
    <t>66011x1=94,5
477360/00</t>
  </si>
  <si>
    <t>06M02-0-00x6=0
634345/70</t>
  </si>
  <si>
    <t>21006.00.001.004x55=205,7
213284/30
213307/20
213308/20
213595/220
634346/850</t>
  </si>
  <si>
    <t>C06M02-0-00x6=27864
764999/00</t>
  </si>
  <si>
    <t>105073x56=22,4
213284/60
213307/40
213308/40
213595/270</t>
  </si>
  <si>
    <t>120687x56=11,76
213284/80
213307/60
213308/60
213595/260
634346/1490</t>
  </si>
  <si>
    <t>126209x56=120,4
213284/70
213307/70
213308/50
213595/250</t>
  </si>
  <si>
    <t>06M03-0-00x2=0
634345/80</t>
  </si>
  <si>
    <t>21006.00.001.004x12=44,88
213284/30
213307/20
213308/20
213595/220
634346/850</t>
  </si>
  <si>
    <t>C06M03-0-00x2=5758
764999/00</t>
  </si>
  <si>
    <t>105073x12=4,8
213284/60
213307/40
213308/40
213595/270</t>
  </si>
  <si>
    <t>126209x12=25,8
213284/70
213307/70
213308/50
213595/250</t>
  </si>
  <si>
    <t>120687x12=2,52
213284/80
213307/60
213308/60
213595/260
634346/1490</t>
  </si>
  <si>
    <t>99077x6=52200
378977/00
378977/00</t>
  </si>
  <si>
    <t>99077x3=26100
378977/00
378977/00</t>
  </si>
  <si>
    <t>06M06-0-13x16=0
634345/100</t>
  </si>
  <si>
    <t>99078x64=56,45
675792/00
675792/00</t>
  </si>
  <si>
    <t>C06M06-0-13x16=4320
765007/00</t>
  </si>
  <si>
    <t>06M06-0-14x7=0
634345/110</t>
  </si>
  <si>
    <t>99078x28=24,7
675792/00
675792/00</t>
  </si>
  <si>
    <t>C06M06-0-14x7=2478
765007/00</t>
  </si>
  <si>
    <t>99087x13=10879,37
386274/00</t>
  </si>
  <si>
    <t>99088x5=4184,37
386274/00</t>
  </si>
  <si>
    <t>144317x18=570,02
386274/00</t>
  </si>
  <si>
    <t>C290-00-000-1x12=10680
765024/00</t>
  </si>
  <si>
    <t>C00M02-0-00x10=2250
765020/00</t>
  </si>
  <si>
    <t>C00M04-0-00x3=1110
765020/00</t>
  </si>
  <si>
    <t>C00M08-1-00x1=1428,05
765023/00</t>
  </si>
  <si>
    <t>C00M01-0-00x100=10500
765022/00</t>
  </si>
  <si>
    <t>C490-00-000-1x24=16152
765033/00</t>
  </si>
  <si>
    <t>00M07-1-00x22=0
634345/210</t>
  </si>
  <si>
    <t>C00M07-1-00x22=7986
765032/00</t>
  </si>
  <si>
    <t>395-00-000-1x36=0
634345/220</t>
  </si>
  <si>
    <t>109064x288=195,84
634343/260
213353/10</t>
  </si>
  <si>
    <t>143073x80=16,8
213353/20</t>
  </si>
  <si>
    <t>99126x72=1085,04
675949/00</t>
  </si>
  <si>
    <t>99127x144=2515,68
675949/00</t>
  </si>
  <si>
    <t>99128x72=338,4
675952/00</t>
  </si>
  <si>
    <t>99129x100=92
675950/00</t>
  </si>
  <si>
    <t>99130x72=104,4
675950/00</t>
  </si>
  <si>
    <t>C395-00-000-1x36=77328
765033/00</t>
  </si>
  <si>
    <t>111997x4000=2,52
213353/90</t>
  </si>
  <si>
    <t>00M09-0-01x1=0
634345/230</t>
  </si>
  <si>
    <t>99142x6=4728
379092/00</t>
  </si>
  <si>
    <t>99143x12=312
379092/00
379598/00
379660/00</t>
  </si>
  <si>
    <t>99144x6=204
379092/00
379598/00
379660/00</t>
  </si>
  <si>
    <t>C00M09-0-01x1=1168
765034/00</t>
  </si>
  <si>
    <t>C00M09-0-01+1x1=10981
765070/00</t>
  </si>
  <si>
    <t>00M05-0-00x1=0
634345/240</t>
  </si>
  <si>
    <t>C00M05-0-00x1=6220
765035/00</t>
  </si>
  <si>
    <t>99147x54=17,82
379128/00</t>
  </si>
  <si>
    <t>99148x54=8,99
379128/00</t>
  </si>
  <si>
    <t>C00M11-0-00x3=57,8
765036/00</t>
  </si>
  <si>
    <t>C00M12-0-00x2=38,53
765036/00</t>
  </si>
  <si>
    <t>00M10-0-00x1=0
634345/270</t>
  </si>
  <si>
    <t>145749x1=26
378996/00
378996/00
379111/00
379670/00</t>
  </si>
  <si>
    <t>145753x1=2970
378996/00
378996/00
379111/00
379670/00
015742/00</t>
  </si>
  <si>
    <t>C00M10-0-00x1=19,27
765036/00</t>
  </si>
  <si>
    <t>C00M10-0-00+1x1=279
765070/00</t>
  </si>
  <si>
    <t>00M13-0-01x6=0
634345/280</t>
  </si>
  <si>
    <t>145749x6=156
378996/00
378996/00
379111/00
379670/00</t>
  </si>
  <si>
    <t>145753x6=17820
378996/00
378996/00
379111/00
379670/00
015742/00</t>
  </si>
  <si>
    <t>C00M13-0-01x6=115,6
765036/00</t>
  </si>
  <si>
    <t>C00M13-0-01+1x6=144
765070/00</t>
  </si>
  <si>
    <t>00M14-0-00x2=0
634345/290</t>
  </si>
  <si>
    <t>145749x2=52
378996/00
378996/00
379111/00
379670/00</t>
  </si>
  <si>
    <t>145753x2=5940
378996/00
378996/00
379111/00
379670/00
015742/00</t>
  </si>
  <si>
    <t>C00M14-0-00x2=38,53
765036/00</t>
  </si>
  <si>
    <t>C00M14-0-00+1x2=1016
765070/00</t>
  </si>
  <si>
    <t>00M15-0-00x1=0
634345/300</t>
  </si>
  <si>
    <t>141276x2=318,86
675741/00
675963/00</t>
  </si>
  <si>
    <t>145945x2=53,5
675741/00
675853/00
675991/00</t>
  </si>
  <si>
    <t>C00M15-0-00x1=19,27
765036/00</t>
  </si>
  <si>
    <t>00M17-0-00x36=0
634345/310</t>
  </si>
  <si>
    <t>99147x36=11,88
379128/00</t>
  </si>
  <si>
    <t>99148x36=5,99
379128/00</t>
  </si>
  <si>
    <t>44006x1=6329
477609/00</t>
  </si>
  <si>
    <t>44007x1=672
477629/00</t>
  </si>
  <si>
    <t>44009x1=3456
477684/00</t>
  </si>
  <si>
    <t>44010x1=430
477719/00</t>
  </si>
  <si>
    <t>00M19-0-01x3=0
634345/360</t>
  </si>
  <si>
    <t>99155x2=76
676230/00
379651/00</t>
  </si>
  <si>
    <t>99156x3=90
676230/00
379651/00</t>
  </si>
  <si>
    <t>99157x3=147
676230/00
379651/00</t>
  </si>
  <si>
    <t>44011x1=170
477747/00</t>
  </si>
  <si>
    <t>C00M11-0-00+1x3=1017
765070/00</t>
  </si>
  <si>
    <t>C00M12-0-00+1x2=736
765070/00</t>
  </si>
  <si>
    <t>740-00-000-1x1=0
634345/400</t>
  </si>
  <si>
    <t>137082x2=58,22
378960/00
379038/00</t>
  </si>
  <si>
    <t>141143x4=616,32
675741/00
675926/00
386553/00
015992/00
015780/00</t>
  </si>
  <si>
    <t>145948x2=53,5
675741/00
386553/00
016063/00</t>
  </si>
  <si>
    <t>145949x2=53,5
675741/00
675951/00
386553/00
016064/00</t>
  </si>
  <si>
    <t>99040x4=63,12
675737/00
675737/00
675737/00
676878/00</t>
  </si>
  <si>
    <t>99043x2=79,9
675742/00
675827/00
676241/00
676287/00</t>
  </si>
  <si>
    <t>99044x2=142,8
675742/00
676241/00
676287/00</t>
  </si>
  <si>
    <t>99121x1=201,29
675912/00</t>
  </si>
  <si>
    <t>99163x4=42,4
676283/00</t>
  </si>
  <si>
    <t>99164x1=85,46
676285/00</t>
  </si>
  <si>
    <t>C740-00-000-1x1=7805
765081/00</t>
  </si>
  <si>
    <t>44012x1=307,5
477748/00</t>
  </si>
  <si>
    <t>44014x1=364
477749/00</t>
  </si>
  <si>
    <t>44015x1=342
477749/00</t>
  </si>
  <si>
    <t>44023x1=740
477890/00</t>
  </si>
  <si>
    <t>44024x1=340
477932/00</t>
  </si>
  <si>
    <t>216-00-000-1x1=0
634345/460</t>
  </si>
  <si>
    <t>137082x4=116,44
378960/00
379038/00</t>
  </si>
  <si>
    <t>C216-00-000-1x1=1831
765139/00</t>
  </si>
  <si>
    <t>316-00-000-1x1=0
634345/470</t>
  </si>
  <si>
    <t>137081x4=105,64
378960/00
379038/00
379551/00
379580/00
379623/00</t>
  </si>
  <si>
    <t>C316-00-000-1x1=961
765139/00</t>
  </si>
  <si>
    <t>605-00-000-1x1=0
634345/480</t>
  </si>
  <si>
    <t>137082x10=291,1
378960/00
379038/00</t>
  </si>
  <si>
    <t>C605-00-000-1x1=1153
765139/00</t>
  </si>
  <si>
    <t>44028x1=88
478132/00</t>
  </si>
  <si>
    <t>00M06-0-00x1=0
634345/500</t>
  </si>
  <si>
    <t>109238x4=109,2
478122/00</t>
  </si>
  <si>
    <t>113696x4=29,36
213595/20</t>
  </si>
  <si>
    <t>138289x2=5,28
675747/00
675907/00
675968/00
676237/00
379599/00</t>
  </si>
  <si>
    <t>141322x2=156,57
379609/00
016096/00</t>
  </si>
  <si>
    <t>144274x8=95,44
478121/00</t>
  </si>
  <si>
    <t>99143x4=104
379092/00
379598/00
379660/00</t>
  </si>
  <si>
    <t>99144x4=136
379092/00
379598/00
379660/00</t>
  </si>
  <si>
    <t>99186x2=85,44
379606/00</t>
  </si>
  <si>
    <t>99187x2=109,9
478202/00</t>
  </si>
  <si>
    <t>99188x8=0
478109/00</t>
  </si>
  <si>
    <t>99189x2=93,96
379599/00</t>
  </si>
  <si>
    <t>99190x2=415,4
379606/00</t>
  </si>
  <si>
    <t>99191x2=106,52
379604/00</t>
  </si>
  <si>
    <t>99192x4=63,12
153541/00
153558/00</t>
  </si>
  <si>
    <t>99193x1=826
379598/00
379660/00</t>
  </si>
  <si>
    <t>99194x1=930
379598/00</t>
  </si>
  <si>
    <t>99195x2=696,24
379602/00</t>
  </si>
  <si>
    <t>99196x2=80,72
478131/00</t>
  </si>
  <si>
    <t>C00M06-0-00x1=20639
765139/00</t>
  </si>
  <si>
    <t>21006.00.001.002x4=10,98
213595/210</t>
  </si>
  <si>
    <t>21006.00.001.004x4=15
213284/30
213307/20
213308/20
213595/220
634346/850</t>
  </si>
  <si>
    <t>126209x4=8,6
213284/70
213307/70
213308/50
213595/250</t>
  </si>
  <si>
    <t>120687x4=0,84
213284/80
213307/60
213308/60
213595/260
634346/1490</t>
  </si>
  <si>
    <t>105073x4=1,6
213284/60
213307/40
213308/40
213595/270</t>
  </si>
  <si>
    <t>00M23-0-01x2=0
634345/510</t>
  </si>
  <si>
    <t>99143x2=52
379092/00
379598/00
379660/00</t>
  </si>
  <si>
    <t>99144x2=68
379092/00
379598/00
379660/00</t>
  </si>
  <si>
    <t>44037x1=997
478133/00</t>
  </si>
  <si>
    <t>44038x1=85
478133/00</t>
  </si>
  <si>
    <t>146440x85=196,35
478123/00</t>
  </si>
  <si>
    <t>00M02-0-01x1=0
634345/550</t>
  </si>
  <si>
    <t>99155x1=38
676230/00
379651/00</t>
  </si>
  <si>
    <t>99156x1=30
676230/00
379651/00</t>
  </si>
  <si>
    <t>99157x1=49
676230/00
379651/00</t>
  </si>
  <si>
    <t>44043x1=104
478165/00</t>
  </si>
  <si>
    <t>44044x1=1330
478165/00</t>
  </si>
  <si>
    <t>44045x1=792
478165/00</t>
  </si>
  <si>
    <t>44046x1=160
478165/00</t>
  </si>
  <si>
    <t>C00M20-0-01x5=13780
765141/00</t>
  </si>
  <si>
    <t>C00M20-0-02x6=894
765141/00</t>
  </si>
  <si>
    <t>44049x1=400
478206/00</t>
  </si>
  <si>
    <t>840-01-000-1x1=0
634345/630</t>
  </si>
  <si>
    <t>132152x2=43,68
379717/00</t>
  </si>
  <si>
    <t>132153x2=507,02
379717/00</t>
  </si>
  <si>
    <t>141765x2=318,86
676873/00
153574/00</t>
  </si>
  <si>
    <t>145234x1=2781
379714/00</t>
  </si>
  <si>
    <t>145237x1=252
379714/00</t>
  </si>
  <si>
    <t>145946x2=53,5
675741/00
675951/00
016065/00</t>
  </si>
  <si>
    <t>146467x1=193
379714/00</t>
  </si>
  <si>
    <t>C840-01-000-1x1=4191
765149/00</t>
  </si>
  <si>
    <t>66061x1=3903
386581/00</t>
  </si>
  <si>
    <t>00M25-1-00-001x30=1140
765151/00</t>
  </si>
  <si>
    <t>00M25-3-00-001x14=742
765151/00</t>
  </si>
  <si>
    <t>00M25-3-00-002x7=924
765151/00</t>
  </si>
  <si>
    <t>310-00-000-1x2=0
634347/10</t>
  </si>
  <si>
    <t>103133x8=13,31
634343/90
213289/10
213304/10
213311/10
213322/10
213323/10
213451/10
213468/10
213568/10
213575/10
213577/10
213599/10
213482/10</t>
  </si>
  <si>
    <t>141139x2=297,46
675741/00
675770/00
675951/00
676243/00
016094/00</t>
  </si>
  <si>
    <t>141912x4=291,04
675741/00</t>
  </si>
  <si>
    <t>143189x2=406,6
675741/00
675853/00</t>
  </si>
  <si>
    <t>143189x10=2033
675741/00
675853/00</t>
  </si>
  <si>
    <t>137082x16=465,76
378960/00
379038/00</t>
  </si>
  <si>
    <t>145943x2=53,5
675741/00
675853/00</t>
  </si>
  <si>
    <t>145944x2=53,5
675741/00
675853/00</t>
  </si>
  <si>
    <t>145945x4=107
675741/00
675853/00
675991/00</t>
  </si>
  <si>
    <t>145946x4=107
675741/00
675951/00
016065/00</t>
  </si>
  <si>
    <t>145947x2=53,5
675770/00
675741/00
675951/00
676243/00</t>
  </si>
  <si>
    <t>99040x12=189,36
675737/00
675737/00
675737/00
676878/00</t>
  </si>
  <si>
    <t>99041x4=55,4
675739/00
675760/00
675790/00
675824/00
676240/00
676829/00
676876/00</t>
  </si>
  <si>
    <t>99043x4=159,8
675742/00
675827/00
676241/00
676287/00</t>
  </si>
  <si>
    <t>99044x4=285,6
675742/00
676241/00
676287/00</t>
  </si>
  <si>
    <t>99045x4=1022,04
675737/00</t>
  </si>
  <si>
    <t>C310-00-000-1x2=33094
764995/00</t>
  </si>
  <si>
    <t>99131x2=158,68
675964/00</t>
  </si>
  <si>
    <t>06M05-1-00Ax24=3670,8
765005/00</t>
  </si>
  <si>
    <t>320-00-000-1x2=0
634347/30</t>
  </si>
  <si>
    <t>126030x4=26,4
213304/20</t>
  </si>
  <si>
    <t>137082x32=931,52
378960/00
379038/00</t>
  </si>
  <si>
    <t>141139x6=892,38
675741/00
675770/00
675951/00
676243/00
016094/00</t>
  </si>
  <si>
    <t>145334x14=3220,7
675741/00
676831/00</t>
  </si>
  <si>
    <t>145943x4=107
675741/00
675853/00</t>
  </si>
  <si>
    <t>145944x4=107
675741/00
675853/00</t>
  </si>
  <si>
    <t>145945x14=374,5
675741/00
675853/00
675991/00</t>
  </si>
  <si>
    <t>145947x4=107
675770/00
675741/00
675951/00
676243/00</t>
  </si>
  <si>
    <t>99040x40=631,2
675737/00
675737/00
675737/00
676878/00</t>
  </si>
  <si>
    <t>99041x8=110,8
675739/00
675760/00
675790/00
675824/00
676240/00
676829/00
676876/00</t>
  </si>
  <si>
    <t>99059x8=223,12
378964/00
379038/00
379564/00</t>
  </si>
  <si>
    <t>99060x2=1994
153493/00
016056/00</t>
  </si>
  <si>
    <t>99061x2=1994
153493/00
016060/00</t>
  </si>
  <si>
    <t>C320-00-000-1x2=44344
764999/00</t>
  </si>
  <si>
    <t>127426x4=46,32
675761/00
477392/00
675854/00
675908/00
675969/00</t>
  </si>
  <si>
    <t>138289x8=21,12
675747/00
675907/00
675968/00
676237/00
379599/00</t>
  </si>
  <si>
    <t>99135x4=291,32
675964/00</t>
  </si>
  <si>
    <t>99136x4=317,36
675964/00</t>
  </si>
  <si>
    <t>99137x2=170,92
675964/00</t>
  </si>
  <si>
    <t>141276x8=1275,44
675741/00
675963/00</t>
  </si>
  <si>
    <t>220-00-000-1x2=0
634347/40</t>
  </si>
  <si>
    <t>114669x16=69,92
675761/00
477392/00
675854/00
676875/00</t>
  </si>
  <si>
    <t>137082x18=523,98
378960/00
379038/00</t>
  </si>
  <si>
    <t>138289x4=10,56
675747/00
675907/00
675968/00
676237/00
379599/00</t>
  </si>
  <si>
    <t>141139x12=1784,76
675741/00
675770/00
675951/00
676243/00
016094/00</t>
  </si>
  <si>
    <t>143189x6=1219,8
675741/00
675853/00</t>
  </si>
  <si>
    <t>145946x8=214
675741/00
675951/00
016065/00</t>
  </si>
  <si>
    <t>145947x8=214
675770/00
675741/00
675951/00
676243/00</t>
  </si>
  <si>
    <t>99040x28=441,84
675737/00
675737/00
675737/00
676878/00</t>
  </si>
  <si>
    <t>99041x12=166,2
675739/00
675760/00
675790/00
675824/00
676240/00
676829/00
676876/00</t>
  </si>
  <si>
    <t>99050x4=107
675741/00
675951/00
675926/00</t>
  </si>
  <si>
    <t>99073x4=210,6
675763/00</t>
  </si>
  <si>
    <t>99074x24=1344
675763/00
675795/00
675827/00
676241/00
676872/00
153543/00
153550/00
153550/00</t>
  </si>
  <si>
    <t>99075x8=2,7
675778/00</t>
  </si>
  <si>
    <t>99076x16=537,44
675763/00</t>
  </si>
  <si>
    <t>C220-00-000-1x2=43802
765009/00</t>
  </si>
  <si>
    <t>99132x4=247,8
675964/00
675968/00</t>
  </si>
  <si>
    <t>99138x4=216,48
675964/00</t>
  </si>
  <si>
    <t>119812x1=7,59
676245/00</t>
  </si>
  <si>
    <t>99161x1=37,95
676263/00
676237/00</t>
  </si>
  <si>
    <t>129997x3=11,28
213451/320
675788/00
676239/00
676239/00
676866/00
676877/00</t>
  </si>
  <si>
    <t>99058x2=145,52
675741/00
675951/00
676243/00
016062/00
016149/00
016224/00</t>
  </si>
  <si>
    <t>520-00-000-1x1=0
634347/50</t>
  </si>
  <si>
    <t>141276x4=637,72
675741/00
675963/00</t>
  </si>
  <si>
    <t>141766x4=616,32
675762/00</t>
  </si>
  <si>
    <t>C520-00-000-1x1=6890
765009/00</t>
  </si>
  <si>
    <t>410-00-000-1x2=0
634347/60</t>
  </si>
  <si>
    <t>141139x4=594,92
675741/00
675770/00
675951/00
676243/00
016094/00</t>
  </si>
  <si>
    <t>141143x6=924,48
675741/00
675926/00
386553/00
015992/00
015780/00</t>
  </si>
  <si>
    <t>99050x6=160,5
675741/00
675951/00
675926/00</t>
  </si>
  <si>
    <t>C410-00-000-1x1=7636
765009/00</t>
  </si>
  <si>
    <t>620-00-000-1x1=0
634347/70</t>
  </si>
  <si>
    <t>141143x1=154,08
675741/00
675926/00
386553/00
015992/00
015780/00</t>
  </si>
  <si>
    <t>99050x1=26,75
675741/00
675951/00
675926/00</t>
  </si>
  <si>
    <t>C620-00-000-1x1=6356
765009/00</t>
  </si>
  <si>
    <t>99050x2=53,5
675741/00
675951/00
675926/00</t>
  </si>
  <si>
    <t>141143x2=308,16
675741/00
675926/00
386553/00
015992/00
015780/00</t>
  </si>
  <si>
    <t>MOD-11872x1=921
765033/00</t>
  </si>
  <si>
    <t>104626x10=0,7
213321/100</t>
  </si>
  <si>
    <t>610-00-000-1x2=0
634347/80</t>
  </si>
  <si>
    <t>129997x8=30,08
213451/320
675788/00
676239/00
676239/00
676866/00
676877/00</t>
  </si>
  <si>
    <t>137081x24=633,84
378960/00
379038/00
379551/00
379580/00
379623/00</t>
  </si>
  <si>
    <t>142171x4=6,4
477391/00</t>
  </si>
  <si>
    <t>143847x12=2234,16
675741/00
675951/00</t>
  </si>
  <si>
    <t>144570x4=877,4
675741/00
153500/00
675961/00</t>
  </si>
  <si>
    <t>145334x4=920,2
675741/00
676831/00</t>
  </si>
  <si>
    <t>99041x-12=-166,2
675739/00
675760/00
675790/00
675824/00
676240/00
676829/00
676876/00</t>
  </si>
  <si>
    <t>99048x4=107
675741/00
676867/00</t>
  </si>
  <si>
    <t>99049x4=107
675741/00
676867/00</t>
  </si>
  <si>
    <t>99054x8=214
675741/00
676867/00</t>
  </si>
  <si>
    <t>99057x1=21,4
675741/00
676873/00</t>
  </si>
  <si>
    <t>99057x3=64,2
675741/00
676873/00</t>
  </si>
  <si>
    <t>99059x4=111,56
378964/00
379038/00
379564/00</t>
  </si>
  <si>
    <t>99074x16=896
675763/00
675795/00
675827/00
676241/00
676872/00
153543/00
153550/00
153550/00</t>
  </si>
  <si>
    <t>99079x8=264,56
675795/00</t>
  </si>
  <si>
    <t>99080x8=571,2
675795/00</t>
  </si>
  <si>
    <t>99081x4=1,92
675797/00
676248/00
676310/00
676860/00
478038/00</t>
  </si>
  <si>
    <t>99082x8=464
675795/00</t>
  </si>
  <si>
    <t>C610-00-000-1x1=24536
765009/00</t>
  </si>
  <si>
    <t>99131x4=317,36
675964/00</t>
  </si>
  <si>
    <t>99133x4=252,84
675964/00</t>
  </si>
  <si>
    <t>143847x2=372,36
675741/00
675951/00</t>
  </si>
  <si>
    <t>99053x4=107
675741/00
676887/00</t>
  </si>
  <si>
    <t>132729x4=23,48
676885/00</t>
  </si>
  <si>
    <t>510-00-000-1x2=0
634347/90</t>
  </si>
  <si>
    <t>133911x8=29,44
477391/00</t>
  </si>
  <si>
    <t>137081x12=316,92
378960/00
379038/00
379551/00
379580/00
379623/00</t>
  </si>
  <si>
    <t>137082x21=611,31
378960/00
379038/00</t>
  </si>
  <si>
    <t>143194x4=791,8
675741/00
675951/00
015619/00</t>
  </si>
  <si>
    <t>143847x8=1489,44
675741/00
675951/00</t>
  </si>
  <si>
    <t>145946x12=321
675741/00
675951/00
016065/00</t>
  </si>
  <si>
    <t>99040x20=315,6
675737/00
675737/00
675737/00
676878/00</t>
  </si>
  <si>
    <t>99050x8=214
675741/00
675951/00
675926/00</t>
  </si>
  <si>
    <t>99051x2=53,5
675741/00
675894/00
675951/00</t>
  </si>
  <si>
    <t>99052x2=53,5
675741/00
675894/00
675951/00</t>
  </si>
  <si>
    <t>99055x2=53,5
675741/00</t>
  </si>
  <si>
    <t>99056x2=53,5
675741/00</t>
  </si>
  <si>
    <t>99083x8=35,6
675790/00</t>
  </si>
  <si>
    <t>99084x8=371,52
675795/00</t>
  </si>
  <si>
    <t>99085x4=219,16
675795/00
676872/00</t>
  </si>
  <si>
    <t>C510-00-000-1x2=59542
765009/00</t>
  </si>
  <si>
    <t>99134x2=128,52
675964/00</t>
  </si>
  <si>
    <t>99140x4=269,76
675964/00
676878/00</t>
  </si>
  <si>
    <t>144570x2=438,7
675741/00
153500/00
675961/00</t>
  </si>
  <si>
    <t>380-00-000-1x1=0
634347/100</t>
  </si>
  <si>
    <t>137082x8=232,88
378960/00
379038/00</t>
  </si>
  <si>
    <t>138291x2=12,4
675737/00
676237/00</t>
  </si>
  <si>
    <t>99074x4=224
675763/00
675795/00
675827/00
676241/00
676872/00
153543/00
153550/00
153550/00</t>
  </si>
  <si>
    <t>99089x4=880,92
675826/00
676874/00</t>
  </si>
  <si>
    <t>99090x4=42,84
675826/00
676874/00</t>
  </si>
  <si>
    <t>C380-00-000-1x1=10486
765024/00</t>
  </si>
  <si>
    <t>99138x2=108,24
675964/00</t>
  </si>
  <si>
    <t>580-00-000-1x3=0
634347/110</t>
  </si>
  <si>
    <t>118960x24=190,08
675893/00
675854/00
676856/00
478192/00</t>
  </si>
  <si>
    <t>137082x12=349,32
378960/00
379038/00</t>
  </si>
  <si>
    <t>141139x18=2677,14
675741/00
675770/00
675951/00
676243/00
016094/00</t>
  </si>
  <si>
    <t>142006x12=28,92
675737/00</t>
  </si>
  <si>
    <t>145947x14=374,5
675770/00
675741/00
675951/00
676243/00</t>
  </si>
  <si>
    <t>C580-00-000-1x2=12502
765024/00</t>
  </si>
  <si>
    <t>C580-00-000-1x1=6251
765024/00</t>
  </si>
  <si>
    <t>99141x12=497,16
675964/00</t>
  </si>
  <si>
    <t>99040x24=378,72
675737/00
675737/00
675737/00
676878/00</t>
  </si>
  <si>
    <t>44000x1=412,5
477470/00</t>
  </si>
  <si>
    <t>480-00-000-1x1=0
634347/140</t>
  </si>
  <si>
    <t>118960x8=63,36
675893/00
675854/00
676856/00
478192/00</t>
  </si>
  <si>
    <t>142006x4=9,64
675737/00</t>
  </si>
  <si>
    <t>C480-00-000-1x1=4395
765033/00</t>
  </si>
  <si>
    <t>99141x4=165,72
675964/00</t>
  </si>
  <si>
    <t>99040x8=126,24
675737/00
675737/00
675737/00
676878/00</t>
  </si>
  <si>
    <t>710-00-000-1x1=0
634347/150</t>
  </si>
  <si>
    <t>C710-00-000-1x1=7222
765033/00</t>
  </si>
  <si>
    <t>C710-00-000-1MODx1=1750
765081/00</t>
  </si>
  <si>
    <t>104693x8=1,54
634347/160</t>
  </si>
  <si>
    <t>105307x4=1,09
634347/170</t>
  </si>
  <si>
    <t>280-00-000-1x1=0
634347/180</t>
  </si>
  <si>
    <t>C280-00-000-1x1=8966
765038/00</t>
  </si>
  <si>
    <t>105437x10=3,41
634347/200</t>
  </si>
  <si>
    <t>101373x20=0,02
634347/210</t>
  </si>
  <si>
    <t>116021x20=0,6
420658/680
634347/220</t>
  </si>
  <si>
    <t>104600x20=0,63
634347/230</t>
  </si>
  <si>
    <t>116571x20=4
634347/240</t>
  </si>
  <si>
    <t>110597x20=2,4
634346/530
634346/700
634347/250
420723/720</t>
  </si>
  <si>
    <t>111988x20=1,96
634347/260</t>
  </si>
  <si>
    <t>210-00-000-1x1=0
634347/270</t>
  </si>
  <si>
    <t>103133x4=5,88
634343/90
213289/10
213304/10
213311/10
213322/10
213323/10
213451/10
213468/10
213568/10
213575/10
213577/10
213599/10
213482/10</t>
  </si>
  <si>
    <t>119812x4=30,36
676245/00</t>
  </si>
  <si>
    <t>129997x4=15,04
213451/320
675788/00
676239/00
676239/00
676866/00
676877/00</t>
  </si>
  <si>
    <t>141144x2=145,52
015999/00</t>
  </si>
  <si>
    <t>143194x2=395,9
675741/00
675951/00
015619/00</t>
  </si>
  <si>
    <t>143744x2=348
676236/00
676314/00
676825/00
676873/00
016180/00</t>
  </si>
  <si>
    <t>145946x5=133,75
675741/00
675951/00
016065/00</t>
  </si>
  <si>
    <t>99041x10=138,5
675739/00
675760/00
675790/00
675824/00
676240/00
676829/00
676876/00</t>
  </si>
  <si>
    <t>99059x2=55,78
378964/00
379038/00
379564/00</t>
  </si>
  <si>
    <t>99139x2=117,04
675964/00</t>
  </si>
  <si>
    <t>99074x8=448
675763/00
675795/00
675827/00
676241/00
676872/00
153543/00
153550/00
153550/00</t>
  </si>
  <si>
    <t>99081x2=0,96
675797/00
676248/00
676310/00
676860/00
478038/00</t>
  </si>
  <si>
    <t>99120x4=212,12
675912/00</t>
  </si>
  <si>
    <t>99121x2=402,58
675912/00</t>
  </si>
  <si>
    <t>99122x3=478,29
675951/00</t>
  </si>
  <si>
    <t>99123x1=29,75
675951/00</t>
  </si>
  <si>
    <t>99124x1=26,75
675951/00</t>
  </si>
  <si>
    <t>99160x4=252,6
676241/00</t>
  </si>
  <si>
    <t>99161x3=113,85
676263/00
676237/00</t>
  </si>
  <si>
    <t>99162x2=181,9
676236/00</t>
  </si>
  <si>
    <t>C210-00-000-1x1=27339
765071/00</t>
  </si>
  <si>
    <t>129997x2=9,08
213451/320
675788/00
676239/00
676239/00
676866/00
676877/00</t>
  </si>
  <si>
    <t>137082x1=29,11
378960/00
379038/00</t>
  </si>
  <si>
    <t>MOD-12397x1=6421
765133/00</t>
  </si>
  <si>
    <t>143744x1=174
676236/00
676314/00
676825/00
676873/00
016180/00</t>
  </si>
  <si>
    <t>137081x2=52,82
378960/00
379038/00
379551/00
379580/00
379623/00</t>
  </si>
  <si>
    <t>104267x20=138,96
634347/290</t>
  </si>
  <si>
    <t>104203x10=54,25
634347/300
420732/430
420732/440
420733/240
675695/00</t>
  </si>
  <si>
    <t>100954x100=6,38
634347/320</t>
  </si>
  <si>
    <t>100979x1000=30,75
420869/450
634347/340
420723/400
420723/810
420723/1050</t>
  </si>
  <si>
    <t>230-00-000-1x1=0
634347/350</t>
  </si>
  <si>
    <t>114669x8=34,96
675761/00
477392/00
675854/00
676875/00</t>
  </si>
  <si>
    <t>137082x3=87,33
378960/00
379038/00</t>
  </si>
  <si>
    <t>143189x1=203,3
675741/00
675853/00</t>
  </si>
  <si>
    <t>99060x1=997
153493/00
016056/00</t>
  </si>
  <si>
    <t>99061x1=997
153493/00
016060/00</t>
  </si>
  <si>
    <t>99110x4=1,35
675854/00</t>
  </si>
  <si>
    <t>C230-00-000-1x1=11170
765112/00</t>
  </si>
  <si>
    <t>128588x1=1,23
634347/310
634347/360</t>
  </si>
  <si>
    <t>44021x1=2561
477809/00</t>
  </si>
  <si>
    <t>66044x1=9709
765128/00</t>
  </si>
  <si>
    <t>44025x1=247
477970/00</t>
  </si>
  <si>
    <t>205-00-000-1+1x1=0
634347/410</t>
  </si>
  <si>
    <t>103133x4=5,4
634343/90
213289/10
213304/10
213311/10
213322/10
213323/10
213451/10
213468/10
213568/10
213575/10
213577/10
213599/10
213482/10</t>
  </si>
  <si>
    <t>127426x2=23,16
675761/00
477392/00
675854/00
675908/00
675969/00</t>
  </si>
  <si>
    <t>137082x5=145,55
378960/00
379038/00</t>
  </si>
  <si>
    <t>145542x2=460,1
676831/00</t>
  </si>
  <si>
    <t>99052x1=26,75
675741/00
675894/00
675951/00</t>
  </si>
  <si>
    <t>99132x2=123,9
675964/00
675968/00</t>
  </si>
  <si>
    <t>205-00-000-1x1=0
213568/180</t>
  </si>
  <si>
    <t>145943x1=26,75
675741/00
675853/00</t>
  </si>
  <si>
    <t>145944x1=26,75
675741/00
675853/00</t>
  </si>
  <si>
    <t>99051x1=26,75
675741/00
675894/00
675951/00</t>
  </si>
  <si>
    <t>99040x16=252,48
675737/00
675737/00
675737/00
676878/00</t>
  </si>
  <si>
    <t>145334x1=230,05
675741/00
676831/00</t>
  </si>
  <si>
    <t>C205-00-000-1+1x1=18299
765133/00</t>
  </si>
  <si>
    <t>99173x2=413,1
676828/00</t>
  </si>
  <si>
    <t>132508x4=3,96
675962/00
676828/00
676865/00</t>
  </si>
  <si>
    <t>99170x2=240,66
153552/00</t>
  </si>
  <si>
    <t>99171x2=259,62
153552/00</t>
  </si>
  <si>
    <t>405/6-00-000x2=0
634347/420</t>
  </si>
  <si>
    <t>118960x4=31,68
675893/00
675854/00
676856/00
478192/00</t>
  </si>
  <si>
    <t>129997x2=7,52
213451/320
675788/00
676239/00
676239/00
676866/00
676877/00</t>
  </si>
  <si>
    <t>132508x8=7,92
675962/00
676828/00
676865/00</t>
  </si>
  <si>
    <t>135397x2=0
676866/00</t>
  </si>
  <si>
    <t>137081x16=422,56
378960/00
379038/00
379551/00
379580/00
379623/00</t>
  </si>
  <si>
    <t>142006x2=4,82
675737/00</t>
  </si>
  <si>
    <t>99048x1=26,75
675741/00
676867/00</t>
  </si>
  <si>
    <t>99049x1=26,75
675741/00
676867/00</t>
  </si>
  <si>
    <t>99054x4=107
675741/00
676867/00</t>
  </si>
  <si>
    <t>99071x2=65,04
675737/00
676089/00
676865/00</t>
  </si>
  <si>
    <t>99174x2=380,02
676865/00</t>
  </si>
  <si>
    <t>99175x2=440,1
676865/00</t>
  </si>
  <si>
    <t>C405/6-00-000x2=22638
765138/00</t>
  </si>
  <si>
    <t>99141x2=82,86
675964/00</t>
  </si>
  <si>
    <t>410-00-000-1+1x2=0
634347/430</t>
  </si>
  <si>
    <t>103133x7=9,46
634343/90
213289/10
213304/10
213311/10
213322/10
213323/10
213451/10
213468/10
213568/10
213575/10
213577/10
213599/10
213482/10</t>
  </si>
  <si>
    <t>129997x4=18,16
213451/320
675788/00
676239/00
676239/00
676866/00
676877/00</t>
  </si>
  <si>
    <t>129997x3=13,62
213451/320
675788/00
676239/00
676239/00
676866/00
676877/00</t>
  </si>
  <si>
    <t>129997x2=0
213451/320
675788/00
676239/00
676239/00
676866/00
676877/00</t>
  </si>
  <si>
    <t>129997x15=68,1
213451/320
675788/00
676239/00
676239/00
676866/00
676877/00</t>
  </si>
  <si>
    <t>141765x12=1913,16
676873/00
153574/00</t>
  </si>
  <si>
    <t>142180x4=64,2
676873/00</t>
  </si>
  <si>
    <t>143744x15=2610
676236/00
676314/00
676825/00
676873/00
016180/00</t>
  </si>
  <si>
    <t>99040x36=568,08
675737/00
675737/00
675737/00
676878/00</t>
  </si>
  <si>
    <t>99041x52=720,2
675739/00
675760/00
675790/00
675824/00
676240/00
676829/00
676876/00</t>
  </si>
  <si>
    <t>99057x6=128,4
675741/00
676873/00</t>
  </si>
  <si>
    <t>99059x16=446,24
378964/00
379038/00
379564/00</t>
  </si>
  <si>
    <t>99176x8=358,16
676872/00</t>
  </si>
  <si>
    <t>99177x8=92,8
676879/00</t>
  </si>
  <si>
    <t>99178x8=82
676876/00</t>
  </si>
  <si>
    <t>99179x2=337,2
676878/00</t>
  </si>
  <si>
    <t>99180x8=318
676872/00</t>
  </si>
  <si>
    <t>99181x4=242,56
676872/00</t>
  </si>
  <si>
    <t>99182x4=281
676878/00</t>
  </si>
  <si>
    <t>C410-00-000-1+1x2=73580
765138/00</t>
  </si>
  <si>
    <t>99197x8=268,72
153543/00
153550/00</t>
  </si>
  <si>
    <t>44027x1=1100
478132/00</t>
  </si>
  <si>
    <t>44029x1=140
478132/00</t>
  </si>
  <si>
    <t>44030x1=370
478090/00</t>
  </si>
  <si>
    <t>44031x1=6203,75
478118/00</t>
  </si>
  <si>
    <t>44032x1=3330
478119/00</t>
  </si>
  <si>
    <t>44033x1=10815
478119/00</t>
  </si>
  <si>
    <t>44034x1=150
478119/00</t>
  </si>
  <si>
    <t>44035x1=387
478119/00</t>
  </si>
  <si>
    <t>44036x1=1250
478133/00</t>
  </si>
  <si>
    <t>830-00-000-1x2=0
634347/530</t>
  </si>
  <si>
    <t>103133x8=10,81
634343/90
213289/10
213304/10
213311/10
213322/10
213323/10
213451/10
213468/10
213568/10
213575/10
213577/10
213599/10
213482/10</t>
  </si>
  <si>
    <t>141143x8=1232,64
675741/00
675926/00
386553/00
015992/00
015780/00</t>
  </si>
  <si>
    <t>146438x2=42
386553/00</t>
  </si>
  <si>
    <t>C830-00-000-1x2=8528
765142/00</t>
  </si>
  <si>
    <t>44040x1=280
478134/00</t>
  </si>
  <si>
    <t>44042x1=150
478166/00</t>
  </si>
  <si>
    <t>880-00-000-1x1=0
634347/560</t>
  </si>
  <si>
    <t>141139x3=446,19
675741/00
675770/00
675951/00
676243/00
016094/00</t>
  </si>
  <si>
    <t>145947x3=80,25
675770/00
675741/00
675951/00
676243/00</t>
  </si>
  <si>
    <t>C880-00-000-1x1=4263
765144/00</t>
  </si>
  <si>
    <t>44050x1=112,5
478206/00</t>
  </si>
  <si>
    <t>44051x1=464
478209/00</t>
  </si>
  <si>
    <t>634347.0010x133=4676,79
000791(33h)
000273(28h)
137770(25h)
130288(7h)
000791(40h)</t>
  </si>
  <si>
    <t>634347.0020x423,92=13037,16
000342(27h)
130288(29h)
000242(42h)
136510(16h)
130288(164h)
000342(0h)
136510(59h)
000242(1h)
000342(31h)
000791(55h)</t>
  </si>
  <si>
    <t>ADUANA1x1=58825,090000000011
22301125
22301127
22400029
22400048
22400052
22400099
22400100
22400124
22400137
22400137
22400141
22400142
22400151
22400153
22400160
22400162
22400177
22400178
22400179
22400181
22400183
22400225
22400226
22400229
22400236
22400010
22400242
22400269
22400270
22400013
22400281
22400308
22400327
22400327
22400432
22400446
22400519
22400589
22400025
22400595</t>
  </si>
  <si>
    <t>DES000x1=2479,2300000000032
22300857
22300857
22300857
22300794
22300824
22300044
22300044
22300044
22400184
22400211
22400231
22400468
22400468
22400468
22400468
22400468
22400468
22400468
22400468
22400468
22400471
22400471
22400466
22400466
22400466
22400466
22400466
22400466
22400466
22400466
22400466
22400466
22400466
22400466
22400466
22400466
22400466
22400469
22400677
22400677
22400641
22400641
22400641
22400641
22400641
22400641
22400641
22400641
22400641
22400641
22400641
22400641
22400641
22400641
22400641
22400641
22400641</t>
  </si>
  <si>
    <t>DES001                               x1=67200,8
386286/25
386518/15</t>
  </si>
  <si>
    <t>ABONO                                x1=-17465,410000000007
153473/30
675737/90
675737/95
676087/5
676087/10
676087/15
676087/20
676088/5
676088/10
676088/15
676088/20</t>
  </si>
  <si>
    <t>PINTURAS                             x1=76,8
477596/50</t>
  </si>
  <si>
    <t>COS626200                            x1=156,3
478103/5</t>
  </si>
  <si>
    <t>GASES                                x1=1864
478141/5</t>
  </si>
  <si>
    <t>624323.0010x1220=58981,44
001037(532h)
001037(688h)</t>
  </si>
  <si>
    <t>624323.0020x2287=84065,8
000286(973h)
000286(1315h)</t>
  </si>
  <si>
    <t>624323.0030x559,75=22735,66
000580(260h)
000830(3h)
134633(3h)
000580(248h)
128729(42h)
138388(4h)</t>
  </si>
  <si>
    <t>624323.0040x169=6127,3
133798(95h)
133798(74h)</t>
  </si>
  <si>
    <t>624323.0050x445=16500,34
138231(10h)
141024(66h)
000702(8h)
000702(98h)
141024(243h)
138231(2h)
141025(16h)
128724(2h)</t>
  </si>
  <si>
    <t>624323.0060x4=166,2
137683(4h)</t>
  </si>
  <si>
    <t>624323.0070x244,75=8895,78
135112(83h)
135112(58h)
135112(0h)
136801(103h)</t>
  </si>
  <si>
    <t>99025x1=26653,7
386241/00</t>
  </si>
  <si>
    <t>99026x1=29663,58
386241/00</t>
  </si>
  <si>
    <t>99027x1=25615,94
386241/00</t>
  </si>
  <si>
    <t>99028x1=29663,58
386241/00</t>
  </si>
  <si>
    <t>99029x1=23249,96
386241/00</t>
  </si>
  <si>
    <t>99030x1=26908,44
386241/00</t>
  </si>
  <si>
    <t>99031x1=0
386241/00</t>
  </si>
  <si>
    <t>99033x1=16439,66
386241/00</t>
  </si>
  <si>
    <t>99034x1=16439,66
386241/00</t>
  </si>
  <si>
    <t>99035x1=13232,38
386241/00</t>
  </si>
  <si>
    <t>99072x8=8352
378961/00</t>
  </si>
  <si>
    <t>99091x0,3=26797,5
386279/00</t>
  </si>
  <si>
    <t>99091x0,7=62527,5
386279/00</t>
  </si>
  <si>
    <t>99109x0,3=1035
386279/00
386504/00</t>
  </si>
  <si>
    <t>99109x0,7=2415
386279/00
386504/00</t>
  </si>
  <si>
    <t>66039x1=8135
386402/00</t>
  </si>
  <si>
    <t>66040x1=745
386402/00</t>
  </si>
  <si>
    <t>99092x0,3=17811,9
386504/00</t>
  </si>
  <si>
    <t>99092x0,7=41561,1
386504/00</t>
  </si>
  <si>
    <t>66046x1=28463,9
386507/00</t>
  </si>
  <si>
    <t>66048x1=2612
386504/00</t>
  </si>
  <si>
    <t>66052x1=8840
386528/00</t>
  </si>
  <si>
    <t>66000x1=135821
153473/00</t>
  </si>
  <si>
    <t>66001x1=91339
153473/00</t>
  </si>
  <si>
    <t>66002x1=76221
153473/00</t>
  </si>
  <si>
    <t>66003x1=128197
153473/00</t>
  </si>
  <si>
    <t>66005x1=12352
153476/00</t>
  </si>
  <si>
    <t>66006x1=9747
153476/00</t>
  </si>
  <si>
    <t>66007x1=11967
153476/00</t>
  </si>
  <si>
    <t>66008x1=12352
153476/00</t>
  </si>
  <si>
    <t>66047x1=21106,32
386510/00</t>
  </si>
  <si>
    <t>105051x20=2,6
624331/110
634346/960</t>
  </si>
  <si>
    <t>66013x0,2=2030,39
378959/00</t>
  </si>
  <si>
    <t>66013x0,4=4060,78
378959/00</t>
  </si>
  <si>
    <t>66013x0,1=1015,2
378959/00</t>
  </si>
  <si>
    <t>01E09-1-00Ix1=0
634346/20</t>
  </si>
  <si>
    <t>145749x3=78
378996/00
378996/00
379111/00
379670/00</t>
  </si>
  <si>
    <t>145753x3=8910
378996/00
378996/00
379111/00
379670/00
015742/00</t>
  </si>
  <si>
    <t>145781x8=165,41
378897/00
378997/00</t>
  </si>
  <si>
    <t>145782x3=1212,3
378897/00
378997/00</t>
  </si>
  <si>
    <t>99086x15=1500
378996/00
379670/00</t>
  </si>
  <si>
    <t>138727x200=2604,44
379010/00</t>
  </si>
  <si>
    <t>143477x10=2407,78
379013/00</t>
  </si>
  <si>
    <t>00E01-0-00Ix1=0
634346/50</t>
  </si>
  <si>
    <t>111306x400=1076
634341/90
634341/130
477447/00</t>
  </si>
  <si>
    <t>111307x12=64,04
477447/00</t>
  </si>
  <si>
    <t>133628x50=52
379012/00
477710/00</t>
  </si>
  <si>
    <t>133629x100=69,42
379012/00</t>
  </si>
  <si>
    <t>133635x24=190,44
379012/00</t>
  </si>
  <si>
    <t>133805x36=346,14
379012/00</t>
  </si>
  <si>
    <t>133805x18=173,07
379012/00</t>
  </si>
  <si>
    <t>134352x24=168,11
379012/00</t>
  </si>
  <si>
    <t>138466x320=2099,52
420733/440
675840/00
016322/00</t>
  </si>
  <si>
    <t>138467x600=669,6
420733/450
675840/00</t>
  </si>
  <si>
    <t>138502x600=388,8
634346/1140
675840/00</t>
  </si>
  <si>
    <t>138975x100=111,6
675840/00</t>
  </si>
  <si>
    <t>139196x10=40,6
015969/00</t>
  </si>
  <si>
    <t>141089x120=1485,6
379011/00
379678/00
016327/00</t>
  </si>
  <si>
    <t>141090x138=2159,7
379011/00
016328/00</t>
  </si>
  <si>
    <t>141091x156=3004,56
379011/00
379723/00</t>
  </si>
  <si>
    <t>141092x111=2499,72
379011/00
016329/00</t>
  </si>
  <si>
    <t>141095x12=67,8
379011/00</t>
  </si>
  <si>
    <t>141097x27=343,44
379011/00</t>
  </si>
  <si>
    <t>141110x1110=3429,9
379011/00
016330/00</t>
  </si>
  <si>
    <t>141115x900=2385
379011/00</t>
  </si>
  <si>
    <t>142026x1000=90
379011/00</t>
  </si>
  <si>
    <t>142027x120=1290
379011/00
379678/00
016324/00</t>
  </si>
  <si>
    <t>142028x138=2253,54
379011/00
016325/00</t>
  </si>
  <si>
    <t>142029x96=2474,88
379011/00
016326/00</t>
  </si>
  <si>
    <t>142108x30=303,9
379011/00</t>
  </si>
  <si>
    <t>142112x20=225,8
379011/00</t>
  </si>
  <si>
    <t>142113x156=3084,12
379011/00
379723/00</t>
  </si>
  <si>
    <t>99108x30=63,6
379011/00</t>
  </si>
  <si>
    <t>141272x360=165,6
379231/00
015970/00</t>
  </si>
  <si>
    <t>141272x240=110,4
379231/00
015970/00</t>
  </si>
  <si>
    <t>66025x0,1=8910
386286/00</t>
  </si>
  <si>
    <t>66028x0,1=316
386286/00</t>
  </si>
  <si>
    <t>00E02-0-00Ix1=0
634346/110</t>
  </si>
  <si>
    <t>100706x1000=740
379020/00
379726/00</t>
  </si>
  <si>
    <t>100709x500=620
477477/00
379020/00</t>
  </si>
  <si>
    <t>100709x100=124
477477/00
379020/00</t>
  </si>
  <si>
    <t>100711x300=663
379020/00</t>
  </si>
  <si>
    <t>141666x12=71,86
379020/00</t>
  </si>
  <si>
    <t>99112x3=1217,74
379029/00</t>
  </si>
  <si>
    <t>136290x6=32,71
378771/00
379022/00
379586/00</t>
  </si>
  <si>
    <t>141286x6=58,91
378771/00
379022/00
379586/00</t>
  </si>
  <si>
    <t>00N04-1-00x1=0
634346/150</t>
  </si>
  <si>
    <t>99114x2=496,52
675882/00</t>
  </si>
  <si>
    <t>66030x1=118000
386309/00</t>
  </si>
  <si>
    <t>01E14-1-00x1=0
634346/170</t>
  </si>
  <si>
    <t>102086x11=82,09
378846/00
379035/00</t>
  </si>
  <si>
    <t>102087x8=57,4
378775/00
378846/00
378989/00
379035/00</t>
  </si>
  <si>
    <t>110850x35=202,13
378826/00
378948/00
378846/00
379035/00</t>
  </si>
  <si>
    <t>126350x8=161,2
378846/00
379035/00</t>
  </si>
  <si>
    <t>126351x11=67,65
378846/00
379035/00</t>
  </si>
  <si>
    <t>126979x35=192,95
378826/00
378846/00
379035/00</t>
  </si>
  <si>
    <t>131776x10=101,9
378846/00
379035/00</t>
  </si>
  <si>
    <t>139486x12=115,19
379036/00</t>
  </si>
  <si>
    <t>139486x39=374,37
379036/00</t>
  </si>
  <si>
    <t>139487x21=223,8
378918/00
379036/00</t>
  </si>
  <si>
    <t>21020.00.400.010x7=208,33
420869/130</t>
  </si>
  <si>
    <t>123172x10=5,13
420869/140
420732/190</t>
  </si>
  <si>
    <t>104447x20=17,46
420869/150
420733/310
420733/320
420776/230
420776/250</t>
  </si>
  <si>
    <t>104825x4=0,13
420869/160</t>
  </si>
  <si>
    <t>94500.10.671.002x8=4,64
420869/170</t>
  </si>
  <si>
    <t>101472x50=1,1
634346/1350
420869/190
420723/530</t>
  </si>
  <si>
    <t>113104x19=39,58
420869/200
420732/300
420732/350</t>
  </si>
  <si>
    <t>104304x10=12,42
420869/210</t>
  </si>
  <si>
    <t>123184x10=3,3
420869/230
420869/360
420723/420
420723/960
420731/290
420733/360</t>
  </si>
  <si>
    <t>123199x10=1,5
420869/240
420869/270
420869/310
420869/390
420723/460
420723/970
420723/1190</t>
  </si>
  <si>
    <t>123200x10=2,55
420869/250
420869/370
420723/450
420723/980</t>
  </si>
  <si>
    <t>123183x10=2,2
634346/1990
420829/60
420869/260
420869/300
420723/430
420723/950
420723/1180
379160/00</t>
  </si>
  <si>
    <t>21020.00.300.610x5=18,87
420869/280
420853/30</t>
  </si>
  <si>
    <t>145139x20=0
420869/320
634347/280
420733/550
379231/00
379700/00</t>
  </si>
  <si>
    <t>21020.00.300.210x10=75,46
420869/340</t>
  </si>
  <si>
    <t>123200x10=1,67
420869/250
420869/370
420723/450
420723/980</t>
  </si>
  <si>
    <t>104303x20=38,64
634346/2030
420869/380
420733/520</t>
  </si>
  <si>
    <t>123199x15=2,25
420869/240
420869/270
420869/310
420869/390
420723/460
420723/970
420723/1190</t>
  </si>
  <si>
    <t>104292x10=35,58
420869/400</t>
  </si>
  <si>
    <t>21020.00.401.430x10=3,2
420734/30
420734/40
420869/410
420869/530
420869/540</t>
  </si>
  <si>
    <t>125853x4=2,48
420869/330
420869/420
420733/580</t>
  </si>
  <si>
    <t>125211x4=32,2
420869/430</t>
  </si>
  <si>
    <t>100979x100=3,08
420869/450
634347/340
420723/400
420723/810
420723/1050</t>
  </si>
  <si>
    <t>100980x100=4,9
420869/460
420723/390
420723/800
420723/1040</t>
  </si>
  <si>
    <t>105065x2=0,31
420869/470</t>
  </si>
  <si>
    <t>101457x10=0,26
420869/480</t>
  </si>
  <si>
    <t>117356x26=52,65
420869/500
420732/320
420732/380</t>
  </si>
  <si>
    <t>104153x25=32,5
420869/510
420732/390
421262/20</t>
  </si>
  <si>
    <t>21020.00.401.420x10=27,24
420869/520
420723/1240</t>
  </si>
  <si>
    <t>101282x100=9
420869/550</t>
  </si>
  <si>
    <t>101287x30=6,24
420869/560</t>
  </si>
  <si>
    <t>101289x30=5,13
420869/570</t>
  </si>
  <si>
    <t>101290x30=7,44
420869/580
420723/1000</t>
  </si>
  <si>
    <t>101291x30=8,16
420869/590</t>
  </si>
  <si>
    <t>145589x35=321,62
379065/00</t>
  </si>
  <si>
    <t>145589x5=45,95
379065/00</t>
  </si>
  <si>
    <t>99125x300=54
379001/00</t>
  </si>
  <si>
    <t>01E15-1-00Ix1=0
634346/200</t>
  </si>
  <si>
    <t>138104x600=1248,78
379077/00
016135/00</t>
  </si>
  <si>
    <t>144470x150=1234,7
379077/00</t>
  </si>
  <si>
    <t>132508x12=11,88
675962/00
676828/00
676865/00</t>
  </si>
  <si>
    <t>104744x16=10,72
634346/220</t>
  </si>
  <si>
    <t>104839x12=0,75
634346/230</t>
  </si>
  <si>
    <t>104832x40=1,02
634346/240
420869/490
420723/650</t>
  </si>
  <si>
    <t>101374x2200=4,75
634346/250</t>
  </si>
  <si>
    <t>101376x1500=7,2
634343/180
634343/220
634346/260
634346/390
634346/1450</t>
  </si>
  <si>
    <t>101377x1000=7
420658/590
634346/270
634346/420
634346/1310
420776/170</t>
  </si>
  <si>
    <t>101445x300=7,5
634346/280
634346/1440
634346/1550</t>
  </si>
  <si>
    <t>104606x300=6,06
634346/290
634346/1280</t>
  </si>
  <si>
    <t>101450x350=9,21
634346/300
634346/1200
634346/1410</t>
  </si>
  <si>
    <t>101378x320=4,32
634346/310
634346/460
634346/760
634346/1320</t>
  </si>
  <si>
    <t>105242x250=6,25
634346/320
634346/490
634346/1330
634346/1540</t>
  </si>
  <si>
    <t>101444x1770=40,71
634346/330
634346/1570
420723/910</t>
  </si>
  <si>
    <t>104620x100=4,5
634346/340</t>
  </si>
  <si>
    <t>105976x1150=20,7
634346/350
634346/660</t>
  </si>
  <si>
    <t>105974x500=20
634346/360
634346/470
634346/1470</t>
  </si>
  <si>
    <t>105280x48=9,6
634343/80
634346/370
420723/1210
420776/310</t>
  </si>
  <si>
    <t>101451x48=1,54
634346/380
634346/1400</t>
  </si>
  <si>
    <t>101376x48=0,23
634343/180
634343/220
634346/260
634346/390
634346/1450</t>
  </si>
  <si>
    <t>105977x48=1,06
634343/190
634346/400</t>
  </si>
  <si>
    <t>101452x104=5,82
634346/410
634346/620
634346/1230
420731/310</t>
  </si>
  <si>
    <t>101377x152=1,06
420658/590
634346/270
634346/420
634346/1310
420776/170</t>
  </si>
  <si>
    <t>105978x152=5,02
634343/230
420658/600
634346/430
634346/580
634346/1340</t>
  </si>
  <si>
    <t>104652x48=3,36
634346/440
634346/630
634346/1460
420731/320</t>
  </si>
  <si>
    <t>101378x8=0,11
634346/310
634346/460
634346/760
634346/1320</t>
  </si>
  <si>
    <t>105974x8=0,32
634346/360
634346/470
634346/1470</t>
  </si>
  <si>
    <t>104690x24=4,33
634346/480
634346/570</t>
  </si>
  <si>
    <t>105242x24=0,6
634346/320
634346/490
634346/1330
634346/1540</t>
  </si>
  <si>
    <t>110595x24=1,58
634346/500</t>
  </si>
  <si>
    <t>104724x24=9,88
634346/510
634346/680</t>
  </si>
  <si>
    <t>110597x24=2,88
634346/530
634346/700
634347/250
420723/720</t>
  </si>
  <si>
    <t>105050x150=13,47
634346/540
634346/950</t>
  </si>
  <si>
    <t>105049x200=19,6
634346/550</t>
  </si>
  <si>
    <t>105978x830=27,39
634343/230
420658/600
634346/430
634346/580
634346/1340</t>
  </si>
  <si>
    <t>101471x430=3,01
634346/590</t>
  </si>
  <si>
    <t>101447x450=16,65
634346/600
634346/1390
634346/1430</t>
  </si>
  <si>
    <t>101448x300=10,5
624324/20
634346/610
634346/1190
420723/1250</t>
  </si>
  <si>
    <t>101452x110=6,16
634346/410
634346/620
634346/1230
420731/310</t>
  </si>
  <si>
    <t>104652x22=1,54
634346/440
634346/630
634346/1460
420731/320</t>
  </si>
  <si>
    <t>104656x70=6,3
634346/650</t>
  </si>
  <si>
    <t>105976x3790=68,22
634346/350
634346/660</t>
  </si>
  <si>
    <t>00E05-0-00Fx1=0
634346/670</t>
  </si>
  <si>
    <t>142261x50=35,5
676041/00
676211/00</t>
  </si>
  <si>
    <t>143066x60=247,8
676041/00
676211/00</t>
  </si>
  <si>
    <t>146049x50=92,5
676041/00
676373/00</t>
  </si>
  <si>
    <t>104724x10=4,12
634346/510
634346/680</t>
  </si>
  <si>
    <t>110597x16=1,92
634346/530
634346/700
634347/250
420723/720</t>
  </si>
  <si>
    <t>105039x198=18,81
634346/720</t>
  </si>
  <si>
    <t>99150x100=198,62
379153/00
379257/00
379545/00</t>
  </si>
  <si>
    <t>105052x36=3,42
634346/750</t>
  </si>
  <si>
    <t>101378x36=0,49
634346/310
634346/460
634346/760
634346/1320</t>
  </si>
  <si>
    <t>104725x6=2,1
634346/770</t>
  </si>
  <si>
    <t>99151x300=2100
676112/00</t>
  </si>
  <si>
    <t>123240x60=73,44
634346/2000
379160/00</t>
  </si>
  <si>
    <t>123208x60=20,52
634346/2010
379160/00</t>
  </si>
  <si>
    <t>123183x60=13,2
634346/1990
420829/60
420869/260
420869/300
420723/430
420723/950
420723/1180
379160/00</t>
  </si>
  <si>
    <t>66037x1=195
676034/00</t>
  </si>
  <si>
    <t>110646x5=16,1
634346/830</t>
  </si>
  <si>
    <t>99152x100=52,1
477616/00</t>
  </si>
  <si>
    <t>21006.00.001.004x16=59,98
213284/30
213307/20
213308/20
213595/220
634346/850</t>
  </si>
  <si>
    <t>104672x200=26
634346/860</t>
  </si>
  <si>
    <t>104250x20=45,12
634346/870</t>
  </si>
  <si>
    <t>00N00-0-00x1=0
634346/880</t>
  </si>
  <si>
    <t>141630x4=210,24
675526/00
675883/00
676191/00
676271/00</t>
  </si>
  <si>
    <t>141631x4=153,4
675526/00
676191/00</t>
  </si>
  <si>
    <t>00E03-0-00Fx1=0
634346/890</t>
  </si>
  <si>
    <t>00E03-0-00Ix1=0
634346/900</t>
  </si>
  <si>
    <t>100755x100=216,76
378849/00
379220/00</t>
  </si>
  <si>
    <t>141272x840=386,4
379231/00
015970/00</t>
  </si>
  <si>
    <t>145139x40=37,2
420869/320
634347/280
420733/550
379231/00
379700/00</t>
  </si>
  <si>
    <t>145139x560=520,8
420869/320
634347/280
420733/550
379231/00
379700/00</t>
  </si>
  <si>
    <t>123065x1026=35,04
421025/40
421025/50</t>
  </si>
  <si>
    <t>01E16-1-00Ix1=0
634346/910</t>
  </si>
  <si>
    <t>100755x400=867,04
378849/00
379220/00</t>
  </si>
  <si>
    <t>140606x100=571,52
379220/00</t>
  </si>
  <si>
    <t>99153x24=358,32
379223/00</t>
  </si>
  <si>
    <t>99154x24=358,32
379223/00</t>
  </si>
  <si>
    <t>66038x1=60
477690/00</t>
  </si>
  <si>
    <t>104675x100=16,56
634346/930</t>
  </si>
  <si>
    <t>104674x100=16
634346/940</t>
  </si>
  <si>
    <t>105050x4=0,36
634346/540
634346/950</t>
  </si>
  <si>
    <t>105051x4=0,52
624331/110
634346/960</t>
  </si>
  <si>
    <t>01E18-1-00x1=0
634346/970</t>
  </si>
  <si>
    <t>146117x500=1291,05
379257/00</t>
  </si>
  <si>
    <t>123191x20=39,28
634341/70
421046/30
421053/30
420776/210</t>
  </si>
  <si>
    <t>00E06-0-00Ix1=0
634346/980</t>
  </si>
  <si>
    <t>99158x25=101,4
379252/00</t>
  </si>
  <si>
    <t>99159x50=44,4
379252/00
379601/00</t>
  </si>
  <si>
    <t>00E07-0-00Fx1=0
634346/990</t>
  </si>
  <si>
    <t>140936x1440=173,52
379258/00</t>
  </si>
  <si>
    <t>00E07-0-00Ix1=0
634346/1000</t>
  </si>
  <si>
    <t>133628x50=40
379012/00
477710/00</t>
  </si>
  <si>
    <t>146016x100=142,4
477710/00</t>
  </si>
  <si>
    <t>123191x20=43,9
634341/70
421046/30
421053/30
420776/210</t>
  </si>
  <si>
    <t>123207x25=4,73
634341/80
421053/40
420723/870</t>
  </si>
  <si>
    <t>104253x30=40,98
634346/1010
420733/480
420776/200</t>
  </si>
  <si>
    <t>104150x30=39
420658/820
634346/1020</t>
  </si>
  <si>
    <t>104227x30=100,98
634346/1030</t>
  </si>
  <si>
    <t>104189x30=11,34
634346/1040</t>
  </si>
  <si>
    <t>109118x100=1,1
634344/170
634346/1050
420732/410</t>
  </si>
  <si>
    <t>105281x32=10,88
634346/1060
420723/1120
420723/1140</t>
  </si>
  <si>
    <t>109117x100=1,1
624324/30
634344/180
634346/1080
420776/160
420776/190
420776/260</t>
  </si>
  <si>
    <t>104242x2=11,72
634346/1090</t>
  </si>
  <si>
    <t>104202x2=15,52
634346/1100
420732/230
420733/500</t>
  </si>
  <si>
    <t>99165x4=24,96
676285/00</t>
  </si>
  <si>
    <t>143948x10=536,9
675939/00
676285/00</t>
  </si>
  <si>
    <t>116472x10=143
634346/1130
420732/120</t>
  </si>
  <si>
    <t>138502x10=6,75
634346/1140
675840/00</t>
  </si>
  <si>
    <t>00N01-0-00x1=0
634346/1150</t>
  </si>
  <si>
    <t>116245x16=66,88
676290/00</t>
  </si>
  <si>
    <t>138584x10=30,9
675680/00
675522/00
675841/00
676299/00</t>
  </si>
  <si>
    <t>00E08-0-00x1=0
634346/1160</t>
  </si>
  <si>
    <t>66042x1=44,04
676407/00</t>
  </si>
  <si>
    <t>130675x400=4569,2
379357/00</t>
  </si>
  <si>
    <t>101450x300=7,89
634346/300
634346/1200
634346/1410</t>
  </si>
  <si>
    <t>101446x500=12,5
634346/1210</t>
  </si>
  <si>
    <t>104619x300=12,9
634346/1220</t>
  </si>
  <si>
    <t>101452x100=5,6
634346/410
634346/620
634346/1230
420731/310</t>
  </si>
  <si>
    <t>104639x200=9,59
634346/1240
634346/1580</t>
  </si>
  <si>
    <t>104636x250=12,5
634346/1250</t>
  </si>
  <si>
    <t>104635x200=5,21
634346/1260</t>
  </si>
  <si>
    <t>104608x300=11,1
634346/1270</t>
  </si>
  <si>
    <t>104606x400=8,08
634346/290
634346/1280</t>
  </si>
  <si>
    <t>104659x50=10
634346/1290</t>
  </si>
  <si>
    <t>101375x1000=1,9
634346/1300</t>
  </si>
  <si>
    <t>101378x600=8,1
634346/310
634346/460
634346/760
634346/1320</t>
  </si>
  <si>
    <t>105242x200=5
634346/320
634346/490
634346/1330
634346/1540</t>
  </si>
  <si>
    <t>105978x500=16,5
634343/230
420658/600
634346/430
634346/580
634346/1340</t>
  </si>
  <si>
    <t>101472x230=5,06
634346/1350
420869/190
420723/530</t>
  </si>
  <si>
    <t>105144x500=5
634346/1360</t>
  </si>
  <si>
    <t>101473x80=3,91
634346/1370</t>
  </si>
  <si>
    <t>104637x234=14,04
634346/1380</t>
  </si>
  <si>
    <t>101447x200=7,4
634346/600
634346/1390
634346/1430</t>
  </si>
  <si>
    <t>101451x200=6,4
634346/380
634346/1400</t>
  </si>
  <si>
    <t>101450x150=3,95
634346/300
634346/1200
634346/1410</t>
  </si>
  <si>
    <t>01E19-1-00x1=0
634346/1420</t>
  </si>
  <si>
    <t>126344x12=125,31
379013/00
379548/00
015997/00
015996/00</t>
  </si>
  <si>
    <t>143900x4=62,97
379548/00</t>
  </si>
  <si>
    <t>101447x300=11,1
634346/600
634346/1390
634346/1430</t>
  </si>
  <si>
    <t>101445x600=15
634346/280
634346/1440
634346/1550</t>
  </si>
  <si>
    <t>101376x5000=24
634343/180
634343/220
634346/260
634346/390
634346/1450</t>
  </si>
  <si>
    <t>104652x150=10,5
634346/440
634346/630
634346/1460
420731/320</t>
  </si>
  <si>
    <t>00E09-0-00Fx1=0
634346/1480</t>
  </si>
  <si>
    <t>139410x5=530
676871/00</t>
  </si>
  <si>
    <t>139412x3=225
676871/00</t>
  </si>
  <si>
    <t>139443x5=530
676871/00</t>
  </si>
  <si>
    <t>120687x60=12,6
213284/80
213307/60
213308/60
213595/260
634346/1490</t>
  </si>
  <si>
    <t>66049x0,27=26192,32
386518/00</t>
  </si>
  <si>
    <t>66049x0,23=22311,98
386518/00</t>
  </si>
  <si>
    <t>66049x0,5=48504,3
386518/00</t>
  </si>
  <si>
    <t>66051x0,27=1029,13
386518/00</t>
  </si>
  <si>
    <t>66051x0,23=876,67
386518/00</t>
  </si>
  <si>
    <t>66051x0,5=1905,8
386518/00</t>
  </si>
  <si>
    <t>99185x8=535,04
379566/00</t>
  </si>
  <si>
    <t>00E20-1-00Ix1=0
634346/1530</t>
  </si>
  <si>
    <t>124544x100=169,51
379578/00</t>
  </si>
  <si>
    <t>101445x200=5
634346/280
634346/1440
634346/1550</t>
  </si>
  <si>
    <t>104607x200=4,92
634346/1560</t>
  </si>
  <si>
    <t>101444x200=4,6
634346/330
634346/1570
420723/910</t>
  </si>
  <si>
    <t>104639x100=4,96
634346/1240
634346/1580</t>
  </si>
  <si>
    <t>66053x1=3514
478094/00</t>
  </si>
  <si>
    <t>66054x1=3564
478094/00</t>
  </si>
  <si>
    <t>66055x1=1345,46
478097/00</t>
  </si>
  <si>
    <t>66056x1=0
676849/00</t>
  </si>
  <si>
    <t>01E22-1-00Ix1=0
634346/1630</t>
  </si>
  <si>
    <t>99000x-8=-118,24
378768/00
378942/00
379614/00</t>
  </si>
  <si>
    <t>99000x2=31,14
378768/00
378942/00
379614/00</t>
  </si>
  <si>
    <t>111037x1=8,16
421296/20
378775/00
378846/00
378989/00</t>
  </si>
  <si>
    <t>104844x50=6,45
634346/1650
634346/1740</t>
  </si>
  <si>
    <t>105045x50=7
634346/1660
634346/1730
420723/630
420723/640</t>
  </si>
  <si>
    <t>133476x400=623,4
378849/00
379616/00</t>
  </si>
  <si>
    <t>105202x100=1,8
634346/1680
634346/1950
420723/380
420723/850
420731/330</t>
  </si>
  <si>
    <t>104660x50=7,55
634346/1690
634346/1930
420723/840</t>
  </si>
  <si>
    <t>100749x870=887,23
420723/690
378924/00
379624/00</t>
  </si>
  <si>
    <t>01E23-1-00Ix1=0
634346/1720</t>
  </si>
  <si>
    <t>99198x2=62
379627/00</t>
  </si>
  <si>
    <t>99199x6=336
379627/00</t>
  </si>
  <si>
    <t>104844x60=7,74
634346/1650
634346/1740</t>
  </si>
  <si>
    <t>145513x25=601,25
378917/00
379658/00
015785/00</t>
  </si>
  <si>
    <t>139485x50=1418,63
378918/00
379659/00</t>
  </si>
  <si>
    <t>66058x1=2150
676849/00</t>
  </si>
  <si>
    <t>66059x1=2510
676849/00</t>
  </si>
  <si>
    <t>01E24-1-00Ix1=0
634346/1790</t>
  </si>
  <si>
    <t>145749x4=104
378996/00
378996/00
379111/00
379670/00</t>
  </si>
  <si>
    <t>145753x4=11880
378996/00
378996/00
379111/00
379670/00
015742/00</t>
  </si>
  <si>
    <t>99086x4=400
378996/00
379670/00</t>
  </si>
  <si>
    <t>146452x1000=1188,6
379672/00</t>
  </si>
  <si>
    <t>116416x50=37,5
634346/1810
634346/1980</t>
  </si>
  <si>
    <t>00E11-0-00Ix1=0
634346/1820</t>
  </si>
  <si>
    <t>141089x30=371,4
379011/00
379678/00
016327/00</t>
  </si>
  <si>
    <t>142027x30=322,5
379011/00
379678/00
016324/00</t>
  </si>
  <si>
    <t>135294x30=63
379651/00
478204/00</t>
  </si>
  <si>
    <t>00E12-0-00Ix1=0
634346/1840</t>
  </si>
  <si>
    <t>145139x160=148,8
420869/320
634347/280
420733/550
379231/00
379700/00</t>
  </si>
  <si>
    <t>00E12-0-00Fx1=0
634346/1850</t>
  </si>
  <si>
    <t>141049x20=9
420733/560
420733/590
379015/00
379011/00
379700/00</t>
  </si>
  <si>
    <t>141447x40=15,6
379011/00
379700/00</t>
  </si>
  <si>
    <t>66060x1=215,8
478217/00</t>
  </si>
  <si>
    <t>00E13-0-00Fx1=0
634346/1870</t>
  </si>
  <si>
    <t>143850x4=55
379720/00</t>
  </si>
  <si>
    <t>00E13-0-00Ix1=0
634346/1880</t>
  </si>
  <si>
    <t>141091x18=346,68
379011/00
379723/00</t>
  </si>
  <si>
    <t>142113x18=355,86
379011/00
379723/00</t>
  </si>
  <si>
    <t>00E14-0-00Ix1=0
634346/1890</t>
  </si>
  <si>
    <t>100706x400=296
379020/00
379726/00</t>
  </si>
  <si>
    <t>100712x300=933
379726/00</t>
  </si>
  <si>
    <t>00E14-0-00Fx1=0
634346/1900</t>
  </si>
  <si>
    <t>126224x25=17,5
675863/00
478235/00</t>
  </si>
  <si>
    <t>140833x50=16,1
478235/00</t>
  </si>
  <si>
    <t>144374x50=46,55
478235/00</t>
  </si>
  <si>
    <t>99204x20=210
379730/00</t>
  </si>
  <si>
    <t>66062x1=2700
386583/00</t>
  </si>
  <si>
    <t>104660x38=5,74
634346/1690
634346/1930
420723/840</t>
  </si>
  <si>
    <t>104662x60=6,78
634343/150
634346/1700
634346/1940
634346/2020
420723/370
420723/830</t>
  </si>
  <si>
    <t>105202x120=2,16
634346/1680
634346/1950
420723/380
420723/850
420731/330</t>
  </si>
  <si>
    <t>123240x10=12,24
634346/2000
379160/00</t>
  </si>
  <si>
    <t>123208x10=3,41
634346/2010
379160/00</t>
  </si>
  <si>
    <t>104662x20=2,26
634343/150
634346/1700
634346/1940
634346/2020
420723/370
420723/830</t>
  </si>
  <si>
    <t>104303x5=9,66
634346/2030
420869/380
420733/520</t>
  </si>
  <si>
    <t>01E26-1-00Ix1=0
634346/2040</t>
  </si>
  <si>
    <t>145513x8=188,64
378917/00
379658/00
015785/00</t>
  </si>
  <si>
    <t>634346.0010x715,5=24931,42
133798(112h)
133798(588h)
000791(16h)</t>
  </si>
  <si>
    <t>634346.0020x375,75=13719,54
138231(9h)
138231(67h)
000702(90h)
137472(37h)
141024(74h)
138760(59h)
133798(40h)</t>
  </si>
  <si>
    <t>634367.0020x220,25=9920,06
138388(204h)
138872(16h)</t>
  </si>
  <si>
    <t>634367.0040x82=3693,28
139101(82h)</t>
  </si>
  <si>
    <t>66050x1=10394,8
386518/00</t>
  </si>
  <si>
    <t>624329.0030x16,25=575,74
137683(12h)
000227(4h)</t>
  </si>
  <si>
    <t>624329.0050x12=437,16
138231(12h)</t>
  </si>
  <si>
    <t>66045x0,5=9000
386506/00</t>
  </si>
  <si>
    <t>44041x1=856,25
478166/00</t>
  </si>
  <si>
    <t>44052x1=285
478210/00</t>
  </si>
  <si>
    <t>624327.0020x256=9374,72
138388(24h)
000580(232h)</t>
  </si>
  <si>
    <t>624327.0030x702=24871,92
000227(270h)
137683(332h)
000327(100h)</t>
  </si>
  <si>
    <t>624327.0040x305=10461,5
133798(305h)</t>
  </si>
  <si>
    <t>132970x50=6,5
634343/10</t>
  </si>
  <si>
    <t>134545x50=1,75
634343/20</t>
  </si>
  <si>
    <t>133813x50=2
634343/30</t>
  </si>
  <si>
    <t>142076x30=1,35
634343/40</t>
  </si>
  <si>
    <t>132975x30=1,2
634343/50
634343/200
420658/790</t>
  </si>
  <si>
    <t>131368x30=1,5
634343/60</t>
  </si>
  <si>
    <t>101404x1000=12
634343/70
420658/640
420733/270</t>
  </si>
  <si>
    <t>105280x400=80
634343/80
634346/370
420723/1210
420776/310</t>
  </si>
  <si>
    <t>103133x14=23,3
634343/90
213289/10
213304/10
213311/10
213322/10
213323/10
213451/10
213468/10
213568/10
213575/10
213577/10
213599/10
213482/10</t>
  </si>
  <si>
    <t>105284x100=135
634343/100
420723/1130</t>
  </si>
  <si>
    <t>66034x1=1620,55
477631/00</t>
  </si>
  <si>
    <t>66035x1=637,9
477631/00</t>
  </si>
  <si>
    <t>66036x1=23,2
477631/00</t>
  </si>
  <si>
    <t>66041x1=141,6
676335/00</t>
  </si>
  <si>
    <t>104662x8=0,9
634343/150
634346/1700
634346/1940
634346/2020
420723/370
420723/830</t>
  </si>
  <si>
    <t>101458x10=0,39
634343/160</t>
  </si>
  <si>
    <t>66043x1=283,52
676428/00</t>
  </si>
  <si>
    <t>101376x180=0,86
634343/180
634343/220
634346/260
634346/390
634346/1450</t>
  </si>
  <si>
    <t>105977x180=3,96
634343/190
634346/400</t>
  </si>
  <si>
    <t>132975x180=7,2
634343/50
634343/200
420658/790</t>
  </si>
  <si>
    <t>104815x180=3,6
634343/210</t>
  </si>
  <si>
    <t>101376x300=1,44
634343/180
634343/220
634346/260
634346/390
634346/1450</t>
  </si>
  <si>
    <t>103147x72=12,23
634343/240
420658/610</t>
  </si>
  <si>
    <t>118970x56=6,44
634343/250
420658/690</t>
  </si>
  <si>
    <t>109064x20=13,6
634343/260
213353/10</t>
  </si>
  <si>
    <t>126192x35=2,28
634343/270
420658/630</t>
  </si>
  <si>
    <t>21020.00.201.201x2=2,61
634343/280</t>
  </si>
  <si>
    <t>21001.00.901.027x100=80
634343/290</t>
  </si>
  <si>
    <t>21001.00.901.028x100=55
634343/300</t>
  </si>
  <si>
    <t>21001.00.901.029x100=60
634343/310</t>
  </si>
  <si>
    <t>21001.00.901.030x100=80
634343/320</t>
  </si>
  <si>
    <t>142078x100=13
634343/330</t>
  </si>
  <si>
    <t>103152x54=12,31
634343/340</t>
  </si>
  <si>
    <t>105311x42=12,45
634343/350</t>
  </si>
  <si>
    <t>634343.0010x497=17351,78
000858(37h)
137770(1h)
000791(40h)
000273(10h)
000858(110h)
000791(155h)
000273(105h)
137770(40h)</t>
  </si>
  <si>
    <t>624326.0010x1020,04=45436,37
131427(619h)
000872(3h)
000806(32h)
131427(366h)</t>
  </si>
  <si>
    <t>TRANSPORTEC                          x1=8504,7000000000025
22400138
22400140
22400202
22400264
22400887
22400989
22400990
153493/15
153545/10
153552/25
153563/15
153564/15
153585/15
378897/15
378898/25
378904/10
378934/15
378943/10
378961/15
378997/15
379092/20
379598/25
379599/15
379627/15
379670/20
379681/20
379714/20
386274/20
386279/15
386504/15
477191/10
477301/10
477329/10
675525/10
675570/10
675729/10
675737/85
675826/15
675833/125
675841/15
675882/40
675897/35
675907/10
675912/20
675939/15
675962/10
675964/60
675964/65
675968/15
676237/20
676265/10
676285/20
676824/10
676828/15
676865/25
676871/20
676874/15
676878/25
676880/15
676904/10
676941/10</t>
  </si>
  <si>
    <t>TRANSPORTEV                          x1=3165,45
22400228
22400495
22400866
22400871
22400897
22400942
22401007
22401007
386583/5</t>
  </si>
  <si>
    <t>EMBALAJE                             x1=70
378961/10</t>
  </si>
  <si>
    <t>Project</t>
  </si>
  <si>
    <t>Osy</t>
  </si>
  <si>
    <t>Vrs DashBoard</t>
  </si>
  <si>
    <t>Vrs Std.Prices</t>
  </si>
  <si>
    <t>ItmId</t>
  </si>
  <si>
    <t>QtyTot</t>
  </si>
  <si>
    <t>OrdTot</t>
  </si>
  <si>
    <t>101448</t>
  </si>
  <si>
    <t>624324/20
634346/610
634346/1190
634346/2200
634346/2580
420723/1250
624324/20
634346/610
634346/1190
634346/2200
634346/2580
420723/1250</t>
  </si>
  <si>
    <t>109117</t>
  </si>
  <si>
    <t>624324/30
634344/180
634346/1080
420723/1580
420776/160
420776/190
420776/260
420776/370
624324/30
634344/180
634346/1080
420723/1580
420776/160
420776/190
420776/260
420776/370</t>
  </si>
  <si>
    <t>101601</t>
  </si>
  <si>
    <t>624324/40
420723/500
420723/590
420723/1530
624324/40
420723/500
420723/590
420723/1530</t>
  </si>
  <si>
    <t>101306</t>
  </si>
  <si>
    <t>624324/50
420723/480
420723/780
624324/50
420723/480
420723/780</t>
  </si>
  <si>
    <t>105051</t>
  </si>
  <si>
    <t>624331/110
634346/960
624331/110
634346/960</t>
  </si>
  <si>
    <t>109116</t>
  </si>
  <si>
    <t>624331/120
420723/660
420723/670
420776/390
624331/120
420723/660
420723/670
420776/390</t>
  </si>
  <si>
    <t>30991.00.419.000</t>
  </si>
  <si>
    <t>634341/60
420658/840
420776/280
420776/380
634341/60
420658/840
420776/280
420776/380</t>
  </si>
  <si>
    <t>123191</t>
  </si>
  <si>
    <t>634341/70
421046/30
421053/30
420776/210
634341/70
421046/30
421053/30
420776/210</t>
  </si>
  <si>
    <t>123207</t>
  </si>
  <si>
    <t>634341/80
421053/40
420723/870
634341/80
421053/40
420723/870</t>
  </si>
  <si>
    <t>111306</t>
  </si>
  <si>
    <t>634341/90
634341/130
634341/90
634341/130</t>
  </si>
  <si>
    <t>126225</t>
  </si>
  <si>
    <t>634341/120
420723/1430
634341/120
420723/1430</t>
  </si>
  <si>
    <t>132970</t>
  </si>
  <si>
    <t>634343/10
634343/10</t>
  </si>
  <si>
    <t>134545</t>
  </si>
  <si>
    <t>634343/20
634343/20</t>
  </si>
  <si>
    <t>133813</t>
  </si>
  <si>
    <t>634343/30
634343/30</t>
  </si>
  <si>
    <t>142076</t>
  </si>
  <si>
    <t>634343/40
420658/1300
634343/40
420658/1300</t>
  </si>
  <si>
    <t>132975</t>
  </si>
  <si>
    <t>634343/50
634343/200
420658/790
420658/1290
634343/50
634343/200
420658/790
420658/1290</t>
  </si>
  <si>
    <t>131368</t>
  </si>
  <si>
    <t>634343/60
420658/1310
634343/60
420658/1310</t>
  </si>
  <si>
    <t>101404</t>
  </si>
  <si>
    <t>634343/70
420658/640
420733/270
634343/70
420658/640
420733/270</t>
  </si>
  <si>
    <t>105280</t>
  </si>
  <si>
    <t>634343/80
634346/370
420723/1210
420776/310
634343/80
634346/370
420723/1210
420776/310</t>
  </si>
  <si>
    <t>103133</t>
  </si>
  <si>
    <t>634343/90
213289/10
213304/10
213311/10
213322/10
213323/10
213451/10
213468/10
213568/10
213575/10
213577/10
213599/10
213482/10
634343/90
213289/10
213304/10
213311/10
213322/10
213323/10
213451/10
213468/10
213568/10
213575/10
213577/10
213599/10
213482/10</t>
  </si>
  <si>
    <t>105284</t>
  </si>
  <si>
    <t>634343/100
420723/1130
634343/100
420723/1130</t>
  </si>
  <si>
    <t>104662</t>
  </si>
  <si>
    <t>634343/150
634346/1700
634346/1940
634346/2020
634346/2050
420723/370
420723/830
634343/150
634346/1700
634346/1940
634346/2020
634346/2050
420723/370
420723/830</t>
  </si>
  <si>
    <t>101458</t>
  </si>
  <si>
    <t>634343/160
420723/1330
634343/160
420723/1330</t>
  </si>
  <si>
    <t>101376</t>
  </si>
  <si>
    <t>634343/180
634343/220
634346/260
634346/390
634346/1450
634343/180
634343/220
634346/260
634346/390
634346/1450</t>
  </si>
  <si>
    <t>105977</t>
  </si>
  <si>
    <t>634343/190
634346/400
634343/190
634346/400</t>
  </si>
  <si>
    <t>104815</t>
  </si>
  <si>
    <t>634343/210
634343/210</t>
  </si>
  <si>
    <t>105978</t>
  </si>
  <si>
    <t>634343/230
420658/600
634346/430
634346/580
634346/1340
634346/2280
420732/490
634343/230
420658/600
634346/430
634346/580
634346/1340
634346/2280
420732/490</t>
  </si>
  <si>
    <t>103147</t>
  </si>
  <si>
    <t>634343/240
420658/610
634343/240
420658/610</t>
  </si>
  <si>
    <t>118970</t>
  </si>
  <si>
    <t>634343/250
420658/690
634343/250
420658/690</t>
  </si>
  <si>
    <t>109064</t>
  </si>
  <si>
    <t>634343/260
213353/10
634343/260
213353/10</t>
  </si>
  <si>
    <t>126192</t>
  </si>
  <si>
    <t>634343/270
420658/630
634343/270
420658/630</t>
  </si>
  <si>
    <t>21020.00.201.201</t>
  </si>
  <si>
    <t>634343/280
634343/280</t>
  </si>
  <si>
    <t>21001.00.901.027</t>
  </si>
  <si>
    <t>634343/290
420723/1490
634343/290
420723/1490</t>
  </si>
  <si>
    <t>21001.00.901.028</t>
  </si>
  <si>
    <t>634343/300
634343/300</t>
  </si>
  <si>
    <t>21001.00.901.029</t>
  </si>
  <si>
    <t>634343/310
634343/310</t>
  </si>
  <si>
    <t>21001.00.901.030</t>
  </si>
  <si>
    <t>634343/320
634343/320</t>
  </si>
  <si>
    <t>142078</t>
  </si>
  <si>
    <t>634343/330
634343/330</t>
  </si>
  <si>
    <t>103152</t>
  </si>
  <si>
    <t>634343/340
634343/340</t>
  </si>
  <si>
    <t>105311</t>
  </si>
  <si>
    <t>634343/350
634343/350</t>
  </si>
  <si>
    <t>105101</t>
  </si>
  <si>
    <t>634343/380
634343/380</t>
  </si>
  <si>
    <t>105246</t>
  </si>
  <si>
    <t>634343/390
634343/390</t>
  </si>
  <si>
    <t>114404</t>
  </si>
  <si>
    <t>634343/400
634343/400</t>
  </si>
  <si>
    <t>116375</t>
  </si>
  <si>
    <t>634343/410
634343/410</t>
  </si>
  <si>
    <t>105202</t>
  </si>
  <si>
    <t>634343/420
634346/1680
634346/1950
634346/2060
420723/380
420723/850
420731/330
634343/420
634346/1680
634346/1950
634346/2060
420723/380
420723/850
420731/330</t>
  </si>
  <si>
    <t>102804</t>
  </si>
  <si>
    <t>634343/430
420732/510
420733/570
634343/430
420732/510
420733/570</t>
  </si>
  <si>
    <t>101608</t>
  </si>
  <si>
    <t>634343/440
634346/2590
634343/440
634346/2590</t>
  </si>
  <si>
    <t>105098</t>
  </si>
  <si>
    <t>634343/450
634343/450</t>
  </si>
  <si>
    <t>21020.01.403.040</t>
  </si>
  <si>
    <t>634343/460
420658/1080
420658/1120
420723/940
420733/650
634343/460
420658/1080
420658/1120
420723/940
420733/650</t>
  </si>
  <si>
    <t>00N15-1-00A</t>
  </si>
  <si>
    <t>634344/10
634344/10</t>
  </si>
  <si>
    <t>01E02-1-00A</t>
  </si>
  <si>
    <t>634344/20
634344/20</t>
  </si>
  <si>
    <t>01E05-1-00A</t>
  </si>
  <si>
    <t>634344/30
634344/30</t>
  </si>
  <si>
    <t>01E06-1-00A</t>
  </si>
  <si>
    <t>634344/40
634344/40</t>
  </si>
  <si>
    <t>04E01-1-00</t>
  </si>
  <si>
    <t>634344/60
634344/60</t>
  </si>
  <si>
    <t>101609</t>
  </si>
  <si>
    <t>634344/70
420732/210
634344/70
420732/210</t>
  </si>
  <si>
    <t>01E00-0-00A</t>
  </si>
  <si>
    <t>634344/100
634344/100</t>
  </si>
  <si>
    <t>01E13-1-00A</t>
  </si>
  <si>
    <t>634344/120
634344/120</t>
  </si>
  <si>
    <t>00E04-0-00</t>
  </si>
  <si>
    <t>634344/130
634344/130</t>
  </si>
  <si>
    <t>04E02-1-00A</t>
  </si>
  <si>
    <t>634344/160
634344/160</t>
  </si>
  <si>
    <t>109118</t>
  </si>
  <si>
    <t>634344/170
634346/1050
420732/410
634344/170
634346/1050
420732/410</t>
  </si>
  <si>
    <t>00E03-0-00A</t>
  </si>
  <si>
    <t>634344/190
634344/190</t>
  </si>
  <si>
    <t>01E17-1-00A</t>
  </si>
  <si>
    <t>634344/200
634344/200</t>
  </si>
  <si>
    <t>00E06-0-00A</t>
  </si>
  <si>
    <t>634344/210
634344/210</t>
  </si>
  <si>
    <t>04E03-1-00</t>
  </si>
  <si>
    <t>634344/240
634344/240</t>
  </si>
  <si>
    <t>00E09-0-00A</t>
  </si>
  <si>
    <t>634344/250
634344/250</t>
  </si>
  <si>
    <t>00E20-1-00A</t>
  </si>
  <si>
    <t>634344/260
634344/260</t>
  </si>
  <si>
    <t>00E21-1-00A</t>
  </si>
  <si>
    <t>634344/270
634344/270</t>
  </si>
  <si>
    <t>01E22-1-00A</t>
  </si>
  <si>
    <t>634344/280
634344/280</t>
  </si>
  <si>
    <t>01E24-1-00A</t>
  </si>
  <si>
    <t>634344/290
634344/290</t>
  </si>
  <si>
    <t>01E25-1-00</t>
  </si>
  <si>
    <t>634344/340
634344/340</t>
  </si>
  <si>
    <t>01E26-1-00A</t>
  </si>
  <si>
    <t>634344/360
634344/360</t>
  </si>
  <si>
    <t>141319</t>
  </si>
  <si>
    <t>634344/370
634344/370</t>
  </si>
  <si>
    <t>141433</t>
  </si>
  <si>
    <t>634344/380
634344/380</t>
  </si>
  <si>
    <t>01E27-1-00A</t>
  </si>
  <si>
    <t>634344/390
634344/390</t>
  </si>
  <si>
    <t>101263</t>
  </si>
  <si>
    <t>420654/10
420654/130
420658/10
420690/10
420724/10
420654/10
420654/130
420658/10
420690/10
420724/10</t>
  </si>
  <si>
    <t>142355</t>
  </si>
  <si>
    <t>420654/120
420654/120</t>
  </si>
  <si>
    <t>101377</t>
  </si>
  <si>
    <t>420658/590
634346/270
634346/420
634346/1310
634346/2260
634346/2370
634346/2550
420732/470
420776/170
420658/590
634346/270
634346/420
634346/1310
634346/2260
634346/2370
634346/2550
420732/470
420776/170</t>
  </si>
  <si>
    <t>132962</t>
  </si>
  <si>
    <t>420658/620
420731/230
420658/620
420731/230</t>
  </si>
  <si>
    <t>101455</t>
  </si>
  <si>
    <t>420658/650
420658/650</t>
  </si>
  <si>
    <t>104824</t>
  </si>
  <si>
    <t>420658/660
420658/660</t>
  </si>
  <si>
    <t>101442</t>
  </si>
  <si>
    <t>420658/670
420658/800
420658/670
420658/800</t>
  </si>
  <si>
    <t>116021</t>
  </si>
  <si>
    <t>420658/680
634347/220
420658/680
634347/220</t>
  </si>
  <si>
    <t>131638</t>
  </si>
  <si>
    <t>420658/700
420658/700</t>
  </si>
  <si>
    <t>105411</t>
  </si>
  <si>
    <t>420658/710
420723/1510
420658/710
420723/1510</t>
  </si>
  <si>
    <t>105301</t>
  </si>
  <si>
    <t>420658/720
420658/720</t>
  </si>
  <si>
    <t>105302</t>
  </si>
  <si>
    <t>420658/730
420658/730</t>
  </si>
  <si>
    <t>128872</t>
  </si>
  <si>
    <t>420658/740
420658/740</t>
  </si>
  <si>
    <t>128874</t>
  </si>
  <si>
    <t>420658/750
420658/750</t>
  </si>
  <si>
    <t>104841</t>
  </si>
  <si>
    <t>420658/760
420658/760</t>
  </si>
  <si>
    <t>104842</t>
  </si>
  <si>
    <t>420658/770
420658/770</t>
  </si>
  <si>
    <t>128871</t>
  </si>
  <si>
    <t>420658/780
420658/780</t>
  </si>
  <si>
    <t>101405</t>
  </si>
  <si>
    <t>420658/810
420658/810</t>
  </si>
  <si>
    <t>104150</t>
  </si>
  <si>
    <t>420658/820
634346/1020
420655/70
420658/820
634346/1020
420655/70</t>
  </si>
  <si>
    <t>104148</t>
  </si>
  <si>
    <t>420658/830
420655/60
420732/280
420732/290
420731/280
420733/460
420658/830
420655/60
420732/280
420732/290
420731/280
420733/460</t>
  </si>
  <si>
    <t>21020.00.300.411</t>
  </si>
  <si>
    <t>420658/850
420853/20
420658/850
420853/20</t>
  </si>
  <si>
    <t>21020.00.300.410</t>
  </si>
  <si>
    <t>420658/860
420658/860</t>
  </si>
  <si>
    <t>105337</t>
  </si>
  <si>
    <t>420658/870
420658/870</t>
  </si>
  <si>
    <t>94500.10.671.002</t>
  </si>
  <si>
    <t>420658/880
420869/170
420658/880
420869/170</t>
  </si>
  <si>
    <t>105200</t>
  </si>
  <si>
    <t>420658/890
634346/2070
634346/2090
420658/890
634346/2070
634346/2090</t>
  </si>
  <si>
    <t>101450</t>
  </si>
  <si>
    <t>420658/900
634346/300
634346/1200
634346/1410
634346/2190
420658/900
634346/300
634346/1200
634346/1410
634346/2190</t>
  </si>
  <si>
    <t>101452</t>
  </si>
  <si>
    <t>420658/910
634346/410
634346/620
634346/1230
420732/450
420731/310
420658/910
634346/410
634346/620
634346/1230
420732/450
420731/310</t>
  </si>
  <si>
    <t>141045</t>
  </si>
  <si>
    <t>420658/920
420658/1220
420658/920
420658/1220</t>
  </si>
  <si>
    <t>141049</t>
  </si>
  <si>
    <t>420658/930
420658/1240
420723/1460
420733/560
420733/590
420776/330
420658/930
420658/1240
420723/1460
420733/560
420733/590
420776/330</t>
  </si>
  <si>
    <t>138466</t>
  </si>
  <si>
    <t>420658/940
420658/1090
420658/1100
420723/1470
420733/440
420658/940
420658/1090
420658/1100
420723/1470
420733/440</t>
  </si>
  <si>
    <t>21020.00.401.440</t>
  </si>
  <si>
    <t>420658/950
420658/950</t>
  </si>
  <si>
    <t>21020.00.401.420</t>
  </si>
  <si>
    <t>420658/960
420869/520
420723/1240
420723/1370
420723/1560
420658/960
420869/520
420723/1240
420723/1370
420723/1560</t>
  </si>
  <si>
    <t>21020.00.401.430</t>
  </si>
  <si>
    <t>420658/970
420734/30
420734/40
420869/410
420869/530
420869/540
420723/1570
420723/1620
420658/970
420734/30
420734/40
420869/410
420869/530
420869/540
420723/1570
420723/1620</t>
  </si>
  <si>
    <t>21020.00.401.810</t>
  </si>
  <si>
    <t>420658/980
420853/60
420658/980
420853/60</t>
  </si>
  <si>
    <t>105422</t>
  </si>
  <si>
    <t>420658/990
420658/990</t>
  </si>
  <si>
    <t>117360</t>
  </si>
  <si>
    <t>420658/1000
420658/1040
420658/1000
420658/1040</t>
  </si>
  <si>
    <t>117356</t>
  </si>
  <si>
    <t>420658/1010
420869/500
420732/320
420732/380
420658/1010
420869/500
420732/320
420732/380</t>
  </si>
  <si>
    <t>104149</t>
  </si>
  <si>
    <t>420658/1020
420658/1060
420658/1210
420733/510
420658/1020
420658/1060
420658/1210
420733/510</t>
  </si>
  <si>
    <t>104283</t>
  </si>
  <si>
    <t>420658/1030
420732/20
420733/410
420658/1030
420732/20
420733/410</t>
  </si>
  <si>
    <t>123185</t>
  </si>
  <si>
    <t>420658/1050
420733/370
420658/1050
420733/370</t>
  </si>
  <si>
    <t>116471</t>
  </si>
  <si>
    <t>420658/1070
420658/1180
420732/110
420658/1070
420658/1180
420732/110</t>
  </si>
  <si>
    <t>138467</t>
  </si>
  <si>
    <t>420658/1110
420733/450
420733/630
420658/1110
420733/450
420733/630</t>
  </si>
  <si>
    <t>125212</t>
  </si>
  <si>
    <t>420658/1130
420658/1130</t>
  </si>
  <si>
    <t>100749</t>
  </si>
  <si>
    <t>420658/1140
420723/690
420658/1140
420723/690</t>
  </si>
  <si>
    <t>104226</t>
  </si>
  <si>
    <t>420658/1150
420655/100
420731/10
420733/280
420733/420
420658/1150
420655/100
420731/10
420733/280
420733/420</t>
  </si>
  <si>
    <t>117349</t>
  </si>
  <si>
    <t>420658/1160
420658/1160</t>
  </si>
  <si>
    <t>104188</t>
  </si>
  <si>
    <t>420658/1170
420655/110
420733/430
420658/1170
420655/110
420733/430</t>
  </si>
  <si>
    <t>116472</t>
  </si>
  <si>
    <t>420658/1190
634346/1130
420655/80
420723/1660
420732/120
420658/1190
634346/1130
420655/80
420723/1660
420732/120</t>
  </si>
  <si>
    <t>102806</t>
  </si>
  <si>
    <t>420658/1200
420658/1200</t>
  </si>
  <si>
    <t>104292</t>
  </si>
  <si>
    <t>420658/1230
420869/400
420658/1230
420869/400</t>
  </si>
  <si>
    <t>21020.00.402.020</t>
  </si>
  <si>
    <t>420658/1250
420658/1250</t>
  </si>
  <si>
    <t>116240</t>
  </si>
  <si>
    <t>420658/1260
420732/90
420733/470
420658/1260
420732/90
420733/470</t>
  </si>
  <si>
    <t>104229</t>
  </si>
  <si>
    <t>420658/1270
420658/1270</t>
  </si>
  <si>
    <t>132972</t>
  </si>
  <si>
    <t>420658/1280
420658/1280</t>
  </si>
  <si>
    <t>128165</t>
  </si>
  <si>
    <t>420658/1320
420658/1330
420658/1320
420658/1330</t>
  </si>
  <si>
    <t>104884</t>
  </si>
  <si>
    <t>420658/1340
420658/1340</t>
  </si>
  <si>
    <t>103125</t>
  </si>
  <si>
    <t>420658/1350
420658/1350</t>
  </si>
  <si>
    <t>126030</t>
  </si>
  <si>
    <t>420658/1360
213304/20
420658/1360
213304/20</t>
  </si>
  <si>
    <t>105415</t>
  </si>
  <si>
    <t>420658/1370
420658/1370</t>
  </si>
  <si>
    <t>105416</t>
  </si>
  <si>
    <t>420658/1380
420658/1380</t>
  </si>
  <si>
    <t>120948</t>
  </si>
  <si>
    <t>420734/50
420734/50</t>
  </si>
  <si>
    <t>02M01-4-01</t>
  </si>
  <si>
    <t>634345/10
634345/10</t>
  </si>
  <si>
    <t>02M01-4-06</t>
  </si>
  <si>
    <t>634345/20
634345/20</t>
  </si>
  <si>
    <t>06M01-0-00</t>
  </si>
  <si>
    <t>634345/30
634345/30</t>
  </si>
  <si>
    <t>06M02-0-00</t>
  </si>
  <si>
    <t>634345/70
634345/70</t>
  </si>
  <si>
    <t>06M03-0-00</t>
  </si>
  <si>
    <t>634345/80
634345/80</t>
  </si>
  <si>
    <t>06M06-0-13</t>
  </si>
  <si>
    <t>634345/100
634345/100</t>
  </si>
  <si>
    <t>06M06-0-14</t>
  </si>
  <si>
    <t>634345/110
634345/110</t>
  </si>
  <si>
    <t>00M07-1-00</t>
  </si>
  <si>
    <t>634345/210
634345/210</t>
  </si>
  <si>
    <t>395-00-000-1</t>
  </si>
  <si>
    <t>634345/220
634345/220</t>
  </si>
  <si>
    <t>00M09-0-01</t>
  </si>
  <si>
    <t>634345/230
634345/230</t>
  </si>
  <si>
    <t>00M05-0-00</t>
  </si>
  <si>
    <t>634345/240
634345/240</t>
  </si>
  <si>
    <t>00M10-0-00</t>
  </si>
  <si>
    <t>634345/270
634345/270</t>
  </si>
  <si>
    <t>00M13-0-01</t>
  </si>
  <si>
    <t>634345/280
634345/280</t>
  </si>
  <si>
    <t>00M14-0-00</t>
  </si>
  <si>
    <t>634345/290
634345/290</t>
  </si>
  <si>
    <t>00M15-0-00</t>
  </si>
  <si>
    <t>634345/300
634345/300</t>
  </si>
  <si>
    <t>00M17-0-00</t>
  </si>
  <si>
    <t>634345/310
634345/310</t>
  </si>
  <si>
    <t>00M19-0-01</t>
  </si>
  <si>
    <t>634345/360
634345/360</t>
  </si>
  <si>
    <t>740-00-000-1</t>
  </si>
  <si>
    <t>634345/400
634345/400</t>
  </si>
  <si>
    <t>216-00-000-1</t>
  </si>
  <si>
    <t>634345/460
634345/460</t>
  </si>
  <si>
    <t>316-00-000-1</t>
  </si>
  <si>
    <t>634345/470
634345/470</t>
  </si>
  <si>
    <t>605-00-000-1</t>
  </si>
  <si>
    <t>634345/480
634345/480</t>
  </si>
  <si>
    <t>00M06-0-00</t>
  </si>
  <si>
    <t>634345/500
634345/500</t>
  </si>
  <si>
    <t>00M23-0-01</t>
  </si>
  <si>
    <t>634345/510
634345/510</t>
  </si>
  <si>
    <t>00M02-0-01</t>
  </si>
  <si>
    <t>634345/550
634345/550</t>
  </si>
  <si>
    <t>840-01-000-1</t>
  </si>
  <si>
    <t>634345/630
634345/630</t>
  </si>
  <si>
    <t>21006.00.001.004</t>
  </si>
  <si>
    <t>213284/30
213307/20
213308/20
213595/220
634346/850
213284/30
213307/20
213308/20
213595/220
634346/850</t>
  </si>
  <si>
    <t>105073</t>
  </si>
  <si>
    <t>213284/60
213307/40
213308/40
213595/270
213284/60
213307/40
213308/40
213595/270</t>
  </si>
  <si>
    <t>126209</t>
  </si>
  <si>
    <t>213284/70
213307/70
213308/50
213595/250
213284/70
213307/70
213308/50
213595/250</t>
  </si>
  <si>
    <t>120687</t>
  </si>
  <si>
    <t>213284/80
213307/60
213308/60
213595/260
634346/1490
213284/80
213307/60
213308/60
213595/260
634346/1490</t>
  </si>
  <si>
    <t>114743</t>
  </si>
  <si>
    <t>213307/10
213308/10
213348/10
213595/230
213307/10
213308/10
213348/10
213595/230</t>
  </si>
  <si>
    <t>126208</t>
  </si>
  <si>
    <t>213307/50
213307/50</t>
  </si>
  <si>
    <t>143073</t>
  </si>
  <si>
    <t>213353/20
213353/20</t>
  </si>
  <si>
    <t>111997</t>
  </si>
  <si>
    <t>213353/90
213353/90</t>
  </si>
  <si>
    <t>113696</t>
  </si>
  <si>
    <t>213595/20
213595/20</t>
  </si>
  <si>
    <t>21006.00.001.002</t>
  </si>
  <si>
    <t>213595/210
213595/210</t>
  </si>
  <si>
    <t>104906</t>
  </si>
  <si>
    <t>213595/240
213595/240</t>
  </si>
  <si>
    <t>132152</t>
  </si>
  <si>
    <t>213623/100
213623/100</t>
  </si>
  <si>
    <t>132153</t>
  </si>
  <si>
    <t>213623/110
213623/110</t>
  </si>
  <si>
    <t>01E09-1-00I</t>
  </si>
  <si>
    <t>634346/20
634346/20</t>
  </si>
  <si>
    <t>00E01-0-00I</t>
  </si>
  <si>
    <t>634346/50
634346/50</t>
  </si>
  <si>
    <t>00E02-0-00I</t>
  </si>
  <si>
    <t>634346/110
634346/110</t>
  </si>
  <si>
    <t>00N04-1-00</t>
  </si>
  <si>
    <t>634346/150
634346/150</t>
  </si>
  <si>
    <t>01E14-1-00</t>
  </si>
  <si>
    <t>634346/170
634346/170</t>
  </si>
  <si>
    <t>01E15-1-00I</t>
  </si>
  <si>
    <t>634346/200
634346/200</t>
  </si>
  <si>
    <t>104744</t>
  </si>
  <si>
    <t>634346/220
634346/220</t>
  </si>
  <si>
    <t>104839</t>
  </si>
  <si>
    <t>634346/230
634346/230</t>
  </si>
  <si>
    <t>104832</t>
  </si>
  <si>
    <t>634346/240
420869/490
420723/650
634346/240
420869/490
420723/650</t>
  </si>
  <si>
    <t>101374</t>
  </si>
  <si>
    <t>634346/250
634346/250</t>
  </si>
  <si>
    <t>101445</t>
  </si>
  <si>
    <t>634346/280
634346/1440
634346/1550
634346/2210
634346/2570
634346/280
634346/1440
634346/1550
634346/2210
634346/2570</t>
  </si>
  <si>
    <t>104606</t>
  </si>
  <si>
    <t>634346/290
634346/1280
634346/290
634346/1280</t>
  </si>
  <si>
    <t>101378</t>
  </si>
  <si>
    <t>634346/310
634346/460
634346/760
634346/1320
634346/2240
634346/310
634346/460
634346/760
634346/1320
634346/2240</t>
  </si>
  <si>
    <t>105242</t>
  </si>
  <si>
    <t>634346/320
634346/490
634346/1330
634346/1540
634346/2230
634346/320
634346/490
634346/1330
634346/1540
634346/2230</t>
  </si>
  <si>
    <t>101444</t>
  </si>
  <si>
    <t>634346/330
634346/1570
420723/910
634346/330
634346/1570
420723/910</t>
  </si>
  <si>
    <t>104620</t>
  </si>
  <si>
    <t>634346/340
634346/340</t>
  </si>
  <si>
    <t>105976</t>
  </si>
  <si>
    <t>634346/350
634346/660
634346/350
634346/660</t>
  </si>
  <si>
    <t>105974</t>
  </si>
  <si>
    <t>634346/360
634346/470
634346/1470
634346/2270
634346/360
634346/470
634346/1470
634346/2270</t>
  </si>
  <si>
    <t>101451</t>
  </si>
  <si>
    <t>634346/380
634346/1400
634346/2560
634346/380
634346/1400
634346/2560</t>
  </si>
  <si>
    <t>104652</t>
  </si>
  <si>
    <t>634346/440
634346/630
634346/1460
420732/460
420731/320
420733/620
634346/440
634346/630
634346/1460
420732/460
420731/320
420733/620</t>
  </si>
  <si>
    <t>104670</t>
  </si>
  <si>
    <t>634346/450
634346/450</t>
  </si>
  <si>
    <t>104690</t>
  </si>
  <si>
    <t>634346/480
634346/570
634346/480
634346/570</t>
  </si>
  <si>
    <t>110595</t>
  </si>
  <si>
    <t>634346/500
634346/500</t>
  </si>
  <si>
    <t>104724</t>
  </si>
  <si>
    <t>634346/510
634346/680
634346/510
634346/680</t>
  </si>
  <si>
    <t>105244</t>
  </si>
  <si>
    <t>634346/520
634346/690
420723/730
634346/520
634346/690
420723/730</t>
  </si>
  <si>
    <t>110597</t>
  </si>
  <si>
    <t>634346/530
634346/700
634347/250
420723/720
634346/530
634346/700
634347/250
420723/720</t>
  </si>
  <si>
    <t>105050</t>
  </si>
  <si>
    <t>634346/540
634346/950
634346/540
634346/950</t>
  </si>
  <si>
    <t>105049</t>
  </si>
  <si>
    <t>634346/550
634346/550</t>
  </si>
  <si>
    <t>101471</t>
  </si>
  <si>
    <t>634346/590
634346/2540
634346/590
634346/2540</t>
  </si>
  <si>
    <t>101447</t>
  </si>
  <si>
    <t>634346/600
634346/1390
634346/1430
634346/2220
634346/600
634346/1390
634346/1430
634346/2220</t>
  </si>
  <si>
    <t>104654</t>
  </si>
  <si>
    <t>634346/640
634346/2380
634346/640
634346/2380</t>
  </si>
  <si>
    <t>104656</t>
  </si>
  <si>
    <t>634346/650
634346/650</t>
  </si>
  <si>
    <t>00E05-0-00F</t>
  </si>
  <si>
    <t>634346/670
634346/670</t>
  </si>
  <si>
    <t>105040</t>
  </si>
  <si>
    <t>634346/710
634346/710</t>
  </si>
  <si>
    <t>105039</t>
  </si>
  <si>
    <t>634346/720
634346/720</t>
  </si>
  <si>
    <t>105041</t>
  </si>
  <si>
    <t>634346/730
634346/730</t>
  </si>
  <si>
    <t>105052</t>
  </si>
  <si>
    <t>634346/750
634346/750</t>
  </si>
  <si>
    <t>104725</t>
  </si>
  <si>
    <t>634346/770
634346/770</t>
  </si>
  <si>
    <t>110646</t>
  </si>
  <si>
    <t>634346/830
634346/830</t>
  </si>
  <si>
    <t>104672</t>
  </si>
  <si>
    <t>634346/860
634346/860</t>
  </si>
  <si>
    <t>104250</t>
  </si>
  <si>
    <t>634346/870
634346/870</t>
  </si>
  <si>
    <t>00N00-0-00</t>
  </si>
  <si>
    <t>634346/880
634346/880</t>
  </si>
  <si>
    <t>00E03-0-00F</t>
  </si>
  <si>
    <t>634346/890
634346/890</t>
  </si>
  <si>
    <t>00E03-0-00I</t>
  </si>
  <si>
    <t>634346/900
634346/900</t>
  </si>
  <si>
    <t>01E16-1-00I</t>
  </si>
  <si>
    <t>634346/910
634346/910</t>
  </si>
  <si>
    <t>104675</t>
  </si>
  <si>
    <t>634346/930
634346/930</t>
  </si>
  <si>
    <t>104674</t>
  </si>
  <si>
    <t>634346/940
634346/940</t>
  </si>
  <si>
    <t>01E18-1-00</t>
  </si>
  <si>
    <t>634346/970
634346/970</t>
  </si>
  <si>
    <t>00E06-0-00I</t>
  </si>
  <si>
    <t>634346/980
634346/980</t>
  </si>
  <si>
    <t>00E07-0-00F</t>
  </si>
  <si>
    <t>634346/990
634346/990</t>
  </si>
  <si>
    <t>00E07-0-00I</t>
  </si>
  <si>
    <t>634346/1000
634346/1000</t>
  </si>
  <si>
    <t>104253</t>
  </si>
  <si>
    <t>634346/1010
420733/480
420776/200
634346/1010
420733/480
420776/200</t>
  </si>
  <si>
    <t>104227</t>
  </si>
  <si>
    <t>634346/1030
634346/1030</t>
  </si>
  <si>
    <t>104189</t>
  </si>
  <si>
    <t>634346/1040
634346/1040</t>
  </si>
  <si>
    <t>105281</t>
  </si>
  <si>
    <t>634346/1060
420723/1120
420723/1140
634346/1060
420723/1120
420723/1140</t>
  </si>
  <si>
    <t>104242</t>
  </si>
  <si>
    <t>634346/1090
634346/1090</t>
  </si>
  <si>
    <t>104202</t>
  </si>
  <si>
    <t>634346/1100
420732/230
420733/500
634346/1100
420732/230
420733/500</t>
  </si>
  <si>
    <t>138502</t>
  </si>
  <si>
    <t>634346/1140
420733/640
634346/1140
420733/640</t>
  </si>
  <si>
    <t>00N01-0-00</t>
  </si>
  <si>
    <t>634346/1150
634346/1150</t>
  </si>
  <si>
    <t>00E08-0-00</t>
  </si>
  <si>
    <t>634346/1160
634346/1160</t>
  </si>
  <si>
    <t>101446</t>
  </si>
  <si>
    <t>634346/1210
634346/1210</t>
  </si>
  <si>
    <t>104619</t>
  </si>
  <si>
    <t>634346/1220
634346/1220</t>
  </si>
  <si>
    <t>104639</t>
  </si>
  <si>
    <t>634346/1240
634346/1580
634346/1240
634346/1580</t>
  </si>
  <si>
    <t>104636</t>
  </si>
  <si>
    <t>634346/1250
634346/1250</t>
  </si>
  <si>
    <t>104635</t>
  </si>
  <si>
    <t>634346/1260
634346/1260</t>
  </si>
  <si>
    <t>104608</t>
  </si>
  <si>
    <t>634346/1270
634346/1270</t>
  </si>
  <si>
    <t>104659</t>
  </si>
  <si>
    <t>634346/1290
634346/1290</t>
  </si>
  <si>
    <t>101375</t>
  </si>
  <si>
    <t>634346/1300
634346/2250
634346/1300
634346/2250</t>
  </si>
  <si>
    <t>101472</t>
  </si>
  <si>
    <t>634346/1350
420869/190
420723/530
634346/1350
420869/190
420723/530</t>
  </si>
  <si>
    <t>105144</t>
  </si>
  <si>
    <t>634346/1360
634346/1360</t>
  </si>
  <si>
    <t>101473</t>
  </si>
  <si>
    <t>634346/1370
634346/1370</t>
  </si>
  <si>
    <t>104637</t>
  </si>
  <si>
    <t>634346/1380
634346/1380</t>
  </si>
  <si>
    <t>01E19-1-00</t>
  </si>
  <si>
    <t>634346/1420
634346/1420</t>
  </si>
  <si>
    <t>00E09-0-00F</t>
  </si>
  <si>
    <t>634346/1480
634346/1480</t>
  </si>
  <si>
    <t>00E20-1-00I</t>
  </si>
  <si>
    <t>634346/1530
634346/1530</t>
  </si>
  <si>
    <t>104607</t>
  </si>
  <si>
    <t>634346/1560
634346/1560</t>
  </si>
  <si>
    <t>01E22-1-00I</t>
  </si>
  <si>
    <t>634346/1630
634346/1630</t>
  </si>
  <si>
    <t>104844</t>
  </si>
  <si>
    <t>634346/1650
634346/1740
634346/1650
634346/1740</t>
  </si>
  <si>
    <t>105045</t>
  </si>
  <si>
    <t>634346/1660
634346/1730
420723/630
420723/640
634346/1660
634346/1730
420723/630
420723/640</t>
  </si>
  <si>
    <t>104660</t>
  </si>
  <si>
    <t>634346/1690
634346/1930
420723/840
420732/480
634346/1690
634346/1930
420723/840
420732/480</t>
  </si>
  <si>
    <t>01E23-1-00I</t>
  </si>
  <si>
    <t>634346/1720
634346/1720</t>
  </si>
  <si>
    <t>01E24-1-00I</t>
  </si>
  <si>
    <t>634346/1790
634346/1790</t>
  </si>
  <si>
    <t>116416</t>
  </si>
  <si>
    <t>634346/1810
634346/1980
634346/2110
420732/500
634346/1810
634346/1980
634346/2110
420732/500</t>
  </si>
  <si>
    <t>00E11-0-00I</t>
  </si>
  <si>
    <t>634346/1820
634346/1820</t>
  </si>
  <si>
    <t>00E12-0-00I</t>
  </si>
  <si>
    <t>634346/1840
634346/1840</t>
  </si>
  <si>
    <t>00E12-0-00F</t>
  </si>
  <si>
    <t>634346/1850
634346/1850</t>
  </si>
  <si>
    <t>00E13-0-00F</t>
  </si>
  <si>
    <t>634346/1870
634346/1870</t>
  </si>
  <si>
    <t>00E13-0-00I</t>
  </si>
  <si>
    <t>634346/1880
634346/1880</t>
  </si>
  <si>
    <t>00E14-0-00I</t>
  </si>
  <si>
    <t>634346/1890
634346/1890</t>
  </si>
  <si>
    <t>00E14-0-00F</t>
  </si>
  <si>
    <t>634346/1900
634346/1900</t>
  </si>
  <si>
    <t>123183</t>
  </si>
  <si>
    <t>634346/1990
634346/2390
420829/60
420869/260
420869/300
420723/430
420723/950
420723/1180
420723/1610
634346/1990
634346/2390
420829/60
420869/260
420869/300
420723/430
420723/950
420723/1180
420723/1610</t>
  </si>
  <si>
    <t>123240</t>
  </si>
  <si>
    <t>634346/2000
634346/2330
634346/2000
634346/2330</t>
  </si>
  <si>
    <t>123208</t>
  </si>
  <si>
    <t>634346/2010
634346/2340
634346/2010
634346/2340</t>
  </si>
  <si>
    <t>104303</t>
  </si>
  <si>
    <t>634346/2030
420869/380
420733/520
634346/2030
420869/380
420733/520</t>
  </si>
  <si>
    <t>01E26-1-00I</t>
  </si>
  <si>
    <t>634346/2040
634346/2040</t>
  </si>
  <si>
    <t>105199</t>
  </si>
  <si>
    <t>634346/2080
634346/2080</t>
  </si>
  <si>
    <t>110647</t>
  </si>
  <si>
    <t>634346/2100
420723/1200
420733/610
634346/2100
420723/1200
420733/610</t>
  </si>
  <si>
    <t>00E15-0-00I</t>
  </si>
  <si>
    <t>634346/2160
634346/2160</t>
  </si>
  <si>
    <t>104634</t>
  </si>
  <si>
    <t>634346/2180
634346/2180</t>
  </si>
  <si>
    <t>104653</t>
  </si>
  <si>
    <t>634346/2350
634346/2360
634346/2350
634346/2360</t>
  </si>
  <si>
    <t>141286</t>
  </si>
  <si>
    <t>634346/2400
634346/2400</t>
  </si>
  <si>
    <t>109030</t>
  </si>
  <si>
    <t>634346/2430
634346/2430</t>
  </si>
  <si>
    <t>104698</t>
  </si>
  <si>
    <t>634346/2440
634346/2440</t>
  </si>
  <si>
    <t>104609</t>
  </si>
  <si>
    <t>634346/2450
634346/2450</t>
  </si>
  <si>
    <t>104610</t>
  </si>
  <si>
    <t>634346/2460
634346/2460</t>
  </si>
  <si>
    <t>01E27-1-00F</t>
  </si>
  <si>
    <t>634346/2470
634346/2470</t>
  </si>
  <si>
    <t>01E27-1-00I</t>
  </si>
  <si>
    <t>634346/2480
634346/2480</t>
  </si>
  <si>
    <t>00E16-0-00</t>
  </si>
  <si>
    <t>634346/2510
634346/2510</t>
  </si>
  <si>
    <t>21020.00.400.011</t>
  </si>
  <si>
    <t>420840/310
420853/40
420840/310
420853/40</t>
  </si>
  <si>
    <t>21020.00.400.010</t>
  </si>
  <si>
    <t>420869/130
420869/130</t>
  </si>
  <si>
    <t>123172</t>
  </si>
  <si>
    <t>420869/140
420732/190
420869/140
420732/190</t>
  </si>
  <si>
    <t>104447</t>
  </si>
  <si>
    <t>420869/150
420733/310
420733/320
420776/230
420776/250
420869/150
420733/310
420733/320
420776/230
420776/250</t>
  </si>
  <si>
    <t>104825</t>
  </si>
  <si>
    <t>420869/160
420869/160</t>
  </si>
  <si>
    <t>105058</t>
  </si>
  <si>
    <t>420869/180
420723/510
420869/180
420723/510</t>
  </si>
  <si>
    <t>113104</t>
  </si>
  <si>
    <t>420869/200
420732/300
420732/350
420869/200
420732/300
420732/350</t>
  </si>
  <si>
    <t>104304</t>
  </si>
  <si>
    <t>420869/210
420869/210</t>
  </si>
  <si>
    <t>123184</t>
  </si>
  <si>
    <t>420869/230
420869/360
420723/420
420723/960
420723/1520
420731/290
420733/360
420869/230
420869/360
420723/420
420723/960
420723/1520
420731/290
420733/360</t>
  </si>
  <si>
    <t>123199</t>
  </si>
  <si>
    <t>420869/240
420869/270
420869/310
420869/390
420723/460
420723/970
420723/1190
420869/240
420869/270
420869/310
420869/390
420723/460
420723/970
420723/1190</t>
  </si>
  <si>
    <t>123200</t>
  </si>
  <si>
    <t>420869/250
420869/370
420723/450
420723/980
420869/250
420869/370
420723/450
420723/980</t>
  </si>
  <si>
    <t>21020.00.300.610</t>
  </si>
  <si>
    <t>420869/280
420853/30
420869/280
420853/30</t>
  </si>
  <si>
    <t>101331</t>
  </si>
  <si>
    <t>420869/290
420723/1020
420723/1150
420723/1270
420723/1540
420869/290
420723/1020
420723/1150
420723/1270
420723/1540</t>
  </si>
  <si>
    <t>145139</t>
  </si>
  <si>
    <t>420869/320
634347/280
420723/1380
420733/550
420869/320
634347/280
420723/1380
420733/550</t>
  </si>
  <si>
    <t>125853</t>
  </si>
  <si>
    <t>420869/330
420869/420
420733/580
420733/600
420869/330
420869/420
420733/580
420733/600</t>
  </si>
  <si>
    <t>21020.00.300.210</t>
  </si>
  <si>
    <t>420869/340
420869/340</t>
  </si>
  <si>
    <t>104831</t>
  </si>
  <si>
    <t>420869/350
420723/560
420731/380
420869/350
420723/560
420731/380</t>
  </si>
  <si>
    <t>125211</t>
  </si>
  <si>
    <t>420869/430
420869/430</t>
  </si>
  <si>
    <t>100977</t>
  </si>
  <si>
    <t>420869/440
634347/330
420723/820
420723/1290
420723/1310
420723/1360
420723/1440
420723/1450
420732/420
420731/340
420869/440
634347/330
420723/820
420723/1290
420723/1310
420723/1360
420723/1440
420723/1450
420732/420
420731/340</t>
  </si>
  <si>
    <t>100979</t>
  </si>
  <si>
    <t>420869/450
634347/340
420723/400
420723/810
420723/1050
420723/1300
420723/1350
420723/1650
420869/450
634347/340
420723/400
420723/810
420723/1050
420723/1300
420723/1350
420723/1650</t>
  </si>
  <si>
    <t>100980</t>
  </si>
  <si>
    <t>420869/460
420723/390
420723/800
420723/1040
420723/1640
420869/460
420723/390
420723/800
420723/1040
420723/1640</t>
  </si>
  <si>
    <t>105065</t>
  </si>
  <si>
    <t>420869/470
420869/470</t>
  </si>
  <si>
    <t>101457</t>
  </si>
  <si>
    <t>420869/480
420869/480</t>
  </si>
  <si>
    <t>104153</t>
  </si>
  <si>
    <t>420869/510
420732/390
421262/20
420869/510
420732/390
421262/20</t>
  </si>
  <si>
    <t>101282</t>
  </si>
  <si>
    <t>420869/550
420869/550</t>
  </si>
  <si>
    <t>101287</t>
  </si>
  <si>
    <t>420869/560
420869/560</t>
  </si>
  <si>
    <t>101289</t>
  </si>
  <si>
    <t>420869/570
420869/570</t>
  </si>
  <si>
    <t>101290</t>
  </si>
  <si>
    <t>420869/580
420723/1000
420869/580
420723/1000</t>
  </si>
  <si>
    <t>101291</t>
  </si>
  <si>
    <t>420869/590
420869/590</t>
  </si>
  <si>
    <t>123065</t>
  </si>
  <si>
    <t>421025/40
421025/50
421025/40
421025/50</t>
  </si>
  <si>
    <t>144814</t>
  </si>
  <si>
    <t>421026/50
421026/60
420763/40
421026/50
421026/60
420763/40</t>
  </si>
  <si>
    <t>140584</t>
  </si>
  <si>
    <t>421290/20
421290/20</t>
  </si>
  <si>
    <t>111037</t>
  </si>
  <si>
    <t>421296/20
421296/20</t>
  </si>
  <si>
    <t>310-00-000-1</t>
  </si>
  <si>
    <t>634347/10
634347/10</t>
  </si>
  <si>
    <t>320-00-000-1</t>
  </si>
  <si>
    <t>634347/30
634347/30</t>
  </si>
  <si>
    <t>220-00-000-1</t>
  </si>
  <si>
    <t>634347/40
634347/40</t>
  </si>
  <si>
    <t>520-00-000-1</t>
  </si>
  <si>
    <t>634347/50
634347/50</t>
  </si>
  <si>
    <t>410-00-000-1</t>
  </si>
  <si>
    <t>634347/60
634347/60</t>
  </si>
  <si>
    <t>620-00-000-1</t>
  </si>
  <si>
    <t>634347/70
634347/70</t>
  </si>
  <si>
    <t>610-00-000-1</t>
  </si>
  <si>
    <t>634347/80
634347/80</t>
  </si>
  <si>
    <t>510-00-000-1</t>
  </si>
  <si>
    <t>634347/90
634347/90</t>
  </si>
  <si>
    <t>380-00-000-1</t>
  </si>
  <si>
    <t>634347/100
634347/100</t>
  </si>
  <si>
    <t>580-00-000-1</t>
  </si>
  <si>
    <t>634347/110
634347/110</t>
  </si>
  <si>
    <t>480-00-000-1</t>
  </si>
  <si>
    <t>634347/140
634347/140</t>
  </si>
  <si>
    <t>710-00-000-1</t>
  </si>
  <si>
    <t>634347/150
634347/150</t>
  </si>
  <si>
    <t>104693</t>
  </si>
  <si>
    <t>634347/160
634347/160</t>
  </si>
  <si>
    <t>105307</t>
  </si>
  <si>
    <t>634347/170
634347/170</t>
  </si>
  <si>
    <t>280-00-000-1</t>
  </si>
  <si>
    <t>634347/180
634347/180</t>
  </si>
  <si>
    <t>104666</t>
  </si>
  <si>
    <t>634347/190
634347/190</t>
  </si>
  <si>
    <t>105437</t>
  </si>
  <si>
    <t>634347/200
634347/200</t>
  </si>
  <si>
    <t>101373</t>
  </si>
  <si>
    <t>634347/210
634347/210</t>
  </si>
  <si>
    <t>104600</t>
  </si>
  <si>
    <t>634347/230
634347/230</t>
  </si>
  <si>
    <t>116571</t>
  </si>
  <si>
    <t>634347/240
634347/240</t>
  </si>
  <si>
    <t>111988</t>
  </si>
  <si>
    <t>634347/260
634347/260</t>
  </si>
  <si>
    <t>210-00-000-1</t>
  </si>
  <si>
    <t>634347/270
634347/270</t>
  </si>
  <si>
    <t>104267</t>
  </si>
  <si>
    <t>634347/290
634347/290</t>
  </si>
  <si>
    <t>104203</t>
  </si>
  <si>
    <t>634347/300
420732/430
420732/440
420733/240
634347/300
420732/430
420732/440
420733/240</t>
  </si>
  <si>
    <t>128588</t>
  </si>
  <si>
    <t>634347/310
634347/360
634347/310
634347/360</t>
  </si>
  <si>
    <t>100954</t>
  </si>
  <si>
    <t>634347/320
634347/320</t>
  </si>
  <si>
    <t>230-00-000-1</t>
  </si>
  <si>
    <t>634347/350
634347/350</t>
  </si>
  <si>
    <t>205-00-000-1+1</t>
  </si>
  <si>
    <t>634347/410
634347/410</t>
  </si>
  <si>
    <t>405/6-00-000</t>
  </si>
  <si>
    <t>634347/420
634347/420</t>
  </si>
  <si>
    <t>410-00-000-1+1</t>
  </si>
  <si>
    <t>634347/430
634347/430</t>
  </si>
  <si>
    <t>830-00-000-1</t>
  </si>
  <si>
    <t>634347/530
634347/530</t>
  </si>
  <si>
    <t>880-00-000-1</t>
  </si>
  <si>
    <t>634347/560
634347/560</t>
  </si>
  <si>
    <t>780-00-000-1</t>
  </si>
  <si>
    <t>634347/620
634347/620</t>
  </si>
  <si>
    <t>104626</t>
  </si>
  <si>
    <t>213321/100
213321/100</t>
  </si>
  <si>
    <t>129997</t>
  </si>
  <si>
    <t>213451/320
213451/320</t>
  </si>
  <si>
    <t>205-00-000-1</t>
  </si>
  <si>
    <t>213568/180
213568/180</t>
  </si>
  <si>
    <t>00N15-1-00I</t>
  </si>
  <si>
    <t>634348/10
634348/10</t>
  </si>
  <si>
    <t>01E03-1-00F</t>
  </si>
  <si>
    <t>634348/20
634348/20</t>
  </si>
  <si>
    <t>00E04-1-00I</t>
  </si>
  <si>
    <t>634348/30
634348/30</t>
  </si>
  <si>
    <t>00E04-1-00F</t>
  </si>
  <si>
    <t>634348/40
634348/40</t>
  </si>
  <si>
    <t>00N00-1-00I</t>
  </si>
  <si>
    <t>634348/50
634348/50</t>
  </si>
  <si>
    <t>00N00-1-00P</t>
  </si>
  <si>
    <t>634348/60
634348/60</t>
  </si>
  <si>
    <t>00N00-1-00U</t>
  </si>
  <si>
    <t>634348/70
634348/70</t>
  </si>
  <si>
    <t>01E07-1-00I</t>
  </si>
  <si>
    <t>634348/80
634348/80</t>
  </si>
  <si>
    <t>01E08-1-00</t>
  </si>
  <si>
    <t>634348/100
634348/100</t>
  </si>
  <si>
    <t>00N01-1-00</t>
  </si>
  <si>
    <t>634348/120
634348/120</t>
  </si>
  <si>
    <t>00N02-1-00U</t>
  </si>
  <si>
    <t>634348/130
634348/130</t>
  </si>
  <si>
    <t>00E01-0-00F</t>
  </si>
  <si>
    <t>634348/140
634348/140</t>
  </si>
  <si>
    <t>01E12-1-00F</t>
  </si>
  <si>
    <t>634348/150
634348/150</t>
  </si>
  <si>
    <t>01E13-1-00F</t>
  </si>
  <si>
    <t>634348/160
634348/160</t>
  </si>
  <si>
    <t>00E02-0-00U</t>
  </si>
  <si>
    <t>634348/170
634348/170</t>
  </si>
  <si>
    <t>00E02-0-00F</t>
  </si>
  <si>
    <t>634348/180
634348/180</t>
  </si>
  <si>
    <t>00N03-1-00P</t>
  </si>
  <si>
    <t>634348/190
634348/190</t>
  </si>
  <si>
    <t>00N05-1-00P</t>
  </si>
  <si>
    <t>634348/210
634348/210</t>
  </si>
  <si>
    <t>105028</t>
  </si>
  <si>
    <t>634348/270
634348/270</t>
  </si>
  <si>
    <t>01E16-1-00U</t>
  </si>
  <si>
    <t>634348/300
634348/300</t>
  </si>
  <si>
    <t>00N06-1-00</t>
  </si>
  <si>
    <t>634348/320
634348/320</t>
  </si>
  <si>
    <t>00N08-1-00U</t>
  </si>
  <si>
    <t>634348/420
634348/420</t>
  </si>
  <si>
    <t>00N09-1-00</t>
  </si>
  <si>
    <t>634348/430
634348/430</t>
  </si>
  <si>
    <t>00N10-1-00U</t>
  </si>
  <si>
    <t>634348/440
634348/440</t>
  </si>
  <si>
    <t>00N11-1-00U</t>
  </si>
  <si>
    <t>634348/480
634348/480</t>
  </si>
  <si>
    <t>00N12-1-00U</t>
  </si>
  <si>
    <t>634348/510
634348/510</t>
  </si>
  <si>
    <t>00N13-1-00U</t>
  </si>
  <si>
    <t>634348/530
634348/530</t>
  </si>
  <si>
    <t>00N14-1-00U</t>
  </si>
  <si>
    <t>634348/570
634348/570</t>
  </si>
  <si>
    <t>00N15-1-00</t>
  </si>
  <si>
    <t>634348/590
634348/590</t>
  </si>
  <si>
    <t>01E26-1-00U</t>
  </si>
  <si>
    <t>634348/620
634348/620</t>
  </si>
  <si>
    <t>116470</t>
  </si>
  <si>
    <t>420655/90
420732/100
420655/90
420732/100</t>
  </si>
  <si>
    <t>117357</t>
  </si>
  <si>
    <t>420655/120
420655/120</t>
  </si>
  <si>
    <t>100752</t>
  </si>
  <si>
    <t>420723/360
420723/360</t>
  </si>
  <si>
    <t>101299</t>
  </si>
  <si>
    <t>420723/410
420723/410</t>
  </si>
  <si>
    <t>123182</t>
  </si>
  <si>
    <t>420723/440
420723/440</t>
  </si>
  <si>
    <t>123198</t>
  </si>
  <si>
    <t>420723/470
420723/470</t>
  </si>
  <si>
    <t>123231</t>
  </si>
  <si>
    <t>420723/490
420723/490</t>
  </si>
  <si>
    <t>105057</t>
  </si>
  <si>
    <t>420723/520
420723/520</t>
  </si>
  <si>
    <t>104843</t>
  </si>
  <si>
    <t>420723/540
420723/540</t>
  </si>
  <si>
    <t>137115</t>
  </si>
  <si>
    <t>420723/550
420723/1390
420723/550
420723/1390</t>
  </si>
  <si>
    <t>105063</t>
  </si>
  <si>
    <t>420723/570
420723/570</t>
  </si>
  <si>
    <t>101602</t>
  </si>
  <si>
    <t>420723/580
420723/580</t>
  </si>
  <si>
    <t>101600</t>
  </si>
  <si>
    <t>420723/600
420723/600</t>
  </si>
  <si>
    <t>101599</t>
  </si>
  <si>
    <t>420723/610
420723/610</t>
  </si>
  <si>
    <t>104840</t>
  </si>
  <si>
    <t>420723/620
420731/240
420723/620
420731/240</t>
  </si>
  <si>
    <t>101007</t>
  </si>
  <si>
    <t>420723/680
420723/680</t>
  </si>
  <si>
    <t>101345</t>
  </si>
  <si>
    <t>420723/700
420723/1090
420723/1170
420723/700
420723/1090
420723/1170</t>
  </si>
  <si>
    <t>114144</t>
  </si>
  <si>
    <t>420723/710
420723/760
420723/920
420723/710
420723/760
420723/920</t>
  </si>
  <si>
    <t>100669</t>
  </si>
  <si>
    <t>420723/740
420723/880
420723/740
420723/880</t>
  </si>
  <si>
    <t>101327</t>
  </si>
  <si>
    <t>420723/750
420723/890
420723/1260
420723/1590
420776/290
420723/750
420723/890
420723/1260
420723/1590
420776/290</t>
  </si>
  <si>
    <t>104155</t>
  </si>
  <si>
    <t>420723/770
420723/770</t>
  </si>
  <si>
    <t>101304</t>
  </si>
  <si>
    <t>420723/790
420723/790</t>
  </si>
  <si>
    <t>120155</t>
  </si>
  <si>
    <t>420723/860
420723/860</t>
  </si>
  <si>
    <t>104378</t>
  </si>
  <si>
    <t>420723/900
420723/900</t>
  </si>
  <si>
    <t>112099</t>
  </si>
  <si>
    <t>420723/930
420723/930</t>
  </si>
  <si>
    <t>101295</t>
  </si>
  <si>
    <t>420723/990
420723/990</t>
  </si>
  <si>
    <t>101292</t>
  </si>
  <si>
    <t>420723/1010
420723/1010</t>
  </si>
  <si>
    <t>101338</t>
  </si>
  <si>
    <t>420723/1030
420723/1160
420723/1280
420723/1550
420723/1030
420723/1160
420723/1280
420723/1550</t>
  </si>
  <si>
    <t>104379</t>
  </si>
  <si>
    <t>420723/1060
420723/1060</t>
  </si>
  <si>
    <t>101296</t>
  </si>
  <si>
    <t>420723/1070
420723/1070</t>
  </si>
  <si>
    <t>101293</t>
  </si>
  <si>
    <t>420723/1080
420723/1080</t>
  </si>
  <si>
    <t>101344</t>
  </si>
  <si>
    <t>420723/1100
420723/1100</t>
  </si>
  <si>
    <t>136314</t>
  </si>
  <si>
    <t>420723/1110
420723/1400
420723/1410
420723/1110
420723/1400
420723/1410</t>
  </si>
  <si>
    <t>100735</t>
  </si>
  <si>
    <t>420723/1220
420723/1220</t>
  </si>
  <si>
    <t>101079</t>
  </si>
  <si>
    <t>420723/1230
420723/1230</t>
  </si>
  <si>
    <t>101453</t>
  </si>
  <si>
    <t>420723/1320
420723/1320</t>
  </si>
  <si>
    <t>104833</t>
  </si>
  <si>
    <t>420723/1340
420723/1340</t>
  </si>
  <si>
    <t>140939</t>
  </si>
  <si>
    <t>420723/1420
420723/1420</t>
  </si>
  <si>
    <t>21001.00.901.002</t>
  </si>
  <si>
    <t>420723/1480
420723/1480</t>
  </si>
  <si>
    <t>21001.00.901.052</t>
  </si>
  <si>
    <t>420723/1500
420723/1500</t>
  </si>
  <si>
    <t>21021.00.602.000</t>
  </si>
  <si>
    <t>420723/1630
420723/1630</t>
  </si>
  <si>
    <t>117643</t>
  </si>
  <si>
    <t>420724/90
420724/90</t>
  </si>
  <si>
    <t>104075</t>
  </si>
  <si>
    <t>420732/10
420732/170
420732/10
420732/170</t>
  </si>
  <si>
    <t>111097</t>
  </si>
  <si>
    <t>420732/40
420732/40</t>
  </si>
  <si>
    <t>111098</t>
  </si>
  <si>
    <t>420732/50
420732/50</t>
  </si>
  <si>
    <t>116238</t>
  </si>
  <si>
    <t>420732/70
420732/70</t>
  </si>
  <si>
    <t>116239</t>
  </si>
  <si>
    <t>420732/80
420732/80</t>
  </si>
  <si>
    <t>101462</t>
  </si>
  <si>
    <t>420732/200
420776/320
420732/200
420776/320</t>
  </si>
  <si>
    <t>104280</t>
  </si>
  <si>
    <t>420732/220
420731/30
420733/380
420732/220
420731/30
420733/380</t>
  </si>
  <si>
    <t>104249</t>
  </si>
  <si>
    <t>420732/240
420732/240</t>
  </si>
  <si>
    <t>104207</t>
  </si>
  <si>
    <t>420732/250
420733/400
420732/250
420733/400</t>
  </si>
  <si>
    <t>104284</t>
  </si>
  <si>
    <t>420732/260
420732/260</t>
  </si>
  <si>
    <t>117352</t>
  </si>
  <si>
    <t>420732/270
420733/290
420732/270
420733/290</t>
  </si>
  <si>
    <t>117346</t>
  </si>
  <si>
    <t>420732/310
420732/310</t>
  </si>
  <si>
    <t>104161</t>
  </si>
  <si>
    <t>420732/330
420732/340
420732/330
420732/340</t>
  </si>
  <si>
    <t>117037</t>
  </si>
  <si>
    <t>420732/360
420732/360</t>
  </si>
  <si>
    <t>131028</t>
  </si>
  <si>
    <t>420732/370
420732/370</t>
  </si>
  <si>
    <t>104268</t>
  </si>
  <si>
    <t>420732/400
420732/400</t>
  </si>
  <si>
    <t>104244</t>
  </si>
  <si>
    <t>420731/20
420731/20</t>
  </si>
  <si>
    <t>104224</t>
  </si>
  <si>
    <t>420731/250
420731/370
420731/250
420731/370</t>
  </si>
  <si>
    <t>104186</t>
  </si>
  <si>
    <t>420731/260
420731/260</t>
  </si>
  <si>
    <t>104240</t>
  </si>
  <si>
    <t>420731/270
420731/270</t>
  </si>
  <si>
    <t>123216</t>
  </si>
  <si>
    <t>420731/300
420733/340
420731/300
420733/340</t>
  </si>
  <si>
    <t>104241</t>
  </si>
  <si>
    <t>420731/350
420731/350</t>
  </si>
  <si>
    <t>104201</t>
  </si>
  <si>
    <t>420731/360
420731/360</t>
  </si>
  <si>
    <t>71254.02.210.016</t>
  </si>
  <si>
    <t>420733/250
420733/300
420733/540
420776/220
420776/240
420776/350
420776/360
420733/250
420733/300
420733/540
420776/220
420776/240
420776/350
420776/360</t>
  </si>
  <si>
    <t>104448</t>
  </si>
  <si>
    <t>420733/260
420733/260</t>
  </si>
  <si>
    <t>104246</t>
  </si>
  <si>
    <t>420733/330
420733/330</t>
  </si>
  <si>
    <t>123217</t>
  </si>
  <si>
    <t>420733/350
420733/350</t>
  </si>
  <si>
    <t>104198</t>
  </si>
  <si>
    <t>420733/390
420733/390</t>
  </si>
  <si>
    <t>104194</t>
  </si>
  <si>
    <t>420733/490
420733/490</t>
  </si>
  <si>
    <t>104003</t>
  </si>
  <si>
    <t>420733/530
420733/530</t>
  </si>
  <si>
    <t>110860</t>
  </si>
  <si>
    <t>420763/30
420763/30</t>
  </si>
  <si>
    <t>105034</t>
  </si>
  <si>
    <t>420776/180
420776/180</t>
  </si>
  <si>
    <t>104629</t>
  </si>
  <si>
    <t>420776/270
420776/270</t>
  </si>
  <si>
    <t>104010</t>
  </si>
  <si>
    <t>420776/340
420776/340</t>
  </si>
  <si>
    <t>21020.00.300.011</t>
  </si>
  <si>
    <t>420853/10
420853/10</t>
  </si>
  <si>
    <t>21020.00.400.401</t>
  </si>
  <si>
    <t>420853/50
420853/50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</si>
</sst>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 [$€-C0A]_-;\-* #,##0.00\ [$€-C0A]_-;_-* &quot;-&quot;??\ [$€-C0A]_-;_-@_-"/>
  </numFmts>
  <fonts count="16">
    <font>
      <sz val="8"/>
      <color theme="1"/>
      <name val="Arial Nova Cond Light"/>
      <family val="2"/>
    </font>
    <font>
      <sz val="8"/>
      <color theme="1"/>
      <name val="Arial Nova Cond Light"/>
      <family val="2"/>
    </font>
    <font>
      <sz val="8"/>
      <color theme="0"/>
      <name val="Arial Nova Cond Light"/>
      <family val="2"/>
    </font>
    <font>
      <sz val="11"/>
      <color theme="1"/>
      <name val="Aptos Narrow"/>
      <family val="2"/>
      <scheme val="minor"/>
    </font>
    <font>
      <sz val="4"/>
      <color theme="1"/>
      <name val="Arial Nova Cond Light"/>
      <family val="2"/>
    </font>
    <font>
      <sz val="10"/>
      <name val="Arial"/>
      <family val="2"/>
    </font>
    <font>
      <sz val="4"/>
      <name val="Arial Nova Cond Light"/>
      <family val="2"/>
    </font>
    <font>
      <sz val="8"/>
      <name val="Arial Nova Cond Light"/>
      <family val="2"/>
    </font>
    <font>
      <sz val="12"/>
      <name val="Arial"/>
      <family val="2"/>
    </font>
    <font>
      <sz val="10"/>
      <name val="Arial"/>
      <family val="2"/>
    </font>
    <font>
      <sz val="8"/>
      <name val="Arial"/>
      <family val="2"/>
    </font>
    <font>
      <sz val="12"/>
      <color indexed="24"/>
      <name val="Times New Roman"/>
      <family val="1"/>
    </font>
    <font>
      <sz val="8"/>
      <color indexed="24"/>
      <name val="Arial Nova Cond Light"/>
      <family val="2"/>
    </font>
    <font>
      <b/>
      <sz val="8"/>
      <color theme="0"/>
      <name val="Arial Nova Cond Light"/>
      <family val="2"/>
    </font>
    <font>
      <sz val="11"/>
      <color indexed="8"/>
      <name val="Calibri"/>
      <family val="2"/>
    </font>
    <font>
      <sz val="8"/>
      <color indexed="8"/>
      <name val="Arial Nova Cond Light"/>
      <family val="2"/>
    </font>
  </fonts>
  <fills count="6">
    <fill>
      <patternFill patternType="none"/>
    </fill>
    <fill>
      <patternFill patternType="gray125"/>
    </fill>
    <fill>
      <patternFill patternType="solid">
        <fgColor theme="0" tint="-0.249977111117893"/>
        <bgColor indexed="64"/>
      </patternFill>
    </fill>
    <fill>
      <patternFill patternType="solid">
        <fgColor rgb="FFFFFF00"/>
        <bgColor indexed="64"/>
      </patternFill>
    </fill>
    <fill>
      <patternFill patternType="solid">
        <fgColor theme="7" tint="0.79998168889431442"/>
        <bgColor indexed="64"/>
      </patternFill>
    </fill>
    <fill>
      <patternFill patternType="solid">
        <fgColor rgb="FFFF0000"/>
        <bgColor indexed="64"/>
      </patternFill>
    </fill>
  </fills>
  <borders count="11">
    <border>
      <left/>
      <right/>
      <top/>
      <bottom/>
      <diagonal/>
    </border>
    <border>
      <left style="medium">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diagonal/>
    </border>
    <border>
      <left style="hair">
        <color auto="1"/>
      </left>
      <right style="medium">
        <color auto="1"/>
      </right>
      <top style="hair">
        <color auto="1"/>
      </top>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
      <left/>
      <right style="thin">
        <color theme="4" tint="0.39997558519241921"/>
      </right>
      <top/>
      <bottom/>
      <diagonal/>
    </border>
    <border>
      <left style="thin">
        <color theme="4" tint="0.39997558519241921"/>
      </left>
      <right/>
      <top/>
      <bottom/>
      <diagonal/>
    </border>
  </borders>
  <cellStyleXfs count="8">
    <xf numFmtId="0" fontId="0" fillId="0" borderId="0"/>
    <xf numFmtId="0" fontId="3" fillId="0" borderId="0"/>
    <xf numFmtId="0" fontId="5" fillId="0" borderId="0"/>
    <xf numFmtId="0" fontId="8" fillId="0" borderId="0"/>
    <xf numFmtId="0" fontId="9" fillId="0" borderId="0"/>
    <xf numFmtId="0" fontId="10" fillId="0" borderId="0"/>
    <xf numFmtId="0" fontId="11" fillId="0" borderId="0"/>
    <xf numFmtId="9" fontId="1" fillId="0" borderId="0" applyFont="0" applyFill="0" applyBorder="0" applyAlignment="0" applyProtection="0"/>
  </cellStyleXfs>
  <cellXfs count="42">
    <xf numFmtId="0" fontId="0" fillId="0" borderId="0" xfId="0"/>
    <xf numFmtId="0" fontId="4" fillId="2" borderId="0" xfId="1" applyFont="1" applyFill="1" applyAlignment="1">
      <alignment horizontal="center" vertical="top" textRotation="90"/>
    </xf>
    <xf numFmtId="0" fontId="6" fillId="2" borderId="0" xfId="1" applyFont="1" applyFill="1" applyAlignment="1">
      <alignment horizontal="center" vertical="top" textRotation="90"/>
    </xf>
    <xf numFmtId="0" fontId="1" fillId="3" borderId="1" xfId="1" applyFont="1" applyFill="1" applyBorder="1" applyAlignment="1">
      <alignment horizontal="left" vertical="top" textRotation="90"/>
    </xf>
    <xf numFmtId="0" fontId="1" fillId="4" borderId="2" xfId="1" applyFont="1" applyFill="1" applyBorder="1" applyAlignment="1">
      <alignment horizontal="left" vertical="top" textRotation="90" wrapText="1"/>
    </xf>
    <xf numFmtId="0" fontId="1" fillId="0" borderId="0" xfId="1" applyFont="1" applyAlignment="1">
      <alignment vertical="top"/>
    </xf>
    <xf numFmtId="0" fontId="7" fillId="0" borderId="0" xfId="1" applyFont="1" applyAlignment="1">
      <alignment vertical="top"/>
    </xf>
    <xf numFmtId="0" fontId="1" fillId="3" borderId="3" xfId="1" applyFont="1" applyFill="1" applyBorder="1" applyAlignment="1">
      <alignment vertical="top"/>
    </xf>
    <xf numFmtId="0" fontId="1" fillId="4" borderId="4" xfId="1" applyFont="1" applyFill="1" applyBorder="1" applyAlignment="1">
      <alignment horizontal="left" vertical="top"/>
    </xf>
    <xf numFmtId="0" fontId="1" fillId="3" borderId="5" xfId="1" applyFont="1" applyFill="1" applyBorder="1" applyAlignment="1">
      <alignment vertical="top"/>
    </xf>
    <xf numFmtId="0" fontId="1" fillId="4" borderId="6" xfId="1" applyFont="1" applyFill="1" applyBorder="1" applyAlignment="1">
      <alignment horizontal="left" vertical="top"/>
    </xf>
    <xf numFmtId="0" fontId="1" fillId="4" borderId="6" xfId="1" applyFont="1" applyFill="1" applyBorder="1" applyAlignment="1">
      <alignment horizontal="left" vertical="top" shrinkToFit="1"/>
    </xf>
    <xf numFmtId="0" fontId="1" fillId="0" borderId="0" xfId="1" applyFont="1" applyAlignment="1">
      <alignment horizontal="left" vertical="top"/>
    </xf>
    <xf numFmtId="0" fontId="7" fillId="0" borderId="0" xfId="1" applyFont="1" applyAlignment="1">
      <alignment horizontal="center" vertical="top"/>
    </xf>
    <xf numFmtId="0" fontId="7" fillId="0" borderId="0" xfId="2" applyFont="1" applyAlignment="1">
      <alignment horizontal="left" vertical="top" textRotation="90"/>
    </xf>
    <xf numFmtId="0" fontId="0" fillId="3" borderId="3" xfId="1" applyFont="1" applyFill="1" applyBorder="1" applyAlignment="1">
      <alignment vertical="top"/>
    </xf>
    <xf numFmtId="0" fontId="2" fillId="5" borderId="0" xfId="4" applyFont="1" applyFill="1" applyAlignment="1">
      <alignment horizontal="center" vertical="top" textRotation="90"/>
    </xf>
    <xf numFmtId="0" fontId="7" fillId="0" borderId="0" xfId="2" applyFont="1" applyAlignment="1">
      <alignment vertical="top"/>
    </xf>
    <xf numFmtId="0" fontId="7" fillId="0" borderId="0" xfId="4" applyFont="1" applyAlignment="1">
      <alignment vertical="top"/>
    </xf>
    <xf numFmtId="3" fontId="12" fillId="0" borderId="0" xfId="6" applyNumberFormat="1" applyFont="1" applyAlignment="1">
      <alignment vertical="top"/>
    </xf>
    <xf numFmtId="0" fontId="5" fillId="0" borderId="0" xfId="2" applyAlignment="1">
      <alignment vertical="top"/>
    </xf>
    <xf numFmtId="0" fontId="4" fillId="0" borderId="0" xfId="1" applyFont="1" applyAlignment="1">
      <alignment horizontal="center" vertical="top" textRotation="90"/>
    </xf>
    <xf numFmtId="0" fontId="13" fillId="0" borderId="9" xfId="0" applyFont="1" applyBorder="1" applyAlignment="1">
      <alignment horizontal="left" vertical="top" textRotation="90"/>
    </xf>
    <xf numFmtId="0" fontId="13" fillId="0" borderId="10" xfId="0" applyFont="1" applyBorder="1" applyAlignment="1">
      <alignment horizontal="left" vertical="top" textRotation="90"/>
    </xf>
    <xf numFmtId="0" fontId="4" fillId="2" borderId="0" xfId="1" applyFont="1" applyFill="1" applyAlignment="1">
      <alignment horizontal="center" vertical="top" textRotation="90" wrapText="1"/>
    </xf>
    <xf numFmtId="0" fontId="1" fillId="0" borderId="0" xfId="1" applyFont="1" applyAlignment="1">
      <alignment vertical="top" wrapText="1"/>
    </xf>
    <xf numFmtId="0" fontId="0" fillId="0" borderId="0" xfId="0" applyAlignment="1">
      <alignment vertical="top" wrapText="1"/>
    </xf>
    <xf numFmtId="164" fontId="4" fillId="2" borderId="0" xfId="1" applyNumberFormat="1" applyFont="1" applyFill="1" applyAlignment="1">
      <alignment horizontal="center" vertical="top" textRotation="90" wrapText="1"/>
    </xf>
    <xf numFmtId="164" fontId="1" fillId="0" borderId="0" xfId="1" applyNumberFormat="1" applyFont="1" applyAlignment="1">
      <alignment vertical="top" wrapText="1"/>
    </xf>
    <xf numFmtId="1" fontId="4" fillId="2" borderId="0" xfId="1" applyNumberFormat="1" applyFont="1" applyFill="1" applyAlignment="1">
      <alignment horizontal="center" vertical="top" textRotation="90" wrapText="1"/>
    </xf>
    <xf numFmtId="1" fontId="1" fillId="0" borderId="0" xfId="1" applyNumberFormat="1" applyFont="1" applyAlignment="1">
      <alignment vertical="top" wrapText="1"/>
    </xf>
    <xf numFmtId="0" fontId="0" fillId="0" borderId="0" xfId="1" applyFont="1" applyAlignment="1">
      <alignment horizontal="left" vertical="top" textRotation="90" wrapText="1"/>
    </xf>
    <xf numFmtId="9" fontId="4" fillId="2" borderId="0" xfId="7" applyFont="1" applyFill="1" applyAlignment="1">
      <alignment horizontal="center" vertical="top" textRotation="90" wrapText="1"/>
    </xf>
    <xf numFmtId="9" fontId="1" fillId="0" borderId="0" xfId="7" applyFont="1" applyAlignment="1">
      <alignment vertical="top" wrapText="1"/>
    </xf>
    <xf numFmtId="0" fontId="0" fillId="0" borderId="8" xfId="0" applyBorder="1" applyAlignment="1">
      <alignment vertical="top"/>
    </xf>
    <xf numFmtId="0" fontId="0" fillId="0" borderId="7" xfId="0" applyBorder="1" applyAlignment="1">
      <alignment vertical="top"/>
    </xf>
    <xf numFmtId="0" fontId="15" fillId="0" borderId="8" xfId="0" applyFont="1" applyBorder="1" applyAlignment="1">
      <alignment vertical="top"/>
    </xf>
    <xf numFmtId="0" fontId="15" fillId="0" borderId="7" xfId="0" applyFont="1" applyBorder="1" applyAlignment="1">
      <alignment vertical="top"/>
    </xf>
    <xf numFmtId="0" fontId="15" fillId="0" borderId="0" xfId="0" applyFont="1" applyAlignment="1">
      <alignment vertical="top"/>
    </xf>
    <xf numFmtId="0" fontId="0" fillId="0" borderId="0" xfId="0" applyAlignment="1">
      <alignment vertical="top"/>
    </xf>
    <xf numFmtId="0" fontId="14" fillId="0" borderId="0" xfId="0" applyFont="1" applyAlignment="1">
      <alignment vertical="top"/>
    </xf>
    <xf numFmtId="0" fontId="6" fillId="2" borderId="0" xfId="2" applyFont="1" applyFill="1" applyAlignment="1">
      <alignment horizontal="center" vertical="top" textRotation="90" wrapText="1"/>
    </xf>
  </cellXfs>
  <cellStyles count="8">
    <cellStyle name="Normal" xfId="0" builtinId="0"/>
    <cellStyle name="Normal 2" xfId="2" xr:uid="{035232CD-C3BA-4991-9538-636AD6F0ED55}"/>
    <cellStyle name="Normal 2 2" xfId="3" xr:uid="{E13ED41A-C206-48F6-8DD6-A0FDC241B051}"/>
    <cellStyle name="Normal 2 3" xfId="5" xr:uid="{88A39880-62DA-40DD-9E88-E11303EC21D0}"/>
    <cellStyle name="Normal 3" xfId="4" xr:uid="{218F9211-56AE-44DF-8440-5B5EABC8AA68}"/>
    <cellStyle name="Normal 8" xfId="1" xr:uid="{3EFC7D9F-21E3-492C-8291-E0E2C8D649F6}"/>
    <cellStyle name="Normal_ED0D" xfId="6" xr:uid="{97B5C73F-F931-4819-9890-4B49FB06288F}"/>
    <cellStyle name="Percent" xfId="7" builtinId="5"/>
  </cellStyles>
  <dxfs count="17">
    <dxf>
      <numFmt numFmtId="0" formatCode="General"/>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8"/>
        <color theme="1"/>
        <name val="Arial Nova Cond Light"/>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8"/>
        <color theme="1"/>
        <name val="Arial Nova Cond Light"/>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8"/>
        <color theme="1"/>
        <name val="Arial Nova Cond Light"/>
        <family val="2"/>
        <scheme val="none"/>
      </font>
      <alignment horizontal="general" vertical="top" textRotation="0" wrapText="1" indent="0" justifyLastLine="0" shrinkToFit="0" readingOrder="0"/>
    </dxf>
    <dxf>
      <font>
        <b val="0"/>
        <i val="0"/>
        <strike val="0"/>
        <condense val="0"/>
        <extend val="0"/>
        <outline val="0"/>
        <shadow val="0"/>
        <u val="none"/>
        <vertAlign val="baseline"/>
        <sz val="8"/>
        <color theme="1"/>
        <name val="Arial Nova Cond Light"/>
        <family val="2"/>
        <scheme val="none"/>
      </font>
      <alignment horizontal="left" vertical="top" textRotation="90" wrapText="1" indent="0" justifyLastLine="0" shrinkToFit="0" readingOrder="0"/>
    </dxf>
    <dxf>
      <font>
        <strike val="0"/>
        <outline val="0"/>
        <shadow val="0"/>
        <u val="none"/>
        <vertAlign val="baseline"/>
        <sz val="8"/>
        <name val="Arial Nova Cond Light"/>
        <family val="2"/>
        <scheme val="none"/>
      </font>
      <fill>
        <patternFill patternType="none">
          <bgColor auto="1"/>
        </patternFill>
      </fill>
      <alignment vertical="top" wrapText="0" indent="0" justifyLastLine="0" shrinkToFit="0" readingOrder="0"/>
    </dxf>
    <dxf>
      <font>
        <strike val="0"/>
        <outline val="0"/>
        <shadow val="0"/>
        <u val="none"/>
        <vertAlign val="baseline"/>
        <sz val="8"/>
        <name val="Arial Nova Cond Light"/>
        <family val="2"/>
        <scheme val="none"/>
      </font>
      <fill>
        <patternFill patternType="none">
          <bgColor auto="1"/>
        </patternFill>
      </fill>
      <alignment vertical="top" wrapText="0" indent="0" justifyLastLine="0" shrinkToFit="0" readingOrder="0"/>
    </dxf>
    <dxf>
      <border outline="0">
        <top style="thin">
          <color theme="4" tint="0.39997558519241921"/>
        </top>
      </border>
    </dxf>
    <dxf>
      <font>
        <strike val="0"/>
        <outline val="0"/>
        <shadow val="0"/>
        <u val="none"/>
        <vertAlign val="baseline"/>
        <sz val="8"/>
        <name val="Arial Nova Cond Light"/>
        <family val="2"/>
        <scheme val="none"/>
      </font>
      <fill>
        <patternFill patternType="none">
          <bgColor auto="1"/>
        </patternFill>
      </fill>
      <alignment vertical="top" wrapText="0" indent="0" justifyLastLine="0" shrinkToFit="0" readingOrder="0"/>
    </dxf>
    <dxf>
      <font>
        <b/>
        <i val="0"/>
        <strike val="0"/>
        <condense val="0"/>
        <extend val="0"/>
        <outline val="0"/>
        <shadow val="0"/>
        <u val="none"/>
        <vertAlign val="baseline"/>
        <sz val="8"/>
        <color theme="0"/>
        <name val="Arial Nova Cond Light"/>
        <family val="2"/>
        <scheme val="none"/>
      </font>
      <fill>
        <patternFill patternType="none">
          <fgColor theme="4"/>
          <bgColor auto="1"/>
        </patternFill>
      </fill>
      <alignment horizontal="left" vertical="top" textRotation="90" wrapText="0" indent="0" justifyLastLine="0" shrinkToFit="0" readingOrder="0"/>
      <border diagonalUp="0" diagonalDown="0" outline="0">
        <left style="thin">
          <color theme="4" tint="0.39997558519241921"/>
        </left>
        <right style="thin">
          <color theme="4" tint="0.39997558519241921"/>
        </right>
        <top/>
        <bottom/>
      </border>
    </dxf>
    <dxf>
      <numFmt numFmtId="0" formatCode="General"/>
      <alignment horizontal="general" vertical="top" textRotation="0" wrapText="1" indent="0" justifyLastLine="0" shrinkToFit="0" readingOrder="0"/>
    </dxf>
    <dxf>
      <alignment horizontal="general" vertical="top" textRotation="0" indent="0" justifyLastLine="0" shrinkToFit="0" readingOrder="0"/>
    </dxf>
    <dxf>
      <numFmt numFmtId="0" formatCode="General"/>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microsoft.com/office/2023/09/relationships/Python" Target="python.xml"/><Relationship Id="rId4" Type="http://schemas.openxmlformats.org/officeDocument/2006/relationships/connections" Target="connections.xml"/><Relationship Id="rId9" Type="http://schemas.openxmlformats.org/officeDocument/2006/relationships/customXml" Target="../customXml/item1.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2" xr16:uid="{A681E4CA-CB8D-DA4D-AFBA-FAC759C7895F}" autoFormatId="16" applyNumberFormats="0" applyBorderFormats="0" applyFontFormats="0" applyPatternFormats="0" applyAlignmentFormats="0" applyWidthHeightFormats="0">
  <queryTableRefresh nextId="4">
    <queryTableFields count="3">
      <queryTableField id="1" name="ItmId" tableColumnId="1"/>
      <queryTableField id="2" name="QtyTot" tableColumnId="2"/>
      <queryTableField id="3" name="OrdTot"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9" xr16:uid="{302695C6-7180-47A2-9190-FB2F65C5D548}" autoFormatId="16" applyNumberFormats="0" applyBorderFormats="0" applyFontFormats="0" applyPatternFormats="0" applyAlignmentFormats="0" applyWidthHeightFormats="0">
  <queryTableRefresh nextId="14">
    <queryTableFields count="5">
      <queryTableField id="4" name="Row" tableColumnId="4"/>
      <queryTableField id="5" name="Column" tableColumnId="5"/>
      <queryTableField id="11" name="1" tableColumnId="1"/>
      <queryTableField id="12" name="2" tableColumnId="2"/>
      <queryTableField id="13" name="3"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9A83222-3B36-EE45-9FC5-59AF5DA83069}" name="F_Asg2" displayName="F_Asg2" ref="A1:C458" tableType="queryTable" totalsRowShown="0" headerRowDxfId="16" dataDxfId="15">
  <autoFilter ref="A1:C458" xr:uid="{99A83222-3B36-EE45-9FC5-59AF5DA83069}"/>
  <tableColumns count="3">
    <tableColumn id="1" xr3:uid="{4041B1F9-A0BD-D744-BA60-553309182B83}" uniqueName="1" name="ItmId" queryTableFieldId="1" dataDxfId="14"/>
    <tableColumn id="2" xr3:uid="{029D3B5A-72A7-3944-9B4D-75946FA773E3}" uniqueName="2" name="QtyTot" queryTableFieldId="2" dataDxfId="13"/>
    <tableColumn id="3" xr3:uid="{760EF495-B883-AC47-B00A-99B6583A5904}" uniqueName="3" name="OrdTot" queryTableFieldId="3" dataDxfId="1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01290BC-00F2-478D-97E0-1D44FBEC4329}" name="Table3" displayName="Table3" ref="I2:J22" totalsRowShown="0" headerRowDxfId="11" dataDxfId="10" tableBorderDxfId="9">
  <autoFilter ref="I2:J22" xr:uid="{E01290BC-00F2-478D-97E0-1D44FBEC4329}"/>
  <sortState xmlns:xlrd2="http://schemas.microsoft.com/office/spreadsheetml/2017/richdata2" ref="I3:J31">
    <sortCondition ref="I3:I31"/>
  </sortState>
  <tableColumns count="2">
    <tableColumn id="1" xr3:uid="{C9250F81-11B4-4675-A4E8-6D03600F249D}" name="CstId" dataDxfId="8"/>
    <tableColumn id="2" xr3:uid="{61809E57-6A42-4DD9-8CD2-4B4A9B1960A9}" name="ItmId              " dataDxfId="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0BD2B5-A469-4490-8939-8990B6AF7815}" name="Dt_Cst5" displayName="Dt_Cst5" ref="M2:Q2019" tableType="queryTable" totalsRowShown="0" headerRowDxfId="6" dataDxfId="5" headerRowCellStyle="Normal 8" dataCellStyle="Normal 8">
  <autoFilter ref="M2:Q2019" xr:uid="{3C0BD2B5-A469-4490-8939-8990B6AF7815}"/>
  <tableColumns count="5">
    <tableColumn id="4" xr3:uid="{0FAC1353-95D7-4E38-B3DB-FB67998E74B6}" uniqueName="4" name="Row" queryTableFieldId="4" dataDxfId="4" dataCellStyle="Normal 8"/>
    <tableColumn id="5" xr3:uid="{579E41C8-824B-4F6D-856C-D54787B4349D}" uniqueName="5" name="Column" queryTableFieldId="5" dataDxfId="3" dataCellStyle="Normal 8"/>
    <tableColumn id="1" xr3:uid="{0361B0F6-E5B9-4D04-8F0A-6EAB1A8D3C9B}" uniqueName="1" name="1" queryTableFieldId="11" dataDxfId="2" dataCellStyle="Normal 8"/>
    <tableColumn id="2" xr3:uid="{D407F6A4-25D6-4642-A09D-52206B2FCBEE}" uniqueName="2" name="2" queryTableFieldId="12" dataDxfId="1" dataCellStyle="Normal 8"/>
    <tableColumn id="3" xr3:uid="{6F96EB61-DF86-4550-8ACB-60C14DC9289D}" uniqueName="3" name="3" queryTableFieldId="13" dataDxfId="0" dataCellStyle="Normal 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D6232-1889-CF43-83CA-3E5366F966FE}">
  <dimension ref="A1:C458"/>
  <sheetViews>
    <sheetView tabSelected="1" topLeftCell="A8" workbookViewId="0">
      <selection sqref="A1:C1048576"/>
    </sheetView>
  </sheetViews>
  <sheetFormatPr baseColWidth="10" defaultRowHeight="10"/>
  <cols>
    <col min="1" max="1" width="15.75" style="39" bestFit="1" customWidth="1"/>
    <col min="2" max="2" width="10" style="39" bestFit="1" customWidth="1"/>
    <col min="3" max="3" width="80.5" style="26" bestFit="1" customWidth="1"/>
  </cols>
  <sheetData>
    <row r="1" spans="1:3" ht="11">
      <c r="A1" s="39" t="s">
        <v>1764</v>
      </c>
      <c r="B1" s="39" t="s">
        <v>1765</v>
      </c>
      <c r="C1" s="26" t="s">
        <v>1766</v>
      </c>
    </row>
    <row r="2" spans="1:3" ht="132">
      <c r="A2" s="39" t="s">
        <v>1767</v>
      </c>
      <c r="B2" s="39">
        <v>3960</v>
      </c>
      <c r="C2" s="26" t="s">
        <v>1768</v>
      </c>
    </row>
    <row r="3" spans="1:3" ht="176">
      <c r="A3" s="39" t="s">
        <v>1769</v>
      </c>
      <c r="B3" s="39">
        <v>1810</v>
      </c>
      <c r="C3" s="26" t="s">
        <v>1770</v>
      </c>
    </row>
    <row r="4" spans="1:3" ht="88">
      <c r="A4" s="39" t="s">
        <v>1771</v>
      </c>
      <c r="B4" s="39">
        <v>24</v>
      </c>
      <c r="C4" s="26" t="s">
        <v>1772</v>
      </c>
    </row>
    <row r="5" spans="1:3" ht="66">
      <c r="A5" s="39" t="s">
        <v>1773</v>
      </c>
      <c r="B5" s="39">
        <v>132</v>
      </c>
      <c r="C5" s="26" t="s">
        <v>1774</v>
      </c>
    </row>
    <row r="6" spans="1:3" ht="44">
      <c r="A6" s="39" t="s">
        <v>1775</v>
      </c>
      <c r="B6" s="39">
        <v>48</v>
      </c>
      <c r="C6" s="26" t="s">
        <v>1776</v>
      </c>
    </row>
    <row r="7" spans="1:3" ht="88">
      <c r="A7" s="39" t="s">
        <v>1777</v>
      </c>
      <c r="B7" s="39">
        <v>1800</v>
      </c>
      <c r="C7" s="26" t="s">
        <v>1778</v>
      </c>
    </row>
    <row r="8" spans="1:3" ht="88">
      <c r="A8" s="39" t="s">
        <v>1779</v>
      </c>
      <c r="B8" s="39">
        <v>998</v>
      </c>
      <c r="C8" s="26" t="s">
        <v>1780</v>
      </c>
    </row>
    <row r="9" spans="1:3" ht="88">
      <c r="A9" s="39" t="s">
        <v>1781</v>
      </c>
      <c r="B9" s="39">
        <v>120</v>
      </c>
      <c r="C9" s="26" t="s">
        <v>1782</v>
      </c>
    </row>
    <row r="10" spans="1:3" ht="66">
      <c r="A10" s="39" t="s">
        <v>1783</v>
      </c>
      <c r="B10" s="39">
        <v>110</v>
      </c>
      <c r="C10" s="26" t="s">
        <v>1784</v>
      </c>
    </row>
    <row r="11" spans="1:3" ht="44">
      <c r="A11" s="39" t="s">
        <v>1785</v>
      </c>
      <c r="B11" s="39">
        <v>20</v>
      </c>
      <c r="C11" s="26" t="s">
        <v>1786</v>
      </c>
    </row>
    <row r="12" spans="1:3" ht="44">
      <c r="A12" s="39" t="s">
        <v>1787</v>
      </c>
      <c r="B12" s="39">
        <v>100</v>
      </c>
      <c r="C12" s="26" t="s">
        <v>1788</v>
      </c>
    </row>
    <row r="13" spans="1:3" ht="22">
      <c r="A13" s="39" t="s">
        <v>1789</v>
      </c>
      <c r="B13" s="39">
        <v>100</v>
      </c>
      <c r="C13" s="26" t="s">
        <v>1790</v>
      </c>
    </row>
    <row r="14" spans="1:3" ht="22">
      <c r="A14" s="39" t="s">
        <v>1791</v>
      </c>
      <c r="B14" s="39">
        <v>100</v>
      </c>
      <c r="C14" s="26" t="s">
        <v>1792</v>
      </c>
    </row>
    <row r="15" spans="1:3" ht="22">
      <c r="A15" s="39" t="s">
        <v>1793</v>
      </c>
      <c r="B15" s="39">
        <v>100</v>
      </c>
      <c r="C15" s="26" t="s">
        <v>1794</v>
      </c>
    </row>
    <row r="16" spans="1:3" ht="44">
      <c r="A16" s="39" t="s">
        <v>1795</v>
      </c>
      <c r="B16" s="39">
        <v>80</v>
      </c>
      <c r="C16" s="26" t="s">
        <v>1796</v>
      </c>
    </row>
    <row r="17" spans="1:3" ht="88">
      <c r="A17" s="39" t="s">
        <v>1797</v>
      </c>
      <c r="B17" s="39">
        <v>540</v>
      </c>
      <c r="C17" s="26" t="s">
        <v>1798</v>
      </c>
    </row>
    <row r="18" spans="1:3" ht="44">
      <c r="A18" s="39" t="s">
        <v>1799</v>
      </c>
      <c r="B18" s="39">
        <v>80</v>
      </c>
      <c r="C18" s="26" t="s">
        <v>1800</v>
      </c>
    </row>
    <row r="19" spans="1:3" ht="66">
      <c r="A19" s="39" t="s">
        <v>1801</v>
      </c>
      <c r="B19" s="39">
        <v>5788</v>
      </c>
      <c r="C19" s="26" t="s">
        <v>1802</v>
      </c>
    </row>
    <row r="20" spans="1:3" ht="88">
      <c r="A20" s="39" t="s">
        <v>1803</v>
      </c>
      <c r="B20" s="39">
        <v>984</v>
      </c>
      <c r="C20" s="26" t="s">
        <v>1804</v>
      </c>
    </row>
    <row r="21" spans="1:3" ht="280">
      <c r="A21" s="39" t="s">
        <v>1805</v>
      </c>
      <c r="B21" s="39">
        <v>170</v>
      </c>
      <c r="C21" s="26" t="s">
        <v>1806</v>
      </c>
    </row>
    <row r="22" spans="1:3" ht="44">
      <c r="A22" s="39" t="s">
        <v>1807</v>
      </c>
      <c r="B22" s="39">
        <v>240</v>
      </c>
      <c r="C22" s="26" t="s">
        <v>1808</v>
      </c>
    </row>
    <row r="23" spans="1:3" ht="154">
      <c r="A23" s="39" t="s">
        <v>1809</v>
      </c>
      <c r="B23" s="39">
        <v>496</v>
      </c>
      <c r="C23" s="26" t="s">
        <v>1810</v>
      </c>
    </row>
    <row r="24" spans="1:3" ht="44">
      <c r="A24" s="39" t="s">
        <v>1811</v>
      </c>
      <c r="B24" s="39">
        <v>40</v>
      </c>
      <c r="C24" s="26" t="s">
        <v>1812</v>
      </c>
    </row>
    <row r="25" spans="1:3" ht="110">
      <c r="A25" s="39" t="s">
        <v>1813</v>
      </c>
      <c r="B25" s="39">
        <v>14056</v>
      </c>
      <c r="C25" s="26" t="s">
        <v>1814</v>
      </c>
    </row>
    <row r="26" spans="1:3" ht="44">
      <c r="A26" s="39" t="s">
        <v>1815</v>
      </c>
      <c r="B26" s="39">
        <v>456</v>
      </c>
      <c r="C26" s="26" t="s">
        <v>1816</v>
      </c>
    </row>
    <row r="27" spans="1:3" ht="22">
      <c r="A27" s="39" t="s">
        <v>1817</v>
      </c>
      <c r="B27" s="39">
        <v>360</v>
      </c>
      <c r="C27" s="26" t="s">
        <v>1818</v>
      </c>
    </row>
    <row r="28" spans="1:3" ht="154">
      <c r="A28" s="39" t="s">
        <v>1819</v>
      </c>
      <c r="B28" s="39">
        <v>5164</v>
      </c>
      <c r="C28" s="26" t="s">
        <v>1820</v>
      </c>
    </row>
    <row r="29" spans="1:3" ht="44">
      <c r="A29" s="39" t="s">
        <v>1821</v>
      </c>
      <c r="B29" s="39">
        <v>332</v>
      </c>
      <c r="C29" s="26" t="s">
        <v>1822</v>
      </c>
    </row>
    <row r="30" spans="1:3" ht="44">
      <c r="A30" s="39" t="s">
        <v>1823</v>
      </c>
      <c r="B30" s="39">
        <v>192</v>
      </c>
      <c r="C30" s="26" t="s">
        <v>1824</v>
      </c>
    </row>
    <row r="31" spans="1:3" ht="44">
      <c r="A31" s="39" t="s">
        <v>1825</v>
      </c>
      <c r="B31" s="39">
        <v>616</v>
      </c>
      <c r="C31" s="26" t="s">
        <v>1826</v>
      </c>
    </row>
    <row r="32" spans="1:3" ht="44">
      <c r="A32" s="39" t="s">
        <v>1827</v>
      </c>
      <c r="B32" s="39">
        <v>94</v>
      </c>
      <c r="C32" s="26" t="s">
        <v>1828</v>
      </c>
    </row>
    <row r="33" spans="1:3" ht="22">
      <c r="A33" s="39" t="s">
        <v>1829</v>
      </c>
      <c r="B33" s="39">
        <v>4</v>
      </c>
      <c r="C33" s="26" t="s">
        <v>1830</v>
      </c>
    </row>
    <row r="34" spans="1:3" ht="44">
      <c r="A34" s="39" t="s">
        <v>1831</v>
      </c>
      <c r="B34" s="39">
        <v>224</v>
      </c>
      <c r="C34" s="26" t="s">
        <v>1832</v>
      </c>
    </row>
    <row r="35" spans="1:3" ht="22">
      <c r="A35" s="39" t="s">
        <v>1833</v>
      </c>
      <c r="B35" s="39">
        <v>200</v>
      </c>
      <c r="C35" s="26" t="s">
        <v>1834</v>
      </c>
    </row>
    <row r="36" spans="1:3" ht="22">
      <c r="A36" s="39" t="s">
        <v>1835</v>
      </c>
      <c r="B36" s="39">
        <v>200</v>
      </c>
      <c r="C36" s="26" t="s">
        <v>1836</v>
      </c>
    </row>
    <row r="37" spans="1:3" ht="22">
      <c r="A37" s="39" t="s">
        <v>1837</v>
      </c>
      <c r="B37" s="39">
        <v>200</v>
      </c>
      <c r="C37" s="26" t="s">
        <v>1838</v>
      </c>
    </row>
    <row r="38" spans="1:3" ht="22">
      <c r="A38" s="39" t="s">
        <v>1839</v>
      </c>
      <c r="B38" s="39">
        <v>200</v>
      </c>
      <c r="C38" s="26" t="s">
        <v>1840</v>
      </c>
    </row>
    <row r="39" spans="1:3" ht="22">
      <c r="A39" s="39" t="s">
        <v>1841</v>
      </c>
      <c r="B39" s="39">
        <v>108</v>
      </c>
      <c r="C39" s="26" t="s">
        <v>1842</v>
      </c>
    </row>
    <row r="40" spans="1:3" ht="22">
      <c r="A40" s="39" t="s">
        <v>1843</v>
      </c>
      <c r="B40" s="39">
        <v>84</v>
      </c>
      <c r="C40" s="26" t="s">
        <v>1844</v>
      </c>
    </row>
    <row r="41" spans="1:3" ht="22">
      <c r="A41" s="39" t="s">
        <v>1845</v>
      </c>
      <c r="B41" s="39">
        <v>20</v>
      </c>
      <c r="C41" s="26" t="s">
        <v>1846</v>
      </c>
    </row>
    <row r="42" spans="1:3" ht="22">
      <c r="A42" s="39" t="s">
        <v>1847</v>
      </c>
      <c r="B42" s="39">
        <v>20</v>
      </c>
      <c r="C42" s="26" t="s">
        <v>1848</v>
      </c>
    </row>
    <row r="43" spans="1:3" ht="22">
      <c r="A43" s="39" t="s">
        <v>1849</v>
      </c>
      <c r="B43" s="39">
        <v>20</v>
      </c>
      <c r="C43" s="26" t="s">
        <v>1850</v>
      </c>
    </row>
    <row r="44" spans="1:3" ht="22">
      <c r="A44" s="39" t="s">
        <v>1851</v>
      </c>
      <c r="B44" s="39">
        <v>20</v>
      </c>
      <c r="C44" s="26" t="s">
        <v>1852</v>
      </c>
    </row>
    <row r="45" spans="1:3" ht="154">
      <c r="A45" s="39" t="s">
        <v>1853</v>
      </c>
      <c r="B45" s="39">
        <v>710</v>
      </c>
      <c r="C45" s="26" t="s">
        <v>1854</v>
      </c>
    </row>
    <row r="46" spans="1:3" ht="66">
      <c r="A46" s="39" t="s">
        <v>1855</v>
      </c>
      <c r="B46" s="39">
        <v>24</v>
      </c>
      <c r="C46" s="26" t="s">
        <v>1856</v>
      </c>
    </row>
    <row r="47" spans="1:3" ht="44">
      <c r="A47" s="39" t="s">
        <v>1857</v>
      </c>
      <c r="B47" s="39">
        <v>18</v>
      </c>
      <c r="C47" s="26" t="s">
        <v>1858</v>
      </c>
    </row>
    <row r="48" spans="1:3" ht="22">
      <c r="A48" s="39" t="s">
        <v>1859</v>
      </c>
      <c r="B48" s="39">
        <v>40</v>
      </c>
      <c r="C48" s="26" t="s">
        <v>1860</v>
      </c>
    </row>
    <row r="49" spans="1:3" ht="110">
      <c r="A49" s="39" t="s">
        <v>1861</v>
      </c>
      <c r="B49" s="39">
        <v>40</v>
      </c>
      <c r="C49" s="26" t="s">
        <v>1862</v>
      </c>
    </row>
    <row r="50" spans="1:3" ht="22">
      <c r="A50" s="39" t="s">
        <v>1863</v>
      </c>
      <c r="B50" s="39">
        <v>2</v>
      </c>
      <c r="C50" s="26" t="s">
        <v>1864</v>
      </c>
    </row>
    <row r="51" spans="1:3" ht="22">
      <c r="A51" s="39" t="s">
        <v>1865</v>
      </c>
      <c r="B51" s="39">
        <v>2</v>
      </c>
      <c r="C51" s="26" t="s">
        <v>1866</v>
      </c>
    </row>
    <row r="52" spans="1:3" ht="22">
      <c r="A52" s="39" t="s">
        <v>1867</v>
      </c>
      <c r="B52" s="39">
        <v>2</v>
      </c>
      <c r="C52" s="26" t="s">
        <v>1868</v>
      </c>
    </row>
    <row r="53" spans="1:3" ht="22">
      <c r="A53" s="39" t="s">
        <v>1869</v>
      </c>
      <c r="B53" s="39">
        <v>2</v>
      </c>
      <c r="C53" s="26" t="s">
        <v>1870</v>
      </c>
    </row>
    <row r="54" spans="1:3" ht="22">
      <c r="A54" s="39" t="s">
        <v>1871</v>
      </c>
      <c r="B54" s="39">
        <v>2</v>
      </c>
      <c r="C54" s="26" t="s">
        <v>1872</v>
      </c>
    </row>
    <row r="55" spans="1:3" ht="44">
      <c r="A55" s="39" t="s">
        <v>1873</v>
      </c>
      <c r="B55" s="39">
        <v>24</v>
      </c>
      <c r="C55" s="26" t="s">
        <v>1874</v>
      </c>
    </row>
    <row r="56" spans="1:3" ht="22">
      <c r="A56" s="39" t="s">
        <v>1875</v>
      </c>
      <c r="B56" s="39">
        <v>2</v>
      </c>
      <c r="C56" s="26" t="s">
        <v>1876</v>
      </c>
    </row>
    <row r="57" spans="1:3" ht="22">
      <c r="A57" s="39" t="s">
        <v>1877</v>
      </c>
      <c r="B57" s="39">
        <v>2</v>
      </c>
      <c r="C57" s="26" t="s">
        <v>1878</v>
      </c>
    </row>
    <row r="58" spans="1:3" ht="22">
      <c r="A58" s="39" t="s">
        <v>1879</v>
      </c>
      <c r="B58" s="39">
        <v>2</v>
      </c>
      <c r="C58" s="26" t="s">
        <v>1880</v>
      </c>
    </row>
    <row r="59" spans="1:3" ht="22">
      <c r="A59" s="39" t="s">
        <v>1881</v>
      </c>
      <c r="B59" s="39">
        <v>2</v>
      </c>
      <c r="C59" s="26" t="s">
        <v>1882</v>
      </c>
    </row>
    <row r="60" spans="1:3" ht="66">
      <c r="A60" s="39" t="s">
        <v>1883</v>
      </c>
      <c r="B60" s="39">
        <v>360</v>
      </c>
      <c r="C60" s="26" t="s">
        <v>1884</v>
      </c>
    </row>
    <row r="61" spans="1:3" ht="22">
      <c r="A61" s="39" t="s">
        <v>1885</v>
      </c>
      <c r="B61" s="39">
        <v>2</v>
      </c>
      <c r="C61" s="26" t="s">
        <v>1886</v>
      </c>
    </row>
    <row r="62" spans="1:3" ht="22">
      <c r="A62" s="39" t="s">
        <v>1887</v>
      </c>
      <c r="B62" s="39">
        <v>2</v>
      </c>
      <c r="C62" s="26" t="s">
        <v>1888</v>
      </c>
    </row>
    <row r="63" spans="1:3" ht="22">
      <c r="A63" s="39" t="s">
        <v>1889</v>
      </c>
      <c r="B63" s="39">
        <v>2</v>
      </c>
      <c r="C63" s="26" t="s">
        <v>1890</v>
      </c>
    </row>
    <row r="64" spans="1:3" ht="22">
      <c r="A64" s="39" t="s">
        <v>1891</v>
      </c>
      <c r="B64" s="39">
        <v>2</v>
      </c>
      <c r="C64" s="26" t="s">
        <v>1892</v>
      </c>
    </row>
    <row r="65" spans="1:3" ht="22">
      <c r="A65" s="39" t="s">
        <v>1893</v>
      </c>
      <c r="B65" s="39">
        <v>2</v>
      </c>
      <c r="C65" s="26" t="s">
        <v>1894</v>
      </c>
    </row>
    <row r="66" spans="1:3" ht="22">
      <c r="A66" s="39" t="s">
        <v>1895</v>
      </c>
      <c r="B66" s="39">
        <v>2</v>
      </c>
      <c r="C66" s="26" t="s">
        <v>1896</v>
      </c>
    </row>
    <row r="67" spans="1:3" ht="22">
      <c r="A67" s="39" t="s">
        <v>1897</v>
      </c>
      <c r="B67" s="39">
        <v>2</v>
      </c>
      <c r="C67" s="26" t="s">
        <v>1898</v>
      </c>
    </row>
    <row r="68" spans="1:3" ht="22">
      <c r="A68" s="39" t="s">
        <v>1899</v>
      </c>
      <c r="B68" s="39">
        <v>2</v>
      </c>
      <c r="C68" s="26" t="s">
        <v>1900</v>
      </c>
    </row>
    <row r="69" spans="1:3" ht="22">
      <c r="A69" s="39" t="s">
        <v>1901</v>
      </c>
      <c r="B69" s="39">
        <v>2</v>
      </c>
      <c r="C69" s="26" t="s">
        <v>1902</v>
      </c>
    </row>
    <row r="70" spans="1:3" ht="22">
      <c r="A70" s="39" t="s">
        <v>1903</v>
      </c>
      <c r="B70" s="39">
        <v>2</v>
      </c>
      <c r="C70" s="26" t="s">
        <v>1904</v>
      </c>
    </row>
    <row r="71" spans="1:3" ht="22">
      <c r="A71" s="39" t="s">
        <v>1905</v>
      </c>
      <c r="B71" s="39">
        <v>2</v>
      </c>
      <c r="C71" s="26" t="s">
        <v>1906</v>
      </c>
    </row>
    <row r="72" spans="1:3" ht="22">
      <c r="A72" s="39" t="s">
        <v>1907</v>
      </c>
      <c r="B72" s="39">
        <v>8</v>
      </c>
      <c r="C72" s="26" t="s">
        <v>1908</v>
      </c>
    </row>
    <row r="73" spans="1:3" ht="22">
      <c r="A73" s="39" t="s">
        <v>1909</v>
      </c>
      <c r="B73" s="39">
        <v>4</v>
      </c>
      <c r="C73" s="26" t="s">
        <v>1910</v>
      </c>
    </row>
    <row r="74" spans="1:3" ht="22">
      <c r="A74" s="39" t="s">
        <v>1911</v>
      </c>
      <c r="B74" s="39">
        <v>2</v>
      </c>
      <c r="C74" s="26" t="s">
        <v>1912</v>
      </c>
    </row>
    <row r="75" spans="1:3" ht="110">
      <c r="A75" s="39" t="s">
        <v>1913</v>
      </c>
      <c r="B75" s="39">
        <v>82</v>
      </c>
      <c r="C75" s="26" t="s">
        <v>1914</v>
      </c>
    </row>
    <row r="76" spans="1:3" ht="22">
      <c r="A76" s="39" t="s">
        <v>1915</v>
      </c>
      <c r="B76" s="39">
        <v>16</v>
      </c>
      <c r="C76" s="26" t="s">
        <v>1916</v>
      </c>
    </row>
    <row r="77" spans="1:3" ht="198">
      <c r="A77" s="39" t="s">
        <v>1917</v>
      </c>
      <c r="B77" s="39">
        <v>6604</v>
      </c>
      <c r="C77" s="26" t="s">
        <v>1918</v>
      </c>
    </row>
    <row r="78" spans="1:3" ht="44">
      <c r="A78" s="39" t="s">
        <v>1919</v>
      </c>
      <c r="B78" s="39">
        <v>48</v>
      </c>
      <c r="C78" s="26" t="s">
        <v>1920</v>
      </c>
    </row>
    <row r="79" spans="1:3" ht="22">
      <c r="A79" s="39" t="s">
        <v>1921</v>
      </c>
      <c r="B79" s="39">
        <v>60</v>
      </c>
      <c r="C79" s="26" t="s">
        <v>1922</v>
      </c>
    </row>
    <row r="80" spans="1:3" ht="22">
      <c r="A80" s="39" t="s">
        <v>1923</v>
      </c>
      <c r="B80" s="39">
        <v>60</v>
      </c>
      <c r="C80" s="26" t="s">
        <v>1924</v>
      </c>
    </row>
    <row r="81" spans="1:3" ht="44">
      <c r="A81" s="39" t="s">
        <v>1925</v>
      </c>
      <c r="B81" s="39">
        <v>120</v>
      </c>
      <c r="C81" s="26" t="s">
        <v>1926</v>
      </c>
    </row>
    <row r="82" spans="1:3" ht="44">
      <c r="A82" s="39" t="s">
        <v>1927</v>
      </c>
      <c r="B82" s="39">
        <v>100</v>
      </c>
      <c r="C82" s="26" t="s">
        <v>1928</v>
      </c>
    </row>
    <row r="83" spans="1:3" ht="22">
      <c r="A83" s="39" t="s">
        <v>1929</v>
      </c>
      <c r="B83" s="39">
        <v>0</v>
      </c>
      <c r="C83" s="26" t="s">
        <v>1930</v>
      </c>
    </row>
    <row r="84" spans="1:3" ht="44">
      <c r="A84" s="39" t="s">
        <v>1931</v>
      </c>
      <c r="B84" s="39">
        <v>100</v>
      </c>
      <c r="C84" s="26" t="s">
        <v>1932</v>
      </c>
    </row>
    <row r="85" spans="1:3" ht="22">
      <c r="A85" s="39" t="s">
        <v>1933</v>
      </c>
      <c r="B85" s="39">
        <v>32</v>
      </c>
      <c r="C85" s="26" t="s">
        <v>1934</v>
      </c>
    </row>
    <row r="86" spans="1:3" ht="22">
      <c r="A86" s="39" t="s">
        <v>1935</v>
      </c>
      <c r="B86" s="39">
        <v>32</v>
      </c>
      <c r="C86" s="26" t="s">
        <v>1936</v>
      </c>
    </row>
    <row r="87" spans="1:3" ht="22">
      <c r="A87" s="39" t="s">
        <v>1937</v>
      </c>
      <c r="B87" s="39">
        <v>14</v>
      </c>
      <c r="C87" s="26" t="s">
        <v>1938</v>
      </c>
    </row>
    <row r="88" spans="1:3" ht="22">
      <c r="A88" s="39" t="s">
        <v>1939</v>
      </c>
      <c r="B88" s="39">
        <v>32</v>
      </c>
      <c r="C88" s="26" t="s">
        <v>1940</v>
      </c>
    </row>
    <row r="89" spans="1:3" ht="22">
      <c r="A89" s="39" t="s">
        <v>1941</v>
      </c>
      <c r="B89" s="39">
        <v>100</v>
      </c>
      <c r="C89" s="26" t="s">
        <v>1942</v>
      </c>
    </row>
    <row r="90" spans="1:3" ht="22">
      <c r="A90" s="39" t="s">
        <v>1943</v>
      </c>
      <c r="B90" s="39">
        <v>100</v>
      </c>
      <c r="C90" s="26" t="s">
        <v>1944</v>
      </c>
    </row>
    <row r="91" spans="1:3" ht="22">
      <c r="A91" s="39" t="s">
        <v>1945</v>
      </c>
      <c r="B91" s="39">
        <v>100</v>
      </c>
      <c r="C91" s="26" t="s">
        <v>1946</v>
      </c>
    </row>
    <row r="92" spans="1:3" ht="22">
      <c r="A92" s="39" t="s">
        <v>1947</v>
      </c>
      <c r="B92" s="39">
        <v>60</v>
      </c>
      <c r="C92" s="26" t="s">
        <v>1948</v>
      </c>
    </row>
    <row r="93" spans="1:3" ht="66">
      <c r="A93" s="39" t="s">
        <v>1949</v>
      </c>
      <c r="B93" s="39">
        <v>74</v>
      </c>
      <c r="C93" s="26" t="s">
        <v>1950</v>
      </c>
    </row>
    <row r="94" spans="1:3" ht="132">
      <c r="A94" s="39" t="s">
        <v>1951</v>
      </c>
      <c r="B94" s="39">
        <v>190</v>
      </c>
      <c r="C94" s="26" t="s">
        <v>1952</v>
      </c>
    </row>
    <row r="95" spans="1:3" ht="44">
      <c r="A95" s="39" t="s">
        <v>1953</v>
      </c>
      <c r="B95" s="39">
        <v>12</v>
      </c>
      <c r="C95" s="26" t="s">
        <v>1954</v>
      </c>
    </row>
    <row r="96" spans="1:3" ht="22">
      <c r="A96" s="39" t="s">
        <v>1955</v>
      </c>
      <c r="B96" s="39">
        <v>6</v>
      </c>
      <c r="C96" s="26" t="s">
        <v>1956</v>
      </c>
    </row>
    <row r="97" spans="1:3" ht="22">
      <c r="A97" s="39" t="s">
        <v>1957</v>
      </c>
      <c r="B97" s="39">
        <v>20</v>
      </c>
      <c r="C97" s="26" t="s">
        <v>1958</v>
      </c>
    </row>
    <row r="98" spans="1:3" ht="44">
      <c r="A98" s="39" t="s">
        <v>1959</v>
      </c>
      <c r="B98" s="39">
        <v>96</v>
      </c>
      <c r="C98" s="26" t="s">
        <v>1960</v>
      </c>
    </row>
    <row r="99" spans="1:3" ht="66">
      <c r="A99" s="39" t="s">
        <v>1961</v>
      </c>
      <c r="B99" s="39">
        <v>84</v>
      </c>
      <c r="C99" s="26" t="s">
        <v>1962</v>
      </c>
    </row>
    <row r="100" spans="1:3" ht="110">
      <c r="A100" s="39" t="s">
        <v>1963</v>
      </c>
      <c r="B100" s="39">
        <v>2260</v>
      </c>
      <c r="C100" s="26" t="s">
        <v>1964</v>
      </c>
    </row>
    <row r="101" spans="1:3" ht="132">
      <c r="A101" s="39" t="s">
        <v>1965</v>
      </c>
      <c r="B101" s="39">
        <v>978</v>
      </c>
      <c r="C101" s="26" t="s">
        <v>1966</v>
      </c>
    </row>
    <row r="102" spans="1:3" ht="44">
      <c r="A102" s="39" t="s">
        <v>1967</v>
      </c>
      <c r="B102" s="39">
        <v>20</v>
      </c>
      <c r="C102" s="26" t="s">
        <v>1968</v>
      </c>
    </row>
    <row r="103" spans="1:3" ht="132">
      <c r="A103" s="39" t="s">
        <v>1969</v>
      </c>
      <c r="B103" s="39">
        <v>94</v>
      </c>
      <c r="C103" s="26" t="s">
        <v>1970</v>
      </c>
    </row>
    <row r="104" spans="1:3" ht="110">
      <c r="A104" s="39" t="s">
        <v>1971</v>
      </c>
      <c r="B104" s="39">
        <v>32</v>
      </c>
      <c r="C104" s="26" t="s">
        <v>1972</v>
      </c>
    </row>
    <row r="105" spans="1:3" ht="22">
      <c r="A105" s="39" t="s">
        <v>1973</v>
      </c>
      <c r="B105" s="39">
        <v>10</v>
      </c>
      <c r="C105" s="26" t="s">
        <v>1974</v>
      </c>
    </row>
    <row r="106" spans="1:3" ht="110">
      <c r="A106" s="39" t="s">
        <v>1975</v>
      </c>
      <c r="B106" s="39">
        <v>62</v>
      </c>
      <c r="C106" s="26" t="s">
        <v>1976</v>
      </c>
    </row>
    <row r="107" spans="1:3" ht="176">
      <c r="A107" s="39" t="s">
        <v>1977</v>
      </c>
      <c r="B107" s="39">
        <v>84</v>
      </c>
      <c r="C107" s="26" t="s">
        <v>1978</v>
      </c>
    </row>
    <row r="108" spans="1:3" ht="44">
      <c r="A108" s="39" t="s">
        <v>1979</v>
      </c>
      <c r="B108" s="39">
        <v>50</v>
      </c>
      <c r="C108" s="26" t="s">
        <v>1980</v>
      </c>
    </row>
    <row r="109" spans="1:3" ht="22">
      <c r="A109" s="39" t="s">
        <v>1981</v>
      </c>
      <c r="B109" s="39">
        <v>20</v>
      </c>
      <c r="C109" s="26" t="s">
        <v>1982</v>
      </c>
    </row>
    <row r="110" spans="1:3" ht="44">
      <c r="A110" s="39" t="s">
        <v>1983</v>
      </c>
      <c r="B110" s="39">
        <v>0</v>
      </c>
      <c r="C110" s="26" t="s">
        <v>1984</v>
      </c>
    </row>
    <row r="111" spans="1:3" ht="88">
      <c r="A111" s="39" t="s">
        <v>1985</v>
      </c>
      <c r="B111" s="39">
        <v>124</v>
      </c>
      <c r="C111" s="26" t="s">
        <v>1986</v>
      </c>
    </row>
    <row r="112" spans="1:3" ht="88">
      <c r="A112" s="39" t="s">
        <v>1987</v>
      </c>
      <c r="B112" s="39">
        <v>18</v>
      </c>
      <c r="C112" s="26" t="s">
        <v>1988</v>
      </c>
    </row>
    <row r="113" spans="1:3" ht="66">
      <c r="A113" s="39" t="s">
        <v>1989</v>
      </c>
      <c r="B113" s="39">
        <v>106</v>
      </c>
      <c r="C113" s="26" t="s">
        <v>1990</v>
      </c>
    </row>
    <row r="114" spans="1:3" ht="44">
      <c r="A114" s="39" t="s">
        <v>1991</v>
      </c>
      <c r="B114" s="39">
        <v>10</v>
      </c>
      <c r="C114" s="26" t="s">
        <v>1992</v>
      </c>
    </row>
    <row r="115" spans="1:3" ht="66">
      <c r="A115" s="39" t="s">
        <v>1993</v>
      </c>
      <c r="B115" s="39">
        <v>112</v>
      </c>
      <c r="C115" s="26" t="s">
        <v>1994</v>
      </c>
    </row>
    <row r="116" spans="1:3" ht="66">
      <c r="A116" s="39" t="s">
        <v>1995</v>
      </c>
      <c r="B116" s="39">
        <v>40</v>
      </c>
      <c r="C116" s="26" t="s">
        <v>1996</v>
      </c>
    </row>
    <row r="117" spans="1:3" ht="22">
      <c r="A117" s="39" t="s">
        <v>1997</v>
      </c>
      <c r="B117" s="39">
        <v>0</v>
      </c>
      <c r="C117" s="26" t="s">
        <v>1998</v>
      </c>
    </row>
    <row r="118" spans="1:3" ht="44">
      <c r="A118" s="39" t="s">
        <v>1999</v>
      </c>
      <c r="B118" s="39">
        <v>52</v>
      </c>
      <c r="C118" s="26" t="s">
        <v>2000</v>
      </c>
    </row>
    <row r="119" spans="1:3" ht="110">
      <c r="A119" s="39" t="s">
        <v>2001</v>
      </c>
      <c r="B119" s="39">
        <v>74</v>
      </c>
      <c r="C119" s="26" t="s">
        <v>2002</v>
      </c>
    </row>
    <row r="120" spans="1:3" ht="22">
      <c r="A120" s="39" t="s">
        <v>2003</v>
      </c>
      <c r="B120" s="39">
        <v>4</v>
      </c>
      <c r="C120" s="26" t="s">
        <v>2004</v>
      </c>
    </row>
    <row r="121" spans="1:3" ht="66">
      <c r="A121" s="39" t="s">
        <v>2005</v>
      </c>
      <c r="B121" s="39">
        <v>14</v>
      </c>
      <c r="C121" s="26" t="s">
        <v>2006</v>
      </c>
    </row>
    <row r="122" spans="1:3" ht="110">
      <c r="A122" s="39" t="s">
        <v>2007</v>
      </c>
      <c r="B122" s="39">
        <v>210</v>
      </c>
      <c r="C122" s="26" t="s">
        <v>2008</v>
      </c>
    </row>
    <row r="123" spans="1:3" ht="22">
      <c r="A123" s="39" t="s">
        <v>2009</v>
      </c>
      <c r="B123" s="39">
        <v>54</v>
      </c>
      <c r="C123" s="26" t="s">
        <v>2010</v>
      </c>
    </row>
    <row r="124" spans="1:3" ht="44">
      <c r="A124" s="39" t="s">
        <v>2011</v>
      </c>
      <c r="B124" s="39">
        <v>24</v>
      </c>
      <c r="C124" s="26" t="s">
        <v>2012</v>
      </c>
    </row>
    <row r="125" spans="1:3" ht="22">
      <c r="A125" s="39" t="s">
        <v>2013</v>
      </c>
      <c r="B125" s="39">
        <v>0</v>
      </c>
      <c r="C125" s="26" t="s">
        <v>2014</v>
      </c>
    </row>
    <row r="126" spans="1:3" ht="66">
      <c r="A126" s="39" t="s">
        <v>2015</v>
      </c>
      <c r="B126" s="39">
        <v>174</v>
      </c>
      <c r="C126" s="26" t="s">
        <v>2016</v>
      </c>
    </row>
    <row r="127" spans="1:3" ht="22">
      <c r="A127" s="39" t="s">
        <v>2017</v>
      </c>
      <c r="B127" s="39">
        <v>100</v>
      </c>
      <c r="C127" s="26" t="s">
        <v>2018</v>
      </c>
    </row>
    <row r="128" spans="1:3" ht="22">
      <c r="A128" s="39" t="s">
        <v>2019</v>
      </c>
      <c r="B128" s="39">
        <v>0</v>
      </c>
      <c r="C128" s="26" t="s">
        <v>2020</v>
      </c>
    </row>
    <row r="129" spans="1:3" ht="44">
      <c r="A129" s="39" t="s">
        <v>2021</v>
      </c>
      <c r="B129" s="39">
        <v>20</v>
      </c>
      <c r="C129" s="26" t="s">
        <v>2022</v>
      </c>
    </row>
    <row r="130" spans="1:3" ht="22">
      <c r="A130" s="39" t="s">
        <v>2023</v>
      </c>
      <c r="B130" s="39">
        <v>40</v>
      </c>
      <c r="C130" s="26" t="s">
        <v>2024</v>
      </c>
    </row>
    <row r="131" spans="1:3" ht="22">
      <c r="A131" s="39" t="s">
        <v>2025</v>
      </c>
      <c r="B131" s="39">
        <v>40</v>
      </c>
      <c r="C131" s="26" t="s">
        <v>2026</v>
      </c>
    </row>
    <row r="132" spans="1:3" ht="44">
      <c r="A132" s="39" t="s">
        <v>2027</v>
      </c>
      <c r="B132" s="39">
        <v>12</v>
      </c>
      <c r="C132" s="26" t="s">
        <v>2028</v>
      </c>
    </row>
    <row r="133" spans="1:3" ht="22">
      <c r="A133" s="39" t="s">
        <v>2029</v>
      </c>
      <c r="B133" s="39">
        <v>12</v>
      </c>
      <c r="C133" s="26" t="s">
        <v>2030</v>
      </c>
    </row>
    <row r="134" spans="1:3" ht="22">
      <c r="A134" s="39" t="s">
        <v>2031</v>
      </c>
      <c r="B134" s="39">
        <v>12</v>
      </c>
      <c r="C134" s="26" t="s">
        <v>2032</v>
      </c>
    </row>
    <row r="135" spans="1:3" ht="22">
      <c r="A135" s="39" t="s">
        <v>2033</v>
      </c>
      <c r="B135" s="39">
        <v>20</v>
      </c>
      <c r="C135" s="26" t="s">
        <v>2034</v>
      </c>
    </row>
    <row r="136" spans="1:3" ht="22">
      <c r="A136" s="39" t="s">
        <v>2035</v>
      </c>
      <c r="B136" s="39">
        <v>4</v>
      </c>
      <c r="C136" s="26" t="s">
        <v>2036</v>
      </c>
    </row>
    <row r="137" spans="1:3" ht="22">
      <c r="A137" s="39" t="s">
        <v>2037</v>
      </c>
      <c r="B137" s="39">
        <v>12</v>
      </c>
      <c r="C137" s="26" t="s">
        <v>2038</v>
      </c>
    </row>
    <row r="138" spans="1:3" ht="22">
      <c r="A138" s="39" t="s">
        <v>2039</v>
      </c>
      <c r="B138" s="39">
        <v>16</v>
      </c>
      <c r="C138" s="26" t="s">
        <v>2040</v>
      </c>
    </row>
    <row r="139" spans="1:3" ht="22">
      <c r="A139" s="39" t="s">
        <v>2041</v>
      </c>
      <c r="B139" s="39">
        <v>12</v>
      </c>
      <c r="C139" s="26" t="s">
        <v>2042</v>
      </c>
    </row>
    <row r="140" spans="1:3" ht="22">
      <c r="A140" s="39" t="s">
        <v>2043</v>
      </c>
      <c r="B140" s="39">
        <v>4</v>
      </c>
      <c r="C140" s="26" t="s">
        <v>2044</v>
      </c>
    </row>
    <row r="141" spans="1:3" ht="22">
      <c r="A141" s="39" t="s">
        <v>2045</v>
      </c>
      <c r="B141" s="39">
        <v>32</v>
      </c>
      <c r="C141" s="26" t="s">
        <v>2046</v>
      </c>
    </row>
    <row r="142" spans="1:3" ht="22">
      <c r="A142" s="39" t="s">
        <v>2047</v>
      </c>
      <c r="B142" s="39">
        <v>14</v>
      </c>
      <c r="C142" s="26" t="s">
        <v>2048</v>
      </c>
    </row>
    <row r="143" spans="1:3" ht="22">
      <c r="A143" s="39" t="s">
        <v>2049</v>
      </c>
      <c r="B143" s="39">
        <v>44</v>
      </c>
      <c r="C143" s="26" t="s">
        <v>2050</v>
      </c>
    </row>
    <row r="144" spans="1:3" ht="22">
      <c r="A144" s="39" t="s">
        <v>2051</v>
      </c>
      <c r="B144" s="39">
        <v>72</v>
      </c>
      <c r="C144" s="26" t="s">
        <v>2052</v>
      </c>
    </row>
    <row r="145" spans="1:3" ht="22">
      <c r="A145" s="39" t="s">
        <v>2053</v>
      </c>
      <c r="B145" s="39">
        <v>2</v>
      </c>
      <c r="C145" s="26" t="s">
        <v>2054</v>
      </c>
    </row>
    <row r="146" spans="1:3" ht="22">
      <c r="A146" s="39" t="s">
        <v>2055</v>
      </c>
      <c r="B146" s="39">
        <v>2</v>
      </c>
      <c r="C146" s="26" t="s">
        <v>2056</v>
      </c>
    </row>
    <row r="147" spans="1:3" ht="22">
      <c r="A147" s="39" t="s">
        <v>2057</v>
      </c>
      <c r="B147" s="39">
        <v>2</v>
      </c>
      <c r="C147" s="26" t="s">
        <v>2058</v>
      </c>
    </row>
    <row r="148" spans="1:3" ht="22">
      <c r="A148" s="39" t="s">
        <v>2059</v>
      </c>
      <c r="B148" s="39">
        <v>12</v>
      </c>
      <c r="C148" s="26" t="s">
        <v>2060</v>
      </c>
    </row>
    <row r="149" spans="1:3" ht="22">
      <c r="A149" s="39" t="s">
        <v>2061</v>
      </c>
      <c r="B149" s="39">
        <v>4</v>
      </c>
      <c r="C149" s="26" t="s">
        <v>2062</v>
      </c>
    </row>
    <row r="150" spans="1:3" ht="22">
      <c r="A150" s="39" t="s">
        <v>2063</v>
      </c>
      <c r="B150" s="39">
        <v>2</v>
      </c>
      <c r="C150" s="26" t="s">
        <v>2064</v>
      </c>
    </row>
    <row r="151" spans="1:3" ht="22">
      <c r="A151" s="39" t="s">
        <v>2065</v>
      </c>
      <c r="B151" s="39">
        <v>72</v>
      </c>
      <c r="C151" s="26" t="s">
        <v>2066</v>
      </c>
    </row>
    <row r="152" spans="1:3" ht="22">
      <c r="A152" s="39" t="s">
        <v>2067</v>
      </c>
      <c r="B152" s="39">
        <v>6</v>
      </c>
      <c r="C152" s="26" t="s">
        <v>2068</v>
      </c>
    </row>
    <row r="153" spans="1:3" ht="22">
      <c r="A153" s="39" t="s">
        <v>2069</v>
      </c>
      <c r="B153" s="39">
        <v>2</v>
      </c>
      <c r="C153" s="26" t="s">
        <v>2070</v>
      </c>
    </row>
    <row r="154" spans="1:3" ht="22">
      <c r="A154" s="39" t="s">
        <v>2071</v>
      </c>
      <c r="B154" s="39">
        <v>2</v>
      </c>
      <c r="C154" s="26" t="s">
        <v>2072</v>
      </c>
    </row>
    <row r="155" spans="1:3" ht="22">
      <c r="A155" s="39" t="s">
        <v>2073</v>
      </c>
      <c r="B155" s="39">
        <v>2</v>
      </c>
      <c r="C155" s="26" t="s">
        <v>2074</v>
      </c>
    </row>
    <row r="156" spans="1:3" ht="22">
      <c r="A156" s="39" t="s">
        <v>2075</v>
      </c>
      <c r="B156" s="39">
        <v>2</v>
      </c>
      <c r="C156" s="26" t="s">
        <v>2076</v>
      </c>
    </row>
    <row r="157" spans="1:3" ht="22">
      <c r="A157" s="39" t="s">
        <v>2077</v>
      </c>
      <c r="B157" s="39">
        <v>2</v>
      </c>
      <c r="C157" s="26" t="s">
        <v>2078</v>
      </c>
    </row>
    <row r="158" spans="1:3" ht="22">
      <c r="A158" s="39" t="s">
        <v>2079</v>
      </c>
      <c r="B158" s="39">
        <v>4</v>
      </c>
      <c r="C158" s="26" t="s">
        <v>2080</v>
      </c>
    </row>
    <row r="159" spans="1:3" ht="22">
      <c r="A159" s="39" t="s">
        <v>2081</v>
      </c>
      <c r="B159" s="39">
        <v>2</v>
      </c>
      <c r="C159" s="26" t="s">
        <v>2082</v>
      </c>
    </row>
    <row r="160" spans="1:3" ht="22">
      <c r="A160" s="39" t="s">
        <v>2083</v>
      </c>
      <c r="B160" s="39">
        <v>2</v>
      </c>
      <c r="C160" s="26" t="s">
        <v>2084</v>
      </c>
    </row>
    <row r="161" spans="1:3" ht="110">
      <c r="A161" s="39" t="s">
        <v>2085</v>
      </c>
      <c r="B161" s="39">
        <v>494</v>
      </c>
      <c r="C161" s="26" t="s">
        <v>2086</v>
      </c>
    </row>
    <row r="162" spans="1:3" ht="88">
      <c r="A162" s="39" t="s">
        <v>2087</v>
      </c>
      <c r="B162" s="39">
        <v>464</v>
      </c>
      <c r="C162" s="26" t="s">
        <v>2088</v>
      </c>
    </row>
    <row r="163" spans="1:3" ht="88">
      <c r="A163" s="39" t="s">
        <v>2089</v>
      </c>
      <c r="B163" s="39">
        <v>464</v>
      </c>
      <c r="C163" s="26" t="s">
        <v>2090</v>
      </c>
    </row>
    <row r="164" spans="1:3" ht="110">
      <c r="A164" s="39" t="s">
        <v>2091</v>
      </c>
      <c r="B164" s="39">
        <v>584</v>
      </c>
      <c r="C164" s="26" t="s">
        <v>2092</v>
      </c>
    </row>
    <row r="165" spans="1:3" ht="88">
      <c r="A165" s="39" t="s">
        <v>2093</v>
      </c>
      <c r="B165" s="39">
        <v>0</v>
      </c>
      <c r="C165" s="26" t="s">
        <v>2094</v>
      </c>
    </row>
    <row r="166" spans="1:3" ht="22">
      <c r="A166" s="39" t="s">
        <v>2095</v>
      </c>
      <c r="B166" s="39">
        <v>0</v>
      </c>
      <c r="C166" s="26" t="s">
        <v>2096</v>
      </c>
    </row>
    <row r="167" spans="1:3" ht="22">
      <c r="A167" s="39" t="s">
        <v>2097</v>
      </c>
      <c r="B167" s="39">
        <v>160</v>
      </c>
      <c r="C167" s="26" t="s">
        <v>2098</v>
      </c>
    </row>
    <row r="168" spans="1:3" ht="22">
      <c r="A168" s="39" t="s">
        <v>2099</v>
      </c>
      <c r="B168" s="39">
        <v>8000</v>
      </c>
      <c r="C168" s="26" t="s">
        <v>2100</v>
      </c>
    </row>
    <row r="169" spans="1:3" ht="22">
      <c r="A169" s="39" t="s">
        <v>2101</v>
      </c>
      <c r="B169" s="39">
        <v>8</v>
      </c>
      <c r="C169" s="26" t="s">
        <v>2102</v>
      </c>
    </row>
    <row r="170" spans="1:3" ht="22">
      <c r="A170" s="39" t="s">
        <v>2103</v>
      </c>
      <c r="B170" s="39">
        <v>8</v>
      </c>
      <c r="C170" s="26" t="s">
        <v>2104</v>
      </c>
    </row>
    <row r="171" spans="1:3" ht="22">
      <c r="A171" s="39" t="s">
        <v>2105</v>
      </c>
      <c r="B171" s="39">
        <v>0</v>
      </c>
      <c r="C171" s="26" t="s">
        <v>2106</v>
      </c>
    </row>
    <row r="172" spans="1:3" ht="22">
      <c r="A172" s="39" t="s">
        <v>2107</v>
      </c>
      <c r="B172" s="39">
        <v>2</v>
      </c>
      <c r="C172" s="26" t="s">
        <v>2108</v>
      </c>
    </row>
    <row r="173" spans="1:3" ht="22">
      <c r="A173" s="39" t="s">
        <v>2109</v>
      </c>
      <c r="B173" s="39">
        <v>2</v>
      </c>
      <c r="C173" s="26" t="s">
        <v>2110</v>
      </c>
    </row>
    <row r="174" spans="1:3" ht="22">
      <c r="A174" s="39" t="s">
        <v>2111</v>
      </c>
      <c r="B174" s="39">
        <v>2</v>
      </c>
      <c r="C174" s="26" t="s">
        <v>2112</v>
      </c>
    </row>
    <row r="175" spans="1:3" ht="22">
      <c r="A175" s="39" t="s">
        <v>2113</v>
      </c>
      <c r="B175" s="39">
        <v>2</v>
      </c>
      <c r="C175" s="26" t="s">
        <v>2114</v>
      </c>
    </row>
    <row r="176" spans="1:3" ht="22">
      <c r="A176" s="39" t="s">
        <v>2115</v>
      </c>
      <c r="B176" s="39">
        <v>2</v>
      </c>
      <c r="C176" s="26" t="s">
        <v>2116</v>
      </c>
    </row>
    <row r="177" spans="1:3" ht="22">
      <c r="A177" s="39" t="s">
        <v>2117</v>
      </c>
      <c r="B177" s="39">
        <v>2</v>
      </c>
      <c r="C177" s="26" t="s">
        <v>2118</v>
      </c>
    </row>
    <row r="178" spans="1:3" ht="22">
      <c r="A178" s="39" t="s">
        <v>2119</v>
      </c>
      <c r="B178" s="39">
        <v>2</v>
      </c>
      <c r="C178" s="26" t="s">
        <v>2120</v>
      </c>
    </row>
    <row r="179" spans="1:3" ht="22">
      <c r="A179" s="39" t="s">
        <v>2121</v>
      </c>
      <c r="B179" s="39">
        <v>2</v>
      </c>
      <c r="C179" s="26" t="s">
        <v>2122</v>
      </c>
    </row>
    <row r="180" spans="1:3" ht="22">
      <c r="A180" s="39" t="s">
        <v>2123</v>
      </c>
      <c r="B180" s="39">
        <v>32</v>
      </c>
      <c r="C180" s="26" t="s">
        <v>2124</v>
      </c>
    </row>
    <row r="181" spans="1:3" ht="22">
      <c r="A181" s="39" t="s">
        <v>2125</v>
      </c>
      <c r="B181" s="39">
        <v>24</v>
      </c>
      <c r="C181" s="26" t="s">
        <v>2126</v>
      </c>
    </row>
    <row r="182" spans="1:3" ht="66">
      <c r="A182" s="39" t="s">
        <v>2127</v>
      </c>
      <c r="B182" s="39">
        <v>200</v>
      </c>
      <c r="C182" s="26" t="s">
        <v>2128</v>
      </c>
    </row>
    <row r="183" spans="1:3" ht="22">
      <c r="A183" s="39" t="s">
        <v>2129</v>
      </c>
      <c r="B183" s="39">
        <v>4400</v>
      </c>
      <c r="C183" s="26" t="s">
        <v>2130</v>
      </c>
    </row>
    <row r="184" spans="1:3" ht="110">
      <c r="A184" s="39" t="s">
        <v>2131</v>
      </c>
      <c r="B184" s="39">
        <v>2880</v>
      </c>
      <c r="C184" s="26" t="s">
        <v>2132</v>
      </c>
    </row>
    <row r="185" spans="1:3" ht="44">
      <c r="A185" s="39" t="s">
        <v>2133</v>
      </c>
      <c r="B185" s="39">
        <v>1400</v>
      </c>
      <c r="C185" s="26" t="s">
        <v>2134</v>
      </c>
    </row>
    <row r="186" spans="1:3" ht="110">
      <c r="A186" s="39" t="s">
        <v>2135</v>
      </c>
      <c r="B186" s="39">
        <v>2328</v>
      </c>
      <c r="C186" s="26" t="s">
        <v>2136</v>
      </c>
    </row>
    <row r="187" spans="1:3" ht="110">
      <c r="A187" s="39" t="s">
        <v>2137</v>
      </c>
      <c r="B187" s="39">
        <v>1748</v>
      </c>
      <c r="C187" s="26" t="s">
        <v>2138</v>
      </c>
    </row>
    <row r="188" spans="1:3" ht="66">
      <c r="A188" s="39" t="s">
        <v>2139</v>
      </c>
      <c r="B188" s="39">
        <v>6822</v>
      </c>
      <c r="C188" s="26" t="s">
        <v>2140</v>
      </c>
    </row>
    <row r="189" spans="1:3" ht="22">
      <c r="A189" s="39" t="s">
        <v>2141</v>
      </c>
      <c r="B189" s="39">
        <v>200</v>
      </c>
      <c r="C189" s="26" t="s">
        <v>2142</v>
      </c>
    </row>
    <row r="190" spans="1:3" ht="44">
      <c r="A190" s="39" t="s">
        <v>2143</v>
      </c>
      <c r="B190" s="39">
        <v>9880</v>
      </c>
      <c r="C190" s="26" t="s">
        <v>2144</v>
      </c>
    </row>
    <row r="191" spans="1:3" ht="88">
      <c r="A191" s="39" t="s">
        <v>2145</v>
      </c>
      <c r="B191" s="39">
        <v>2216</v>
      </c>
      <c r="C191" s="26" t="s">
        <v>2146</v>
      </c>
    </row>
    <row r="192" spans="1:3" ht="66">
      <c r="A192" s="39" t="s">
        <v>2147</v>
      </c>
      <c r="B192" s="39">
        <v>896</v>
      </c>
      <c r="C192" s="26" t="s">
        <v>2148</v>
      </c>
    </row>
    <row r="193" spans="1:3" ht="132">
      <c r="A193" s="39" t="s">
        <v>2149</v>
      </c>
      <c r="B193" s="39">
        <v>780</v>
      </c>
      <c r="C193" s="26" t="s">
        <v>2150</v>
      </c>
    </row>
    <row r="194" spans="1:3" ht="22">
      <c r="A194" s="39" t="s">
        <v>2151</v>
      </c>
      <c r="B194" s="39">
        <v>0</v>
      </c>
      <c r="C194" s="26" t="s">
        <v>2152</v>
      </c>
    </row>
    <row r="195" spans="1:3" ht="44">
      <c r="A195" s="39" t="s">
        <v>2153</v>
      </c>
      <c r="B195" s="39">
        <v>96</v>
      </c>
      <c r="C195" s="26" t="s">
        <v>2154</v>
      </c>
    </row>
    <row r="196" spans="1:3" ht="22">
      <c r="A196" s="39" t="s">
        <v>2155</v>
      </c>
      <c r="B196" s="39">
        <v>48</v>
      </c>
      <c r="C196" s="26" t="s">
        <v>2156</v>
      </c>
    </row>
    <row r="197" spans="1:3" ht="44">
      <c r="A197" s="39" t="s">
        <v>2157</v>
      </c>
      <c r="B197" s="39">
        <v>68</v>
      </c>
      <c r="C197" s="26" t="s">
        <v>2158</v>
      </c>
    </row>
    <row r="198" spans="1:3" ht="66">
      <c r="A198" s="39" t="s">
        <v>2159</v>
      </c>
      <c r="B198" s="39">
        <v>20</v>
      </c>
      <c r="C198" s="26" t="s">
        <v>2160</v>
      </c>
    </row>
    <row r="199" spans="1:3" ht="88">
      <c r="A199" s="39" t="s">
        <v>2161</v>
      </c>
      <c r="B199" s="39">
        <v>140</v>
      </c>
      <c r="C199" s="26" t="s">
        <v>2162</v>
      </c>
    </row>
    <row r="200" spans="1:3" ht="44">
      <c r="A200" s="39" t="s">
        <v>2163</v>
      </c>
      <c r="B200" s="39">
        <v>308</v>
      </c>
      <c r="C200" s="26" t="s">
        <v>2164</v>
      </c>
    </row>
    <row r="201" spans="1:3" ht="22">
      <c r="A201" s="39" t="s">
        <v>2165</v>
      </c>
      <c r="B201" s="39">
        <v>400</v>
      </c>
      <c r="C201" s="26" t="s">
        <v>2166</v>
      </c>
    </row>
    <row r="202" spans="1:3" ht="44">
      <c r="A202" s="39" t="s">
        <v>2167</v>
      </c>
      <c r="B202" s="39">
        <v>1460</v>
      </c>
      <c r="C202" s="26" t="s">
        <v>2168</v>
      </c>
    </row>
    <row r="203" spans="1:3" ht="88">
      <c r="A203" s="39" t="s">
        <v>2169</v>
      </c>
      <c r="B203" s="39">
        <v>2300</v>
      </c>
      <c r="C203" s="26" t="s">
        <v>2170</v>
      </c>
    </row>
    <row r="204" spans="1:3" ht="44">
      <c r="A204" s="39" t="s">
        <v>2171</v>
      </c>
      <c r="B204" s="39">
        <v>100</v>
      </c>
      <c r="C204" s="26" t="s">
        <v>2172</v>
      </c>
    </row>
    <row r="205" spans="1:3" ht="22">
      <c r="A205" s="39" t="s">
        <v>2173</v>
      </c>
      <c r="B205" s="39">
        <v>140</v>
      </c>
      <c r="C205" s="26" t="s">
        <v>2174</v>
      </c>
    </row>
    <row r="206" spans="1:3" ht="22">
      <c r="A206" s="39" t="s">
        <v>2175</v>
      </c>
      <c r="B206" s="39">
        <v>2</v>
      </c>
      <c r="C206" s="26" t="s">
        <v>2176</v>
      </c>
    </row>
    <row r="207" spans="1:3" ht="22">
      <c r="A207" s="39" t="s">
        <v>2177</v>
      </c>
      <c r="B207" s="39">
        <v>0</v>
      </c>
      <c r="C207" s="26" t="s">
        <v>2178</v>
      </c>
    </row>
    <row r="208" spans="1:3" ht="22">
      <c r="A208" s="39" t="s">
        <v>2179</v>
      </c>
      <c r="B208" s="39">
        <v>396</v>
      </c>
      <c r="C208" s="26" t="s">
        <v>2180</v>
      </c>
    </row>
    <row r="209" spans="1:3" ht="22">
      <c r="A209" s="39" t="s">
        <v>2181</v>
      </c>
      <c r="B209" s="39">
        <v>0</v>
      </c>
      <c r="C209" s="26" t="s">
        <v>2182</v>
      </c>
    </row>
    <row r="210" spans="1:3" ht="22">
      <c r="A210" s="39" t="s">
        <v>2183</v>
      </c>
      <c r="B210" s="39">
        <v>72</v>
      </c>
      <c r="C210" s="26" t="s">
        <v>2184</v>
      </c>
    </row>
    <row r="211" spans="1:3" ht="22">
      <c r="A211" s="39" t="s">
        <v>2185</v>
      </c>
      <c r="B211" s="39">
        <v>12</v>
      </c>
      <c r="C211" s="26" t="s">
        <v>2186</v>
      </c>
    </row>
    <row r="212" spans="1:3" ht="22">
      <c r="A212" s="39" t="s">
        <v>2187</v>
      </c>
      <c r="B212" s="39">
        <v>10</v>
      </c>
      <c r="C212" s="26" t="s">
        <v>2188</v>
      </c>
    </row>
    <row r="213" spans="1:3" ht="22">
      <c r="A213" s="39" t="s">
        <v>2189</v>
      </c>
      <c r="B213" s="39">
        <v>400</v>
      </c>
      <c r="C213" s="26" t="s">
        <v>2190</v>
      </c>
    </row>
    <row r="214" spans="1:3" ht="22">
      <c r="A214" s="39" t="s">
        <v>2191</v>
      </c>
      <c r="B214" s="39">
        <v>40</v>
      </c>
      <c r="C214" s="26" t="s">
        <v>2192</v>
      </c>
    </row>
    <row r="215" spans="1:3" ht="22">
      <c r="A215" s="39" t="s">
        <v>2193</v>
      </c>
      <c r="B215" s="39">
        <v>2</v>
      </c>
      <c r="C215" s="26" t="s">
        <v>2194</v>
      </c>
    </row>
    <row r="216" spans="1:3" ht="22">
      <c r="A216" s="39" t="s">
        <v>2195</v>
      </c>
      <c r="B216" s="39">
        <v>2</v>
      </c>
      <c r="C216" s="26" t="s">
        <v>2196</v>
      </c>
    </row>
    <row r="217" spans="1:3" ht="22">
      <c r="A217" s="39" t="s">
        <v>2197</v>
      </c>
      <c r="B217" s="39">
        <v>2</v>
      </c>
      <c r="C217" s="26" t="s">
        <v>2198</v>
      </c>
    </row>
    <row r="218" spans="1:3" ht="22">
      <c r="A218" s="39" t="s">
        <v>2199</v>
      </c>
      <c r="B218" s="39">
        <v>2</v>
      </c>
      <c r="C218" s="26" t="s">
        <v>2200</v>
      </c>
    </row>
    <row r="219" spans="1:3" ht="22">
      <c r="A219" s="39" t="s">
        <v>2201</v>
      </c>
      <c r="B219" s="39">
        <v>200</v>
      </c>
      <c r="C219" s="26" t="s">
        <v>2202</v>
      </c>
    </row>
    <row r="220" spans="1:3" ht="22">
      <c r="A220" s="39" t="s">
        <v>2203</v>
      </c>
      <c r="B220" s="39">
        <v>200</v>
      </c>
      <c r="C220" s="26" t="s">
        <v>2204</v>
      </c>
    </row>
    <row r="221" spans="1:3" ht="22">
      <c r="A221" s="39" t="s">
        <v>2205</v>
      </c>
      <c r="B221" s="39">
        <v>2</v>
      </c>
      <c r="C221" s="26" t="s">
        <v>2206</v>
      </c>
    </row>
    <row r="222" spans="1:3" ht="22">
      <c r="A222" s="39" t="s">
        <v>2207</v>
      </c>
      <c r="B222" s="39">
        <v>2</v>
      </c>
      <c r="C222" s="26" t="s">
        <v>2208</v>
      </c>
    </row>
    <row r="223" spans="1:3" ht="22">
      <c r="A223" s="39" t="s">
        <v>2209</v>
      </c>
      <c r="B223" s="39">
        <v>2</v>
      </c>
      <c r="C223" s="26" t="s">
        <v>2210</v>
      </c>
    </row>
    <row r="224" spans="1:3" ht="22">
      <c r="A224" s="39" t="s">
        <v>2211</v>
      </c>
      <c r="B224" s="39">
        <v>2</v>
      </c>
      <c r="C224" s="26" t="s">
        <v>2212</v>
      </c>
    </row>
    <row r="225" spans="1:3" ht="66">
      <c r="A225" s="39" t="s">
        <v>2213</v>
      </c>
      <c r="B225" s="39">
        <v>88</v>
      </c>
      <c r="C225" s="26" t="s">
        <v>2214</v>
      </c>
    </row>
    <row r="226" spans="1:3" ht="22">
      <c r="A226" s="39" t="s">
        <v>2215</v>
      </c>
      <c r="B226" s="39">
        <v>60</v>
      </c>
      <c r="C226" s="26" t="s">
        <v>2216</v>
      </c>
    </row>
    <row r="227" spans="1:3" ht="22">
      <c r="A227" s="39" t="s">
        <v>2217</v>
      </c>
      <c r="B227" s="39">
        <v>60</v>
      </c>
      <c r="C227" s="26" t="s">
        <v>2218</v>
      </c>
    </row>
    <row r="228" spans="1:3" ht="66">
      <c r="A228" s="39" t="s">
        <v>2219</v>
      </c>
      <c r="B228" s="39">
        <v>404</v>
      </c>
      <c r="C228" s="26" t="s">
        <v>2220</v>
      </c>
    </row>
    <row r="229" spans="1:3" ht="22">
      <c r="A229" s="39" t="s">
        <v>2221</v>
      </c>
      <c r="B229" s="39">
        <v>4</v>
      </c>
      <c r="C229" s="26" t="s">
        <v>2222</v>
      </c>
    </row>
    <row r="230" spans="1:3" ht="66">
      <c r="A230" s="39" t="s">
        <v>2223</v>
      </c>
      <c r="B230" s="39">
        <v>16</v>
      </c>
      <c r="C230" s="26" t="s">
        <v>2224</v>
      </c>
    </row>
    <row r="231" spans="1:3" ht="44">
      <c r="A231" s="39" t="s">
        <v>2225</v>
      </c>
      <c r="B231" s="39">
        <v>28</v>
      </c>
      <c r="C231" s="26" t="s">
        <v>2226</v>
      </c>
    </row>
    <row r="232" spans="1:3" ht="22">
      <c r="A232" s="39" t="s">
        <v>2227</v>
      </c>
      <c r="B232" s="39">
        <v>2</v>
      </c>
      <c r="C232" s="26" t="s">
        <v>2228</v>
      </c>
    </row>
    <row r="233" spans="1:3" ht="22">
      <c r="A233" s="39" t="s">
        <v>2229</v>
      </c>
      <c r="B233" s="39">
        <v>2</v>
      </c>
      <c r="C233" s="26" t="s">
        <v>2230</v>
      </c>
    </row>
    <row r="234" spans="1:3" ht="22">
      <c r="A234" s="39" t="s">
        <v>2231</v>
      </c>
      <c r="B234" s="39">
        <v>1000</v>
      </c>
      <c r="C234" s="26" t="s">
        <v>2232</v>
      </c>
    </row>
    <row r="235" spans="1:3" ht="22">
      <c r="A235" s="39" t="s">
        <v>2233</v>
      </c>
      <c r="B235" s="39">
        <v>600</v>
      </c>
      <c r="C235" s="26" t="s">
        <v>2234</v>
      </c>
    </row>
    <row r="236" spans="1:3" ht="44">
      <c r="A236" s="39" t="s">
        <v>2235</v>
      </c>
      <c r="B236" s="39">
        <v>600</v>
      </c>
      <c r="C236" s="26" t="s">
        <v>2236</v>
      </c>
    </row>
    <row r="237" spans="1:3" ht="22">
      <c r="A237" s="39" t="s">
        <v>2237</v>
      </c>
      <c r="B237" s="39">
        <v>500</v>
      </c>
      <c r="C237" s="26" t="s">
        <v>2238</v>
      </c>
    </row>
    <row r="238" spans="1:3" ht="22">
      <c r="A238" s="39" t="s">
        <v>2239</v>
      </c>
      <c r="B238" s="39">
        <v>400</v>
      </c>
      <c r="C238" s="26" t="s">
        <v>2240</v>
      </c>
    </row>
    <row r="239" spans="1:3" ht="22">
      <c r="A239" s="39" t="s">
        <v>2241</v>
      </c>
      <c r="B239" s="39">
        <v>600</v>
      </c>
      <c r="C239" s="26" t="s">
        <v>2242</v>
      </c>
    </row>
    <row r="240" spans="1:3" ht="22">
      <c r="A240" s="39" t="s">
        <v>2243</v>
      </c>
      <c r="B240" s="39">
        <v>100</v>
      </c>
      <c r="C240" s="26" t="s">
        <v>2244</v>
      </c>
    </row>
    <row r="241" spans="1:3" ht="44">
      <c r="A241" s="39" t="s">
        <v>2245</v>
      </c>
      <c r="B241" s="39">
        <v>4000</v>
      </c>
      <c r="C241" s="26" t="s">
        <v>2246</v>
      </c>
    </row>
    <row r="242" spans="1:3" ht="66">
      <c r="A242" s="39" t="s">
        <v>2247</v>
      </c>
      <c r="B242" s="39">
        <v>860</v>
      </c>
      <c r="C242" s="26" t="s">
        <v>2248</v>
      </c>
    </row>
    <row r="243" spans="1:3" ht="22">
      <c r="A243" s="39" t="s">
        <v>2249</v>
      </c>
      <c r="B243" s="39">
        <v>1000</v>
      </c>
      <c r="C243" s="26" t="s">
        <v>2250</v>
      </c>
    </row>
    <row r="244" spans="1:3" ht="22">
      <c r="A244" s="39" t="s">
        <v>2251</v>
      </c>
      <c r="B244" s="39">
        <v>160</v>
      </c>
      <c r="C244" s="26" t="s">
        <v>2252</v>
      </c>
    </row>
    <row r="245" spans="1:3" ht="22">
      <c r="A245" s="39" t="s">
        <v>2253</v>
      </c>
      <c r="B245" s="39">
        <v>468</v>
      </c>
      <c r="C245" s="26" t="s">
        <v>2254</v>
      </c>
    </row>
    <row r="246" spans="1:3" ht="22">
      <c r="A246" s="39" t="s">
        <v>2255</v>
      </c>
      <c r="B246" s="39">
        <v>2</v>
      </c>
      <c r="C246" s="26" t="s">
        <v>2256</v>
      </c>
    </row>
    <row r="247" spans="1:3" ht="22">
      <c r="A247" s="39" t="s">
        <v>2257</v>
      </c>
      <c r="B247" s="39">
        <v>2</v>
      </c>
      <c r="C247" s="26" t="s">
        <v>2258</v>
      </c>
    </row>
    <row r="248" spans="1:3" ht="22">
      <c r="A248" s="39" t="s">
        <v>2259</v>
      </c>
      <c r="B248" s="39">
        <v>2</v>
      </c>
      <c r="C248" s="26" t="s">
        <v>2260</v>
      </c>
    </row>
    <row r="249" spans="1:3" ht="22">
      <c r="A249" s="39" t="s">
        <v>2261</v>
      </c>
      <c r="B249" s="39">
        <v>400</v>
      </c>
      <c r="C249" s="26" t="s">
        <v>2262</v>
      </c>
    </row>
    <row r="250" spans="1:3" ht="22">
      <c r="A250" s="39" t="s">
        <v>2263</v>
      </c>
      <c r="B250" s="39">
        <v>2</v>
      </c>
      <c r="C250" s="26" t="s">
        <v>2264</v>
      </c>
    </row>
    <row r="251" spans="1:3" ht="44">
      <c r="A251" s="39" t="s">
        <v>2265</v>
      </c>
      <c r="B251" s="39">
        <v>220</v>
      </c>
      <c r="C251" s="26" t="s">
        <v>2266</v>
      </c>
    </row>
    <row r="252" spans="1:3" ht="88">
      <c r="A252" s="39" t="s">
        <v>2267</v>
      </c>
      <c r="B252" s="39">
        <v>222</v>
      </c>
      <c r="C252" s="26" t="s">
        <v>2268</v>
      </c>
    </row>
    <row r="253" spans="1:3" ht="88">
      <c r="A253" s="39" t="s">
        <v>2269</v>
      </c>
      <c r="B253" s="39">
        <v>226</v>
      </c>
      <c r="C253" s="26" t="s">
        <v>2270</v>
      </c>
    </row>
    <row r="254" spans="1:3" ht="22">
      <c r="A254" s="39" t="s">
        <v>2271</v>
      </c>
      <c r="B254" s="39">
        <v>2</v>
      </c>
      <c r="C254" s="26" t="s">
        <v>2272</v>
      </c>
    </row>
    <row r="255" spans="1:3" ht="22">
      <c r="A255" s="39" t="s">
        <v>2273</v>
      </c>
      <c r="B255" s="39">
        <v>2</v>
      </c>
      <c r="C255" s="26" t="s">
        <v>2274</v>
      </c>
    </row>
    <row r="256" spans="1:3" ht="88">
      <c r="A256" s="39" t="s">
        <v>2275</v>
      </c>
      <c r="B256" s="39">
        <v>500</v>
      </c>
      <c r="C256" s="26" t="s">
        <v>2276</v>
      </c>
    </row>
    <row r="257" spans="1:3" ht="22">
      <c r="A257" s="39" t="s">
        <v>2277</v>
      </c>
      <c r="B257" s="39">
        <v>2</v>
      </c>
      <c r="C257" s="26" t="s">
        <v>2278</v>
      </c>
    </row>
    <row r="258" spans="1:3" ht="22">
      <c r="A258" s="39" t="s">
        <v>2279</v>
      </c>
      <c r="B258" s="39">
        <v>2</v>
      </c>
      <c r="C258" s="26" t="s">
        <v>2280</v>
      </c>
    </row>
    <row r="259" spans="1:3" ht="22">
      <c r="A259" s="39" t="s">
        <v>2281</v>
      </c>
      <c r="B259" s="39">
        <v>2</v>
      </c>
      <c r="C259" s="26" t="s">
        <v>2282</v>
      </c>
    </row>
    <row r="260" spans="1:3" ht="22">
      <c r="A260" s="39" t="s">
        <v>2283</v>
      </c>
      <c r="B260" s="39">
        <v>2</v>
      </c>
      <c r="C260" s="26" t="s">
        <v>2284</v>
      </c>
    </row>
    <row r="261" spans="1:3" ht="22">
      <c r="A261" s="39" t="s">
        <v>2285</v>
      </c>
      <c r="B261" s="39">
        <v>2</v>
      </c>
      <c r="C261" s="26" t="s">
        <v>2286</v>
      </c>
    </row>
    <row r="262" spans="1:3" ht="22">
      <c r="A262" s="39" t="s">
        <v>2287</v>
      </c>
      <c r="B262" s="39">
        <v>2</v>
      </c>
      <c r="C262" s="26" t="s">
        <v>2288</v>
      </c>
    </row>
    <row r="263" spans="1:3" ht="22">
      <c r="A263" s="39" t="s">
        <v>2289</v>
      </c>
      <c r="B263" s="39">
        <v>2</v>
      </c>
      <c r="C263" s="26" t="s">
        <v>2290</v>
      </c>
    </row>
    <row r="264" spans="1:3" ht="198">
      <c r="A264" s="39" t="s">
        <v>2291</v>
      </c>
      <c r="B264" s="39">
        <v>624</v>
      </c>
      <c r="C264" s="26" t="s">
        <v>2292</v>
      </c>
    </row>
    <row r="265" spans="1:3" ht="44">
      <c r="A265" s="39" t="s">
        <v>2293</v>
      </c>
      <c r="B265" s="39">
        <v>80</v>
      </c>
      <c r="C265" s="26" t="s">
        <v>2294</v>
      </c>
    </row>
    <row r="266" spans="1:3" ht="44">
      <c r="A266" s="39" t="s">
        <v>2295</v>
      </c>
      <c r="B266" s="39">
        <v>80</v>
      </c>
      <c r="C266" s="26" t="s">
        <v>2296</v>
      </c>
    </row>
    <row r="267" spans="1:3" ht="66">
      <c r="A267" s="39" t="s">
        <v>2297</v>
      </c>
      <c r="B267" s="39">
        <v>52</v>
      </c>
      <c r="C267" s="26" t="s">
        <v>2298</v>
      </c>
    </row>
    <row r="268" spans="1:3" ht="22">
      <c r="A268" s="39" t="s">
        <v>2299</v>
      </c>
      <c r="B268" s="39">
        <v>2</v>
      </c>
      <c r="C268" s="26" t="s">
        <v>2300</v>
      </c>
    </row>
    <row r="269" spans="1:3" ht="22">
      <c r="A269" s="39" t="s">
        <v>2301</v>
      </c>
      <c r="B269" s="39">
        <v>20</v>
      </c>
      <c r="C269" s="26" t="s">
        <v>2302</v>
      </c>
    </row>
    <row r="270" spans="1:3" ht="66">
      <c r="A270" s="39" t="s">
        <v>2303</v>
      </c>
      <c r="B270" s="39">
        <v>182</v>
      </c>
      <c r="C270" s="26" t="s">
        <v>2304</v>
      </c>
    </row>
    <row r="271" spans="1:3" ht="22">
      <c r="A271" s="39" t="s">
        <v>2305</v>
      </c>
      <c r="B271" s="39">
        <v>2</v>
      </c>
      <c r="C271" s="26" t="s">
        <v>2306</v>
      </c>
    </row>
    <row r="272" spans="1:3" ht="22">
      <c r="A272" s="39" t="s">
        <v>2307</v>
      </c>
      <c r="B272" s="39">
        <v>400</v>
      </c>
      <c r="C272" s="26" t="s">
        <v>2308</v>
      </c>
    </row>
    <row r="273" spans="1:3" ht="44">
      <c r="A273" s="39" t="s">
        <v>2309</v>
      </c>
      <c r="B273" s="39">
        <v>340</v>
      </c>
      <c r="C273" s="26" t="s">
        <v>2310</v>
      </c>
    </row>
    <row r="274" spans="1:3" ht="22">
      <c r="A274" s="39" t="s">
        <v>2311</v>
      </c>
      <c r="B274" s="39">
        <v>2</v>
      </c>
      <c r="C274" s="26" t="s">
        <v>2312</v>
      </c>
    </row>
    <row r="275" spans="1:3" ht="22">
      <c r="A275" s="39" t="s">
        <v>2313</v>
      </c>
      <c r="B275" s="39">
        <v>2</v>
      </c>
      <c r="C275" s="26" t="s">
        <v>2314</v>
      </c>
    </row>
    <row r="276" spans="1:3" ht="22">
      <c r="A276" s="39" t="s">
        <v>2315</v>
      </c>
      <c r="B276" s="39">
        <v>6</v>
      </c>
      <c r="C276" s="26" t="s">
        <v>2316</v>
      </c>
    </row>
    <row r="277" spans="1:3" ht="22">
      <c r="A277" s="39" t="s">
        <v>2317</v>
      </c>
      <c r="B277" s="39">
        <v>400</v>
      </c>
      <c r="C277" s="26" t="s">
        <v>2318</v>
      </c>
    </row>
    <row r="278" spans="1:3" ht="22">
      <c r="A278" s="39" t="s">
        <v>2319</v>
      </c>
      <c r="B278" s="39">
        <v>1000</v>
      </c>
      <c r="C278" s="26" t="s">
        <v>2320</v>
      </c>
    </row>
    <row r="279" spans="1:3" ht="22">
      <c r="A279" s="39" t="s">
        <v>2321</v>
      </c>
      <c r="B279" s="39">
        <v>2</v>
      </c>
      <c r="C279" s="26" t="s">
        <v>2322</v>
      </c>
    </row>
    <row r="280" spans="1:3" ht="22">
      <c r="A280" s="39" t="s">
        <v>2323</v>
      </c>
      <c r="B280" s="39">
        <v>2</v>
      </c>
      <c r="C280" s="26" t="s">
        <v>2324</v>
      </c>
    </row>
    <row r="281" spans="1:3" ht="22">
      <c r="A281" s="39" t="s">
        <v>2325</v>
      </c>
      <c r="B281" s="39">
        <v>2</v>
      </c>
      <c r="C281" s="26" t="s">
        <v>2326</v>
      </c>
    </row>
    <row r="282" spans="1:3" ht="44">
      <c r="A282" s="39" t="s">
        <v>2327</v>
      </c>
      <c r="B282" s="39">
        <v>24</v>
      </c>
      <c r="C282" s="26" t="s">
        <v>2328</v>
      </c>
    </row>
    <row r="283" spans="1:3" ht="22">
      <c r="A283" s="39" t="s">
        <v>2329</v>
      </c>
      <c r="B283" s="39">
        <v>14</v>
      </c>
      <c r="C283" s="26" t="s">
        <v>2330</v>
      </c>
    </row>
    <row r="284" spans="1:3" ht="44">
      <c r="A284" s="39" t="s">
        <v>2331</v>
      </c>
      <c r="B284" s="39">
        <v>70</v>
      </c>
      <c r="C284" s="26" t="s">
        <v>2332</v>
      </c>
    </row>
    <row r="285" spans="1:3" ht="110">
      <c r="A285" s="39" t="s">
        <v>2333</v>
      </c>
      <c r="B285" s="39">
        <v>320</v>
      </c>
      <c r="C285" s="26" t="s">
        <v>2334</v>
      </c>
    </row>
    <row r="286" spans="1:3" ht="22">
      <c r="A286" s="39" t="s">
        <v>2335</v>
      </c>
      <c r="B286" s="39">
        <v>8</v>
      </c>
      <c r="C286" s="26" t="s">
        <v>2336</v>
      </c>
    </row>
    <row r="287" spans="1:3" ht="44">
      <c r="A287" s="39" t="s">
        <v>2337</v>
      </c>
      <c r="B287" s="39">
        <v>200</v>
      </c>
      <c r="C287" s="26" t="s">
        <v>2338</v>
      </c>
    </row>
    <row r="288" spans="1:3" ht="66">
      <c r="A288" s="39" t="s">
        <v>2339</v>
      </c>
      <c r="B288" s="39">
        <v>102</v>
      </c>
      <c r="C288" s="26" t="s">
        <v>2340</v>
      </c>
    </row>
    <row r="289" spans="1:3" ht="22">
      <c r="A289" s="39" t="s">
        <v>2341</v>
      </c>
      <c r="B289" s="39">
        <v>20</v>
      </c>
      <c r="C289" s="26" t="s">
        <v>2342</v>
      </c>
    </row>
    <row r="290" spans="1:3" ht="154">
      <c r="A290" s="39" t="s">
        <v>2343</v>
      </c>
      <c r="B290" s="39">
        <v>304</v>
      </c>
      <c r="C290" s="26" t="s">
        <v>2344</v>
      </c>
    </row>
    <row r="291" spans="1:3" ht="154">
      <c r="A291" s="39" t="s">
        <v>2345</v>
      </c>
      <c r="B291" s="39">
        <v>470</v>
      </c>
      <c r="C291" s="26" t="s">
        <v>2346</v>
      </c>
    </row>
    <row r="292" spans="1:3" ht="88">
      <c r="A292" s="39" t="s">
        <v>2347</v>
      </c>
      <c r="B292" s="39">
        <v>160</v>
      </c>
      <c r="C292" s="26" t="s">
        <v>2348</v>
      </c>
    </row>
    <row r="293" spans="1:3" ht="44">
      <c r="A293" s="39" t="s">
        <v>2349</v>
      </c>
      <c r="B293" s="39">
        <v>70</v>
      </c>
      <c r="C293" s="26" t="s">
        <v>2350</v>
      </c>
    </row>
    <row r="294" spans="1:3" ht="110">
      <c r="A294" s="39" t="s">
        <v>2351</v>
      </c>
      <c r="B294" s="39">
        <v>5000</v>
      </c>
      <c r="C294" s="26" t="s">
        <v>2352</v>
      </c>
    </row>
    <row r="295" spans="1:3" ht="88">
      <c r="A295" s="39" t="s">
        <v>2353</v>
      </c>
      <c r="B295" s="39">
        <v>100</v>
      </c>
      <c r="C295" s="26" t="s">
        <v>2354</v>
      </c>
    </row>
    <row r="296" spans="1:3" ht="88">
      <c r="A296" s="39" t="s">
        <v>2355</v>
      </c>
      <c r="B296" s="39">
        <v>28</v>
      </c>
      <c r="C296" s="26" t="s">
        <v>2356</v>
      </c>
    </row>
    <row r="297" spans="1:3" ht="22">
      <c r="A297" s="39" t="s">
        <v>2357</v>
      </c>
      <c r="B297" s="39">
        <v>20</v>
      </c>
      <c r="C297" s="26" t="s">
        <v>2358</v>
      </c>
    </row>
    <row r="298" spans="1:3" ht="66">
      <c r="A298" s="39" t="s">
        <v>2359</v>
      </c>
      <c r="B298" s="39">
        <v>320</v>
      </c>
      <c r="C298" s="26" t="s">
        <v>2360</v>
      </c>
    </row>
    <row r="299" spans="1:3" ht="22">
      <c r="A299" s="39" t="s">
        <v>2361</v>
      </c>
      <c r="B299" s="39">
        <v>8</v>
      </c>
      <c r="C299" s="26" t="s">
        <v>2362</v>
      </c>
    </row>
    <row r="300" spans="1:3" ht="220">
      <c r="A300" s="39" t="s">
        <v>2363</v>
      </c>
      <c r="B300" s="39">
        <v>9600</v>
      </c>
      <c r="C300" s="26" t="s">
        <v>2364</v>
      </c>
    </row>
    <row r="301" spans="1:3" ht="176">
      <c r="A301" s="39" t="s">
        <v>2365</v>
      </c>
      <c r="B301" s="39">
        <v>6000</v>
      </c>
      <c r="C301" s="26" t="s">
        <v>2366</v>
      </c>
    </row>
    <row r="302" spans="1:3" ht="110">
      <c r="A302" s="39" t="s">
        <v>2367</v>
      </c>
      <c r="B302" s="39">
        <v>3000</v>
      </c>
      <c r="C302" s="26" t="s">
        <v>2368</v>
      </c>
    </row>
    <row r="303" spans="1:3" ht="22">
      <c r="A303" s="39" t="s">
        <v>2369</v>
      </c>
      <c r="B303" s="39">
        <v>4</v>
      </c>
      <c r="C303" s="26" t="s">
        <v>2370</v>
      </c>
    </row>
    <row r="304" spans="1:3" ht="22">
      <c r="A304" s="39" t="s">
        <v>2371</v>
      </c>
      <c r="B304" s="39">
        <v>20</v>
      </c>
      <c r="C304" s="26" t="s">
        <v>2372</v>
      </c>
    </row>
    <row r="305" spans="1:3" ht="66">
      <c r="A305" s="39" t="s">
        <v>2373</v>
      </c>
      <c r="B305" s="39">
        <v>110</v>
      </c>
      <c r="C305" s="26" t="s">
        <v>2374</v>
      </c>
    </row>
    <row r="306" spans="1:3" ht="22">
      <c r="A306" s="39" t="s">
        <v>2375</v>
      </c>
      <c r="B306" s="39">
        <v>200</v>
      </c>
      <c r="C306" s="26" t="s">
        <v>2376</v>
      </c>
    </row>
    <row r="307" spans="1:3" ht="22">
      <c r="A307" s="39" t="s">
        <v>2377</v>
      </c>
      <c r="B307" s="39">
        <v>60</v>
      </c>
      <c r="C307" s="26" t="s">
        <v>2378</v>
      </c>
    </row>
    <row r="308" spans="1:3" ht="22">
      <c r="A308" s="39" t="s">
        <v>2379</v>
      </c>
      <c r="B308" s="39">
        <v>60</v>
      </c>
      <c r="C308" s="26" t="s">
        <v>2380</v>
      </c>
    </row>
    <row r="309" spans="1:3" ht="44">
      <c r="A309" s="39" t="s">
        <v>2381</v>
      </c>
      <c r="B309" s="39">
        <v>64</v>
      </c>
      <c r="C309" s="26" t="s">
        <v>2382</v>
      </c>
    </row>
    <row r="310" spans="1:3" ht="22">
      <c r="A310" s="39" t="s">
        <v>2383</v>
      </c>
      <c r="B310" s="39">
        <v>60</v>
      </c>
      <c r="C310" s="26" t="s">
        <v>2384</v>
      </c>
    </row>
    <row r="311" spans="1:3" ht="44">
      <c r="A311" s="39" t="s">
        <v>2385</v>
      </c>
      <c r="B311" s="39">
        <v>2052</v>
      </c>
      <c r="C311" s="26" t="s">
        <v>2386</v>
      </c>
    </row>
    <row r="312" spans="1:3" ht="66">
      <c r="A312" s="39" t="s">
        <v>2387</v>
      </c>
      <c r="B312" s="39">
        <v>8</v>
      </c>
      <c r="C312" s="26" t="s">
        <v>2388</v>
      </c>
    </row>
    <row r="313" spans="1:3" ht="22">
      <c r="A313" s="39" t="s">
        <v>2389</v>
      </c>
      <c r="B313" s="39">
        <v>0</v>
      </c>
      <c r="C313" s="26" t="s">
        <v>2390</v>
      </c>
    </row>
    <row r="314" spans="1:3" ht="22">
      <c r="A314" s="39" t="s">
        <v>2391</v>
      </c>
      <c r="B314" s="39">
        <v>2</v>
      </c>
      <c r="C314" s="26" t="s">
        <v>2392</v>
      </c>
    </row>
    <row r="315" spans="1:3" ht="22">
      <c r="A315" s="39" t="s">
        <v>2393</v>
      </c>
      <c r="B315" s="39">
        <v>4</v>
      </c>
      <c r="C315" s="26" t="s">
        <v>2394</v>
      </c>
    </row>
    <row r="316" spans="1:3" ht="22">
      <c r="A316" s="39" t="s">
        <v>2395</v>
      </c>
      <c r="B316" s="39">
        <v>4</v>
      </c>
      <c r="C316" s="26" t="s">
        <v>2396</v>
      </c>
    </row>
    <row r="317" spans="1:3" ht="22">
      <c r="A317" s="39" t="s">
        <v>2397</v>
      </c>
      <c r="B317" s="39">
        <v>4</v>
      </c>
      <c r="C317" s="26" t="s">
        <v>2398</v>
      </c>
    </row>
    <row r="318" spans="1:3" ht="22">
      <c r="A318" s="39" t="s">
        <v>2399</v>
      </c>
      <c r="B318" s="39">
        <v>2</v>
      </c>
      <c r="C318" s="26" t="s">
        <v>2400</v>
      </c>
    </row>
    <row r="319" spans="1:3" ht="22">
      <c r="A319" s="39" t="s">
        <v>2401</v>
      </c>
      <c r="B319" s="39">
        <v>4</v>
      </c>
      <c r="C319" s="26" t="s">
        <v>2402</v>
      </c>
    </row>
    <row r="320" spans="1:3" ht="22">
      <c r="A320" s="39" t="s">
        <v>2403</v>
      </c>
      <c r="B320" s="39">
        <v>2</v>
      </c>
      <c r="C320" s="26" t="s">
        <v>2404</v>
      </c>
    </row>
    <row r="321" spans="1:3" ht="22">
      <c r="A321" s="39" t="s">
        <v>2405</v>
      </c>
      <c r="B321" s="39">
        <v>4</v>
      </c>
      <c r="C321" s="26" t="s">
        <v>2406</v>
      </c>
    </row>
    <row r="322" spans="1:3" ht="22">
      <c r="A322" s="39" t="s">
        <v>2407</v>
      </c>
      <c r="B322" s="39">
        <v>4</v>
      </c>
      <c r="C322" s="26" t="s">
        <v>2408</v>
      </c>
    </row>
    <row r="323" spans="1:3" ht="22">
      <c r="A323" s="39" t="s">
        <v>2409</v>
      </c>
      <c r="B323" s="39">
        <v>2</v>
      </c>
      <c r="C323" s="26" t="s">
        <v>2410</v>
      </c>
    </row>
    <row r="324" spans="1:3" ht="22">
      <c r="A324" s="39" t="s">
        <v>2411</v>
      </c>
      <c r="B324" s="39">
        <v>6</v>
      </c>
      <c r="C324" s="26" t="s">
        <v>2412</v>
      </c>
    </row>
    <row r="325" spans="1:3" ht="22">
      <c r="A325" s="39" t="s">
        <v>2413</v>
      </c>
      <c r="B325" s="39">
        <v>2</v>
      </c>
      <c r="C325" s="26" t="s">
        <v>2414</v>
      </c>
    </row>
    <row r="326" spans="1:3" ht="22">
      <c r="A326" s="39" t="s">
        <v>2415</v>
      </c>
      <c r="B326" s="39">
        <v>2</v>
      </c>
      <c r="C326" s="26" t="s">
        <v>2416</v>
      </c>
    </row>
    <row r="327" spans="1:3" ht="22">
      <c r="A327" s="39" t="s">
        <v>2417</v>
      </c>
      <c r="B327" s="39">
        <v>16</v>
      </c>
      <c r="C327" s="26" t="s">
        <v>2418</v>
      </c>
    </row>
    <row r="328" spans="1:3" ht="22">
      <c r="A328" s="39" t="s">
        <v>2419</v>
      </c>
      <c r="B328" s="39">
        <v>8</v>
      </c>
      <c r="C328" s="26" t="s">
        <v>2420</v>
      </c>
    </row>
    <row r="329" spans="1:3" ht="22">
      <c r="A329" s="39" t="s">
        <v>2421</v>
      </c>
      <c r="B329" s="39">
        <v>2</v>
      </c>
      <c r="C329" s="26" t="s">
        <v>2422</v>
      </c>
    </row>
    <row r="330" spans="1:3" ht="22">
      <c r="A330" s="39" t="s">
        <v>2423</v>
      </c>
      <c r="B330" s="39">
        <v>0</v>
      </c>
      <c r="C330" s="26" t="s">
        <v>2424</v>
      </c>
    </row>
    <row r="331" spans="1:3" ht="22">
      <c r="A331" s="39" t="s">
        <v>2425</v>
      </c>
      <c r="B331" s="39">
        <v>20</v>
      </c>
      <c r="C331" s="26" t="s">
        <v>2426</v>
      </c>
    </row>
    <row r="332" spans="1:3" ht="22">
      <c r="A332" s="39" t="s">
        <v>2427</v>
      </c>
      <c r="B332" s="39">
        <v>40</v>
      </c>
      <c r="C332" s="26" t="s">
        <v>2428</v>
      </c>
    </row>
    <row r="333" spans="1:3" ht="22">
      <c r="A333" s="39" t="s">
        <v>2429</v>
      </c>
      <c r="B333" s="39">
        <v>40</v>
      </c>
      <c r="C333" s="26" t="s">
        <v>2430</v>
      </c>
    </row>
    <row r="334" spans="1:3" ht="22">
      <c r="A334" s="39" t="s">
        <v>2431</v>
      </c>
      <c r="B334" s="39">
        <v>40</v>
      </c>
      <c r="C334" s="26" t="s">
        <v>2432</v>
      </c>
    </row>
    <row r="335" spans="1:3" ht="22">
      <c r="A335" s="39" t="s">
        <v>2433</v>
      </c>
      <c r="B335" s="39">
        <v>40</v>
      </c>
      <c r="C335" s="26" t="s">
        <v>2434</v>
      </c>
    </row>
    <row r="336" spans="1:3" ht="22">
      <c r="A336" s="39" t="s">
        <v>2435</v>
      </c>
      <c r="B336" s="39">
        <v>2</v>
      </c>
      <c r="C336" s="26" t="s">
        <v>2436</v>
      </c>
    </row>
    <row r="337" spans="1:3" ht="22">
      <c r="A337" s="39" t="s">
        <v>2437</v>
      </c>
      <c r="B337" s="39">
        <v>40</v>
      </c>
      <c r="C337" s="26" t="s">
        <v>2438</v>
      </c>
    </row>
    <row r="338" spans="1:3" ht="88">
      <c r="A338" s="39" t="s">
        <v>2439</v>
      </c>
      <c r="B338" s="39">
        <v>100</v>
      </c>
      <c r="C338" s="26" t="s">
        <v>2440</v>
      </c>
    </row>
    <row r="339" spans="1:3" ht="44">
      <c r="A339" s="39" t="s">
        <v>2441</v>
      </c>
      <c r="B339" s="39">
        <v>2</v>
      </c>
      <c r="C339" s="26" t="s">
        <v>2442</v>
      </c>
    </row>
    <row r="340" spans="1:3" ht="22">
      <c r="A340" s="39" t="s">
        <v>2443</v>
      </c>
      <c r="B340" s="39">
        <v>200</v>
      </c>
      <c r="C340" s="26" t="s">
        <v>2444</v>
      </c>
    </row>
    <row r="341" spans="1:3" ht="22">
      <c r="A341" s="39" t="s">
        <v>2445</v>
      </c>
      <c r="B341" s="39">
        <v>2</v>
      </c>
      <c r="C341" s="26" t="s">
        <v>2446</v>
      </c>
    </row>
    <row r="342" spans="1:3" ht="22">
      <c r="A342" s="39" t="s">
        <v>2447</v>
      </c>
      <c r="B342" s="39">
        <v>2</v>
      </c>
      <c r="C342" s="26" t="s">
        <v>2448</v>
      </c>
    </row>
    <row r="343" spans="1:3" ht="22">
      <c r="A343" s="39" t="s">
        <v>2449</v>
      </c>
      <c r="B343" s="39">
        <v>4</v>
      </c>
      <c r="C343" s="26" t="s">
        <v>2450</v>
      </c>
    </row>
    <row r="344" spans="1:3" ht="22">
      <c r="A344" s="39" t="s">
        <v>2451</v>
      </c>
      <c r="B344" s="39">
        <v>4</v>
      </c>
      <c r="C344" s="26" t="s">
        <v>2452</v>
      </c>
    </row>
    <row r="345" spans="1:3" ht="22">
      <c r="A345" s="39" t="s">
        <v>2453</v>
      </c>
      <c r="B345" s="39">
        <v>4</v>
      </c>
      <c r="C345" s="26" t="s">
        <v>2454</v>
      </c>
    </row>
    <row r="346" spans="1:3" ht="22">
      <c r="A346" s="39" t="s">
        <v>2455</v>
      </c>
      <c r="B346" s="39">
        <v>2</v>
      </c>
      <c r="C346" s="26" t="s">
        <v>2456</v>
      </c>
    </row>
    <row r="347" spans="1:3" ht="22">
      <c r="A347" s="39" t="s">
        <v>2457</v>
      </c>
      <c r="B347" s="39">
        <v>2</v>
      </c>
      <c r="C347" s="26" t="s">
        <v>2458</v>
      </c>
    </row>
    <row r="348" spans="1:3" ht="22">
      <c r="A348" s="39" t="s">
        <v>2459</v>
      </c>
      <c r="B348" s="39">
        <v>20</v>
      </c>
      <c r="C348" s="26" t="s">
        <v>2460</v>
      </c>
    </row>
    <row r="349" spans="1:3" ht="22">
      <c r="A349" s="39" t="s">
        <v>2461</v>
      </c>
      <c r="B349" s="39">
        <v>4</v>
      </c>
      <c r="C349" s="26" t="s">
        <v>2462</v>
      </c>
    </row>
    <row r="350" spans="1:3" ht="22">
      <c r="A350" s="39" t="s">
        <v>2463</v>
      </c>
      <c r="B350" s="39">
        <v>2</v>
      </c>
      <c r="C350" s="26" t="s">
        <v>2464</v>
      </c>
    </row>
    <row r="351" spans="1:3" ht="22">
      <c r="A351" s="39" t="s">
        <v>2465</v>
      </c>
      <c r="B351" s="39">
        <v>2</v>
      </c>
      <c r="C351" s="26" t="s">
        <v>2466</v>
      </c>
    </row>
    <row r="352" spans="1:3" ht="22">
      <c r="A352" s="39" t="s">
        <v>2467</v>
      </c>
      <c r="B352" s="39">
        <v>2</v>
      </c>
      <c r="C352" s="26" t="s">
        <v>2468</v>
      </c>
    </row>
    <row r="353" spans="1:3" ht="22">
      <c r="A353" s="39" t="s">
        <v>2469</v>
      </c>
      <c r="B353" s="39">
        <v>2</v>
      </c>
      <c r="C353" s="26" t="s">
        <v>2470</v>
      </c>
    </row>
    <row r="354" spans="1:3" ht="22">
      <c r="A354" s="39" t="s">
        <v>2471</v>
      </c>
      <c r="B354" s="39">
        <v>2</v>
      </c>
      <c r="C354" s="26" t="s">
        <v>2472</v>
      </c>
    </row>
    <row r="355" spans="1:3" ht="22">
      <c r="A355" s="39" t="s">
        <v>2473</v>
      </c>
      <c r="B355" s="39">
        <v>2</v>
      </c>
      <c r="C355" s="26" t="s">
        <v>2474</v>
      </c>
    </row>
    <row r="356" spans="1:3" ht="22">
      <c r="A356" s="39" t="s">
        <v>2475</v>
      </c>
      <c r="B356" s="39">
        <v>2</v>
      </c>
      <c r="C356" s="26" t="s">
        <v>2476</v>
      </c>
    </row>
    <row r="357" spans="1:3" ht="22">
      <c r="A357" s="39" t="s">
        <v>2477</v>
      </c>
      <c r="B357" s="39">
        <v>2</v>
      </c>
      <c r="C357" s="26" t="s">
        <v>2478</v>
      </c>
    </row>
    <row r="358" spans="1:3" ht="22">
      <c r="A358" s="39" t="s">
        <v>2479</v>
      </c>
      <c r="B358" s="39">
        <v>2</v>
      </c>
      <c r="C358" s="26" t="s">
        <v>2480</v>
      </c>
    </row>
    <row r="359" spans="1:3" ht="22">
      <c r="A359" s="39" t="s">
        <v>2481</v>
      </c>
      <c r="B359" s="39">
        <v>2</v>
      </c>
      <c r="C359" s="26" t="s">
        <v>2482</v>
      </c>
    </row>
    <row r="360" spans="1:3" ht="22">
      <c r="A360" s="39" t="s">
        <v>2483</v>
      </c>
      <c r="B360" s="39">
        <v>2</v>
      </c>
      <c r="C360" s="26" t="s">
        <v>2484</v>
      </c>
    </row>
    <row r="361" spans="1:3" ht="22">
      <c r="A361" s="39" t="s">
        <v>2485</v>
      </c>
      <c r="B361" s="39">
        <v>2</v>
      </c>
      <c r="C361" s="26" t="s">
        <v>2486</v>
      </c>
    </row>
    <row r="362" spans="1:3" ht="22">
      <c r="A362" s="39" t="s">
        <v>2487</v>
      </c>
      <c r="B362" s="39">
        <v>2</v>
      </c>
      <c r="C362" s="26" t="s">
        <v>2488</v>
      </c>
    </row>
    <row r="363" spans="1:3" ht="22">
      <c r="A363" s="39" t="s">
        <v>2489</v>
      </c>
      <c r="B363" s="39">
        <v>2</v>
      </c>
      <c r="C363" s="26" t="s">
        <v>2490</v>
      </c>
    </row>
    <row r="364" spans="1:3" ht="22">
      <c r="A364" s="39" t="s">
        <v>2491</v>
      </c>
      <c r="B364" s="39">
        <v>2</v>
      </c>
      <c r="C364" s="26" t="s">
        <v>2492</v>
      </c>
    </row>
    <row r="365" spans="1:3" ht="22">
      <c r="A365" s="39" t="s">
        <v>2493</v>
      </c>
      <c r="B365" s="39">
        <v>2</v>
      </c>
      <c r="C365" s="26" t="s">
        <v>2494</v>
      </c>
    </row>
    <row r="366" spans="1:3" ht="22">
      <c r="A366" s="39" t="s">
        <v>2495</v>
      </c>
      <c r="B366" s="39">
        <v>2</v>
      </c>
      <c r="C366" s="26" t="s">
        <v>2496</v>
      </c>
    </row>
    <row r="367" spans="1:3" ht="22">
      <c r="A367" s="39" t="s">
        <v>2497</v>
      </c>
      <c r="B367" s="39">
        <v>2</v>
      </c>
      <c r="C367" s="26" t="s">
        <v>2498</v>
      </c>
    </row>
    <row r="368" spans="1:3" ht="22">
      <c r="A368" s="39" t="s">
        <v>2499</v>
      </c>
      <c r="B368" s="39">
        <v>2</v>
      </c>
      <c r="C368" s="26" t="s">
        <v>2500</v>
      </c>
    </row>
    <row r="369" spans="1:3" ht="22">
      <c r="A369" s="39" t="s">
        <v>2501</v>
      </c>
      <c r="B369" s="39">
        <v>2004</v>
      </c>
      <c r="C369" s="26" t="s">
        <v>2502</v>
      </c>
    </row>
    <row r="370" spans="1:3" ht="22">
      <c r="A370" s="39" t="s">
        <v>2503</v>
      </c>
      <c r="B370" s="39">
        <v>2</v>
      </c>
      <c r="C370" s="26" t="s">
        <v>2504</v>
      </c>
    </row>
    <row r="371" spans="1:3" ht="22">
      <c r="A371" s="39" t="s">
        <v>2505</v>
      </c>
      <c r="B371" s="39">
        <v>2</v>
      </c>
      <c r="C371" s="26" t="s">
        <v>2506</v>
      </c>
    </row>
    <row r="372" spans="1:3" ht="22">
      <c r="A372" s="39" t="s">
        <v>2507</v>
      </c>
      <c r="B372" s="39">
        <v>2</v>
      </c>
      <c r="C372" s="26" t="s">
        <v>2508</v>
      </c>
    </row>
    <row r="373" spans="1:3" ht="22">
      <c r="A373" s="39" t="s">
        <v>2509</v>
      </c>
      <c r="B373" s="39">
        <v>2</v>
      </c>
      <c r="C373" s="26" t="s">
        <v>2510</v>
      </c>
    </row>
    <row r="374" spans="1:3" ht="22">
      <c r="A374" s="39" t="s">
        <v>2511</v>
      </c>
      <c r="B374" s="39">
        <v>2</v>
      </c>
      <c r="C374" s="26" t="s">
        <v>2512</v>
      </c>
    </row>
    <row r="375" spans="1:3" ht="22">
      <c r="A375" s="39" t="s">
        <v>2513</v>
      </c>
      <c r="B375" s="39">
        <v>2</v>
      </c>
      <c r="C375" s="26" t="s">
        <v>2514</v>
      </c>
    </row>
    <row r="376" spans="1:3" ht="22">
      <c r="A376" s="39" t="s">
        <v>2515</v>
      </c>
      <c r="B376" s="39">
        <v>2</v>
      </c>
      <c r="C376" s="26" t="s">
        <v>2516</v>
      </c>
    </row>
    <row r="377" spans="1:3" ht="22">
      <c r="A377" s="39" t="s">
        <v>2517</v>
      </c>
      <c r="B377" s="39">
        <v>2</v>
      </c>
      <c r="C377" s="26" t="s">
        <v>2518</v>
      </c>
    </row>
    <row r="378" spans="1:3" ht="22">
      <c r="A378" s="39" t="s">
        <v>2519</v>
      </c>
      <c r="B378" s="39">
        <v>2</v>
      </c>
      <c r="C378" s="26" t="s">
        <v>2520</v>
      </c>
    </row>
    <row r="379" spans="1:3" ht="22">
      <c r="A379" s="39" t="s">
        <v>2521</v>
      </c>
      <c r="B379" s="39">
        <v>2</v>
      </c>
      <c r="C379" s="26" t="s">
        <v>2522</v>
      </c>
    </row>
    <row r="380" spans="1:3" ht="22">
      <c r="A380" s="39" t="s">
        <v>2523</v>
      </c>
      <c r="B380" s="39">
        <v>2</v>
      </c>
      <c r="C380" s="26" t="s">
        <v>2524</v>
      </c>
    </row>
    <row r="381" spans="1:3" ht="44">
      <c r="A381" s="39" t="s">
        <v>2525</v>
      </c>
      <c r="B381" s="39">
        <v>212</v>
      </c>
      <c r="C381" s="26" t="s">
        <v>2526</v>
      </c>
    </row>
    <row r="382" spans="1:3" ht="22">
      <c r="A382" s="39" t="s">
        <v>2527</v>
      </c>
      <c r="B382" s="39">
        <v>4</v>
      </c>
      <c r="C382" s="26" t="s">
        <v>2528</v>
      </c>
    </row>
    <row r="383" spans="1:3" ht="22">
      <c r="A383" s="39" t="s">
        <v>2529</v>
      </c>
      <c r="B383" s="39">
        <v>200</v>
      </c>
      <c r="C383" s="26" t="s">
        <v>2530</v>
      </c>
    </row>
    <row r="384" spans="1:3" ht="22">
      <c r="A384" s="39" t="s">
        <v>2531</v>
      </c>
      <c r="B384" s="39">
        <v>68</v>
      </c>
      <c r="C384" s="26" t="s">
        <v>2532</v>
      </c>
    </row>
    <row r="385" spans="1:3" ht="22">
      <c r="A385" s="39" t="s">
        <v>2533</v>
      </c>
      <c r="B385" s="39">
        <v>100</v>
      </c>
      <c r="C385" s="26" t="s">
        <v>2534</v>
      </c>
    </row>
    <row r="386" spans="1:3" ht="22">
      <c r="A386" s="39" t="s">
        <v>2535</v>
      </c>
      <c r="B386" s="39">
        <v>0</v>
      </c>
      <c r="C386" s="26" t="s">
        <v>2536</v>
      </c>
    </row>
    <row r="387" spans="1:3" ht="22">
      <c r="A387" s="39" t="s">
        <v>2537</v>
      </c>
      <c r="B387" s="39">
        <v>40</v>
      </c>
      <c r="C387" s="26" t="s">
        <v>2538</v>
      </c>
    </row>
    <row r="388" spans="1:3" ht="22">
      <c r="A388" s="39" t="s">
        <v>2539</v>
      </c>
      <c r="B388" s="39">
        <v>0</v>
      </c>
      <c r="C388" s="26" t="s">
        <v>2540</v>
      </c>
    </row>
    <row r="389" spans="1:3" ht="22">
      <c r="A389" s="39" t="s">
        <v>2541</v>
      </c>
      <c r="B389" s="39">
        <v>20</v>
      </c>
      <c r="C389" s="26" t="s">
        <v>2542</v>
      </c>
    </row>
    <row r="390" spans="1:3" ht="44">
      <c r="A390" s="39" t="s">
        <v>2543</v>
      </c>
      <c r="B390" s="39">
        <v>50</v>
      </c>
      <c r="C390" s="26" t="s">
        <v>2544</v>
      </c>
    </row>
    <row r="391" spans="1:3" ht="22">
      <c r="A391" s="39" t="s">
        <v>2545</v>
      </c>
      <c r="B391" s="39">
        <v>60</v>
      </c>
      <c r="C391" s="26" t="s">
        <v>2546</v>
      </c>
    </row>
    <row r="392" spans="1:3" ht="22">
      <c r="A392" s="39" t="s">
        <v>2547</v>
      </c>
      <c r="B392" s="39">
        <v>2</v>
      </c>
      <c r="C392" s="26" t="s">
        <v>2548</v>
      </c>
    </row>
    <row r="393" spans="1:3" ht="22">
      <c r="A393" s="39" t="s">
        <v>2549</v>
      </c>
      <c r="B393" s="39">
        <v>6</v>
      </c>
      <c r="C393" s="26" t="s">
        <v>2550</v>
      </c>
    </row>
    <row r="394" spans="1:3" ht="22">
      <c r="A394" s="39" t="s">
        <v>2551</v>
      </c>
      <c r="B394" s="39">
        <v>10</v>
      </c>
      <c r="C394" s="26" t="s">
        <v>2552</v>
      </c>
    </row>
    <row r="395" spans="1:3" ht="44">
      <c r="A395" s="39" t="s">
        <v>2553</v>
      </c>
      <c r="B395" s="39">
        <v>72</v>
      </c>
      <c r="C395" s="26" t="s">
        <v>2554</v>
      </c>
    </row>
    <row r="396" spans="1:3" ht="22">
      <c r="A396" s="39" t="s">
        <v>2555</v>
      </c>
      <c r="B396" s="39">
        <v>16</v>
      </c>
      <c r="C396" s="26" t="s">
        <v>2556</v>
      </c>
    </row>
    <row r="397" spans="1:3" ht="66">
      <c r="A397" s="39" t="s">
        <v>2557</v>
      </c>
      <c r="B397" s="39">
        <v>600</v>
      </c>
      <c r="C397" s="26" t="s">
        <v>2558</v>
      </c>
    </row>
    <row r="398" spans="1:3" ht="66">
      <c r="A398" s="39" t="s">
        <v>2559</v>
      </c>
      <c r="B398" s="39">
        <v>600</v>
      </c>
      <c r="C398" s="26" t="s">
        <v>2560</v>
      </c>
    </row>
    <row r="399" spans="1:3" ht="44">
      <c r="A399" s="39" t="s">
        <v>2561</v>
      </c>
      <c r="B399" s="39">
        <v>400</v>
      </c>
      <c r="C399" s="26" t="s">
        <v>2562</v>
      </c>
    </row>
    <row r="400" spans="1:3" ht="110">
      <c r="A400" s="39" t="s">
        <v>2563</v>
      </c>
      <c r="B400" s="39">
        <v>1400</v>
      </c>
      <c r="C400" s="26" t="s">
        <v>2564</v>
      </c>
    </row>
    <row r="401" spans="1:3" ht="22">
      <c r="A401" s="39" t="s">
        <v>2565</v>
      </c>
      <c r="B401" s="39">
        <v>40</v>
      </c>
      <c r="C401" s="26" t="s">
        <v>2566</v>
      </c>
    </row>
    <row r="402" spans="1:3" ht="22">
      <c r="A402" s="39" t="s">
        <v>2567</v>
      </c>
      <c r="B402" s="39">
        <v>24</v>
      </c>
      <c r="C402" s="26" t="s">
        <v>2568</v>
      </c>
    </row>
    <row r="403" spans="1:3" ht="22">
      <c r="A403" s="39" t="s">
        <v>2569</v>
      </c>
      <c r="B403" s="39">
        <v>0</v>
      </c>
      <c r="C403" s="26" t="s">
        <v>2570</v>
      </c>
    </row>
    <row r="404" spans="1:3" ht="22">
      <c r="A404" s="39" t="s">
        <v>2571</v>
      </c>
      <c r="B404" s="39">
        <v>2</v>
      </c>
      <c r="C404" s="26" t="s">
        <v>2572</v>
      </c>
    </row>
    <row r="405" spans="1:3" ht="22">
      <c r="A405" s="39" t="s">
        <v>2573</v>
      </c>
      <c r="B405" s="39">
        <v>6</v>
      </c>
      <c r="C405" s="26" t="s">
        <v>2574</v>
      </c>
    </row>
    <row r="406" spans="1:3" ht="22">
      <c r="A406" s="39" t="s">
        <v>2575</v>
      </c>
      <c r="B406" s="39">
        <v>24</v>
      </c>
      <c r="C406" s="26" t="s">
        <v>2576</v>
      </c>
    </row>
    <row r="407" spans="1:3" ht="22">
      <c r="A407" s="39" t="s">
        <v>2577</v>
      </c>
      <c r="B407" s="39">
        <v>4</v>
      </c>
      <c r="C407" s="26" t="s">
        <v>2578</v>
      </c>
    </row>
    <row r="408" spans="1:3" ht="88">
      <c r="A408" s="39" t="s">
        <v>2579</v>
      </c>
      <c r="B408" s="39">
        <v>3000</v>
      </c>
      <c r="C408" s="26" t="s">
        <v>2580</v>
      </c>
    </row>
    <row r="409" spans="1:3" ht="22">
      <c r="A409" s="39" t="s">
        <v>2581</v>
      </c>
      <c r="B409" s="39">
        <v>4</v>
      </c>
      <c r="C409" s="26" t="s">
        <v>2582</v>
      </c>
    </row>
    <row r="410" spans="1:3" ht="22">
      <c r="A410" s="39" t="s">
        <v>2583</v>
      </c>
      <c r="B410" s="39">
        <v>2</v>
      </c>
      <c r="C410" s="26" t="s">
        <v>2584</v>
      </c>
    </row>
    <row r="411" spans="1:3" ht="22">
      <c r="A411" s="39" t="s">
        <v>2585</v>
      </c>
      <c r="B411" s="39">
        <v>2</v>
      </c>
      <c r="C411" s="26" t="s">
        <v>2586</v>
      </c>
    </row>
    <row r="412" spans="1:3" ht="22">
      <c r="A412" s="39" t="s">
        <v>2587</v>
      </c>
      <c r="B412" s="39">
        <v>400</v>
      </c>
      <c r="C412" s="26" t="s">
        <v>2588</v>
      </c>
    </row>
    <row r="413" spans="1:3" ht="66">
      <c r="A413" s="39" t="s">
        <v>2589</v>
      </c>
      <c r="B413" s="39">
        <v>340</v>
      </c>
      <c r="C413" s="26" t="s">
        <v>2590</v>
      </c>
    </row>
    <row r="414" spans="1:3" ht="22">
      <c r="A414" s="39" t="s">
        <v>2591</v>
      </c>
      <c r="B414" s="39">
        <v>100</v>
      </c>
      <c r="C414" s="26" t="s">
        <v>2592</v>
      </c>
    </row>
    <row r="415" spans="1:3" ht="22">
      <c r="A415" s="39" t="s">
        <v>2593</v>
      </c>
      <c r="B415" s="39">
        <v>8</v>
      </c>
      <c r="C415" s="26" t="s">
        <v>2594</v>
      </c>
    </row>
    <row r="416" spans="1:3" ht="22">
      <c r="A416" s="39" t="s">
        <v>2595</v>
      </c>
      <c r="B416" s="39">
        <v>20</v>
      </c>
      <c r="C416" s="26" t="s">
        <v>2596</v>
      </c>
    </row>
    <row r="417" spans="1:3" ht="22">
      <c r="A417" s="39" t="s">
        <v>2597</v>
      </c>
      <c r="B417" s="39">
        <v>20</v>
      </c>
      <c r="C417" s="26" t="s">
        <v>2598</v>
      </c>
    </row>
    <row r="418" spans="1:3" ht="22">
      <c r="A418" s="39" t="s">
        <v>2599</v>
      </c>
      <c r="B418" s="39">
        <v>20</v>
      </c>
      <c r="C418" s="26" t="s">
        <v>2600</v>
      </c>
    </row>
    <row r="419" spans="1:3" ht="22">
      <c r="A419" s="39" t="s">
        <v>2601</v>
      </c>
      <c r="B419" s="39">
        <v>24</v>
      </c>
      <c r="C419" s="26" t="s">
        <v>2602</v>
      </c>
    </row>
    <row r="420" spans="1:3" ht="22">
      <c r="A420" s="39" t="s">
        <v>2603</v>
      </c>
      <c r="B420" s="39">
        <v>24</v>
      </c>
      <c r="C420" s="26" t="s">
        <v>2604</v>
      </c>
    </row>
    <row r="421" spans="1:3" ht="22">
      <c r="A421" s="39" t="s">
        <v>2605</v>
      </c>
      <c r="B421" s="39">
        <v>14</v>
      </c>
      <c r="C421" s="26" t="s">
        <v>2606</v>
      </c>
    </row>
    <row r="422" spans="1:3" ht="22">
      <c r="A422" s="39" t="s">
        <v>2607</v>
      </c>
      <c r="B422" s="39">
        <v>0</v>
      </c>
      <c r="C422" s="26" t="s">
        <v>2608</v>
      </c>
    </row>
    <row r="423" spans="1:3" ht="44">
      <c r="A423" s="39" t="s">
        <v>2609</v>
      </c>
      <c r="B423" s="39">
        <v>160</v>
      </c>
      <c r="C423" s="26" t="s">
        <v>2610</v>
      </c>
    </row>
    <row r="424" spans="1:3" ht="22">
      <c r="A424" s="39" t="s">
        <v>2611</v>
      </c>
      <c r="B424" s="39">
        <v>214</v>
      </c>
      <c r="C424" s="26" t="s">
        <v>2612</v>
      </c>
    </row>
    <row r="425" spans="1:3" ht="22">
      <c r="A425" s="39" t="s">
        <v>2613</v>
      </c>
      <c r="B425" s="39">
        <v>300</v>
      </c>
      <c r="C425" s="26" t="s">
        <v>2614</v>
      </c>
    </row>
    <row r="426" spans="1:3" ht="22">
      <c r="A426" s="39" t="s">
        <v>2615</v>
      </c>
      <c r="B426" s="39">
        <v>100</v>
      </c>
      <c r="C426" s="26" t="s">
        <v>2616</v>
      </c>
    </row>
    <row r="427" spans="1:3" ht="22">
      <c r="A427" s="39" t="s">
        <v>2617</v>
      </c>
      <c r="B427" s="39">
        <v>80</v>
      </c>
      <c r="C427" s="26" t="s">
        <v>2618</v>
      </c>
    </row>
    <row r="428" spans="1:3" ht="44">
      <c r="A428" s="39" t="s">
        <v>2619</v>
      </c>
      <c r="B428" s="39">
        <v>288</v>
      </c>
      <c r="C428" s="26" t="s">
        <v>2620</v>
      </c>
    </row>
    <row r="429" spans="1:3" ht="66">
      <c r="A429" s="39" t="s">
        <v>2621</v>
      </c>
      <c r="B429" s="39">
        <v>32</v>
      </c>
      <c r="C429" s="26" t="s">
        <v>2622</v>
      </c>
    </row>
    <row r="430" spans="1:3" ht="22">
      <c r="A430" s="39" t="s">
        <v>2623</v>
      </c>
      <c r="B430" s="39">
        <v>10</v>
      </c>
      <c r="C430" s="26" t="s">
        <v>2624</v>
      </c>
    </row>
    <row r="431" spans="1:3" ht="44">
      <c r="A431" s="39" t="s">
        <v>2625</v>
      </c>
      <c r="B431" s="39">
        <v>12</v>
      </c>
      <c r="C431" s="26" t="s">
        <v>2626</v>
      </c>
    </row>
    <row r="432" spans="1:3" ht="22">
      <c r="A432" s="39" t="s">
        <v>2627</v>
      </c>
      <c r="B432" s="39">
        <v>10</v>
      </c>
      <c r="C432" s="26" t="s">
        <v>2628</v>
      </c>
    </row>
    <row r="433" spans="1:3" ht="44">
      <c r="A433" s="39" t="s">
        <v>2629</v>
      </c>
      <c r="B433" s="39">
        <v>40</v>
      </c>
      <c r="C433" s="26" t="s">
        <v>2630</v>
      </c>
    </row>
    <row r="434" spans="1:3" ht="22">
      <c r="A434" s="39" t="s">
        <v>2631</v>
      </c>
      <c r="B434" s="39">
        <v>40</v>
      </c>
      <c r="C434" s="26" t="s">
        <v>2632</v>
      </c>
    </row>
    <row r="435" spans="1:3" ht="44">
      <c r="A435" s="39" t="s">
        <v>2633</v>
      </c>
      <c r="B435" s="39">
        <v>70</v>
      </c>
      <c r="C435" s="26" t="s">
        <v>2634</v>
      </c>
    </row>
    <row r="436" spans="1:3" ht="22">
      <c r="A436" s="39" t="s">
        <v>2635</v>
      </c>
      <c r="B436" s="39">
        <v>12</v>
      </c>
      <c r="C436" s="26" t="s">
        <v>2636</v>
      </c>
    </row>
    <row r="437" spans="1:3" ht="22">
      <c r="A437" s="39" t="s">
        <v>2637</v>
      </c>
      <c r="B437" s="39">
        <v>12</v>
      </c>
      <c r="C437" s="26" t="s">
        <v>2638</v>
      </c>
    </row>
    <row r="438" spans="1:3" ht="22">
      <c r="A438" s="39" t="s">
        <v>2639</v>
      </c>
      <c r="B438" s="39">
        <v>4</v>
      </c>
      <c r="C438" s="26" t="s">
        <v>2640</v>
      </c>
    </row>
    <row r="439" spans="1:3" ht="22">
      <c r="A439" s="39" t="s">
        <v>2641</v>
      </c>
      <c r="B439" s="39">
        <v>20</v>
      </c>
      <c r="C439" s="26" t="s">
        <v>2642</v>
      </c>
    </row>
    <row r="440" spans="1:3" ht="44">
      <c r="A440" s="39" t="s">
        <v>2643</v>
      </c>
      <c r="B440" s="39">
        <v>10</v>
      </c>
      <c r="C440" s="26" t="s">
        <v>2644</v>
      </c>
    </row>
    <row r="441" spans="1:3" ht="22">
      <c r="A441" s="39" t="s">
        <v>2645</v>
      </c>
      <c r="B441" s="39">
        <v>8</v>
      </c>
      <c r="C441" s="26" t="s">
        <v>2646</v>
      </c>
    </row>
    <row r="442" spans="1:3" ht="22">
      <c r="A442" s="39" t="s">
        <v>2647</v>
      </c>
      <c r="B442" s="39">
        <v>8</v>
      </c>
      <c r="C442" s="26" t="s">
        <v>2648</v>
      </c>
    </row>
    <row r="443" spans="1:3" ht="44">
      <c r="A443" s="39" t="s">
        <v>2649</v>
      </c>
      <c r="B443" s="39">
        <v>12</v>
      </c>
      <c r="C443" s="26" t="s">
        <v>2650</v>
      </c>
    </row>
    <row r="444" spans="1:3" ht="22">
      <c r="A444" s="39" t="s">
        <v>2651</v>
      </c>
      <c r="B444" s="39">
        <v>2</v>
      </c>
      <c r="C444" s="26" t="s">
        <v>2652</v>
      </c>
    </row>
    <row r="445" spans="1:3" ht="22">
      <c r="A445" s="39" t="s">
        <v>2653</v>
      </c>
      <c r="B445" s="39">
        <v>2</v>
      </c>
      <c r="C445" s="26" t="s">
        <v>2654</v>
      </c>
    </row>
    <row r="446" spans="1:3" ht="154">
      <c r="A446" s="39" t="s">
        <v>2655</v>
      </c>
      <c r="B446" s="39">
        <v>682</v>
      </c>
      <c r="C446" s="26" t="s">
        <v>2656</v>
      </c>
    </row>
    <row r="447" spans="1:3" ht="22">
      <c r="A447" s="39" t="s">
        <v>2657</v>
      </c>
      <c r="B447" s="39">
        <v>200</v>
      </c>
      <c r="C447" s="26" t="s">
        <v>2658</v>
      </c>
    </row>
    <row r="448" spans="1:3" ht="22">
      <c r="A448" s="39" t="s">
        <v>2659</v>
      </c>
      <c r="B448" s="39">
        <v>2</v>
      </c>
      <c r="C448" s="26" t="s">
        <v>2660</v>
      </c>
    </row>
    <row r="449" spans="1:3" ht="22">
      <c r="A449" s="39" t="s">
        <v>2661</v>
      </c>
      <c r="B449" s="39">
        <v>2</v>
      </c>
      <c r="C449" s="26" t="s">
        <v>2662</v>
      </c>
    </row>
    <row r="450" spans="1:3" ht="22">
      <c r="A450" s="39" t="s">
        <v>2663</v>
      </c>
      <c r="B450" s="39">
        <v>2</v>
      </c>
      <c r="C450" s="26" t="s">
        <v>2664</v>
      </c>
    </row>
    <row r="451" spans="1:3" ht="22">
      <c r="A451" s="39" t="s">
        <v>2665</v>
      </c>
      <c r="B451" s="39">
        <v>4</v>
      </c>
      <c r="C451" s="26" t="s">
        <v>2666</v>
      </c>
    </row>
    <row r="452" spans="1:3" ht="22">
      <c r="A452" s="39" t="s">
        <v>2667</v>
      </c>
      <c r="B452" s="39">
        <v>20</v>
      </c>
      <c r="C452" s="26" t="s">
        <v>2668</v>
      </c>
    </row>
    <row r="453" spans="1:3" ht="22">
      <c r="A453" s="39" t="s">
        <v>2669</v>
      </c>
      <c r="B453" s="39">
        <v>4</v>
      </c>
      <c r="C453" s="26" t="s">
        <v>2670</v>
      </c>
    </row>
    <row r="454" spans="1:3" ht="22">
      <c r="A454" s="39" t="s">
        <v>2671</v>
      </c>
      <c r="B454" s="39">
        <v>200</v>
      </c>
      <c r="C454" s="26" t="s">
        <v>2672</v>
      </c>
    </row>
    <row r="455" spans="1:3" ht="22">
      <c r="A455" s="39" t="s">
        <v>2673</v>
      </c>
      <c r="B455" s="39">
        <v>400</v>
      </c>
      <c r="C455" s="26" t="s">
        <v>2674</v>
      </c>
    </row>
    <row r="456" spans="1:3" ht="22">
      <c r="A456" s="39" t="s">
        <v>2675</v>
      </c>
      <c r="B456" s="39">
        <v>20</v>
      </c>
      <c r="C456" s="26" t="s">
        <v>2676</v>
      </c>
    </row>
    <row r="457" spans="1:3" ht="22">
      <c r="A457" s="39" t="s">
        <v>2677</v>
      </c>
      <c r="B457" s="39">
        <v>20</v>
      </c>
      <c r="C457" s="26" t="s">
        <v>2678</v>
      </c>
    </row>
    <row r="458" spans="1:3" ht="22">
      <c r="A458" s="39" t="s">
        <v>2679</v>
      </c>
      <c r="B458" s="39">
        <v>308</v>
      </c>
      <c r="C458" s="26" t="s">
        <v>2680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D1174-F169-4C52-942F-2AFAC6A89600}">
  <sheetPr codeName="Sheet12"/>
  <dimension ref="A1:Y2019"/>
  <sheetViews>
    <sheetView topLeftCell="X1" zoomScale="188" zoomScaleNormal="85" workbookViewId="0">
      <selection activeCell="Z2" sqref="Z2"/>
    </sheetView>
  </sheetViews>
  <sheetFormatPr baseColWidth="10" defaultColWidth="16" defaultRowHeight="10"/>
  <cols>
    <col min="1" max="1" width="2.75" style="1" bestFit="1" customWidth="1"/>
    <col min="2" max="2" width="13" style="5" customWidth="1"/>
    <col min="3" max="3" width="15.25" style="12" customWidth="1"/>
    <col min="4" max="4" width="6" style="6" bestFit="1" customWidth="1"/>
    <col min="5" max="5" width="3.25" style="17" bestFit="1" customWidth="1"/>
    <col min="6" max="6" width="3.25" style="18" bestFit="1" customWidth="1"/>
    <col min="7" max="7" width="16" style="5"/>
    <col min="8" max="8" width="10.5" style="5" bestFit="1" customWidth="1"/>
    <col min="9" max="9" width="7" style="5" customWidth="1"/>
    <col min="10" max="10" width="32" style="5" bestFit="1" customWidth="1"/>
    <col min="11" max="11" width="40.25" style="5" bestFit="1" customWidth="1"/>
    <col min="12" max="12" width="10.5" style="5" bestFit="1" customWidth="1"/>
    <col min="13" max="13" width="28.25" style="30" bestFit="1" customWidth="1"/>
    <col min="14" max="14" width="16.25" style="28" bestFit="1" customWidth="1"/>
    <col min="15" max="15" width="33" style="28" bestFit="1" customWidth="1"/>
    <col min="16" max="16" width="56.5" style="28" bestFit="1" customWidth="1"/>
    <col min="17" max="17" width="17.5" style="28" bestFit="1" customWidth="1"/>
    <col min="18" max="18" width="45.25" style="25" bestFit="1" customWidth="1"/>
    <col min="19" max="19" width="31" style="25" bestFit="1" customWidth="1"/>
    <col min="20" max="20" width="21.25" style="25" bestFit="1" customWidth="1"/>
    <col min="21" max="21" width="11.5" style="25" bestFit="1" customWidth="1"/>
    <col min="22" max="22" width="14.5" style="25" bestFit="1" customWidth="1"/>
    <col min="23" max="23" width="15.5" style="33" bestFit="1" customWidth="1"/>
    <col min="24" max="24" width="10.25" style="25" bestFit="1" customWidth="1"/>
    <col min="25" max="25" width="81.5" style="25" bestFit="1" customWidth="1"/>
    <col min="26" max="16384" width="16" style="5"/>
  </cols>
  <sheetData>
    <row r="1" spans="1:25" s="1" customFormat="1" ht="32" customHeight="1" thickBot="1">
      <c r="B1" s="41" t="str" cm="1">
        <f t="array" aca="1" ref="B1" ca="1">CELL(IF(LngS="R","filename","nombrearchivo"))</f>
        <v>/Users/didac/Downloads/Story/DashBTracker/[PrjDB_31200_4.xlsm]OutData</v>
      </c>
      <c r="D1" s="2"/>
      <c r="F1" s="1" t="str">
        <f>IF(TRUE,"LNG","LNG")</f>
        <v>LNG</v>
      </c>
      <c r="I1" s="21"/>
      <c r="J1" s="21"/>
      <c r="M1" s="29"/>
      <c r="N1" s="27"/>
      <c r="O1" s="27"/>
      <c r="P1" s="27"/>
      <c r="Q1" s="27"/>
      <c r="R1" s="24"/>
      <c r="S1" s="24"/>
      <c r="T1" s="24"/>
      <c r="U1" s="24"/>
      <c r="V1" s="24"/>
      <c r="W1" s="32"/>
      <c r="X1" s="24"/>
      <c r="Y1" s="24"/>
    </row>
    <row r="2" spans="1:25" ht="106">
      <c r="B2" s="3" t="s">
        <v>0</v>
      </c>
      <c r="C2" s="4" t="str">
        <f ca="1">LEFT($B$1,FIND("[",$B$1)-1)</f>
        <v>/Users/didac/Downloads/Story/DashBTracker/</v>
      </c>
      <c r="E2" s="14" t="s">
        <v>5</v>
      </c>
      <c r="F2" s="16" t="str" cm="1">
        <f t="array" aca="1" ref="F2" ca="1">IF(ISERROR(INDIRECT("r1c1",FALSE)),"f","r")</f>
        <v>r</v>
      </c>
      <c r="I2" s="22" t="s">
        <v>6</v>
      </c>
      <c r="J2" s="23" t="s">
        <v>18</v>
      </c>
      <c r="M2" s="31" t="s">
        <v>48</v>
      </c>
      <c r="N2" s="31" t="s">
        <v>49</v>
      </c>
      <c r="O2" s="26" t="s">
        <v>89</v>
      </c>
      <c r="P2" s="26" t="s">
        <v>90</v>
      </c>
      <c r="Q2" s="26" t="s">
        <v>91</v>
      </c>
      <c r="R2" s="5"/>
      <c r="S2" s="5"/>
      <c r="T2" s="5"/>
      <c r="U2" s="5"/>
      <c r="V2" s="5"/>
      <c r="W2" s="5"/>
      <c r="X2" s="5"/>
      <c r="Y2" s="5"/>
    </row>
    <row r="3" spans="1:25" ht="22">
      <c r="A3" s="1" t="s">
        <v>1</v>
      </c>
      <c r="B3" s="7" t="s">
        <v>2</v>
      </c>
      <c r="C3" s="8" t="b">
        <f ca="1">(OsyS&lt;&gt;"M")</f>
        <v>1</v>
      </c>
      <c r="E3" s="14" t="s">
        <v>1761</v>
      </c>
      <c r="F3" s="16" t="str">
        <f ca="1">IF(LEFT(Pth,1)="/","/","\")</f>
        <v>/</v>
      </c>
      <c r="I3" s="34" t="s">
        <v>8</v>
      </c>
      <c r="J3" s="35" t="s">
        <v>7</v>
      </c>
      <c r="M3" s="26" t="s">
        <v>54</v>
      </c>
      <c r="N3" s="25" t="s">
        <v>51</v>
      </c>
      <c r="O3" s="26" t="s">
        <v>92</v>
      </c>
      <c r="P3" s="26"/>
      <c r="Q3" s="26"/>
      <c r="R3" s="5"/>
      <c r="S3" s="5"/>
      <c r="T3" s="5"/>
      <c r="U3" s="5"/>
      <c r="V3" s="5"/>
      <c r="W3" s="5"/>
      <c r="X3" s="5"/>
      <c r="Y3" s="5"/>
    </row>
    <row r="4" spans="1:25" ht="22">
      <c r="B4" s="9" t="s">
        <v>3</v>
      </c>
      <c r="C4" s="10" t="b">
        <f ca="1">(LngS="R")</f>
        <v>1</v>
      </c>
      <c r="I4" s="34" t="s">
        <v>14</v>
      </c>
      <c r="J4" s="35" t="s">
        <v>13</v>
      </c>
      <c r="M4" s="26" t="s">
        <v>54</v>
      </c>
      <c r="N4" s="25" t="s">
        <v>55</v>
      </c>
      <c r="O4" s="26"/>
      <c r="P4" s="26" t="s">
        <v>93</v>
      </c>
      <c r="Q4" s="26"/>
      <c r="R4" s="5"/>
      <c r="S4" s="5"/>
      <c r="T4" s="5"/>
      <c r="U4" s="5"/>
      <c r="V4" s="5"/>
      <c r="W4" s="5"/>
      <c r="X4" s="5"/>
      <c r="Y4" s="5"/>
    </row>
    <row r="5" spans="1:25" ht="44">
      <c r="B5" s="9" t="s">
        <v>4</v>
      </c>
      <c r="C5" s="10" t="str">
        <f ca="1">_xlfn.TEXTAFTER(B1,"]")</f>
        <v>OutData</v>
      </c>
      <c r="I5" s="36" t="s">
        <v>19</v>
      </c>
      <c r="J5" s="37" t="s">
        <v>34</v>
      </c>
      <c r="M5" s="26" t="s">
        <v>54</v>
      </c>
      <c r="N5" s="25" t="s">
        <v>55</v>
      </c>
      <c r="O5" s="26"/>
      <c r="P5" s="26" t="s">
        <v>94</v>
      </c>
      <c r="Q5" s="26"/>
      <c r="R5" s="5"/>
      <c r="S5" s="5"/>
      <c r="T5" s="5"/>
      <c r="U5" s="5"/>
      <c r="V5" s="5"/>
      <c r="W5" s="5"/>
      <c r="X5" s="5"/>
      <c r="Y5" s="5"/>
    </row>
    <row r="6" spans="1:25" ht="44">
      <c r="B6" s="7" t="s">
        <v>1760</v>
      </c>
      <c r="C6" s="11">
        <v>31200</v>
      </c>
      <c r="I6" s="34" t="s">
        <v>10</v>
      </c>
      <c r="J6" s="35" t="s">
        <v>9</v>
      </c>
      <c r="M6" s="26" t="s">
        <v>54</v>
      </c>
      <c r="N6" s="25" t="s">
        <v>55</v>
      </c>
      <c r="O6" s="26"/>
      <c r="P6" s="26" t="s">
        <v>95</v>
      </c>
      <c r="Q6" s="26"/>
      <c r="R6" s="5"/>
      <c r="S6" s="5"/>
      <c r="T6" s="5"/>
      <c r="U6" s="5"/>
      <c r="V6" s="5"/>
      <c r="W6" s="5"/>
      <c r="X6" s="5"/>
      <c r="Y6" s="5"/>
    </row>
    <row r="7" spans="1:25" ht="22">
      <c r="B7" s="15" t="s">
        <v>1762</v>
      </c>
      <c r="C7" s="11">
        <v>3</v>
      </c>
      <c r="I7" s="36" t="s">
        <v>20</v>
      </c>
      <c r="J7" s="37" t="s">
        <v>35</v>
      </c>
      <c r="M7" s="26" t="s">
        <v>54</v>
      </c>
      <c r="N7" s="25" t="s">
        <v>55</v>
      </c>
      <c r="O7" s="26"/>
      <c r="P7" s="26" t="s">
        <v>96</v>
      </c>
      <c r="Q7" s="26"/>
      <c r="R7" s="5"/>
      <c r="S7" s="5"/>
      <c r="T7" s="5"/>
      <c r="U7" s="5"/>
      <c r="V7" s="5"/>
      <c r="W7" s="5"/>
      <c r="X7" s="5"/>
      <c r="Y7" s="5"/>
    </row>
    <row r="8" spans="1:25" ht="22">
      <c r="B8" s="15" t="s">
        <v>1763</v>
      </c>
      <c r="C8" s="11">
        <v>1</v>
      </c>
      <c r="F8" s="19"/>
      <c r="I8" s="38" t="s">
        <v>21</v>
      </c>
      <c r="J8" s="38" t="s">
        <v>36</v>
      </c>
      <c r="M8" s="26" t="s">
        <v>54</v>
      </c>
      <c r="N8" s="25" t="s">
        <v>55</v>
      </c>
      <c r="O8" s="26"/>
      <c r="P8" s="26" t="s">
        <v>97</v>
      </c>
      <c r="Q8" s="26"/>
      <c r="R8" s="5"/>
      <c r="S8" s="5"/>
      <c r="T8" s="5"/>
      <c r="U8" s="5"/>
      <c r="V8" s="5"/>
      <c r="W8" s="5"/>
      <c r="X8" s="5"/>
      <c r="Y8" s="5"/>
    </row>
    <row r="9" spans="1:25" ht="33">
      <c r="F9" s="19"/>
      <c r="I9" s="38" t="s">
        <v>22</v>
      </c>
      <c r="J9" s="38" t="s">
        <v>37</v>
      </c>
      <c r="M9" s="26" t="s">
        <v>54</v>
      </c>
      <c r="N9" s="25" t="s">
        <v>55</v>
      </c>
      <c r="O9" s="26"/>
      <c r="P9" s="26" t="s">
        <v>98</v>
      </c>
      <c r="Q9" s="26"/>
      <c r="R9" s="5"/>
      <c r="S9" s="5"/>
      <c r="T9" s="5"/>
      <c r="U9" s="5"/>
      <c r="V9" s="5"/>
      <c r="W9" s="5"/>
      <c r="X9" s="5"/>
      <c r="Y9" s="5"/>
    </row>
    <row r="10" spans="1:25" ht="22">
      <c r="B10"/>
      <c r="C10"/>
      <c r="F10" s="19"/>
      <c r="I10" s="39" t="s">
        <v>16</v>
      </c>
      <c r="J10" s="39" t="s">
        <v>15</v>
      </c>
      <c r="M10" s="26" t="s">
        <v>54</v>
      </c>
      <c r="N10" s="25" t="s">
        <v>55</v>
      </c>
      <c r="O10" s="26"/>
      <c r="P10" s="26" t="s">
        <v>99</v>
      </c>
      <c r="Q10" s="26"/>
      <c r="R10" s="5"/>
      <c r="S10" s="5"/>
      <c r="T10" s="5"/>
      <c r="U10" s="5"/>
      <c r="V10" s="5"/>
      <c r="W10" s="5"/>
      <c r="X10" s="5"/>
      <c r="Y10" s="5"/>
    </row>
    <row r="11" spans="1:25" ht="22">
      <c r="B11"/>
      <c r="C11"/>
      <c r="D11" s="13"/>
      <c r="I11" s="39" t="s">
        <v>12</v>
      </c>
      <c r="J11" s="39" t="s">
        <v>11</v>
      </c>
      <c r="M11" s="26" t="s">
        <v>54</v>
      </c>
      <c r="N11" s="25" t="s">
        <v>55</v>
      </c>
      <c r="O11" s="26"/>
      <c r="P11" s="26" t="s">
        <v>100</v>
      </c>
      <c r="Q11" s="26"/>
      <c r="R11" s="5"/>
      <c r="S11" s="5"/>
      <c r="T11" s="5"/>
      <c r="U11" s="5"/>
      <c r="V11" s="5"/>
      <c r="W11" s="5"/>
      <c r="X11" s="5"/>
      <c r="Y11" s="5"/>
    </row>
    <row r="12" spans="1:25" ht="22">
      <c r="B12"/>
      <c r="C12"/>
      <c r="D12" s="13"/>
      <c r="I12" s="38" t="s">
        <v>23</v>
      </c>
      <c r="J12" s="38" t="s">
        <v>38</v>
      </c>
      <c r="M12" s="26" t="s">
        <v>54</v>
      </c>
      <c r="N12" s="25" t="s">
        <v>55</v>
      </c>
      <c r="O12" s="26"/>
      <c r="P12" s="26" t="s">
        <v>101</v>
      </c>
      <c r="Q12" s="26"/>
      <c r="R12" s="5"/>
      <c r="S12" s="5"/>
      <c r="T12" s="5"/>
      <c r="U12" s="5"/>
      <c r="V12" s="5"/>
      <c r="W12" s="5"/>
      <c r="X12" s="5"/>
      <c r="Y12" s="5"/>
    </row>
    <row r="13" spans="1:25" ht="22">
      <c r="B13"/>
      <c r="C13"/>
      <c r="I13" s="38" t="s">
        <v>24</v>
      </c>
      <c r="J13" s="38" t="s">
        <v>39</v>
      </c>
      <c r="M13" s="26" t="s">
        <v>54</v>
      </c>
      <c r="N13" s="25" t="s">
        <v>55</v>
      </c>
      <c r="O13" s="26"/>
      <c r="P13" s="26" t="s">
        <v>102</v>
      </c>
      <c r="Q13" s="26"/>
      <c r="R13" s="5"/>
      <c r="S13" s="5"/>
      <c r="T13" s="5"/>
      <c r="U13" s="5"/>
      <c r="V13" s="5"/>
      <c r="W13" s="5"/>
      <c r="X13" s="5"/>
      <c r="Y13" s="5"/>
    </row>
    <row r="14" spans="1:25" ht="22">
      <c r="I14" s="38" t="s">
        <v>25</v>
      </c>
      <c r="J14" s="38" t="s">
        <v>40</v>
      </c>
      <c r="M14" s="26" t="s">
        <v>54</v>
      </c>
      <c r="N14" s="25" t="s">
        <v>55</v>
      </c>
      <c r="O14" s="26"/>
      <c r="P14" s="26" t="s">
        <v>103</v>
      </c>
      <c r="Q14" s="26"/>
      <c r="R14" s="5"/>
      <c r="S14" s="5"/>
      <c r="T14" s="5"/>
      <c r="U14" s="5"/>
      <c r="V14" s="5"/>
      <c r="W14" s="5"/>
      <c r="X14" s="5"/>
      <c r="Y14" s="5"/>
    </row>
    <row r="15" spans="1:25" ht="44">
      <c r="B15" s="20"/>
      <c r="C15" s="20"/>
      <c r="I15" s="38" t="s">
        <v>26</v>
      </c>
      <c r="J15" s="38" t="s">
        <v>41</v>
      </c>
      <c r="M15" s="26" t="s">
        <v>54</v>
      </c>
      <c r="N15" s="25" t="s">
        <v>55</v>
      </c>
      <c r="O15" s="26"/>
      <c r="P15" s="26" t="s">
        <v>104</v>
      </c>
      <c r="Q15" s="26"/>
      <c r="R15" s="5"/>
      <c r="S15" s="5"/>
      <c r="T15" s="5"/>
      <c r="U15" s="5"/>
      <c r="V15" s="5"/>
      <c r="W15" s="5"/>
      <c r="X15" s="5"/>
      <c r="Y15" s="5"/>
    </row>
    <row r="16" spans="1:25" ht="66">
      <c r="B16" s="20"/>
      <c r="C16" s="20"/>
      <c r="F16" s="19"/>
      <c r="I16" s="38" t="s">
        <v>27</v>
      </c>
      <c r="J16" s="38" t="s">
        <v>42</v>
      </c>
      <c r="M16" s="26" t="s">
        <v>54</v>
      </c>
      <c r="N16" s="25" t="s">
        <v>51</v>
      </c>
      <c r="O16" s="26"/>
      <c r="P16" s="26" t="s">
        <v>105</v>
      </c>
      <c r="Q16" s="26"/>
      <c r="R16" s="5"/>
      <c r="S16" s="5"/>
      <c r="T16" s="5"/>
      <c r="U16" s="5"/>
      <c r="V16" s="5"/>
      <c r="W16" s="5"/>
      <c r="X16" s="5"/>
      <c r="Y16" s="5"/>
    </row>
    <row r="17" spans="2:25" ht="22">
      <c r="B17" s="20"/>
      <c r="C17" s="20"/>
      <c r="F17" s="19"/>
      <c r="I17" s="38" t="s">
        <v>28</v>
      </c>
      <c r="J17" s="38" t="s">
        <v>43</v>
      </c>
      <c r="M17" s="26" t="s">
        <v>54</v>
      </c>
      <c r="N17" s="25" t="s">
        <v>51</v>
      </c>
      <c r="O17" s="26" t="s">
        <v>106</v>
      </c>
      <c r="P17" s="26"/>
      <c r="Q17" s="26"/>
      <c r="R17" s="5"/>
      <c r="S17" s="5"/>
      <c r="T17" s="5"/>
      <c r="U17" s="5"/>
      <c r="V17" s="5"/>
      <c r="W17" s="5"/>
      <c r="X17" s="5"/>
      <c r="Y17" s="5"/>
    </row>
    <row r="18" spans="2:25" ht="66">
      <c r="B18" s="20"/>
      <c r="C18" s="20"/>
      <c r="I18" s="38" t="s">
        <v>29</v>
      </c>
      <c r="J18" s="38" t="s">
        <v>44</v>
      </c>
      <c r="M18" s="26" t="s">
        <v>54</v>
      </c>
      <c r="N18" s="25" t="s">
        <v>51</v>
      </c>
      <c r="O18" s="26"/>
      <c r="P18" s="26" t="s">
        <v>105</v>
      </c>
      <c r="Q18" s="26"/>
      <c r="R18" s="5"/>
      <c r="S18" s="5"/>
      <c r="T18" s="5"/>
      <c r="U18" s="5"/>
      <c r="V18" s="5"/>
      <c r="W18" s="5"/>
      <c r="X18" s="5"/>
      <c r="Y18" s="5"/>
    </row>
    <row r="19" spans="2:25" ht="55">
      <c r="B19" s="20"/>
      <c r="C19" s="20"/>
      <c r="I19" s="38" t="s">
        <v>17</v>
      </c>
      <c r="J19" s="38" t="s">
        <v>45</v>
      </c>
      <c r="M19" s="26" t="s">
        <v>54</v>
      </c>
      <c r="N19" s="25" t="s">
        <v>55</v>
      </c>
      <c r="O19" s="26"/>
      <c r="P19" s="26" t="s">
        <v>107</v>
      </c>
      <c r="Q19" s="26"/>
      <c r="R19" s="5"/>
      <c r="S19" s="5"/>
      <c r="T19" s="5"/>
      <c r="U19" s="5"/>
      <c r="V19" s="5"/>
      <c r="W19" s="5"/>
      <c r="X19" s="5"/>
      <c r="Y19" s="5"/>
    </row>
    <row r="20" spans="2:25" ht="22">
      <c r="B20" s="20"/>
      <c r="C20" s="20"/>
      <c r="I20" s="38" t="s">
        <v>30</v>
      </c>
      <c r="J20" s="38" t="s">
        <v>31</v>
      </c>
      <c r="M20" s="26" t="s">
        <v>54</v>
      </c>
      <c r="N20" s="25" t="s">
        <v>55</v>
      </c>
      <c r="O20" s="26"/>
      <c r="P20" s="26" t="s">
        <v>108</v>
      </c>
      <c r="Q20" s="26"/>
      <c r="R20" s="5"/>
      <c r="S20" s="5"/>
      <c r="T20" s="5"/>
      <c r="U20" s="5"/>
      <c r="V20" s="5"/>
      <c r="W20" s="5"/>
      <c r="X20" s="5"/>
      <c r="Y20" s="5"/>
    </row>
    <row r="21" spans="2:25" ht="44">
      <c r="D21" s="5"/>
      <c r="E21" s="5"/>
      <c r="F21" s="5"/>
      <c r="I21" s="38" t="s">
        <v>32</v>
      </c>
      <c r="J21" s="38" t="s">
        <v>46</v>
      </c>
      <c r="M21" s="26" t="s">
        <v>54</v>
      </c>
      <c r="N21" s="25" t="s">
        <v>55</v>
      </c>
      <c r="O21" s="26"/>
      <c r="P21" s="26" t="s">
        <v>109</v>
      </c>
      <c r="Q21" s="26"/>
      <c r="R21" s="5"/>
      <c r="S21" s="5"/>
      <c r="T21" s="5"/>
      <c r="U21" s="5"/>
      <c r="V21" s="5"/>
      <c r="W21" s="5"/>
      <c r="X21" s="5"/>
      <c r="Y21" s="5"/>
    </row>
    <row r="22" spans="2:25" ht="22">
      <c r="B22" s="20"/>
      <c r="C22" s="20"/>
      <c r="I22" s="38" t="s">
        <v>33</v>
      </c>
      <c r="J22" s="38" t="s">
        <v>47</v>
      </c>
      <c r="M22" s="26" t="s">
        <v>54</v>
      </c>
      <c r="N22" s="25" t="s">
        <v>55</v>
      </c>
      <c r="O22" s="26"/>
      <c r="P22" s="26" t="s">
        <v>110</v>
      </c>
      <c r="Q22" s="26"/>
      <c r="R22" s="5"/>
      <c r="S22" s="5"/>
      <c r="T22" s="5"/>
      <c r="U22" s="5"/>
      <c r="V22" s="5"/>
      <c r="W22" s="5"/>
      <c r="X22" s="5"/>
      <c r="Y22" s="5"/>
    </row>
    <row r="23" spans="2:25" ht="55">
      <c r="B23" s="20"/>
      <c r="C23" s="20"/>
      <c r="I23" s="39"/>
      <c r="J23" s="39"/>
      <c r="M23" s="26" t="s">
        <v>54</v>
      </c>
      <c r="N23" s="25" t="s">
        <v>55</v>
      </c>
      <c r="O23" s="26"/>
      <c r="P23" s="26" t="s">
        <v>111</v>
      </c>
      <c r="Q23" s="26"/>
      <c r="R23" s="5"/>
      <c r="S23" s="5"/>
      <c r="T23" s="5"/>
      <c r="U23" s="5"/>
      <c r="V23" s="5"/>
      <c r="W23" s="5"/>
      <c r="X23" s="5"/>
      <c r="Y23" s="5"/>
    </row>
    <row r="24" spans="2:25" ht="55">
      <c r="B24" s="20"/>
      <c r="C24" s="20"/>
      <c r="I24" s="38"/>
      <c r="J24" s="38"/>
      <c r="M24" s="26" t="s">
        <v>54</v>
      </c>
      <c r="N24" s="25" t="s">
        <v>55</v>
      </c>
      <c r="O24" s="26"/>
      <c r="P24" s="26" t="s">
        <v>112</v>
      </c>
      <c r="Q24" s="26"/>
      <c r="R24" s="5"/>
      <c r="S24" s="5"/>
      <c r="T24" s="5"/>
      <c r="U24" s="5"/>
      <c r="V24" s="5"/>
      <c r="W24" s="5"/>
      <c r="X24" s="5"/>
      <c r="Y24" s="5"/>
    </row>
    <row r="25" spans="2:25" ht="33">
      <c r="B25" s="20"/>
      <c r="C25" s="20"/>
      <c r="I25" s="38"/>
      <c r="J25" s="38"/>
      <c r="M25" s="26" t="s">
        <v>54</v>
      </c>
      <c r="N25" s="25" t="s">
        <v>55</v>
      </c>
      <c r="O25" s="26"/>
      <c r="P25" s="26" t="s">
        <v>113</v>
      </c>
      <c r="Q25" s="26"/>
      <c r="R25" s="5"/>
      <c r="S25" s="5"/>
      <c r="T25" s="5"/>
      <c r="U25" s="5"/>
      <c r="V25" s="5"/>
      <c r="W25" s="5"/>
      <c r="X25" s="5"/>
      <c r="Y25" s="5"/>
    </row>
    <row r="26" spans="2:25" ht="55">
      <c r="B26" s="20"/>
      <c r="C26" s="20"/>
      <c r="I26" s="38"/>
      <c r="J26" s="38"/>
      <c r="M26" s="26" t="s">
        <v>54</v>
      </c>
      <c r="N26" s="25" t="s">
        <v>55</v>
      </c>
      <c r="O26" s="26"/>
      <c r="P26" s="26" t="s">
        <v>114</v>
      </c>
      <c r="Q26" s="26"/>
      <c r="R26" s="5"/>
      <c r="S26" s="5"/>
      <c r="T26" s="5"/>
      <c r="U26" s="5"/>
      <c r="V26" s="5"/>
      <c r="W26" s="5"/>
      <c r="X26" s="5"/>
      <c r="Y26" s="5"/>
    </row>
    <row r="27" spans="2:25" ht="44">
      <c r="I27" s="38"/>
      <c r="J27" s="38"/>
      <c r="M27" s="26" t="s">
        <v>54</v>
      </c>
      <c r="N27" s="25" t="s">
        <v>55</v>
      </c>
      <c r="O27" s="26"/>
      <c r="P27" s="26" t="s">
        <v>115</v>
      </c>
      <c r="Q27" s="26"/>
      <c r="R27" s="5"/>
      <c r="S27" s="5"/>
      <c r="T27" s="5"/>
      <c r="U27" s="5"/>
      <c r="V27" s="5"/>
      <c r="W27" s="5"/>
      <c r="X27" s="5"/>
      <c r="Y27" s="5"/>
    </row>
    <row r="28" spans="2:25" ht="22">
      <c r="I28" s="38"/>
      <c r="J28" s="38"/>
      <c r="M28" s="26" t="s">
        <v>54</v>
      </c>
      <c r="N28" s="25" t="s">
        <v>55</v>
      </c>
      <c r="O28" s="26"/>
      <c r="P28" s="26" t="s">
        <v>116</v>
      </c>
      <c r="Q28" s="26"/>
      <c r="R28" s="5"/>
      <c r="S28" s="5"/>
      <c r="T28" s="5"/>
      <c r="U28" s="5"/>
      <c r="V28" s="5"/>
      <c r="W28" s="5"/>
      <c r="X28" s="5"/>
      <c r="Y28" s="5"/>
    </row>
    <row r="29" spans="2:25" ht="22">
      <c r="I29" s="38"/>
      <c r="J29" s="38"/>
      <c r="M29" s="26" t="s">
        <v>54</v>
      </c>
      <c r="N29" s="25" t="s">
        <v>55</v>
      </c>
      <c r="O29" s="26"/>
      <c r="P29" s="26" t="s">
        <v>117</v>
      </c>
      <c r="Q29" s="26"/>
      <c r="R29" s="5"/>
      <c r="S29" s="5"/>
      <c r="T29" s="5"/>
      <c r="U29" s="5"/>
      <c r="V29" s="5"/>
      <c r="W29" s="5"/>
      <c r="X29" s="5"/>
      <c r="Y29" s="5"/>
    </row>
    <row r="30" spans="2:25" ht="22">
      <c r="I30" s="38"/>
      <c r="J30" s="38"/>
      <c r="M30" s="26" t="s">
        <v>54</v>
      </c>
      <c r="N30" s="25" t="s">
        <v>55</v>
      </c>
      <c r="O30" s="26"/>
      <c r="P30" s="26" t="s">
        <v>118</v>
      </c>
      <c r="Q30" s="26"/>
      <c r="R30" s="5"/>
      <c r="S30" s="5"/>
      <c r="T30" s="5"/>
      <c r="U30" s="5"/>
      <c r="V30" s="5"/>
      <c r="W30" s="5"/>
      <c r="X30" s="5"/>
      <c r="Y30" s="5"/>
    </row>
    <row r="31" spans="2:25" ht="44">
      <c r="I31" s="38"/>
      <c r="J31" s="38"/>
      <c r="M31" s="26" t="s">
        <v>54</v>
      </c>
      <c r="N31" s="25" t="s">
        <v>55</v>
      </c>
      <c r="O31" s="26"/>
      <c r="P31" s="26" t="s">
        <v>119</v>
      </c>
      <c r="Q31" s="26"/>
      <c r="R31" s="5"/>
      <c r="S31" s="5"/>
      <c r="T31" s="5"/>
      <c r="U31" s="5"/>
      <c r="V31" s="5"/>
      <c r="W31" s="5"/>
      <c r="X31" s="5"/>
      <c r="Y31" s="5"/>
    </row>
    <row r="32" spans="2:25" ht="33">
      <c r="I32" s="40"/>
      <c r="J32" s="40"/>
      <c r="M32" s="26" t="s">
        <v>54</v>
      </c>
      <c r="N32" s="25" t="s">
        <v>55</v>
      </c>
      <c r="O32" s="26"/>
      <c r="P32" s="26" t="s">
        <v>120</v>
      </c>
      <c r="Q32" s="26"/>
      <c r="R32" s="5"/>
      <c r="S32" s="5"/>
      <c r="T32" s="5"/>
      <c r="U32" s="5"/>
      <c r="V32" s="5"/>
      <c r="W32" s="5"/>
      <c r="X32" s="5"/>
      <c r="Y32" s="5"/>
    </row>
    <row r="33" spans="9:25" ht="33">
      <c r="I33" s="40"/>
      <c r="J33" s="40"/>
      <c r="M33" s="26" t="s">
        <v>54</v>
      </c>
      <c r="N33" s="25" t="s">
        <v>55</v>
      </c>
      <c r="O33" s="26"/>
      <c r="P33" s="26" t="s">
        <v>121</v>
      </c>
      <c r="Q33" s="26"/>
      <c r="R33" s="5"/>
      <c r="S33" s="5"/>
      <c r="T33" s="5"/>
      <c r="U33" s="5"/>
      <c r="V33" s="5"/>
      <c r="W33" s="5"/>
      <c r="X33" s="5"/>
      <c r="Y33" s="5"/>
    </row>
    <row r="34" spans="9:25" ht="55">
      <c r="I34" s="40"/>
      <c r="J34" s="40"/>
      <c r="M34" s="26" t="s">
        <v>54</v>
      </c>
      <c r="N34" s="25" t="s">
        <v>55</v>
      </c>
      <c r="O34" s="26"/>
      <c r="P34" s="26" t="s">
        <v>122</v>
      </c>
      <c r="Q34" s="26"/>
      <c r="R34" s="5"/>
      <c r="S34" s="5"/>
      <c r="T34" s="5"/>
      <c r="U34" s="5"/>
      <c r="V34" s="5"/>
      <c r="W34" s="5"/>
      <c r="X34" s="5"/>
      <c r="Y34" s="5"/>
    </row>
    <row r="35" spans="9:25" ht="22">
      <c r="I35" s="40"/>
      <c r="J35" s="40"/>
      <c r="M35" s="26" t="s">
        <v>54</v>
      </c>
      <c r="N35" s="25" t="s">
        <v>55</v>
      </c>
      <c r="O35" s="26"/>
      <c r="P35" s="26" t="s">
        <v>123</v>
      </c>
      <c r="Q35" s="26"/>
      <c r="R35" s="5"/>
      <c r="S35" s="5"/>
      <c r="T35" s="5"/>
      <c r="U35" s="5"/>
      <c r="V35" s="5"/>
      <c r="W35" s="5"/>
      <c r="X35" s="5"/>
      <c r="Y35" s="5"/>
    </row>
    <row r="36" spans="9:25" ht="22">
      <c r="I36" s="40"/>
      <c r="J36" s="40"/>
      <c r="M36" s="26" t="s">
        <v>54</v>
      </c>
      <c r="N36" s="25" t="s">
        <v>55</v>
      </c>
      <c r="O36" s="26"/>
      <c r="P36" s="26" t="s">
        <v>124</v>
      </c>
      <c r="Q36" s="26"/>
      <c r="R36" s="5"/>
      <c r="S36" s="5"/>
      <c r="T36" s="5"/>
      <c r="U36" s="5"/>
      <c r="V36" s="5"/>
      <c r="W36" s="5"/>
      <c r="X36" s="5"/>
      <c r="Y36" s="5"/>
    </row>
    <row r="37" spans="9:25" ht="22">
      <c r="I37" s="40"/>
      <c r="J37" s="40"/>
      <c r="M37" s="26" t="s">
        <v>54</v>
      </c>
      <c r="N37" s="25" t="s">
        <v>55</v>
      </c>
      <c r="O37" s="26"/>
      <c r="P37" s="26" t="s">
        <v>125</v>
      </c>
      <c r="Q37" s="26"/>
      <c r="R37" s="5"/>
      <c r="S37" s="5"/>
      <c r="T37" s="5"/>
      <c r="U37" s="5"/>
      <c r="V37" s="5"/>
      <c r="W37" s="5"/>
      <c r="X37" s="5"/>
      <c r="Y37" s="5"/>
    </row>
    <row r="38" spans="9:25" ht="44">
      <c r="I38" s="40"/>
      <c r="J38" s="40"/>
      <c r="M38" s="26" t="s">
        <v>54</v>
      </c>
      <c r="N38" s="25" t="s">
        <v>55</v>
      </c>
      <c r="O38" s="26"/>
      <c r="P38" s="26" t="s">
        <v>126</v>
      </c>
      <c r="Q38" s="26"/>
      <c r="R38" s="5"/>
      <c r="S38" s="5"/>
      <c r="T38" s="5"/>
      <c r="U38" s="5"/>
      <c r="V38" s="5"/>
      <c r="W38" s="5"/>
      <c r="X38" s="5"/>
      <c r="Y38" s="5"/>
    </row>
    <row r="39" spans="9:25" ht="22">
      <c r="I39" s="40"/>
      <c r="J39" s="40"/>
      <c r="M39" s="26" t="s">
        <v>54</v>
      </c>
      <c r="N39" s="25" t="s">
        <v>55</v>
      </c>
      <c r="O39" s="26"/>
      <c r="P39" s="26" t="s">
        <v>127</v>
      </c>
      <c r="Q39" s="26"/>
      <c r="R39" s="5"/>
      <c r="S39" s="5"/>
      <c r="T39" s="5"/>
      <c r="U39" s="5"/>
      <c r="V39" s="5"/>
      <c r="W39" s="5"/>
      <c r="X39" s="5"/>
      <c r="Y39" s="5"/>
    </row>
    <row r="40" spans="9:25" ht="22">
      <c r="I40" s="40"/>
      <c r="J40" s="40"/>
      <c r="M40" s="26" t="s">
        <v>54</v>
      </c>
      <c r="N40" s="25" t="s">
        <v>55</v>
      </c>
      <c r="O40" s="26"/>
      <c r="P40" s="26" t="s">
        <v>128</v>
      </c>
      <c r="Q40" s="26"/>
      <c r="R40" s="5"/>
      <c r="S40" s="5"/>
      <c r="T40" s="5"/>
      <c r="U40" s="5"/>
      <c r="V40" s="5"/>
      <c r="W40" s="5"/>
      <c r="X40" s="5"/>
      <c r="Y40" s="5"/>
    </row>
    <row r="41" spans="9:25" ht="22">
      <c r="I41" s="40"/>
      <c r="J41" s="40"/>
      <c r="M41" s="26" t="s">
        <v>54</v>
      </c>
      <c r="N41" s="25" t="s">
        <v>55</v>
      </c>
      <c r="O41" s="26"/>
      <c r="P41" s="26" t="s">
        <v>128</v>
      </c>
      <c r="Q41" s="26"/>
      <c r="R41" s="5"/>
      <c r="S41" s="5"/>
      <c r="T41" s="5"/>
      <c r="U41" s="5"/>
      <c r="V41" s="5"/>
      <c r="W41" s="5"/>
      <c r="X41" s="5"/>
      <c r="Y41" s="5"/>
    </row>
    <row r="42" spans="9:25" ht="22">
      <c r="I42" s="40"/>
      <c r="J42" s="40"/>
      <c r="M42" s="26" t="s">
        <v>54</v>
      </c>
      <c r="N42" s="25" t="s">
        <v>55</v>
      </c>
      <c r="O42" s="26"/>
      <c r="P42" s="26" t="s">
        <v>129</v>
      </c>
      <c r="Q42" s="26"/>
      <c r="R42" s="5"/>
      <c r="S42" s="5"/>
      <c r="T42" s="5"/>
      <c r="U42" s="5"/>
      <c r="V42" s="5"/>
      <c r="W42" s="5"/>
      <c r="X42" s="5"/>
      <c r="Y42" s="5"/>
    </row>
    <row r="43" spans="9:25" ht="22">
      <c r="I43" s="40"/>
      <c r="J43" s="40"/>
      <c r="M43" s="26" t="s">
        <v>54</v>
      </c>
      <c r="N43" s="25" t="s">
        <v>55</v>
      </c>
      <c r="O43" s="26"/>
      <c r="P43" s="26" t="s">
        <v>130</v>
      </c>
      <c r="Q43" s="26"/>
      <c r="R43" s="5"/>
      <c r="S43" s="5"/>
      <c r="T43" s="5"/>
      <c r="U43" s="5"/>
      <c r="V43" s="5"/>
      <c r="W43" s="5"/>
      <c r="X43" s="5"/>
      <c r="Y43" s="5"/>
    </row>
    <row r="44" spans="9:25" ht="22">
      <c r="I44" s="40"/>
      <c r="J44" s="40"/>
      <c r="M44" s="26" t="s">
        <v>54</v>
      </c>
      <c r="N44" s="25" t="s">
        <v>55</v>
      </c>
      <c r="O44" s="26"/>
      <c r="P44" s="26" t="s">
        <v>131</v>
      </c>
      <c r="Q44" s="26"/>
      <c r="R44" s="5"/>
      <c r="S44" s="5"/>
      <c r="T44" s="5"/>
      <c r="U44" s="5"/>
      <c r="V44" s="5"/>
      <c r="W44" s="5"/>
      <c r="X44" s="5"/>
      <c r="Y44" s="5"/>
    </row>
    <row r="45" spans="9:25" ht="33">
      <c r="I45" s="40"/>
      <c r="J45" s="40"/>
      <c r="M45" s="26" t="s">
        <v>54</v>
      </c>
      <c r="N45" s="25" t="s">
        <v>55</v>
      </c>
      <c r="O45" s="26"/>
      <c r="P45" s="26" t="s">
        <v>132</v>
      </c>
      <c r="Q45" s="26"/>
      <c r="R45" s="5"/>
      <c r="S45" s="5"/>
      <c r="T45" s="5"/>
      <c r="U45" s="5"/>
      <c r="V45" s="5"/>
      <c r="W45" s="5"/>
      <c r="X45" s="5"/>
      <c r="Y45" s="5"/>
    </row>
    <row r="46" spans="9:25" ht="33">
      <c r="I46" s="40"/>
      <c r="J46" s="40"/>
      <c r="M46" s="26" t="s">
        <v>54</v>
      </c>
      <c r="N46" s="25" t="s">
        <v>55</v>
      </c>
      <c r="O46" s="26"/>
      <c r="P46" s="26" t="s">
        <v>133</v>
      </c>
      <c r="Q46" s="26"/>
      <c r="R46" s="5"/>
      <c r="S46" s="5"/>
      <c r="T46" s="5"/>
      <c r="U46" s="5"/>
      <c r="V46" s="5"/>
      <c r="W46" s="5"/>
      <c r="X46" s="5"/>
      <c r="Y46" s="5"/>
    </row>
    <row r="47" spans="9:25" ht="22">
      <c r="I47" s="40"/>
      <c r="J47" s="40"/>
      <c r="M47" s="26" t="s">
        <v>54</v>
      </c>
      <c r="N47" s="25" t="s">
        <v>55</v>
      </c>
      <c r="O47" s="26"/>
      <c r="P47" s="26" t="s">
        <v>134</v>
      </c>
      <c r="Q47" s="26"/>
      <c r="R47" s="5"/>
      <c r="S47" s="5"/>
      <c r="T47" s="5"/>
      <c r="U47" s="5"/>
      <c r="V47" s="5"/>
      <c r="W47" s="5"/>
      <c r="X47" s="5"/>
      <c r="Y47" s="5"/>
    </row>
    <row r="48" spans="9:25" ht="22">
      <c r="I48" s="40"/>
      <c r="J48" s="40"/>
      <c r="M48" s="26" t="s">
        <v>54</v>
      </c>
      <c r="N48" s="25" t="s">
        <v>55</v>
      </c>
      <c r="O48" s="26"/>
      <c r="P48" s="26" t="s">
        <v>135</v>
      </c>
      <c r="Q48" s="26"/>
      <c r="R48" s="5"/>
      <c r="S48" s="5"/>
      <c r="T48" s="5"/>
      <c r="U48" s="5"/>
      <c r="V48" s="5"/>
      <c r="W48" s="5"/>
      <c r="X48" s="5"/>
      <c r="Y48" s="5"/>
    </row>
    <row r="49" spans="9:25" ht="33">
      <c r="I49" s="40"/>
      <c r="J49" s="40"/>
      <c r="M49" s="26" t="s">
        <v>54</v>
      </c>
      <c r="N49" s="25" t="s">
        <v>55</v>
      </c>
      <c r="O49" s="26"/>
      <c r="P49" s="26" t="s">
        <v>136</v>
      </c>
      <c r="Q49" s="26"/>
      <c r="R49" s="5"/>
      <c r="S49" s="5"/>
      <c r="T49" s="5"/>
      <c r="U49" s="5"/>
      <c r="V49" s="5"/>
      <c r="W49" s="5"/>
      <c r="X49" s="5"/>
      <c r="Y49" s="5"/>
    </row>
    <row r="50" spans="9:25" ht="44">
      <c r="M50" s="26" t="s">
        <v>54</v>
      </c>
      <c r="N50" s="25" t="s">
        <v>55</v>
      </c>
      <c r="O50" s="26"/>
      <c r="P50" s="26" t="s">
        <v>137</v>
      </c>
      <c r="Q50" s="26"/>
      <c r="R50" s="5"/>
      <c r="S50" s="5"/>
      <c r="T50" s="5"/>
      <c r="U50" s="5"/>
      <c r="V50" s="5"/>
      <c r="W50" s="5"/>
      <c r="X50" s="5"/>
      <c r="Y50" s="5"/>
    </row>
    <row r="51" spans="9:25" ht="22">
      <c r="M51" s="26" t="s">
        <v>54</v>
      </c>
      <c r="N51" s="25" t="s">
        <v>55</v>
      </c>
      <c r="O51" s="26"/>
      <c r="P51" s="26" t="s">
        <v>138</v>
      </c>
      <c r="Q51" s="26"/>
      <c r="R51" s="5"/>
      <c r="S51" s="5"/>
      <c r="T51" s="5"/>
      <c r="U51" s="5"/>
      <c r="V51" s="5"/>
      <c r="W51" s="5"/>
      <c r="X51" s="5"/>
      <c r="Y51" s="5"/>
    </row>
    <row r="52" spans="9:25" ht="22">
      <c r="M52" s="26" t="s">
        <v>54</v>
      </c>
      <c r="N52" s="25" t="s">
        <v>55</v>
      </c>
      <c r="O52" s="26"/>
      <c r="P52" s="26" t="s">
        <v>139</v>
      </c>
      <c r="Q52" s="26"/>
      <c r="R52" s="5"/>
      <c r="S52" s="5"/>
      <c r="T52" s="5"/>
      <c r="U52" s="5"/>
      <c r="V52" s="5"/>
      <c r="W52" s="5"/>
      <c r="X52" s="5"/>
      <c r="Y52" s="5"/>
    </row>
    <row r="53" spans="9:25" ht="22">
      <c r="M53" s="26" t="s">
        <v>54</v>
      </c>
      <c r="N53" s="25" t="s">
        <v>55</v>
      </c>
      <c r="O53" s="26"/>
      <c r="P53" s="26" t="s">
        <v>140</v>
      </c>
      <c r="Q53" s="26"/>
      <c r="R53" s="5"/>
      <c r="S53" s="5"/>
      <c r="T53" s="5"/>
      <c r="U53" s="5"/>
      <c r="V53" s="5"/>
      <c r="W53" s="5"/>
      <c r="X53" s="5"/>
      <c r="Y53" s="5"/>
    </row>
    <row r="54" spans="9:25" ht="44">
      <c r="M54" s="26" t="s">
        <v>54</v>
      </c>
      <c r="N54" s="25" t="s">
        <v>55</v>
      </c>
      <c r="O54" s="26"/>
      <c r="P54" s="26" t="s">
        <v>141</v>
      </c>
      <c r="Q54" s="26"/>
      <c r="R54" s="5"/>
      <c r="S54" s="5"/>
      <c r="T54" s="5"/>
      <c r="U54" s="5"/>
      <c r="V54" s="5"/>
      <c r="W54" s="5"/>
      <c r="X54" s="5"/>
      <c r="Y54" s="5"/>
    </row>
    <row r="55" spans="9:25" ht="44">
      <c r="M55" s="26" t="s">
        <v>54</v>
      </c>
      <c r="N55" s="25" t="s">
        <v>55</v>
      </c>
      <c r="O55" s="26"/>
      <c r="P55" s="26" t="s">
        <v>142</v>
      </c>
      <c r="Q55" s="26"/>
      <c r="R55" s="5"/>
      <c r="S55" s="5"/>
      <c r="T55" s="5"/>
      <c r="U55" s="5"/>
      <c r="V55" s="5"/>
      <c r="W55" s="5"/>
      <c r="X55" s="5"/>
      <c r="Y55" s="5"/>
    </row>
    <row r="56" spans="9:25" ht="33">
      <c r="M56" s="26" t="s">
        <v>54</v>
      </c>
      <c r="N56" s="25" t="s">
        <v>55</v>
      </c>
      <c r="O56" s="26"/>
      <c r="P56" s="26" t="s">
        <v>143</v>
      </c>
      <c r="Q56" s="26"/>
      <c r="R56" s="5"/>
      <c r="S56" s="5"/>
      <c r="T56" s="5"/>
      <c r="U56" s="5"/>
      <c r="V56" s="5"/>
      <c r="W56" s="5"/>
      <c r="X56" s="5"/>
      <c r="Y56" s="5"/>
    </row>
    <row r="57" spans="9:25" ht="33">
      <c r="M57" s="26" t="s">
        <v>54</v>
      </c>
      <c r="N57" s="25" t="s">
        <v>55</v>
      </c>
      <c r="O57" s="26"/>
      <c r="P57" s="26" t="s">
        <v>144</v>
      </c>
      <c r="Q57" s="26"/>
      <c r="R57" s="5"/>
      <c r="S57" s="5"/>
      <c r="T57" s="5"/>
      <c r="U57" s="5"/>
      <c r="V57" s="5"/>
      <c r="W57" s="5"/>
      <c r="X57" s="5"/>
      <c r="Y57" s="5"/>
    </row>
    <row r="58" spans="9:25" ht="33">
      <c r="M58" s="26" t="s">
        <v>54</v>
      </c>
      <c r="N58" s="25" t="s">
        <v>55</v>
      </c>
      <c r="O58" s="26"/>
      <c r="P58" s="26" t="s">
        <v>145</v>
      </c>
      <c r="Q58" s="26"/>
      <c r="R58" s="5"/>
      <c r="S58" s="5"/>
      <c r="T58" s="5"/>
      <c r="U58" s="5"/>
      <c r="V58" s="5"/>
      <c r="W58" s="5"/>
      <c r="X58" s="5"/>
      <c r="Y58" s="5"/>
    </row>
    <row r="59" spans="9:25" ht="33">
      <c r="M59" s="26" t="s">
        <v>54</v>
      </c>
      <c r="N59" s="25" t="s">
        <v>55</v>
      </c>
      <c r="O59" s="26"/>
      <c r="P59" s="26" t="s">
        <v>146</v>
      </c>
      <c r="Q59" s="26"/>
      <c r="R59" s="5"/>
      <c r="S59" s="5"/>
      <c r="T59" s="5"/>
      <c r="U59" s="5"/>
      <c r="V59" s="5"/>
      <c r="W59" s="5"/>
      <c r="X59" s="5"/>
      <c r="Y59" s="5"/>
    </row>
    <row r="60" spans="9:25" ht="33">
      <c r="M60" s="26" t="s">
        <v>54</v>
      </c>
      <c r="N60" s="25" t="s">
        <v>55</v>
      </c>
      <c r="O60" s="26"/>
      <c r="P60" s="26" t="s">
        <v>147</v>
      </c>
      <c r="Q60" s="26"/>
      <c r="R60" s="5"/>
      <c r="S60" s="5"/>
      <c r="T60" s="5"/>
      <c r="U60" s="5"/>
      <c r="V60" s="5"/>
      <c r="W60" s="5"/>
      <c r="X60" s="5"/>
      <c r="Y60" s="5"/>
    </row>
    <row r="61" spans="9:25" ht="22">
      <c r="M61" s="26" t="s">
        <v>54</v>
      </c>
      <c r="N61" s="25" t="s">
        <v>55</v>
      </c>
      <c r="O61" s="26"/>
      <c r="P61" s="26" t="s">
        <v>148</v>
      </c>
      <c r="Q61" s="26"/>
      <c r="R61" s="5"/>
      <c r="S61" s="5"/>
      <c r="T61" s="5"/>
      <c r="U61" s="5"/>
      <c r="V61" s="5"/>
      <c r="W61" s="5"/>
      <c r="X61" s="5"/>
      <c r="Y61" s="5"/>
    </row>
    <row r="62" spans="9:25" ht="22">
      <c r="M62" s="26" t="s">
        <v>54</v>
      </c>
      <c r="N62" s="25" t="s">
        <v>55</v>
      </c>
      <c r="O62" s="26"/>
      <c r="P62" s="26" t="s">
        <v>149</v>
      </c>
      <c r="Q62" s="26"/>
      <c r="R62" s="5"/>
      <c r="S62" s="5"/>
      <c r="T62" s="5"/>
      <c r="U62" s="5"/>
      <c r="V62" s="5"/>
      <c r="W62" s="5"/>
      <c r="X62" s="5"/>
      <c r="Y62" s="5"/>
    </row>
    <row r="63" spans="9:25" ht="33">
      <c r="M63" s="26" t="s">
        <v>54</v>
      </c>
      <c r="N63" s="25" t="s">
        <v>55</v>
      </c>
      <c r="O63" s="26"/>
      <c r="P63" s="26" t="s">
        <v>150</v>
      </c>
      <c r="Q63" s="26"/>
      <c r="R63" s="5"/>
      <c r="S63" s="5"/>
      <c r="T63" s="5"/>
      <c r="U63" s="5"/>
      <c r="V63" s="5"/>
      <c r="W63" s="5"/>
      <c r="X63" s="5"/>
      <c r="Y63" s="5"/>
    </row>
    <row r="64" spans="9:25" ht="33">
      <c r="M64" s="26" t="s">
        <v>54</v>
      </c>
      <c r="N64" s="25" t="s">
        <v>55</v>
      </c>
      <c r="O64" s="26"/>
      <c r="P64" s="26" t="s">
        <v>151</v>
      </c>
      <c r="Q64" s="26"/>
      <c r="R64" s="5"/>
      <c r="S64" s="5"/>
      <c r="T64" s="5"/>
      <c r="U64" s="5"/>
      <c r="V64" s="5"/>
      <c r="W64" s="5"/>
      <c r="X64" s="5"/>
      <c r="Y64" s="5"/>
    </row>
    <row r="65" spans="9:25" ht="33">
      <c r="M65" s="26" t="s">
        <v>54</v>
      </c>
      <c r="N65" s="25" t="s">
        <v>55</v>
      </c>
      <c r="O65" s="26"/>
      <c r="P65" s="26" t="s">
        <v>152</v>
      </c>
      <c r="Q65" s="26"/>
      <c r="R65" s="5"/>
      <c r="S65" s="5"/>
      <c r="T65" s="5"/>
      <c r="U65" s="5"/>
      <c r="V65" s="5"/>
      <c r="W65" s="5"/>
      <c r="X65" s="5"/>
      <c r="Y65" s="5"/>
    </row>
    <row r="66" spans="9:25" ht="22">
      <c r="M66" s="26" t="s">
        <v>54</v>
      </c>
      <c r="N66" s="25" t="s">
        <v>55</v>
      </c>
      <c r="O66" s="26"/>
      <c r="P66" s="26" t="s">
        <v>153</v>
      </c>
      <c r="Q66" s="26"/>
      <c r="R66" s="5"/>
      <c r="S66" s="5"/>
      <c r="T66" s="5"/>
      <c r="U66" s="5"/>
      <c r="V66" s="5"/>
      <c r="W66" s="5"/>
      <c r="X66" s="5"/>
      <c r="Y66" s="5"/>
    </row>
    <row r="67" spans="9:25" ht="44">
      <c r="M67" s="26" t="s">
        <v>54</v>
      </c>
      <c r="N67" s="25" t="s">
        <v>55</v>
      </c>
      <c r="O67" s="26"/>
      <c r="P67" s="26" t="s">
        <v>154</v>
      </c>
      <c r="Q67" s="26"/>
      <c r="R67" s="5"/>
      <c r="S67" s="5"/>
      <c r="T67" s="5"/>
      <c r="U67" s="5"/>
      <c r="V67" s="5"/>
      <c r="W67" s="5"/>
      <c r="X67" s="5"/>
      <c r="Y67" s="5"/>
    </row>
    <row r="68" spans="9:25" ht="22">
      <c r="M68" s="26" t="s">
        <v>54</v>
      </c>
      <c r="N68" s="25" t="s">
        <v>55</v>
      </c>
      <c r="O68" s="26"/>
      <c r="P68" s="26" t="s">
        <v>155</v>
      </c>
      <c r="Q68" s="26"/>
      <c r="R68" s="5"/>
      <c r="S68" s="5"/>
      <c r="T68" s="5"/>
      <c r="U68" s="5"/>
      <c r="V68" s="5"/>
      <c r="W68" s="5"/>
      <c r="X68" s="5"/>
      <c r="Y68" s="5"/>
    </row>
    <row r="69" spans="9:25" ht="33">
      <c r="M69" s="26" t="s">
        <v>54</v>
      </c>
      <c r="N69" s="25" t="s">
        <v>55</v>
      </c>
      <c r="O69" s="26"/>
      <c r="P69" s="26" t="s">
        <v>156</v>
      </c>
      <c r="Q69" s="26"/>
      <c r="R69" s="5"/>
      <c r="S69" s="5"/>
      <c r="T69" s="5"/>
      <c r="U69" s="5"/>
      <c r="V69" s="5"/>
      <c r="W69" s="5"/>
      <c r="X69" s="5"/>
      <c r="Y69" s="5"/>
    </row>
    <row r="70" spans="9:25" ht="33">
      <c r="M70" s="26" t="s">
        <v>54</v>
      </c>
      <c r="N70" s="25" t="s">
        <v>55</v>
      </c>
      <c r="O70" s="26"/>
      <c r="P70" s="26" t="s">
        <v>157</v>
      </c>
      <c r="Q70" s="26"/>
      <c r="R70" s="5"/>
      <c r="S70" s="5"/>
      <c r="T70" s="5"/>
      <c r="U70" s="5"/>
      <c r="V70" s="5"/>
      <c r="W70" s="5"/>
      <c r="X70" s="5"/>
      <c r="Y70" s="5"/>
    </row>
    <row r="71" spans="9:25" ht="44">
      <c r="M71" s="26" t="s">
        <v>54</v>
      </c>
      <c r="N71" s="25" t="s">
        <v>55</v>
      </c>
      <c r="O71" s="26"/>
      <c r="P71" s="26" t="s">
        <v>158</v>
      </c>
      <c r="Q71" s="26"/>
      <c r="R71" s="5"/>
      <c r="S71" s="5"/>
      <c r="T71" s="5"/>
      <c r="U71" s="5"/>
      <c r="V71" s="5"/>
      <c r="W71" s="5"/>
      <c r="X71" s="5"/>
      <c r="Y71" s="5"/>
    </row>
    <row r="72" spans="9:25" ht="44">
      <c r="M72" s="26" t="s">
        <v>54</v>
      </c>
      <c r="N72" s="25" t="s">
        <v>55</v>
      </c>
      <c r="O72" s="26"/>
      <c r="P72" s="26" t="s">
        <v>159</v>
      </c>
      <c r="Q72" s="26"/>
      <c r="R72" s="5"/>
      <c r="S72" s="5"/>
      <c r="T72" s="5"/>
      <c r="U72" s="5"/>
      <c r="V72" s="5"/>
      <c r="W72" s="5"/>
      <c r="X72" s="5"/>
      <c r="Y72" s="5"/>
    </row>
    <row r="73" spans="9:25" ht="44">
      <c r="I73" s="40"/>
      <c r="J73" s="40"/>
      <c r="M73" s="26" t="s">
        <v>54</v>
      </c>
      <c r="N73" s="25" t="s">
        <v>55</v>
      </c>
      <c r="O73" s="26"/>
      <c r="P73" s="26" t="s">
        <v>160</v>
      </c>
      <c r="Q73" s="26"/>
      <c r="R73" s="5"/>
      <c r="S73" s="5"/>
      <c r="T73" s="5"/>
      <c r="U73" s="5"/>
      <c r="V73" s="5"/>
      <c r="W73" s="5"/>
      <c r="X73" s="5"/>
      <c r="Y73" s="5"/>
    </row>
    <row r="74" spans="9:25" ht="44">
      <c r="I74" s="40"/>
      <c r="J74" s="40"/>
      <c r="M74" s="26" t="s">
        <v>54</v>
      </c>
      <c r="N74" s="25" t="s">
        <v>55</v>
      </c>
      <c r="O74" s="26"/>
      <c r="P74" s="26" t="s">
        <v>161</v>
      </c>
      <c r="Q74" s="26"/>
      <c r="R74" s="5"/>
      <c r="S74" s="5"/>
      <c r="T74" s="5"/>
      <c r="U74" s="5"/>
      <c r="V74" s="5"/>
      <c r="W74" s="5"/>
      <c r="X74" s="5"/>
      <c r="Y74" s="5"/>
    </row>
    <row r="75" spans="9:25" ht="44">
      <c r="I75" s="40"/>
      <c r="J75" s="40"/>
      <c r="M75" s="26" t="s">
        <v>54</v>
      </c>
      <c r="N75" s="25" t="s">
        <v>55</v>
      </c>
      <c r="O75" s="26"/>
      <c r="P75" s="26" t="s">
        <v>162</v>
      </c>
      <c r="Q75" s="26"/>
      <c r="R75" s="5"/>
      <c r="S75" s="5"/>
      <c r="T75" s="5"/>
      <c r="U75" s="5"/>
      <c r="V75" s="5"/>
      <c r="W75" s="5"/>
      <c r="X75" s="5"/>
      <c r="Y75" s="5"/>
    </row>
    <row r="76" spans="9:25" ht="44">
      <c r="I76" s="40"/>
      <c r="J76" s="40"/>
      <c r="M76" s="26" t="s">
        <v>54</v>
      </c>
      <c r="N76" s="25" t="s">
        <v>55</v>
      </c>
      <c r="O76" s="26"/>
      <c r="P76" s="26" t="s">
        <v>163</v>
      </c>
      <c r="Q76" s="26"/>
      <c r="R76" s="5"/>
      <c r="S76" s="5"/>
      <c r="T76" s="5"/>
      <c r="U76" s="5"/>
      <c r="V76" s="5"/>
      <c r="W76" s="5"/>
      <c r="X76" s="5"/>
      <c r="Y76" s="5"/>
    </row>
    <row r="77" spans="9:25" ht="22">
      <c r="I77" s="40"/>
      <c r="J77" s="40"/>
      <c r="M77" s="26" t="s">
        <v>54</v>
      </c>
      <c r="N77" s="25" t="s">
        <v>55</v>
      </c>
      <c r="O77" s="26"/>
      <c r="P77" s="26" t="s">
        <v>164</v>
      </c>
      <c r="Q77" s="26"/>
      <c r="R77" s="5"/>
      <c r="S77" s="5"/>
      <c r="T77" s="5"/>
      <c r="U77" s="5"/>
      <c r="V77" s="5"/>
      <c r="W77" s="5"/>
      <c r="X77" s="5"/>
      <c r="Y77" s="5"/>
    </row>
    <row r="78" spans="9:25" ht="22">
      <c r="I78" s="40"/>
      <c r="J78" s="40"/>
      <c r="M78" s="26" t="s">
        <v>54</v>
      </c>
      <c r="N78" s="25" t="s">
        <v>55</v>
      </c>
      <c r="O78" s="26"/>
      <c r="P78" s="26" t="s">
        <v>165</v>
      </c>
      <c r="Q78" s="26"/>
      <c r="R78" s="5"/>
      <c r="S78" s="5"/>
      <c r="T78" s="5"/>
      <c r="U78" s="5"/>
      <c r="V78" s="5"/>
      <c r="W78" s="5"/>
      <c r="X78" s="5"/>
      <c r="Y78" s="5"/>
    </row>
    <row r="79" spans="9:25" ht="22">
      <c r="I79" s="40"/>
      <c r="J79" s="40"/>
      <c r="M79" s="26" t="s">
        <v>54</v>
      </c>
      <c r="N79" s="25" t="s">
        <v>55</v>
      </c>
      <c r="O79" s="26"/>
      <c r="P79" s="26" t="s">
        <v>166</v>
      </c>
      <c r="Q79" s="26"/>
      <c r="R79" s="5"/>
      <c r="S79" s="5"/>
      <c r="T79" s="5"/>
      <c r="U79" s="5"/>
      <c r="V79" s="5"/>
      <c r="W79" s="5"/>
      <c r="X79" s="5"/>
      <c r="Y79" s="5"/>
    </row>
    <row r="80" spans="9:25" ht="22">
      <c r="I80" s="40"/>
      <c r="J80" s="40"/>
      <c r="M80" s="26" t="s">
        <v>54</v>
      </c>
      <c r="N80" s="25" t="s">
        <v>55</v>
      </c>
      <c r="O80" s="26"/>
      <c r="P80" s="26" t="s">
        <v>166</v>
      </c>
      <c r="Q80" s="26"/>
      <c r="R80" s="5"/>
      <c r="S80" s="5"/>
      <c r="T80" s="5"/>
      <c r="U80" s="5"/>
      <c r="V80" s="5"/>
      <c r="W80" s="5"/>
      <c r="X80" s="5"/>
      <c r="Y80" s="5"/>
    </row>
    <row r="81" spans="9:25" ht="22">
      <c r="I81" s="40"/>
      <c r="J81" s="40"/>
      <c r="M81" s="26" t="s">
        <v>54</v>
      </c>
      <c r="N81" s="25" t="s">
        <v>55</v>
      </c>
      <c r="O81" s="26"/>
      <c r="P81" s="26" t="s">
        <v>167</v>
      </c>
      <c r="Q81" s="26"/>
      <c r="R81" s="5"/>
      <c r="S81" s="5"/>
      <c r="T81" s="5"/>
      <c r="U81" s="5"/>
      <c r="V81" s="5"/>
      <c r="W81" s="5"/>
      <c r="X81" s="5"/>
      <c r="Y81" s="5"/>
    </row>
    <row r="82" spans="9:25" ht="22">
      <c r="I82" s="40"/>
      <c r="J82" s="40"/>
      <c r="M82" s="26" t="s">
        <v>54</v>
      </c>
      <c r="N82" s="25" t="s">
        <v>55</v>
      </c>
      <c r="O82" s="26"/>
      <c r="P82" s="26" t="s">
        <v>168</v>
      </c>
      <c r="Q82" s="26"/>
      <c r="R82" s="5"/>
      <c r="S82" s="5"/>
      <c r="T82" s="5"/>
      <c r="U82" s="5"/>
      <c r="V82" s="5"/>
      <c r="W82" s="5"/>
      <c r="X82" s="5"/>
      <c r="Y82" s="5"/>
    </row>
    <row r="83" spans="9:25" ht="22">
      <c r="I83" s="40"/>
      <c r="J83" s="40"/>
      <c r="M83" s="26" t="s">
        <v>54</v>
      </c>
      <c r="N83" s="25" t="s">
        <v>55</v>
      </c>
      <c r="O83" s="26"/>
      <c r="P83" s="26" t="s">
        <v>169</v>
      </c>
      <c r="Q83" s="26"/>
      <c r="R83" s="5"/>
      <c r="S83" s="5"/>
      <c r="T83" s="5"/>
      <c r="U83" s="5"/>
      <c r="V83" s="5"/>
      <c r="W83" s="5"/>
      <c r="X83" s="5"/>
      <c r="Y83" s="5"/>
    </row>
    <row r="84" spans="9:25" ht="22">
      <c r="I84" s="40"/>
      <c r="J84" s="40"/>
      <c r="M84" s="26" t="s">
        <v>54</v>
      </c>
      <c r="N84" s="25" t="s">
        <v>55</v>
      </c>
      <c r="O84" s="26"/>
      <c r="P84" s="26" t="s">
        <v>170</v>
      </c>
      <c r="Q84" s="26"/>
      <c r="R84" s="5"/>
      <c r="S84" s="5"/>
      <c r="T84" s="5"/>
      <c r="U84" s="5"/>
      <c r="V84" s="5"/>
      <c r="W84" s="5"/>
      <c r="X84" s="5"/>
      <c r="Y84" s="5"/>
    </row>
    <row r="85" spans="9:25" ht="66">
      <c r="I85" s="40"/>
      <c r="J85" s="40"/>
      <c r="M85" s="26" t="s">
        <v>54</v>
      </c>
      <c r="N85" s="25" t="s">
        <v>51</v>
      </c>
      <c r="O85" s="26"/>
      <c r="P85" s="26" t="s">
        <v>171</v>
      </c>
      <c r="Q85" s="26"/>
      <c r="R85" s="5"/>
      <c r="S85" s="5"/>
      <c r="T85" s="5"/>
      <c r="U85" s="5"/>
      <c r="V85" s="5"/>
      <c r="W85" s="5"/>
      <c r="X85" s="5"/>
      <c r="Y85" s="5"/>
    </row>
    <row r="86" spans="9:25" ht="66">
      <c r="I86" s="40"/>
      <c r="J86" s="40"/>
      <c r="M86" s="26" t="s">
        <v>54</v>
      </c>
      <c r="N86" s="25" t="s">
        <v>51</v>
      </c>
      <c r="O86" s="26"/>
      <c r="P86" s="26" t="s">
        <v>172</v>
      </c>
      <c r="Q86" s="26"/>
      <c r="R86" s="5"/>
      <c r="S86" s="5"/>
      <c r="T86" s="5"/>
      <c r="U86" s="5"/>
      <c r="V86" s="5"/>
      <c r="W86" s="5"/>
      <c r="X86" s="5"/>
      <c r="Y86" s="5"/>
    </row>
    <row r="87" spans="9:25" ht="33">
      <c r="I87" s="40"/>
      <c r="J87" s="40"/>
      <c r="M87" s="26" t="s">
        <v>54</v>
      </c>
      <c r="N87" s="25" t="s">
        <v>51</v>
      </c>
      <c r="O87" s="26"/>
      <c r="P87" s="26" t="s">
        <v>173</v>
      </c>
      <c r="Q87" s="26"/>
      <c r="R87" s="5"/>
      <c r="S87" s="5"/>
      <c r="T87" s="5"/>
      <c r="U87" s="5"/>
      <c r="V87" s="5"/>
      <c r="W87" s="5"/>
      <c r="X87" s="5"/>
      <c r="Y87" s="5"/>
    </row>
    <row r="88" spans="9:25" ht="33">
      <c r="I88" s="40"/>
      <c r="J88" s="40"/>
      <c r="M88" s="26" t="s">
        <v>54</v>
      </c>
      <c r="N88" s="25" t="s">
        <v>51</v>
      </c>
      <c r="O88" s="26"/>
      <c r="P88" s="26" t="s">
        <v>174</v>
      </c>
      <c r="Q88" s="26"/>
      <c r="R88" s="5"/>
      <c r="S88" s="5"/>
      <c r="T88" s="5"/>
      <c r="U88" s="5"/>
      <c r="V88" s="5"/>
      <c r="W88" s="5"/>
      <c r="X88" s="5"/>
      <c r="Y88" s="5"/>
    </row>
    <row r="89" spans="9:25" ht="33">
      <c r="I89" s="40"/>
      <c r="J89" s="40"/>
      <c r="M89" s="26" t="s">
        <v>54</v>
      </c>
      <c r="N89" s="25" t="s">
        <v>51</v>
      </c>
      <c r="O89" s="26"/>
      <c r="P89" s="26" t="s">
        <v>175</v>
      </c>
      <c r="Q89" s="26"/>
      <c r="R89" s="5"/>
      <c r="S89" s="5"/>
      <c r="T89" s="5"/>
      <c r="U89" s="5"/>
      <c r="V89" s="5"/>
      <c r="W89" s="5"/>
      <c r="X89" s="5"/>
      <c r="Y89" s="5"/>
    </row>
    <row r="90" spans="9:25" ht="44">
      <c r="I90" s="40"/>
      <c r="J90" s="40"/>
      <c r="M90" s="26" t="s">
        <v>54</v>
      </c>
      <c r="N90" s="25" t="s">
        <v>51</v>
      </c>
      <c r="O90" s="26"/>
      <c r="P90" s="26" t="s">
        <v>176</v>
      </c>
      <c r="Q90" s="26"/>
      <c r="R90" s="5"/>
      <c r="S90" s="5"/>
      <c r="T90" s="5"/>
      <c r="U90" s="5"/>
      <c r="V90" s="5"/>
      <c r="W90" s="5"/>
      <c r="X90" s="5"/>
      <c r="Y90" s="5"/>
    </row>
    <row r="91" spans="9:25" ht="22">
      <c r="I91" s="40"/>
      <c r="J91" s="40"/>
      <c r="M91" s="26" t="s">
        <v>54</v>
      </c>
      <c r="N91" s="25" t="s">
        <v>51</v>
      </c>
      <c r="O91" s="26"/>
      <c r="P91" s="26" t="s">
        <v>177</v>
      </c>
      <c r="Q91" s="26"/>
      <c r="R91" s="5"/>
      <c r="S91" s="5"/>
      <c r="T91" s="5"/>
      <c r="U91" s="5"/>
      <c r="V91" s="5"/>
      <c r="W91" s="5"/>
      <c r="X91" s="5"/>
      <c r="Y91" s="5"/>
    </row>
    <row r="92" spans="9:25" ht="22">
      <c r="I92" s="40"/>
      <c r="J92" s="40"/>
      <c r="M92" s="26" t="s">
        <v>54</v>
      </c>
      <c r="N92" s="25" t="s">
        <v>51</v>
      </c>
      <c r="O92" s="26"/>
      <c r="P92" s="26" t="s">
        <v>178</v>
      </c>
      <c r="Q92" s="26"/>
      <c r="R92" s="5"/>
      <c r="S92" s="5"/>
      <c r="T92" s="5"/>
      <c r="U92" s="5"/>
      <c r="V92" s="5"/>
      <c r="W92" s="5"/>
      <c r="X92" s="5"/>
      <c r="Y92" s="5"/>
    </row>
    <row r="93" spans="9:25" ht="33">
      <c r="I93" s="40"/>
      <c r="J93" s="40"/>
      <c r="M93" s="26" t="s">
        <v>54</v>
      </c>
      <c r="N93" s="25" t="s">
        <v>51</v>
      </c>
      <c r="O93" s="26"/>
      <c r="P93" s="26" t="s">
        <v>179</v>
      </c>
      <c r="Q93" s="26"/>
      <c r="R93" s="5"/>
      <c r="S93" s="5"/>
      <c r="T93" s="5"/>
      <c r="U93" s="5"/>
      <c r="V93" s="5"/>
      <c r="W93" s="5"/>
      <c r="X93" s="5"/>
      <c r="Y93" s="5"/>
    </row>
    <row r="94" spans="9:25" ht="33">
      <c r="I94" s="40"/>
      <c r="J94" s="40"/>
      <c r="M94" s="26" t="s">
        <v>54</v>
      </c>
      <c r="N94" s="25" t="s">
        <v>51</v>
      </c>
      <c r="O94" s="26"/>
      <c r="P94" s="26" t="s">
        <v>180</v>
      </c>
      <c r="Q94" s="26"/>
      <c r="R94" s="5"/>
      <c r="S94" s="5"/>
      <c r="T94" s="5"/>
      <c r="U94" s="5"/>
      <c r="V94" s="5"/>
      <c r="W94" s="5"/>
      <c r="X94" s="5"/>
      <c r="Y94" s="5"/>
    </row>
    <row r="95" spans="9:25" ht="33">
      <c r="I95" s="40"/>
      <c r="J95" s="40"/>
      <c r="M95" s="26" t="s">
        <v>54</v>
      </c>
      <c r="N95" s="25" t="s">
        <v>51</v>
      </c>
      <c r="O95" s="26"/>
      <c r="P95" s="26" t="s">
        <v>181</v>
      </c>
      <c r="Q95" s="26"/>
      <c r="R95" s="5"/>
      <c r="S95" s="5"/>
      <c r="T95" s="5"/>
      <c r="U95" s="5"/>
      <c r="V95" s="5"/>
      <c r="W95" s="5"/>
      <c r="X95" s="5"/>
      <c r="Y95" s="5"/>
    </row>
    <row r="96" spans="9:25" ht="22">
      <c r="I96" s="40"/>
      <c r="J96" s="40"/>
      <c r="M96" s="26" t="s">
        <v>54</v>
      </c>
      <c r="N96" s="25" t="s">
        <v>51</v>
      </c>
      <c r="O96" s="26"/>
      <c r="P96" s="26" t="s">
        <v>182</v>
      </c>
      <c r="Q96" s="26"/>
      <c r="R96" s="5"/>
      <c r="S96" s="5"/>
      <c r="T96" s="5"/>
      <c r="U96" s="5"/>
      <c r="V96" s="5"/>
      <c r="W96" s="5"/>
      <c r="X96" s="5"/>
      <c r="Y96" s="5"/>
    </row>
    <row r="97" spans="9:25" ht="22">
      <c r="I97" s="40"/>
      <c r="J97" s="40"/>
      <c r="M97" s="26" t="s">
        <v>54</v>
      </c>
      <c r="N97" s="25" t="s">
        <v>51</v>
      </c>
      <c r="O97" s="26"/>
      <c r="P97" s="26" t="s">
        <v>183</v>
      </c>
      <c r="Q97" s="26"/>
      <c r="R97" s="5"/>
      <c r="S97" s="5"/>
      <c r="T97" s="5"/>
      <c r="U97" s="5"/>
      <c r="V97" s="5"/>
      <c r="W97" s="5"/>
      <c r="X97" s="5"/>
      <c r="Y97" s="5"/>
    </row>
    <row r="98" spans="9:25" ht="22">
      <c r="I98" s="40"/>
      <c r="J98" s="40"/>
      <c r="M98" s="26" t="s">
        <v>54</v>
      </c>
      <c r="N98" s="25" t="s">
        <v>51</v>
      </c>
      <c r="O98" s="26"/>
      <c r="P98" s="26" t="s">
        <v>184</v>
      </c>
      <c r="Q98" s="26"/>
      <c r="R98" s="5"/>
      <c r="S98" s="5"/>
      <c r="T98" s="5"/>
      <c r="U98" s="5"/>
      <c r="V98" s="5"/>
      <c r="W98" s="5"/>
      <c r="X98" s="5"/>
      <c r="Y98" s="5"/>
    </row>
    <row r="99" spans="9:25" ht="22">
      <c r="M99" s="26" t="s">
        <v>54</v>
      </c>
      <c r="N99" s="25" t="s">
        <v>51</v>
      </c>
      <c r="O99" s="26"/>
      <c r="P99" s="26" t="s">
        <v>185</v>
      </c>
      <c r="Q99" s="26"/>
      <c r="R99" s="5"/>
      <c r="S99" s="5"/>
      <c r="T99" s="5"/>
      <c r="U99" s="5"/>
      <c r="V99" s="5"/>
      <c r="W99" s="5"/>
      <c r="X99" s="5"/>
      <c r="Y99" s="5"/>
    </row>
    <row r="100" spans="9:25" ht="22">
      <c r="M100" s="26" t="s">
        <v>54</v>
      </c>
      <c r="N100" s="25" t="s">
        <v>51</v>
      </c>
      <c r="O100" s="26"/>
      <c r="P100" s="26" t="s">
        <v>186</v>
      </c>
      <c r="Q100" s="26"/>
      <c r="R100" s="5"/>
      <c r="S100" s="5"/>
      <c r="T100" s="5"/>
      <c r="U100" s="5"/>
      <c r="V100" s="5"/>
      <c r="W100" s="5"/>
      <c r="X100" s="5"/>
      <c r="Y100" s="5"/>
    </row>
    <row r="101" spans="9:25" ht="22">
      <c r="I101" s="40"/>
      <c r="J101" s="40"/>
      <c r="M101" s="26" t="s">
        <v>54</v>
      </c>
      <c r="N101" s="25" t="s">
        <v>51</v>
      </c>
      <c r="O101" s="26"/>
      <c r="P101" s="26" t="s">
        <v>187</v>
      </c>
      <c r="Q101" s="26"/>
      <c r="R101" s="5"/>
      <c r="S101" s="5"/>
      <c r="T101" s="5"/>
      <c r="U101" s="5"/>
      <c r="V101" s="5"/>
      <c r="W101" s="5"/>
      <c r="X101" s="5"/>
      <c r="Y101" s="5"/>
    </row>
    <row r="102" spans="9:25" ht="22">
      <c r="I102" s="40"/>
      <c r="J102" s="40"/>
      <c r="M102" s="26" t="s">
        <v>54</v>
      </c>
      <c r="N102" s="25" t="s">
        <v>51</v>
      </c>
      <c r="O102" s="26"/>
      <c r="P102" s="26" t="s">
        <v>188</v>
      </c>
      <c r="Q102" s="26"/>
      <c r="R102" s="5"/>
      <c r="S102" s="5"/>
      <c r="T102" s="5"/>
      <c r="U102" s="5"/>
      <c r="V102" s="5"/>
      <c r="W102" s="5"/>
      <c r="X102" s="5"/>
      <c r="Y102" s="5"/>
    </row>
    <row r="103" spans="9:25" ht="22">
      <c r="I103" s="40"/>
      <c r="J103" s="40"/>
      <c r="M103" s="26" t="s">
        <v>54</v>
      </c>
      <c r="N103" s="25" t="s">
        <v>51</v>
      </c>
      <c r="O103" s="26"/>
      <c r="P103" s="26" t="s">
        <v>189</v>
      </c>
      <c r="Q103" s="26"/>
      <c r="R103" s="5"/>
      <c r="S103" s="5"/>
      <c r="T103" s="5"/>
      <c r="U103" s="5"/>
      <c r="V103" s="5"/>
      <c r="W103" s="5"/>
      <c r="X103" s="5"/>
      <c r="Y103" s="5"/>
    </row>
    <row r="104" spans="9:25" ht="44">
      <c r="I104" s="40"/>
      <c r="J104" s="40"/>
      <c r="M104" s="26" t="s">
        <v>54</v>
      </c>
      <c r="N104" s="25" t="s">
        <v>51</v>
      </c>
      <c r="O104" s="26"/>
      <c r="P104" s="26" t="s">
        <v>190</v>
      </c>
      <c r="Q104" s="26"/>
      <c r="R104" s="5"/>
      <c r="S104" s="5"/>
      <c r="T104" s="5"/>
      <c r="U104" s="5"/>
      <c r="V104" s="5"/>
      <c r="W104" s="5"/>
      <c r="X104" s="5"/>
      <c r="Y104" s="5"/>
    </row>
    <row r="105" spans="9:25" ht="33">
      <c r="I105" s="40"/>
      <c r="J105" s="40"/>
      <c r="M105" s="26" t="s">
        <v>54</v>
      </c>
      <c r="N105" s="25" t="s">
        <v>51</v>
      </c>
      <c r="O105" s="26"/>
      <c r="P105" s="26" t="s">
        <v>179</v>
      </c>
      <c r="Q105" s="26"/>
      <c r="R105" s="5"/>
      <c r="S105" s="5"/>
      <c r="T105" s="5"/>
      <c r="U105" s="5"/>
      <c r="V105" s="5"/>
      <c r="W105" s="5"/>
      <c r="X105" s="5"/>
      <c r="Y105" s="5"/>
    </row>
    <row r="106" spans="9:25" ht="22">
      <c r="I106" s="40"/>
      <c r="J106" s="40"/>
      <c r="M106" s="26" t="s">
        <v>54</v>
      </c>
      <c r="N106" s="25" t="s">
        <v>51</v>
      </c>
      <c r="O106" s="26"/>
      <c r="P106" s="26" t="s">
        <v>191</v>
      </c>
      <c r="Q106" s="26"/>
      <c r="R106" s="5"/>
      <c r="S106" s="5"/>
      <c r="T106" s="5"/>
      <c r="U106" s="5"/>
      <c r="V106" s="5"/>
      <c r="W106" s="5"/>
      <c r="X106" s="5"/>
      <c r="Y106" s="5"/>
    </row>
    <row r="107" spans="9:25" ht="33">
      <c r="I107" s="40"/>
      <c r="J107" s="40"/>
      <c r="M107" s="26" t="s">
        <v>54</v>
      </c>
      <c r="N107" s="25" t="s">
        <v>70</v>
      </c>
      <c r="O107" s="26"/>
      <c r="P107" s="26" t="s">
        <v>192</v>
      </c>
      <c r="Q107" s="26"/>
      <c r="R107" s="5"/>
      <c r="S107" s="5"/>
      <c r="T107" s="5"/>
      <c r="U107" s="5"/>
      <c r="V107" s="5"/>
      <c r="W107" s="5"/>
      <c r="X107" s="5"/>
      <c r="Y107" s="5"/>
    </row>
    <row r="108" spans="9:25" ht="66">
      <c r="I108" s="40"/>
      <c r="J108" s="40"/>
      <c r="M108" s="26" t="s">
        <v>54</v>
      </c>
      <c r="N108" s="25" t="s">
        <v>70</v>
      </c>
      <c r="O108" s="26"/>
      <c r="P108" s="26" t="s">
        <v>193</v>
      </c>
      <c r="Q108" s="26"/>
      <c r="R108" s="5"/>
      <c r="S108" s="5"/>
      <c r="T108" s="5"/>
      <c r="U108" s="5"/>
      <c r="V108" s="5"/>
      <c r="W108" s="5"/>
      <c r="X108" s="5"/>
      <c r="Y108" s="5"/>
    </row>
    <row r="109" spans="9:25" ht="44">
      <c r="I109" s="40"/>
      <c r="J109" s="40"/>
      <c r="M109" s="26" t="s">
        <v>54</v>
      </c>
      <c r="N109" s="25" t="s">
        <v>57</v>
      </c>
      <c r="O109" s="26"/>
      <c r="P109" s="26" t="s">
        <v>194</v>
      </c>
      <c r="Q109" s="26"/>
      <c r="R109" s="5"/>
      <c r="S109" s="5"/>
      <c r="T109" s="5"/>
      <c r="U109" s="5"/>
      <c r="V109" s="5"/>
      <c r="W109" s="5"/>
      <c r="X109" s="5"/>
      <c r="Y109" s="5"/>
    </row>
    <row r="110" spans="9:25" ht="22">
      <c r="I110" s="40"/>
      <c r="J110" s="40"/>
      <c r="M110" s="26" t="s">
        <v>54</v>
      </c>
      <c r="N110" s="25" t="s">
        <v>51</v>
      </c>
      <c r="O110" s="26" t="s">
        <v>195</v>
      </c>
      <c r="P110" s="26"/>
      <c r="Q110" s="26"/>
      <c r="R110" s="5"/>
      <c r="S110" s="5"/>
      <c r="T110" s="5"/>
      <c r="U110" s="5"/>
      <c r="V110" s="5"/>
      <c r="W110" s="5"/>
      <c r="X110" s="5"/>
      <c r="Y110" s="5"/>
    </row>
    <row r="111" spans="9:25" ht="22">
      <c r="I111" s="40"/>
      <c r="J111" s="40"/>
      <c r="M111" s="26" t="s">
        <v>54</v>
      </c>
      <c r="N111" s="25" t="s">
        <v>55</v>
      </c>
      <c r="O111" s="26"/>
      <c r="P111" s="26" t="s">
        <v>196</v>
      </c>
      <c r="Q111" s="26"/>
      <c r="R111" s="5"/>
      <c r="S111" s="5"/>
      <c r="T111" s="5"/>
      <c r="U111" s="5"/>
      <c r="V111" s="5"/>
      <c r="W111" s="5"/>
      <c r="X111" s="5"/>
      <c r="Y111" s="5"/>
    </row>
    <row r="112" spans="9:25" ht="44">
      <c r="I112" s="40"/>
      <c r="J112" s="40"/>
      <c r="M112" s="26" t="s">
        <v>54</v>
      </c>
      <c r="N112" s="25" t="s">
        <v>55</v>
      </c>
      <c r="O112" s="26"/>
      <c r="P112" s="26" t="s">
        <v>197</v>
      </c>
      <c r="Q112" s="26"/>
      <c r="R112" s="5"/>
      <c r="S112" s="5"/>
      <c r="T112" s="5"/>
      <c r="U112" s="5"/>
      <c r="V112" s="5"/>
      <c r="W112" s="5"/>
      <c r="X112" s="5"/>
      <c r="Y112" s="5"/>
    </row>
    <row r="113" spans="9:25" ht="44">
      <c r="I113" s="40"/>
      <c r="J113" s="40"/>
      <c r="M113" s="26" t="s">
        <v>54</v>
      </c>
      <c r="N113" s="25" t="s">
        <v>55</v>
      </c>
      <c r="O113" s="26"/>
      <c r="P113" s="26" t="s">
        <v>198</v>
      </c>
      <c r="Q113" s="26"/>
      <c r="R113" s="5"/>
      <c r="S113" s="5"/>
      <c r="T113" s="5"/>
      <c r="U113" s="5"/>
      <c r="V113" s="5"/>
      <c r="W113" s="5"/>
      <c r="X113" s="5"/>
      <c r="Y113" s="5"/>
    </row>
    <row r="114" spans="9:25" ht="44">
      <c r="I114" s="40"/>
      <c r="J114" s="40"/>
      <c r="M114" s="26" t="s">
        <v>54</v>
      </c>
      <c r="N114" s="25" t="s">
        <v>55</v>
      </c>
      <c r="O114" s="26"/>
      <c r="P114" s="26" t="s">
        <v>199</v>
      </c>
      <c r="Q114" s="26"/>
      <c r="R114" s="5"/>
      <c r="S114" s="5"/>
      <c r="T114" s="5"/>
      <c r="U114" s="5"/>
      <c r="V114" s="5"/>
      <c r="W114" s="5"/>
      <c r="X114" s="5"/>
      <c r="Y114" s="5"/>
    </row>
    <row r="115" spans="9:25" ht="22">
      <c r="I115" s="40"/>
      <c r="J115" s="40"/>
      <c r="M115" s="26" t="s">
        <v>54</v>
      </c>
      <c r="N115" s="25" t="s">
        <v>55</v>
      </c>
      <c r="O115" s="26"/>
      <c r="P115" s="26" t="s">
        <v>200</v>
      </c>
      <c r="Q115" s="26"/>
      <c r="R115" s="5"/>
      <c r="S115" s="5"/>
      <c r="T115" s="5"/>
      <c r="U115" s="5"/>
      <c r="V115" s="5"/>
      <c r="W115" s="5"/>
      <c r="X115" s="5"/>
      <c r="Y115" s="5"/>
    </row>
    <row r="116" spans="9:25" ht="22">
      <c r="I116" s="40"/>
      <c r="J116" s="40"/>
      <c r="M116" s="26" t="s">
        <v>54</v>
      </c>
      <c r="N116" s="25" t="s">
        <v>51</v>
      </c>
      <c r="O116" s="26" t="s">
        <v>201</v>
      </c>
      <c r="P116" s="26"/>
      <c r="Q116" s="26"/>
      <c r="R116" s="5"/>
      <c r="S116" s="5"/>
      <c r="T116" s="5"/>
      <c r="U116" s="5"/>
      <c r="V116" s="5"/>
      <c r="W116" s="5"/>
      <c r="X116" s="5"/>
      <c r="Y116" s="5"/>
    </row>
    <row r="117" spans="9:25" ht="44">
      <c r="I117" s="40"/>
      <c r="J117" s="40"/>
      <c r="M117" s="26" t="s">
        <v>54</v>
      </c>
      <c r="N117" s="25" t="s">
        <v>55</v>
      </c>
      <c r="O117" s="26"/>
      <c r="P117" s="26" t="s">
        <v>197</v>
      </c>
      <c r="Q117" s="26"/>
      <c r="R117" s="5"/>
      <c r="S117" s="5"/>
      <c r="T117" s="5"/>
      <c r="U117" s="5"/>
      <c r="V117" s="5"/>
      <c r="W117" s="5"/>
      <c r="X117" s="5"/>
      <c r="Y117" s="5"/>
    </row>
    <row r="118" spans="9:25" ht="44">
      <c r="I118" s="40"/>
      <c r="J118" s="40"/>
      <c r="M118" s="26" t="s">
        <v>54</v>
      </c>
      <c r="N118" s="25" t="s">
        <v>55</v>
      </c>
      <c r="O118" s="26"/>
      <c r="P118" s="26" t="s">
        <v>202</v>
      </c>
      <c r="Q118" s="26"/>
      <c r="R118" s="5"/>
      <c r="S118" s="5"/>
      <c r="T118" s="5"/>
      <c r="U118" s="5"/>
      <c r="V118" s="5"/>
      <c r="W118" s="5"/>
      <c r="X118" s="5"/>
      <c r="Y118" s="5"/>
    </row>
    <row r="119" spans="9:25" ht="66">
      <c r="I119" s="40"/>
      <c r="J119" s="40"/>
      <c r="M119" s="26" t="s">
        <v>54</v>
      </c>
      <c r="N119" s="25" t="s">
        <v>51</v>
      </c>
      <c r="O119" s="26"/>
      <c r="P119" s="26" t="s">
        <v>203</v>
      </c>
      <c r="Q119" s="26"/>
      <c r="R119" s="5"/>
      <c r="S119" s="5"/>
      <c r="T119" s="5"/>
      <c r="U119" s="5"/>
      <c r="V119" s="5"/>
      <c r="W119" s="5"/>
      <c r="X119" s="5"/>
      <c r="Y119" s="5"/>
    </row>
    <row r="120" spans="9:25" ht="44">
      <c r="I120" s="40"/>
      <c r="J120" s="40"/>
      <c r="M120" s="26" t="s">
        <v>54</v>
      </c>
      <c r="N120" s="25" t="s">
        <v>55</v>
      </c>
      <c r="O120" s="26"/>
      <c r="P120" s="26" t="s">
        <v>204</v>
      </c>
      <c r="Q120" s="26"/>
      <c r="R120" s="5"/>
      <c r="S120" s="5"/>
      <c r="T120" s="5"/>
      <c r="U120" s="5"/>
      <c r="V120" s="5"/>
      <c r="W120" s="5"/>
      <c r="X120" s="5"/>
      <c r="Y120" s="5"/>
    </row>
    <row r="121" spans="9:25" ht="22">
      <c r="I121" s="40"/>
      <c r="J121" s="40"/>
      <c r="M121" s="26" t="s">
        <v>54</v>
      </c>
      <c r="N121" s="25" t="s">
        <v>51</v>
      </c>
      <c r="O121" s="26" t="s">
        <v>205</v>
      </c>
      <c r="P121" s="26"/>
      <c r="Q121" s="26"/>
      <c r="R121" s="5"/>
      <c r="S121" s="5"/>
      <c r="T121" s="5"/>
      <c r="U121" s="5"/>
      <c r="V121" s="5"/>
      <c r="W121" s="5"/>
      <c r="X121" s="5"/>
      <c r="Y121" s="5"/>
    </row>
    <row r="122" spans="9:25" ht="22">
      <c r="I122" s="40"/>
      <c r="J122" s="40"/>
      <c r="M122" s="26" t="s">
        <v>54</v>
      </c>
      <c r="N122" s="25" t="s">
        <v>51</v>
      </c>
      <c r="O122" s="26" t="s">
        <v>206</v>
      </c>
      <c r="P122" s="26"/>
      <c r="Q122" s="26"/>
      <c r="R122" s="5"/>
      <c r="S122" s="5"/>
      <c r="T122" s="5"/>
      <c r="U122" s="5"/>
      <c r="V122" s="5"/>
      <c r="W122" s="5"/>
      <c r="X122" s="5"/>
      <c r="Y122" s="5"/>
    </row>
    <row r="123" spans="9:25" ht="22">
      <c r="I123" s="40"/>
      <c r="J123" s="40"/>
      <c r="M123" s="26" t="s">
        <v>54</v>
      </c>
      <c r="N123" s="25" t="s">
        <v>51</v>
      </c>
      <c r="O123" s="26" t="s">
        <v>207</v>
      </c>
      <c r="P123" s="26"/>
      <c r="Q123" s="26"/>
      <c r="R123" s="5"/>
      <c r="S123" s="5"/>
      <c r="T123" s="5"/>
      <c r="U123" s="5"/>
      <c r="V123" s="5"/>
      <c r="W123" s="5"/>
      <c r="X123" s="5"/>
      <c r="Y123" s="5"/>
    </row>
    <row r="124" spans="9:25" ht="22">
      <c r="I124" s="40"/>
      <c r="J124" s="40"/>
      <c r="M124" s="26" t="s">
        <v>54</v>
      </c>
      <c r="N124" s="25" t="s">
        <v>55</v>
      </c>
      <c r="O124" s="26"/>
      <c r="P124" s="26" t="s">
        <v>208</v>
      </c>
      <c r="Q124" s="26"/>
      <c r="R124" s="5"/>
      <c r="S124" s="5"/>
      <c r="T124" s="5"/>
      <c r="U124" s="5"/>
      <c r="V124" s="5"/>
      <c r="W124" s="5"/>
      <c r="X124" s="5"/>
      <c r="Y124" s="5"/>
    </row>
    <row r="125" spans="9:25" ht="22">
      <c r="I125" s="40"/>
      <c r="J125" s="40"/>
      <c r="M125" s="26" t="s">
        <v>54</v>
      </c>
      <c r="N125" s="25" t="s">
        <v>55</v>
      </c>
      <c r="O125" s="26"/>
      <c r="P125" s="26" t="s">
        <v>209</v>
      </c>
      <c r="Q125" s="26"/>
      <c r="R125" s="5"/>
      <c r="S125" s="5"/>
      <c r="T125" s="5"/>
      <c r="U125" s="5"/>
      <c r="V125" s="5"/>
      <c r="W125" s="5"/>
      <c r="X125" s="5"/>
      <c r="Y125" s="5"/>
    </row>
    <row r="126" spans="9:25" ht="55">
      <c r="I126" s="40"/>
      <c r="J126" s="40"/>
      <c r="M126" s="26" t="s">
        <v>54</v>
      </c>
      <c r="N126" s="25" t="s">
        <v>55</v>
      </c>
      <c r="O126" s="26"/>
      <c r="P126" s="26" t="s">
        <v>210</v>
      </c>
      <c r="Q126" s="26"/>
      <c r="R126" s="5"/>
      <c r="S126" s="5"/>
      <c r="T126" s="5"/>
      <c r="U126" s="5"/>
      <c r="V126" s="5"/>
      <c r="W126" s="5"/>
      <c r="X126" s="5"/>
      <c r="Y126" s="5"/>
    </row>
    <row r="127" spans="9:25" ht="22">
      <c r="I127" s="40"/>
      <c r="J127" s="40"/>
      <c r="M127" s="26" t="s">
        <v>54</v>
      </c>
      <c r="N127" s="25" t="s">
        <v>55</v>
      </c>
      <c r="O127" s="26"/>
      <c r="P127" s="26" t="s">
        <v>211</v>
      </c>
      <c r="Q127" s="26"/>
      <c r="R127" s="5"/>
      <c r="S127" s="5"/>
      <c r="T127" s="5"/>
      <c r="U127" s="5"/>
      <c r="V127" s="5"/>
      <c r="W127" s="5"/>
      <c r="X127" s="5"/>
      <c r="Y127" s="5"/>
    </row>
    <row r="128" spans="9:25" ht="22">
      <c r="I128" s="40"/>
      <c r="J128" s="40"/>
      <c r="M128" s="26" t="s">
        <v>54</v>
      </c>
      <c r="N128" s="25" t="s">
        <v>55</v>
      </c>
      <c r="O128" s="26"/>
      <c r="P128" s="26" t="s">
        <v>212</v>
      </c>
      <c r="Q128" s="26"/>
      <c r="R128" s="5"/>
      <c r="S128" s="5"/>
      <c r="T128" s="5"/>
      <c r="U128" s="5"/>
      <c r="V128" s="5"/>
      <c r="W128" s="5"/>
      <c r="X128" s="5"/>
      <c r="Y128" s="5"/>
    </row>
    <row r="129" spans="9:25" ht="22">
      <c r="I129" s="40"/>
      <c r="J129" s="40"/>
      <c r="M129" s="26" t="s">
        <v>54</v>
      </c>
      <c r="N129" s="25" t="s">
        <v>55</v>
      </c>
      <c r="O129" s="26"/>
      <c r="P129" s="26" t="s">
        <v>213</v>
      </c>
      <c r="Q129" s="26"/>
      <c r="R129" s="5"/>
      <c r="S129" s="5"/>
      <c r="T129" s="5"/>
      <c r="U129" s="5"/>
      <c r="V129" s="5"/>
      <c r="W129" s="5"/>
      <c r="X129" s="5"/>
      <c r="Y129" s="5"/>
    </row>
    <row r="130" spans="9:25" ht="22">
      <c r="I130" s="40"/>
      <c r="J130" s="40"/>
      <c r="M130" s="26" t="s">
        <v>54</v>
      </c>
      <c r="N130" s="25" t="s">
        <v>55</v>
      </c>
      <c r="O130" s="26"/>
      <c r="P130" s="26" t="s">
        <v>214</v>
      </c>
      <c r="Q130" s="26"/>
      <c r="R130" s="5"/>
      <c r="S130" s="5"/>
      <c r="T130" s="5"/>
      <c r="U130" s="5"/>
      <c r="V130" s="5"/>
      <c r="W130" s="5"/>
      <c r="X130" s="5"/>
      <c r="Y130" s="5"/>
    </row>
    <row r="131" spans="9:25" ht="33">
      <c r="I131" s="40"/>
      <c r="J131" s="40"/>
      <c r="M131" s="26" t="s">
        <v>54</v>
      </c>
      <c r="N131" s="25" t="s">
        <v>55</v>
      </c>
      <c r="O131" s="26"/>
      <c r="P131" s="26" t="s">
        <v>215</v>
      </c>
      <c r="Q131" s="26"/>
      <c r="R131" s="5"/>
      <c r="S131" s="5"/>
      <c r="T131" s="5"/>
      <c r="U131" s="5"/>
      <c r="V131" s="5"/>
      <c r="W131" s="5"/>
      <c r="X131" s="5"/>
      <c r="Y131" s="5"/>
    </row>
    <row r="132" spans="9:25" ht="33">
      <c r="I132" s="40"/>
      <c r="J132" s="40"/>
      <c r="M132" s="26" t="s">
        <v>54</v>
      </c>
      <c r="N132" s="25" t="s">
        <v>55</v>
      </c>
      <c r="O132" s="26"/>
      <c r="P132" s="26" t="s">
        <v>216</v>
      </c>
      <c r="Q132" s="26"/>
      <c r="R132" s="5"/>
      <c r="S132" s="5"/>
      <c r="T132" s="5"/>
      <c r="U132" s="5"/>
      <c r="V132" s="5"/>
      <c r="W132" s="5"/>
      <c r="X132" s="5"/>
      <c r="Y132" s="5"/>
    </row>
    <row r="133" spans="9:25" ht="33">
      <c r="I133" s="40"/>
      <c r="J133" s="40"/>
      <c r="M133" s="26" t="s">
        <v>54</v>
      </c>
      <c r="N133" s="25" t="s">
        <v>55</v>
      </c>
      <c r="O133" s="26"/>
      <c r="P133" s="26" t="s">
        <v>217</v>
      </c>
      <c r="Q133" s="26"/>
      <c r="R133" s="5"/>
      <c r="S133" s="5"/>
      <c r="T133" s="5"/>
      <c r="U133" s="5"/>
      <c r="V133" s="5"/>
      <c r="W133" s="5"/>
      <c r="X133" s="5"/>
      <c r="Y133" s="5"/>
    </row>
    <row r="134" spans="9:25" ht="22">
      <c r="I134" s="40"/>
      <c r="J134" s="40"/>
      <c r="M134" s="26" t="s">
        <v>54</v>
      </c>
      <c r="N134" s="25" t="s">
        <v>55</v>
      </c>
      <c r="O134" s="26"/>
      <c r="P134" s="26" t="s">
        <v>218</v>
      </c>
      <c r="Q134" s="26"/>
      <c r="R134" s="5"/>
      <c r="S134" s="5"/>
      <c r="T134" s="5"/>
      <c r="U134" s="5"/>
      <c r="V134" s="5"/>
      <c r="W134" s="5"/>
      <c r="X134" s="5"/>
      <c r="Y134" s="5"/>
    </row>
    <row r="135" spans="9:25" ht="22">
      <c r="I135" s="40"/>
      <c r="J135" s="40"/>
      <c r="M135" s="26" t="s">
        <v>54</v>
      </c>
      <c r="N135" s="25" t="s">
        <v>55</v>
      </c>
      <c r="O135" s="26"/>
      <c r="P135" s="26" t="s">
        <v>219</v>
      </c>
      <c r="Q135" s="26"/>
      <c r="R135" s="5"/>
      <c r="S135" s="5"/>
      <c r="T135" s="5"/>
      <c r="U135" s="5"/>
      <c r="V135" s="5"/>
      <c r="W135" s="5"/>
      <c r="X135" s="5"/>
      <c r="Y135" s="5"/>
    </row>
    <row r="136" spans="9:25" ht="22">
      <c r="I136" s="40"/>
      <c r="J136" s="40"/>
      <c r="M136" s="26" t="s">
        <v>54</v>
      </c>
      <c r="N136" s="25" t="s">
        <v>55</v>
      </c>
      <c r="O136" s="26"/>
      <c r="P136" s="26" t="s">
        <v>220</v>
      </c>
      <c r="Q136" s="26"/>
      <c r="R136" s="5"/>
      <c r="S136" s="5"/>
      <c r="T136" s="5"/>
      <c r="U136" s="5"/>
      <c r="V136" s="5"/>
      <c r="W136" s="5"/>
      <c r="X136" s="5"/>
      <c r="Y136" s="5"/>
    </row>
    <row r="137" spans="9:25" ht="22">
      <c r="I137" s="40"/>
      <c r="J137" s="40"/>
      <c r="M137" s="26" t="s">
        <v>54</v>
      </c>
      <c r="N137" s="25" t="s">
        <v>55</v>
      </c>
      <c r="O137" s="26"/>
      <c r="P137" s="26" t="s">
        <v>221</v>
      </c>
      <c r="Q137" s="26"/>
      <c r="R137" s="5"/>
      <c r="S137" s="5"/>
      <c r="T137" s="5"/>
      <c r="U137" s="5"/>
      <c r="V137" s="5"/>
      <c r="W137" s="5"/>
      <c r="X137" s="5"/>
      <c r="Y137" s="5"/>
    </row>
    <row r="138" spans="9:25" ht="44">
      <c r="I138" s="40"/>
      <c r="J138" s="40"/>
      <c r="M138" s="26" t="s">
        <v>54</v>
      </c>
      <c r="N138" s="25" t="s">
        <v>55</v>
      </c>
      <c r="O138" s="26"/>
      <c r="P138" s="26" t="s">
        <v>159</v>
      </c>
      <c r="Q138" s="26"/>
      <c r="R138" s="5"/>
      <c r="S138" s="5"/>
      <c r="T138" s="5"/>
      <c r="U138" s="5"/>
      <c r="V138" s="5"/>
      <c r="W138" s="5"/>
      <c r="X138" s="5"/>
      <c r="Y138" s="5"/>
    </row>
    <row r="139" spans="9:25" ht="44">
      <c r="I139" s="40"/>
      <c r="J139" s="40"/>
      <c r="M139" s="26" t="s">
        <v>54</v>
      </c>
      <c r="N139" s="25" t="s">
        <v>55</v>
      </c>
      <c r="O139" s="26"/>
      <c r="P139" s="26" t="s">
        <v>162</v>
      </c>
      <c r="Q139" s="26"/>
      <c r="R139" s="5"/>
      <c r="S139" s="5"/>
      <c r="T139" s="5"/>
      <c r="U139" s="5"/>
      <c r="V139" s="5"/>
      <c r="W139" s="5"/>
      <c r="X139" s="5"/>
      <c r="Y139" s="5"/>
    </row>
    <row r="140" spans="9:25" ht="22">
      <c r="I140" s="40"/>
      <c r="J140" s="40"/>
      <c r="M140" s="26" t="s">
        <v>54</v>
      </c>
      <c r="N140" s="25" t="s">
        <v>55</v>
      </c>
      <c r="O140" s="26"/>
      <c r="P140" s="26" t="s">
        <v>222</v>
      </c>
      <c r="Q140" s="26"/>
      <c r="R140" s="5"/>
      <c r="S140" s="5"/>
      <c r="T140" s="5"/>
      <c r="U140" s="5"/>
      <c r="V140" s="5"/>
      <c r="W140" s="5"/>
      <c r="X140" s="5"/>
      <c r="Y140" s="5"/>
    </row>
    <row r="141" spans="9:25" ht="22">
      <c r="I141" s="40"/>
      <c r="J141" s="40"/>
      <c r="M141" s="26" t="s">
        <v>54</v>
      </c>
      <c r="N141" s="25" t="s">
        <v>55</v>
      </c>
      <c r="O141" s="26"/>
      <c r="P141" s="26" t="s">
        <v>223</v>
      </c>
      <c r="Q141" s="26"/>
      <c r="R141" s="5"/>
      <c r="S141" s="5"/>
      <c r="T141" s="5"/>
      <c r="U141" s="5"/>
      <c r="V141" s="5"/>
      <c r="W141" s="5"/>
      <c r="X141" s="5"/>
      <c r="Y141" s="5"/>
    </row>
    <row r="142" spans="9:25" ht="22">
      <c r="I142" s="40"/>
      <c r="J142" s="40"/>
      <c r="M142" s="26" t="s">
        <v>54</v>
      </c>
      <c r="N142" s="25" t="s">
        <v>55</v>
      </c>
      <c r="O142" s="26"/>
      <c r="P142" s="26" t="s">
        <v>224</v>
      </c>
      <c r="Q142" s="26"/>
      <c r="R142" s="5"/>
      <c r="S142" s="5"/>
      <c r="T142" s="5"/>
      <c r="U142" s="5"/>
      <c r="V142" s="5"/>
      <c r="W142" s="5"/>
      <c r="X142" s="5"/>
      <c r="Y142" s="5"/>
    </row>
    <row r="143" spans="9:25" ht="22">
      <c r="I143" s="40"/>
      <c r="J143" s="40"/>
      <c r="M143" s="26" t="s">
        <v>54</v>
      </c>
      <c r="N143" s="25" t="s">
        <v>55</v>
      </c>
      <c r="O143" s="26"/>
      <c r="P143" s="26" t="s">
        <v>225</v>
      </c>
      <c r="Q143" s="26"/>
      <c r="R143" s="5"/>
      <c r="S143" s="5"/>
      <c r="T143" s="5"/>
      <c r="U143" s="5"/>
      <c r="V143" s="5"/>
      <c r="W143" s="5"/>
      <c r="X143" s="5"/>
      <c r="Y143" s="5"/>
    </row>
    <row r="144" spans="9:25" ht="22">
      <c r="I144" s="40"/>
      <c r="J144" s="40"/>
      <c r="M144" s="26" t="s">
        <v>54</v>
      </c>
      <c r="N144" s="25" t="s">
        <v>55</v>
      </c>
      <c r="O144" s="26"/>
      <c r="P144" s="26" t="s">
        <v>226</v>
      </c>
      <c r="Q144" s="26"/>
      <c r="R144" s="5"/>
      <c r="S144" s="5"/>
      <c r="T144" s="5"/>
      <c r="U144" s="5"/>
      <c r="V144" s="5"/>
      <c r="W144" s="5"/>
      <c r="X144" s="5"/>
      <c r="Y144" s="5"/>
    </row>
    <row r="145" spans="9:25" ht="22">
      <c r="I145" s="40"/>
      <c r="J145" s="40"/>
      <c r="M145" s="26" t="s">
        <v>54</v>
      </c>
      <c r="N145" s="25" t="s">
        <v>55</v>
      </c>
      <c r="O145" s="26"/>
      <c r="P145" s="26" t="s">
        <v>227</v>
      </c>
      <c r="Q145" s="26"/>
      <c r="R145" s="5"/>
      <c r="S145" s="5"/>
      <c r="T145" s="5"/>
      <c r="U145" s="5"/>
      <c r="V145" s="5"/>
      <c r="W145" s="5"/>
      <c r="X145" s="5"/>
      <c r="Y145" s="5"/>
    </row>
    <row r="146" spans="9:25" ht="22">
      <c r="I146" s="40"/>
      <c r="J146" s="40"/>
      <c r="M146" s="26" t="s">
        <v>54</v>
      </c>
      <c r="N146" s="25" t="s">
        <v>55</v>
      </c>
      <c r="O146" s="26"/>
      <c r="P146" s="26" t="s">
        <v>228</v>
      </c>
      <c r="Q146" s="26"/>
      <c r="R146" s="5"/>
      <c r="S146" s="5"/>
      <c r="T146" s="5"/>
      <c r="U146" s="5"/>
      <c r="V146" s="5"/>
      <c r="W146" s="5"/>
      <c r="X146" s="5"/>
      <c r="Y146" s="5"/>
    </row>
    <row r="147" spans="9:25" ht="22">
      <c r="I147" s="40"/>
      <c r="J147" s="40"/>
      <c r="M147" s="26" t="s">
        <v>54</v>
      </c>
      <c r="N147" s="25" t="s">
        <v>55</v>
      </c>
      <c r="O147" s="26"/>
      <c r="P147" s="26" t="s">
        <v>229</v>
      </c>
      <c r="Q147" s="26"/>
      <c r="R147" s="5"/>
      <c r="S147" s="5"/>
      <c r="T147" s="5"/>
      <c r="U147" s="5"/>
      <c r="V147" s="5"/>
      <c r="W147" s="5"/>
      <c r="X147" s="5"/>
      <c r="Y147" s="5"/>
    </row>
    <row r="148" spans="9:25" ht="22">
      <c r="I148" s="40"/>
      <c r="J148" s="40"/>
      <c r="M148" s="26" t="s">
        <v>54</v>
      </c>
      <c r="N148" s="25" t="s">
        <v>55</v>
      </c>
      <c r="O148" s="26"/>
      <c r="P148" s="26" t="s">
        <v>230</v>
      </c>
      <c r="Q148" s="26"/>
      <c r="R148" s="5"/>
      <c r="S148" s="5"/>
      <c r="T148" s="5"/>
      <c r="U148" s="5"/>
      <c r="V148" s="5"/>
      <c r="W148" s="5"/>
      <c r="X148" s="5"/>
      <c r="Y148" s="5"/>
    </row>
    <row r="149" spans="9:25" ht="22">
      <c r="I149" s="40"/>
      <c r="J149" s="40"/>
      <c r="M149" s="26" t="s">
        <v>54</v>
      </c>
      <c r="N149" s="25" t="s">
        <v>55</v>
      </c>
      <c r="O149" s="26"/>
      <c r="P149" s="26" t="s">
        <v>231</v>
      </c>
      <c r="Q149" s="26"/>
      <c r="R149" s="5"/>
      <c r="S149" s="5"/>
      <c r="T149" s="5"/>
      <c r="U149" s="5"/>
      <c r="V149" s="5"/>
      <c r="W149" s="5"/>
      <c r="X149" s="5"/>
      <c r="Y149" s="5"/>
    </row>
    <row r="150" spans="9:25" ht="33">
      <c r="I150" s="40"/>
      <c r="J150" s="40"/>
      <c r="M150" s="26" t="s">
        <v>54</v>
      </c>
      <c r="N150" s="25" t="s">
        <v>55</v>
      </c>
      <c r="O150" s="26"/>
      <c r="P150" s="26" t="s">
        <v>232</v>
      </c>
      <c r="Q150" s="26"/>
      <c r="R150" s="5"/>
      <c r="S150" s="5"/>
      <c r="T150" s="5"/>
      <c r="U150" s="5"/>
      <c r="V150" s="5"/>
      <c r="W150" s="5"/>
      <c r="X150" s="5"/>
      <c r="Y150" s="5"/>
    </row>
    <row r="151" spans="9:25" ht="22">
      <c r="I151" s="40"/>
      <c r="J151" s="40"/>
      <c r="M151" s="26" t="s">
        <v>54</v>
      </c>
      <c r="N151" s="25" t="s">
        <v>55</v>
      </c>
      <c r="O151" s="26"/>
      <c r="P151" s="26" t="s">
        <v>233</v>
      </c>
      <c r="Q151" s="26"/>
      <c r="R151" s="5"/>
      <c r="S151" s="5"/>
      <c r="T151" s="5"/>
      <c r="U151" s="5"/>
      <c r="V151" s="5"/>
      <c r="W151" s="5"/>
      <c r="X151" s="5"/>
      <c r="Y151" s="5"/>
    </row>
    <row r="152" spans="9:25" ht="22">
      <c r="I152" s="40"/>
      <c r="J152" s="40"/>
      <c r="M152" s="26" t="s">
        <v>54</v>
      </c>
      <c r="N152" s="25" t="s">
        <v>55</v>
      </c>
      <c r="O152" s="26"/>
      <c r="P152" s="26" t="s">
        <v>234</v>
      </c>
      <c r="Q152" s="26"/>
      <c r="R152" s="5"/>
      <c r="S152" s="5"/>
      <c r="T152" s="5"/>
      <c r="U152" s="5"/>
      <c r="V152" s="5"/>
      <c r="W152" s="5"/>
      <c r="X152" s="5"/>
      <c r="Y152" s="5"/>
    </row>
    <row r="153" spans="9:25" ht="22">
      <c r="I153" s="40"/>
      <c r="J153" s="40"/>
      <c r="M153" s="26" t="s">
        <v>54</v>
      </c>
      <c r="N153" s="25" t="s">
        <v>55</v>
      </c>
      <c r="O153" s="26"/>
      <c r="P153" s="26" t="s">
        <v>235</v>
      </c>
      <c r="Q153" s="26"/>
      <c r="R153" s="5"/>
      <c r="S153" s="5"/>
      <c r="T153" s="5"/>
      <c r="U153" s="5"/>
      <c r="V153" s="5"/>
      <c r="W153" s="5"/>
      <c r="X153" s="5"/>
      <c r="Y153" s="5"/>
    </row>
    <row r="154" spans="9:25" ht="22">
      <c r="I154" s="40"/>
      <c r="J154" s="40"/>
      <c r="M154" s="26" t="s">
        <v>54</v>
      </c>
      <c r="N154" s="25" t="s">
        <v>55</v>
      </c>
      <c r="O154" s="26"/>
      <c r="P154" s="26" t="s">
        <v>236</v>
      </c>
      <c r="Q154" s="26"/>
      <c r="R154" s="5"/>
      <c r="S154" s="5"/>
      <c r="T154" s="5"/>
      <c r="U154" s="5"/>
      <c r="V154" s="5"/>
      <c r="W154" s="5"/>
      <c r="X154" s="5"/>
      <c r="Y154" s="5"/>
    </row>
    <row r="155" spans="9:25" ht="22">
      <c r="I155" s="40"/>
      <c r="J155" s="40"/>
      <c r="M155" s="26" t="s">
        <v>54</v>
      </c>
      <c r="N155" s="25" t="s">
        <v>55</v>
      </c>
      <c r="O155" s="26"/>
      <c r="P155" s="26" t="s">
        <v>237</v>
      </c>
      <c r="Q155" s="26"/>
      <c r="R155" s="5"/>
      <c r="S155" s="5"/>
      <c r="T155" s="5"/>
      <c r="U155" s="5"/>
      <c r="V155" s="5"/>
      <c r="W155" s="5"/>
      <c r="X155" s="5"/>
      <c r="Y155" s="5"/>
    </row>
    <row r="156" spans="9:25" ht="33">
      <c r="I156" s="40"/>
      <c r="J156" s="40"/>
      <c r="M156" s="26" t="s">
        <v>54</v>
      </c>
      <c r="N156" s="25" t="s">
        <v>55</v>
      </c>
      <c r="O156" s="26"/>
      <c r="P156" s="26" t="s">
        <v>238</v>
      </c>
      <c r="Q156" s="26"/>
      <c r="R156" s="5"/>
      <c r="S156" s="5"/>
      <c r="T156" s="5"/>
      <c r="U156" s="5"/>
      <c r="V156" s="5"/>
      <c r="W156" s="5"/>
      <c r="X156" s="5"/>
      <c r="Y156" s="5"/>
    </row>
    <row r="157" spans="9:25" ht="33">
      <c r="I157" s="40"/>
      <c r="J157" s="40"/>
      <c r="M157" s="26" t="s">
        <v>54</v>
      </c>
      <c r="N157" s="25" t="s">
        <v>55</v>
      </c>
      <c r="O157" s="26" t="s">
        <v>239</v>
      </c>
      <c r="P157" s="26"/>
      <c r="Q157" s="26"/>
      <c r="R157" s="5"/>
      <c r="S157" s="5"/>
      <c r="T157" s="5"/>
      <c r="U157" s="5"/>
      <c r="V157" s="5"/>
      <c r="W157" s="5"/>
      <c r="X157" s="5"/>
      <c r="Y157" s="5"/>
    </row>
    <row r="158" spans="9:25" ht="22">
      <c r="I158" s="40"/>
      <c r="J158" s="40"/>
      <c r="M158" s="26" t="s">
        <v>54</v>
      </c>
      <c r="N158" s="25" t="s">
        <v>77</v>
      </c>
      <c r="O158" s="26" t="s">
        <v>240</v>
      </c>
      <c r="P158" s="26"/>
      <c r="Q158" s="26"/>
      <c r="R158" s="5"/>
      <c r="S158" s="5"/>
      <c r="T158" s="5"/>
      <c r="U158" s="5"/>
      <c r="V158" s="5"/>
      <c r="W158" s="5"/>
      <c r="X158" s="5"/>
      <c r="Y158" s="5"/>
    </row>
    <row r="159" spans="9:25" ht="22">
      <c r="I159" s="40"/>
      <c r="J159" s="40"/>
      <c r="M159" s="26" t="s">
        <v>54</v>
      </c>
      <c r="N159" s="25" t="s">
        <v>77</v>
      </c>
      <c r="O159" s="26" t="s">
        <v>240</v>
      </c>
      <c r="P159" s="26"/>
      <c r="Q159" s="26"/>
      <c r="R159" s="5"/>
      <c r="S159" s="5"/>
      <c r="T159" s="5"/>
      <c r="U159" s="5"/>
      <c r="V159" s="5"/>
      <c r="W159" s="5"/>
      <c r="X159" s="5"/>
      <c r="Y159" s="5"/>
    </row>
    <row r="160" spans="9:25" ht="22">
      <c r="I160" s="40"/>
      <c r="J160" s="40"/>
      <c r="M160" s="26" t="s">
        <v>54</v>
      </c>
      <c r="N160" s="25" t="s">
        <v>77</v>
      </c>
      <c r="O160" s="26" t="s">
        <v>241</v>
      </c>
      <c r="P160" s="26"/>
      <c r="Q160" s="26"/>
      <c r="R160" s="5"/>
      <c r="S160" s="5"/>
      <c r="T160" s="5"/>
      <c r="U160" s="5"/>
      <c r="V160" s="5"/>
      <c r="W160" s="5"/>
      <c r="X160" s="5"/>
      <c r="Y160" s="5"/>
    </row>
    <row r="161" spans="9:25" ht="22">
      <c r="I161" s="40"/>
      <c r="J161" s="40"/>
      <c r="M161" s="26" t="s">
        <v>54</v>
      </c>
      <c r="N161" s="25" t="s">
        <v>77</v>
      </c>
      <c r="O161" s="26" t="s">
        <v>242</v>
      </c>
      <c r="P161" s="26"/>
      <c r="Q161" s="26"/>
      <c r="R161" s="5"/>
      <c r="S161" s="5"/>
      <c r="T161" s="5"/>
      <c r="U161" s="5"/>
      <c r="V161" s="5"/>
      <c r="W161" s="5"/>
      <c r="X161" s="5"/>
      <c r="Y161" s="5"/>
    </row>
    <row r="162" spans="9:25" ht="22">
      <c r="I162" s="40"/>
      <c r="J162" s="40"/>
      <c r="M162" s="26" t="s">
        <v>54</v>
      </c>
      <c r="N162" s="25" t="s">
        <v>77</v>
      </c>
      <c r="O162" s="26" t="s">
        <v>242</v>
      </c>
      <c r="P162" s="26"/>
      <c r="Q162" s="26"/>
      <c r="R162" s="5"/>
      <c r="S162" s="5"/>
      <c r="T162" s="5"/>
      <c r="U162" s="5"/>
      <c r="V162" s="5"/>
      <c r="W162" s="5"/>
      <c r="X162" s="5"/>
      <c r="Y162" s="5"/>
    </row>
    <row r="163" spans="9:25" ht="22">
      <c r="I163" s="40"/>
      <c r="J163" s="40"/>
      <c r="M163" s="26" t="s">
        <v>54</v>
      </c>
      <c r="N163" s="25" t="s">
        <v>55</v>
      </c>
      <c r="O163" s="26" t="s">
        <v>243</v>
      </c>
      <c r="P163" s="26"/>
      <c r="Q163" s="26"/>
      <c r="R163" s="5"/>
      <c r="S163" s="5"/>
      <c r="T163" s="5"/>
      <c r="U163" s="5"/>
      <c r="V163" s="5"/>
      <c r="W163" s="5"/>
      <c r="X163" s="5"/>
      <c r="Y163" s="5"/>
    </row>
    <row r="164" spans="9:25" ht="22">
      <c r="I164" s="40"/>
      <c r="J164" s="40"/>
      <c r="M164" s="26" t="s">
        <v>54</v>
      </c>
      <c r="N164" s="25" t="s">
        <v>55</v>
      </c>
      <c r="O164" s="26" t="s">
        <v>243</v>
      </c>
      <c r="P164" s="26"/>
      <c r="Q164" s="26"/>
      <c r="R164" s="5"/>
      <c r="S164" s="5"/>
      <c r="T164" s="5"/>
      <c r="U164" s="5"/>
      <c r="V164" s="5"/>
      <c r="W164" s="5"/>
      <c r="X164" s="5"/>
      <c r="Y164" s="5"/>
    </row>
    <row r="165" spans="9:25" ht="22">
      <c r="I165" s="40"/>
      <c r="J165" s="40"/>
      <c r="M165" s="26" t="s">
        <v>54</v>
      </c>
      <c r="N165" s="25" t="s">
        <v>55</v>
      </c>
      <c r="O165" s="26" t="s">
        <v>244</v>
      </c>
      <c r="P165" s="26"/>
      <c r="Q165" s="26"/>
      <c r="R165" s="5"/>
      <c r="S165" s="5"/>
      <c r="T165" s="5"/>
      <c r="U165" s="5"/>
      <c r="V165" s="5"/>
      <c r="W165" s="5"/>
      <c r="X165" s="5"/>
      <c r="Y165" s="5"/>
    </row>
    <row r="166" spans="9:25" ht="22">
      <c r="I166" s="40"/>
      <c r="J166" s="40"/>
      <c r="M166" s="26" t="s">
        <v>54</v>
      </c>
      <c r="N166" s="25" t="s">
        <v>55</v>
      </c>
      <c r="O166" s="26" t="s">
        <v>245</v>
      </c>
      <c r="P166" s="26"/>
      <c r="Q166" s="26"/>
      <c r="R166" s="5"/>
      <c r="S166" s="5"/>
      <c r="T166" s="5"/>
      <c r="U166" s="5"/>
      <c r="V166" s="5"/>
      <c r="W166" s="5"/>
      <c r="X166" s="5"/>
      <c r="Y166" s="5"/>
    </row>
    <row r="167" spans="9:25" ht="22">
      <c r="I167" s="40"/>
      <c r="J167" s="40"/>
      <c r="M167" s="26" t="s">
        <v>54</v>
      </c>
      <c r="N167" s="25" t="s">
        <v>55</v>
      </c>
      <c r="O167" s="26" t="s">
        <v>245</v>
      </c>
      <c r="P167" s="26"/>
      <c r="Q167" s="26"/>
      <c r="R167" s="5"/>
      <c r="S167" s="5"/>
      <c r="T167" s="5"/>
      <c r="U167" s="5"/>
      <c r="V167" s="5"/>
      <c r="W167" s="5"/>
      <c r="X167" s="5"/>
      <c r="Y167" s="5"/>
    </row>
    <row r="168" spans="9:25" ht="22">
      <c r="I168" s="40"/>
      <c r="J168" s="40"/>
      <c r="M168" s="26" t="s">
        <v>54</v>
      </c>
      <c r="N168" s="25" t="s">
        <v>51</v>
      </c>
      <c r="O168" s="26" t="s">
        <v>246</v>
      </c>
      <c r="P168" s="26"/>
      <c r="Q168" s="26"/>
      <c r="R168" s="5"/>
      <c r="S168" s="5"/>
      <c r="T168" s="5"/>
      <c r="U168" s="5"/>
      <c r="V168" s="5"/>
      <c r="W168" s="5"/>
      <c r="X168" s="5"/>
      <c r="Y168" s="5"/>
    </row>
    <row r="169" spans="9:25" ht="55">
      <c r="I169" s="40"/>
      <c r="J169" s="40"/>
      <c r="M169" s="26" t="s">
        <v>54</v>
      </c>
      <c r="N169" s="25" t="s">
        <v>55</v>
      </c>
      <c r="O169" s="26"/>
      <c r="P169" s="26" t="s">
        <v>107</v>
      </c>
      <c r="Q169" s="26"/>
      <c r="R169" s="5"/>
      <c r="S169" s="5"/>
      <c r="T169" s="5"/>
      <c r="U169" s="5"/>
      <c r="V169" s="5"/>
      <c r="W169" s="5"/>
      <c r="X169" s="5"/>
      <c r="Y169" s="5"/>
    </row>
    <row r="170" spans="9:25" ht="55">
      <c r="I170" s="40"/>
      <c r="J170" s="40"/>
      <c r="M170" s="26" t="s">
        <v>54</v>
      </c>
      <c r="N170" s="25" t="s">
        <v>55</v>
      </c>
      <c r="O170" s="26"/>
      <c r="P170" s="26" t="s">
        <v>247</v>
      </c>
      <c r="Q170" s="26"/>
      <c r="R170" s="5"/>
      <c r="S170" s="5"/>
      <c r="T170" s="5"/>
      <c r="U170" s="5"/>
      <c r="V170" s="5"/>
      <c r="W170" s="5"/>
      <c r="X170" s="5"/>
      <c r="Y170" s="5"/>
    </row>
    <row r="171" spans="9:25" ht="55">
      <c r="I171" s="40"/>
      <c r="J171" s="40"/>
      <c r="M171" s="26" t="s">
        <v>54</v>
      </c>
      <c r="N171" s="25" t="s">
        <v>55</v>
      </c>
      <c r="O171" s="26"/>
      <c r="P171" s="26" t="s">
        <v>248</v>
      </c>
      <c r="Q171" s="26"/>
      <c r="R171" s="5"/>
      <c r="S171" s="5"/>
      <c r="T171" s="5"/>
      <c r="U171" s="5"/>
      <c r="V171" s="5"/>
      <c r="W171" s="5"/>
      <c r="X171" s="5"/>
      <c r="Y171" s="5"/>
    </row>
    <row r="172" spans="9:25" ht="55">
      <c r="I172" s="40"/>
      <c r="J172" s="40"/>
      <c r="M172" s="26" t="s">
        <v>54</v>
      </c>
      <c r="N172" s="25" t="s">
        <v>55</v>
      </c>
      <c r="O172" s="26"/>
      <c r="P172" s="26" t="s">
        <v>249</v>
      </c>
      <c r="Q172" s="26"/>
      <c r="R172" s="5"/>
      <c r="S172" s="5"/>
      <c r="T172" s="5"/>
      <c r="U172" s="5"/>
      <c r="V172" s="5"/>
      <c r="W172" s="5"/>
      <c r="X172" s="5"/>
      <c r="Y172" s="5"/>
    </row>
    <row r="173" spans="9:25" ht="33">
      <c r="I173" s="40"/>
      <c r="J173" s="40"/>
      <c r="M173" s="26" t="s">
        <v>54</v>
      </c>
      <c r="N173" s="25" t="s">
        <v>55</v>
      </c>
      <c r="O173" s="26"/>
      <c r="P173" s="26" t="s">
        <v>113</v>
      </c>
      <c r="Q173" s="26"/>
      <c r="R173" s="5"/>
      <c r="S173" s="5"/>
      <c r="T173" s="5"/>
      <c r="U173" s="5"/>
      <c r="V173" s="5"/>
      <c r="W173" s="5"/>
      <c r="X173" s="5"/>
      <c r="Y173" s="5"/>
    </row>
    <row r="174" spans="9:25" ht="33">
      <c r="I174" s="40"/>
      <c r="J174" s="40"/>
      <c r="M174" s="26" t="s">
        <v>54</v>
      </c>
      <c r="N174" s="25" t="s">
        <v>55</v>
      </c>
      <c r="O174" s="26"/>
      <c r="P174" s="26" t="s">
        <v>250</v>
      </c>
      <c r="Q174" s="26"/>
      <c r="R174" s="5"/>
      <c r="S174" s="5"/>
      <c r="T174" s="5"/>
      <c r="U174" s="5"/>
      <c r="V174" s="5"/>
      <c r="W174" s="5"/>
      <c r="X174" s="5"/>
      <c r="Y174" s="5"/>
    </row>
    <row r="175" spans="9:25" ht="55">
      <c r="I175" s="40"/>
      <c r="J175" s="40"/>
      <c r="M175" s="26" t="s">
        <v>54</v>
      </c>
      <c r="N175" s="25" t="s">
        <v>55</v>
      </c>
      <c r="O175" s="26"/>
      <c r="P175" s="26" t="s">
        <v>251</v>
      </c>
      <c r="Q175" s="26"/>
      <c r="R175" s="5"/>
      <c r="S175" s="5"/>
      <c r="T175" s="5"/>
      <c r="U175" s="5"/>
      <c r="V175" s="5"/>
      <c r="W175" s="5"/>
      <c r="X175" s="5"/>
      <c r="Y175" s="5"/>
    </row>
    <row r="176" spans="9:25" ht="33">
      <c r="I176" s="40"/>
      <c r="J176" s="40"/>
      <c r="M176" s="26" t="s">
        <v>54</v>
      </c>
      <c r="N176" s="25" t="s">
        <v>55</v>
      </c>
      <c r="O176" s="26"/>
      <c r="P176" s="26" t="s">
        <v>120</v>
      </c>
      <c r="Q176" s="26"/>
      <c r="R176" s="5"/>
      <c r="S176" s="5"/>
      <c r="T176" s="5"/>
      <c r="U176" s="5"/>
      <c r="V176" s="5"/>
      <c r="W176" s="5"/>
      <c r="X176" s="5"/>
      <c r="Y176" s="5"/>
    </row>
    <row r="177" spans="9:25" ht="33">
      <c r="I177" s="40"/>
      <c r="J177" s="40"/>
      <c r="M177" s="26" t="s">
        <v>54</v>
      </c>
      <c r="N177" s="25" t="s">
        <v>55</v>
      </c>
      <c r="O177" s="26"/>
      <c r="P177" s="26" t="s">
        <v>120</v>
      </c>
      <c r="Q177" s="26"/>
      <c r="R177" s="5"/>
      <c r="S177" s="5"/>
      <c r="T177" s="5"/>
      <c r="U177" s="5"/>
      <c r="V177" s="5"/>
      <c r="W177" s="5"/>
      <c r="X177" s="5"/>
      <c r="Y177" s="5"/>
    </row>
    <row r="178" spans="9:25" ht="33">
      <c r="I178" s="40"/>
      <c r="J178" s="40"/>
      <c r="M178" s="26" t="s">
        <v>54</v>
      </c>
      <c r="N178" s="25" t="s">
        <v>55</v>
      </c>
      <c r="O178" s="26"/>
      <c r="P178" s="26" t="s">
        <v>252</v>
      </c>
      <c r="Q178" s="26"/>
      <c r="R178" s="5"/>
      <c r="S178" s="5"/>
      <c r="T178" s="5"/>
      <c r="U178" s="5"/>
      <c r="V178" s="5"/>
      <c r="W178" s="5"/>
      <c r="X178" s="5"/>
      <c r="Y178" s="5"/>
    </row>
    <row r="179" spans="9:25" ht="33">
      <c r="I179" s="40"/>
      <c r="J179" s="40"/>
      <c r="M179" s="26" t="s">
        <v>54</v>
      </c>
      <c r="N179" s="25" t="s">
        <v>55</v>
      </c>
      <c r="O179" s="26" t="s">
        <v>150</v>
      </c>
      <c r="P179" s="26"/>
      <c r="Q179" s="26"/>
      <c r="R179" s="5"/>
      <c r="S179" s="5"/>
      <c r="T179" s="5"/>
      <c r="U179" s="5"/>
      <c r="V179" s="5"/>
      <c r="W179" s="5"/>
      <c r="X179" s="5"/>
      <c r="Y179" s="5"/>
    </row>
    <row r="180" spans="9:25" ht="33">
      <c r="I180" s="40"/>
      <c r="J180" s="40"/>
      <c r="M180" s="26" t="s">
        <v>54</v>
      </c>
      <c r="N180" s="25" t="s">
        <v>55</v>
      </c>
      <c r="O180" s="26" t="s">
        <v>150</v>
      </c>
      <c r="P180" s="26"/>
      <c r="Q180" s="26"/>
      <c r="R180" s="5"/>
      <c r="S180" s="5"/>
      <c r="T180" s="5"/>
      <c r="U180" s="5"/>
      <c r="V180" s="5"/>
      <c r="W180" s="5"/>
      <c r="X180" s="5"/>
      <c r="Y180" s="5"/>
    </row>
    <row r="181" spans="9:25" ht="22">
      <c r="I181" s="40"/>
      <c r="J181" s="40"/>
      <c r="M181" s="26" t="s">
        <v>54</v>
      </c>
      <c r="N181" s="25" t="s">
        <v>51</v>
      </c>
      <c r="O181" s="26" t="s">
        <v>253</v>
      </c>
      <c r="P181" s="26"/>
      <c r="Q181" s="26"/>
      <c r="R181" s="5"/>
      <c r="S181" s="5"/>
      <c r="T181" s="5"/>
      <c r="U181" s="5"/>
      <c r="V181" s="5"/>
      <c r="W181" s="5"/>
      <c r="X181" s="5"/>
      <c r="Y181" s="5"/>
    </row>
    <row r="182" spans="9:25" ht="22">
      <c r="I182" s="40"/>
      <c r="J182" s="40"/>
      <c r="M182" s="26" t="s">
        <v>54</v>
      </c>
      <c r="N182" s="25" t="s">
        <v>55</v>
      </c>
      <c r="O182" s="26"/>
      <c r="P182" s="26" t="s">
        <v>254</v>
      </c>
      <c r="Q182" s="26"/>
      <c r="R182" s="5"/>
      <c r="S182" s="5"/>
      <c r="T182" s="5"/>
      <c r="U182" s="5"/>
      <c r="V182" s="5"/>
      <c r="W182" s="5"/>
      <c r="X182" s="5"/>
      <c r="Y182" s="5"/>
    </row>
    <row r="183" spans="9:25" ht="22">
      <c r="I183" s="40"/>
      <c r="J183" s="40"/>
      <c r="M183" s="26" t="s">
        <v>54</v>
      </c>
      <c r="N183" s="25" t="s">
        <v>51</v>
      </c>
      <c r="O183" s="26" t="s">
        <v>255</v>
      </c>
      <c r="P183" s="26"/>
      <c r="Q183" s="26"/>
      <c r="R183" s="5"/>
      <c r="S183" s="5"/>
      <c r="T183" s="5"/>
      <c r="U183" s="5"/>
      <c r="V183" s="5"/>
      <c r="W183" s="5"/>
      <c r="X183" s="5"/>
      <c r="Y183" s="5"/>
    </row>
    <row r="184" spans="9:25" ht="22">
      <c r="I184" s="40"/>
      <c r="J184" s="40"/>
      <c r="M184" s="26" t="s">
        <v>54</v>
      </c>
      <c r="N184" s="25" t="s">
        <v>55</v>
      </c>
      <c r="O184" s="26"/>
      <c r="P184" s="26" t="s">
        <v>256</v>
      </c>
      <c r="Q184" s="26"/>
      <c r="R184" s="5"/>
      <c r="S184" s="5"/>
      <c r="T184" s="5"/>
      <c r="U184" s="5"/>
      <c r="V184" s="5"/>
      <c r="W184" s="5"/>
      <c r="X184" s="5"/>
      <c r="Y184" s="5"/>
    </row>
    <row r="185" spans="9:25" ht="22">
      <c r="I185" s="40"/>
      <c r="J185" s="40"/>
      <c r="M185" s="26" t="s">
        <v>54</v>
      </c>
      <c r="N185" s="25" t="s">
        <v>55</v>
      </c>
      <c r="O185" s="26"/>
      <c r="P185" s="26" t="s">
        <v>257</v>
      </c>
      <c r="Q185" s="26"/>
      <c r="R185" s="5"/>
      <c r="S185" s="5"/>
      <c r="T185" s="5"/>
      <c r="U185" s="5"/>
      <c r="V185" s="5"/>
      <c r="W185" s="5"/>
      <c r="X185" s="5"/>
      <c r="Y185" s="5"/>
    </row>
    <row r="186" spans="9:25" ht="22">
      <c r="I186" s="40"/>
      <c r="J186" s="40"/>
      <c r="M186" s="26" t="s">
        <v>54</v>
      </c>
      <c r="N186" s="25" t="s">
        <v>51</v>
      </c>
      <c r="O186" s="26" t="s">
        <v>258</v>
      </c>
      <c r="P186" s="26"/>
      <c r="Q186" s="26"/>
      <c r="R186" s="5"/>
      <c r="S186" s="5"/>
      <c r="T186" s="5"/>
      <c r="U186" s="5"/>
      <c r="V186" s="5"/>
      <c r="W186" s="5"/>
      <c r="X186" s="5"/>
      <c r="Y186" s="5"/>
    </row>
    <row r="187" spans="9:25" ht="33">
      <c r="I187" s="40"/>
      <c r="J187" s="40"/>
      <c r="M187" s="26" t="s">
        <v>54</v>
      </c>
      <c r="N187" s="25" t="s">
        <v>55</v>
      </c>
      <c r="O187" s="26" t="s">
        <v>259</v>
      </c>
      <c r="P187" s="26"/>
      <c r="Q187" s="26"/>
      <c r="R187" s="5"/>
      <c r="S187" s="5"/>
      <c r="T187" s="5"/>
      <c r="U187" s="5"/>
      <c r="V187" s="5"/>
      <c r="W187" s="5"/>
      <c r="X187" s="5"/>
      <c r="Y187" s="5"/>
    </row>
    <row r="188" spans="9:25" ht="22">
      <c r="I188" s="40"/>
      <c r="J188" s="40"/>
      <c r="M188" s="26" t="s">
        <v>54</v>
      </c>
      <c r="N188" s="25" t="s">
        <v>51</v>
      </c>
      <c r="O188" s="26" t="s">
        <v>260</v>
      </c>
      <c r="P188" s="26"/>
      <c r="Q188" s="26"/>
      <c r="R188" s="5"/>
      <c r="S188" s="5"/>
      <c r="T188" s="5"/>
      <c r="U188" s="5"/>
      <c r="V188" s="5"/>
      <c r="W188" s="5"/>
      <c r="X188" s="5"/>
      <c r="Y188" s="5"/>
    </row>
    <row r="189" spans="9:25" ht="22">
      <c r="I189" s="40"/>
      <c r="J189" s="40"/>
      <c r="M189" s="26" t="s">
        <v>54</v>
      </c>
      <c r="N189" s="25" t="s">
        <v>55</v>
      </c>
      <c r="O189" s="26"/>
      <c r="P189" s="26" t="s">
        <v>261</v>
      </c>
      <c r="Q189" s="26"/>
      <c r="R189" s="5"/>
      <c r="S189" s="5"/>
      <c r="T189" s="5"/>
      <c r="U189" s="5"/>
      <c r="V189" s="5"/>
      <c r="W189" s="5"/>
      <c r="X189" s="5"/>
      <c r="Y189" s="5"/>
    </row>
    <row r="190" spans="9:25" ht="22">
      <c r="I190" s="40"/>
      <c r="J190" s="40"/>
      <c r="M190" s="26" t="s">
        <v>54</v>
      </c>
      <c r="N190" s="25" t="s">
        <v>55</v>
      </c>
      <c r="O190" s="26"/>
      <c r="P190" s="26" t="s">
        <v>262</v>
      </c>
      <c r="Q190" s="26"/>
      <c r="R190" s="5"/>
      <c r="S190" s="5"/>
      <c r="T190" s="5"/>
      <c r="U190" s="5"/>
      <c r="V190" s="5"/>
      <c r="W190" s="5"/>
      <c r="X190" s="5"/>
      <c r="Y190" s="5"/>
    </row>
    <row r="191" spans="9:25" ht="22">
      <c r="I191" s="40"/>
      <c r="J191" s="40"/>
      <c r="M191" s="26" t="s">
        <v>54</v>
      </c>
      <c r="N191" s="25" t="s">
        <v>55</v>
      </c>
      <c r="O191" s="26"/>
      <c r="P191" s="26" t="s">
        <v>263</v>
      </c>
      <c r="Q191" s="26"/>
      <c r="R191" s="5"/>
      <c r="S191" s="5"/>
      <c r="T191" s="5"/>
      <c r="U191" s="5"/>
      <c r="V191" s="5"/>
      <c r="W191" s="5"/>
      <c r="X191" s="5"/>
      <c r="Y191" s="5"/>
    </row>
    <row r="192" spans="9:25" ht="44">
      <c r="I192" s="40"/>
      <c r="J192" s="40"/>
      <c r="M192" s="26" t="s">
        <v>54</v>
      </c>
      <c r="N192" s="25" t="s">
        <v>51</v>
      </c>
      <c r="O192" s="26" t="s">
        <v>264</v>
      </c>
      <c r="P192" s="26"/>
      <c r="Q192" s="26"/>
      <c r="R192" s="5"/>
      <c r="S192" s="5"/>
      <c r="T192" s="5"/>
      <c r="U192" s="5"/>
      <c r="V192" s="5"/>
      <c r="W192" s="5"/>
      <c r="X192" s="5"/>
      <c r="Y192" s="5"/>
    </row>
    <row r="193" spans="9:25" ht="77">
      <c r="I193" s="40"/>
      <c r="J193" s="40"/>
      <c r="M193" s="26" t="s">
        <v>54</v>
      </c>
      <c r="N193" s="25" t="s">
        <v>51</v>
      </c>
      <c r="O193" s="26" t="s">
        <v>265</v>
      </c>
      <c r="P193" s="26"/>
      <c r="Q193" s="26"/>
      <c r="R193" s="5"/>
      <c r="S193" s="5"/>
      <c r="T193" s="5"/>
      <c r="U193" s="5"/>
      <c r="V193" s="5"/>
      <c r="W193" s="5"/>
      <c r="X193" s="5"/>
      <c r="Y193" s="5"/>
    </row>
    <row r="194" spans="9:25" ht="22">
      <c r="I194" s="40"/>
      <c r="J194" s="40"/>
      <c r="M194" s="26" t="s">
        <v>54</v>
      </c>
      <c r="N194" s="25" t="s">
        <v>51</v>
      </c>
      <c r="O194" s="26" t="s">
        <v>266</v>
      </c>
      <c r="P194" s="26"/>
      <c r="Q194" s="26"/>
      <c r="R194" s="5"/>
      <c r="S194" s="5"/>
      <c r="T194" s="5"/>
      <c r="U194" s="5"/>
      <c r="V194" s="5"/>
      <c r="W194" s="5"/>
      <c r="X194" s="5"/>
      <c r="Y194" s="5"/>
    </row>
    <row r="195" spans="9:25" ht="44">
      <c r="I195" s="40"/>
      <c r="J195" s="40"/>
      <c r="M195" s="26" t="s">
        <v>54</v>
      </c>
      <c r="N195" s="25" t="s">
        <v>55</v>
      </c>
      <c r="O195" s="26"/>
      <c r="P195" s="26" t="s">
        <v>267</v>
      </c>
      <c r="Q195" s="26"/>
      <c r="R195" s="5"/>
      <c r="S195" s="5"/>
      <c r="T195" s="5"/>
      <c r="U195" s="5"/>
      <c r="V195" s="5"/>
      <c r="W195" s="5"/>
      <c r="X195" s="5"/>
      <c r="Y195" s="5"/>
    </row>
    <row r="196" spans="9:25" ht="22">
      <c r="I196" s="40"/>
      <c r="J196" s="40"/>
      <c r="M196" s="26" t="s">
        <v>54</v>
      </c>
      <c r="N196" s="25" t="s">
        <v>51</v>
      </c>
      <c r="O196" s="26" t="s">
        <v>268</v>
      </c>
      <c r="P196" s="26"/>
      <c r="Q196" s="26"/>
      <c r="R196" s="5"/>
      <c r="S196" s="5"/>
      <c r="T196" s="5"/>
      <c r="U196" s="5"/>
      <c r="V196" s="5"/>
      <c r="W196" s="5"/>
      <c r="X196" s="5"/>
      <c r="Y196" s="5"/>
    </row>
    <row r="197" spans="9:25" ht="55">
      <c r="I197" s="40"/>
      <c r="J197" s="40"/>
      <c r="M197" s="26" t="s">
        <v>54</v>
      </c>
      <c r="N197" s="25" t="s">
        <v>55</v>
      </c>
      <c r="O197" s="26"/>
      <c r="P197" s="26" t="s">
        <v>269</v>
      </c>
      <c r="Q197" s="26"/>
      <c r="R197" s="5"/>
      <c r="S197" s="5"/>
      <c r="T197" s="5"/>
      <c r="U197" s="5"/>
      <c r="V197" s="5"/>
      <c r="W197" s="5"/>
      <c r="X197" s="5"/>
      <c r="Y197" s="5"/>
    </row>
    <row r="198" spans="9:25" ht="33">
      <c r="I198" s="40"/>
      <c r="J198" s="40"/>
      <c r="M198" s="26" t="s">
        <v>54</v>
      </c>
      <c r="N198" s="25" t="s">
        <v>55</v>
      </c>
      <c r="O198" s="26"/>
      <c r="P198" s="26" t="s">
        <v>270</v>
      </c>
      <c r="Q198" s="26"/>
      <c r="R198" s="5"/>
      <c r="S198" s="5"/>
      <c r="T198" s="5"/>
      <c r="U198" s="5"/>
      <c r="V198" s="5"/>
      <c r="W198" s="5"/>
      <c r="X198" s="5"/>
      <c r="Y198" s="5"/>
    </row>
    <row r="199" spans="9:25" ht="22">
      <c r="I199" s="40"/>
      <c r="J199" s="40"/>
      <c r="M199" s="26" t="s">
        <v>54</v>
      </c>
      <c r="N199" s="25" t="s">
        <v>51</v>
      </c>
      <c r="O199" s="26" t="s">
        <v>271</v>
      </c>
      <c r="P199" s="26"/>
      <c r="Q199" s="26"/>
      <c r="R199" s="5"/>
      <c r="S199" s="5"/>
      <c r="T199" s="5"/>
      <c r="U199" s="5"/>
      <c r="V199" s="5"/>
      <c r="W199" s="5"/>
      <c r="X199" s="5"/>
      <c r="Y199" s="5"/>
    </row>
    <row r="200" spans="9:25" ht="55">
      <c r="I200" s="40"/>
      <c r="J200" s="40"/>
      <c r="M200" s="26" t="s">
        <v>54</v>
      </c>
      <c r="N200" s="25" t="s">
        <v>55</v>
      </c>
      <c r="O200" s="26"/>
      <c r="P200" s="26" t="s">
        <v>272</v>
      </c>
      <c r="Q200" s="26"/>
      <c r="R200" s="5"/>
      <c r="S200" s="5"/>
      <c r="T200" s="5"/>
      <c r="U200" s="5"/>
      <c r="V200" s="5"/>
      <c r="W200" s="5"/>
      <c r="X200" s="5"/>
      <c r="Y200" s="5"/>
    </row>
    <row r="201" spans="9:25" ht="22">
      <c r="I201" s="40"/>
      <c r="J201" s="40"/>
      <c r="M201" s="26" t="s">
        <v>54</v>
      </c>
      <c r="N201" s="25" t="s">
        <v>55</v>
      </c>
      <c r="O201" s="26" t="s">
        <v>273</v>
      </c>
      <c r="P201" s="26"/>
      <c r="Q201" s="26"/>
      <c r="R201" s="5"/>
      <c r="S201" s="5"/>
      <c r="T201" s="5"/>
      <c r="U201" s="5"/>
      <c r="V201" s="5"/>
      <c r="W201" s="5"/>
      <c r="X201" s="5"/>
      <c r="Y201" s="5"/>
    </row>
    <row r="202" spans="9:25" ht="22">
      <c r="I202" s="40"/>
      <c r="J202" s="40"/>
      <c r="M202" s="26" t="s">
        <v>54</v>
      </c>
      <c r="N202" s="25" t="s">
        <v>55</v>
      </c>
      <c r="O202" s="26" t="s">
        <v>274</v>
      </c>
      <c r="P202" s="26"/>
      <c r="Q202" s="26"/>
      <c r="R202" s="5"/>
      <c r="S202" s="5"/>
      <c r="T202" s="5"/>
      <c r="U202" s="5"/>
      <c r="V202" s="5"/>
      <c r="W202" s="5"/>
      <c r="X202" s="5"/>
      <c r="Y202" s="5"/>
    </row>
    <row r="203" spans="9:25" ht="22">
      <c r="I203" s="40"/>
      <c r="J203" s="40"/>
      <c r="M203" s="26" t="s">
        <v>54</v>
      </c>
      <c r="N203" s="25" t="s">
        <v>55</v>
      </c>
      <c r="O203" s="26" t="s">
        <v>275</v>
      </c>
      <c r="P203" s="26"/>
      <c r="Q203" s="26"/>
      <c r="R203" s="5"/>
      <c r="S203" s="5"/>
      <c r="T203" s="5"/>
      <c r="U203" s="5"/>
      <c r="V203" s="5"/>
      <c r="W203" s="5"/>
      <c r="X203" s="5"/>
      <c r="Y203" s="5"/>
    </row>
    <row r="204" spans="9:25" ht="22">
      <c r="I204" s="40"/>
      <c r="J204" s="40"/>
      <c r="M204" s="26" t="s">
        <v>54</v>
      </c>
      <c r="N204" s="25" t="s">
        <v>51</v>
      </c>
      <c r="O204" s="26" t="s">
        <v>276</v>
      </c>
      <c r="P204" s="26"/>
      <c r="Q204" s="26"/>
      <c r="R204" s="5"/>
      <c r="S204" s="5"/>
      <c r="T204" s="5"/>
      <c r="U204" s="5"/>
      <c r="V204" s="5"/>
      <c r="W204" s="5"/>
      <c r="X204" s="5"/>
      <c r="Y204" s="5"/>
    </row>
    <row r="205" spans="9:25" ht="33">
      <c r="I205" s="40"/>
      <c r="J205" s="40"/>
      <c r="M205" s="26" t="s">
        <v>54</v>
      </c>
      <c r="N205" s="25" t="s">
        <v>55</v>
      </c>
      <c r="O205" s="26"/>
      <c r="P205" s="26" t="s">
        <v>238</v>
      </c>
      <c r="Q205" s="26"/>
      <c r="R205" s="5"/>
      <c r="S205" s="5"/>
      <c r="T205" s="5"/>
      <c r="U205" s="5"/>
      <c r="V205" s="5"/>
      <c r="W205" s="5"/>
      <c r="X205" s="5"/>
      <c r="Y205" s="5"/>
    </row>
    <row r="206" spans="9:25" ht="22">
      <c r="I206" s="40"/>
      <c r="J206" s="40"/>
      <c r="M206" s="26" t="s">
        <v>54</v>
      </c>
      <c r="N206" s="25" t="s">
        <v>55</v>
      </c>
      <c r="O206" s="26"/>
      <c r="P206" s="26" t="s">
        <v>277</v>
      </c>
      <c r="Q206" s="26"/>
      <c r="R206" s="5"/>
      <c r="S206" s="5"/>
      <c r="T206" s="5"/>
      <c r="U206" s="5"/>
      <c r="V206" s="5"/>
      <c r="W206" s="5"/>
      <c r="X206" s="5"/>
      <c r="Y206" s="5"/>
    </row>
    <row r="207" spans="9:25" ht="22">
      <c r="I207" s="40"/>
      <c r="J207" s="40"/>
      <c r="M207" s="26" t="s">
        <v>54</v>
      </c>
      <c r="N207" s="25" t="s">
        <v>51</v>
      </c>
      <c r="O207" s="26" t="s">
        <v>278</v>
      </c>
      <c r="P207" s="26"/>
      <c r="Q207" s="26"/>
      <c r="R207" s="5"/>
      <c r="S207" s="5"/>
      <c r="T207" s="5"/>
      <c r="U207" s="5"/>
      <c r="V207" s="5"/>
      <c r="W207" s="5"/>
      <c r="X207" s="5"/>
      <c r="Y207" s="5"/>
    </row>
    <row r="208" spans="9:25" ht="22">
      <c r="I208" s="40"/>
      <c r="J208" s="40"/>
      <c r="M208" s="26" t="s">
        <v>54</v>
      </c>
      <c r="N208" s="25" t="s">
        <v>55</v>
      </c>
      <c r="O208" s="26"/>
      <c r="P208" s="26" t="s">
        <v>279</v>
      </c>
      <c r="Q208" s="26"/>
      <c r="R208" s="5"/>
      <c r="S208" s="5"/>
      <c r="T208" s="5"/>
      <c r="U208" s="5"/>
      <c r="V208" s="5"/>
      <c r="W208" s="5"/>
      <c r="X208" s="5"/>
      <c r="Y208" s="5"/>
    </row>
    <row r="209" spans="9:25" ht="22">
      <c r="I209" s="40"/>
      <c r="J209" s="40"/>
      <c r="M209" s="26" t="s">
        <v>54</v>
      </c>
      <c r="N209" s="25" t="s">
        <v>51</v>
      </c>
      <c r="O209" s="26" t="s">
        <v>280</v>
      </c>
      <c r="P209" s="26"/>
      <c r="Q209" s="26"/>
      <c r="R209" s="5"/>
      <c r="S209" s="5"/>
      <c r="T209" s="5"/>
      <c r="U209" s="5"/>
      <c r="V209" s="5"/>
      <c r="W209" s="5"/>
      <c r="X209" s="5"/>
      <c r="Y209" s="5"/>
    </row>
    <row r="210" spans="9:25" ht="22">
      <c r="I210" s="40"/>
      <c r="J210" s="40"/>
      <c r="M210" s="26" t="s">
        <v>54</v>
      </c>
      <c r="N210" s="25" t="s">
        <v>55</v>
      </c>
      <c r="O210" s="26"/>
      <c r="P210" s="26" t="s">
        <v>281</v>
      </c>
      <c r="Q210" s="26"/>
      <c r="R210" s="5"/>
      <c r="S210" s="5"/>
      <c r="T210" s="5"/>
      <c r="U210" s="5"/>
      <c r="V210" s="5"/>
      <c r="W210" s="5"/>
      <c r="X210" s="5"/>
      <c r="Y210" s="5"/>
    </row>
    <row r="211" spans="9:25" ht="22">
      <c r="I211" s="40"/>
      <c r="J211" s="40"/>
      <c r="M211" s="26" t="s">
        <v>54</v>
      </c>
      <c r="N211" s="25" t="s">
        <v>55</v>
      </c>
      <c r="O211" s="26"/>
      <c r="P211" s="26" t="s">
        <v>282</v>
      </c>
      <c r="Q211" s="26"/>
      <c r="R211" s="5"/>
      <c r="S211" s="5"/>
      <c r="T211" s="5"/>
      <c r="U211" s="5"/>
      <c r="V211" s="5"/>
      <c r="W211" s="5"/>
      <c r="X211" s="5"/>
      <c r="Y211" s="5"/>
    </row>
    <row r="212" spans="9:25" ht="22">
      <c r="I212" s="40"/>
      <c r="J212" s="40"/>
      <c r="M212" s="26" t="s">
        <v>54</v>
      </c>
      <c r="N212" s="25" t="s">
        <v>55</v>
      </c>
      <c r="O212" s="26"/>
      <c r="P212" s="26" t="s">
        <v>283</v>
      </c>
      <c r="Q212" s="26"/>
      <c r="R212" s="5"/>
      <c r="S212" s="5"/>
      <c r="T212" s="5"/>
      <c r="U212" s="5"/>
      <c r="V212" s="5"/>
      <c r="W212" s="5"/>
      <c r="X212" s="5"/>
      <c r="Y212" s="5"/>
    </row>
    <row r="213" spans="9:25" ht="22">
      <c r="I213" s="40"/>
      <c r="J213" s="40"/>
      <c r="M213" s="26" t="s">
        <v>54</v>
      </c>
      <c r="N213" s="25" t="s">
        <v>51</v>
      </c>
      <c r="O213" s="26" t="s">
        <v>284</v>
      </c>
      <c r="P213" s="26"/>
      <c r="Q213" s="26"/>
      <c r="R213" s="5"/>
      <c r="S213" s="5"/>
      <c r="T213" s="5"/>
      <c r="U213" s="5"/>
      <c r="V213" s="5"/>
      <c r="W213" s="5"/>
      <c r="X213" s="5"/>
      <c r="Y213" s="5"/>
    </row>
    <row r="214" spans="9:25" ht="33">
      <c r="I214" s="40"/>
      <c r="J214" s="40"/>
      <c r="M214" s="26" t="s">
        <v>54</v>
      </c>
      <c r="N214" s="25" t="s">
        <v>55</v>
      </c>
      <c r="O214" s="26"/>
      <c r="P214" s="26" t="s">
        <v>285</v>
      </c>
      <c r="Q214" s="26"/>
      <c r="R214" s="5"/>
      <c r="S214" s="5"/>
      <c r="T214" s="5"/>
      <c r="U214" s="5"/>
      <c r="V214" s="5"/>
      <c r="W214" s="5"/>
      <c r="X214" s="5"/>
      <c r="Y214" s="5"/>
    </row>
    <row r="215" spans="9:25" ht="44">
      <c r="I215" s="40"/>
      <c r="J215" s="40"/>
      <c r="M215" s="26" t="s">
        <v>54</v>
      </c>
      <c r="N215" s="25" t="s">
        <v>55</v>
      </c>
      <c r="O215" s="26"/>
      <c r="P215" s="26" t="s">
        <v>286</v>
      </c>
      <c r="Q215" s="26"/>
      <c r="R215" s="5"/>
      <c r="S215" s="5"/>
      <c r="T215" s="5"/>
      <c r="U215" s="5"/>
      <c r="V215" s="5"/>
      <c r="W215" s="5"/>
      <c r="X215" s="5"/>
      <c r="Y215" s="5"/>
    </row>
    <row r="216" spans="9:25" ht="44">
      <c r="I216" s="40"/>
      <c r="J216" s="40"/>
      <c r="M216" s="26" t="s">
        <v>54</v>
      </c>
      <c r="N216" s="25" t="s">
        <v>55</v>
      </c>
      <c r="O216" s="26"/>
      <c r="P216" s="26" t="s">
        <v>287</v>
      </c>
      <c r="Q216" s="26"/>
      <c r="R216" s="5"/>
      <c r="S216" s="5"/>
      <c r="T216" s="5"/>
      <c r="U216" s="5"/>
      <c r="V216" s="5"/>
      <c r="W216" s="5"/>
      <c r="X216" s="5"/>
      <c r="Y216" s="5"/>
    </row>
    <row r="217" spans="9:25" ht="22">
      <c r="I217" s="40"/>
      <c r="J217" s="40"/>
      <c r="M217" s="26" t="s">
        <v>54</v>
      </c>
      <c r="N217" s="25" t="s">
        <v>51</v>
      </c>
      <c r="O217" s="26" t="s">
        <v>288</v>
      </c>
      <c r="P217" s="26"/>
      <c r="Q217" s="26"/>
      <c r="R217" s="5"/>
      <c r="S217" s="5"/>
      <c r="T217" s="5"/>
      <c r="U217" s="5"/>
      <c r="V217" s="5"/>
      <c r="W217" s="5"/>
      <c r="X217" s="5"/>
      <c r="Y217" s="5"/>
    </row>
    <row r="218" spans="9:25" ht="44">
      <c r="I218" s="40"/>
      <c r="J218" s="40"/>
      <c r="M218" s="26" t="s">
        <v>54</v>
      </c>
      <c r="N218" s="25" t="s">
        <v>55</v>
      </c>
      <c r="O218" s="26"/>
      <c r="P218" s="26" t="s">
        <v>289</v>
      </c>
      <c r="Q218" s="26"/>
      <c r="R218" s="5"/>
      <c r="S218" s="5"/>
      <c r="T218" s="5"/>
      <c r="U218" s="5"/>
      <c r="V218" s="5"/>
      <c r="W218" s="5"/>
      <c r="X218" s="5"/>
      <c r="Y218" s="5"/>
    </row>
    <row r="219" spans="9:25" ht="44">
      <c r="I219" s="40"/>
      <c r="J219" s="40"/>
      <c r="M219" s="26" t="s">
        <v>54</v>
      </c>
      <c r="N219" s="25" t="s">
        <v>55</v>
      </c>
      <c r="O219" s="26"/>
      <c r="P219" s="26" t="s">
        <v>290</v>
      </c>
      <c r="Q219" s="26"/>
      <c r="R219" s="5"/>
      <c r="S219" s="5"/>
      <c r="T219" s="5"/>
      <c r="U219" s="5"/>
      <c r="V219" s="5"/>
      <c r="W219" s="5"/>
      <c r="X219" s="5"/>
      <c r="Y219" s="5"/>
    </row>
    <row r="220" spans="9:25" ht="22">
      <c r="I220" s="40"/>
      <c r="J220" s="40"/>
      <c r="M220" s="26" t="s">
        <v>54</v>
      </c>
      <c r="N220" s="25" t="s">
        <v>55</v>
      </c>
      <c r="O220" s="26"/>
      <c r="P220" s="26" t="s">
        <v>291</v>
      </c>
      <c r="Q220" s="26"/>
      <c r="R220" s="5"/>
      <c r="S220" s="5"/>
      <c r="T220" s="5"/>
      <c r="U220" s="5"/>
      <c r="V220" s="5"/>
      <c r="W220" s="5"/>
      <c r="X220" s="5"/>
      <c r="Y220" s="5"/>
    </row>
    <row r="221" spans="9:25" ht="22">
      <c r="I221" s="40"/>
      <c r="J221" s="40"/>
      <c r="M221" s="26" t="s">
        <v>54</v>
      </c>
      <c r="N221" s="25" t="s">
        <v>51</v>
      </c>
      <c r="O221" s="26" t="s">
        <v>292</v>
      </c>
      <c r="P221" s="26"/>
      <c r="Q221" s="26"/>
      <c r="R221" s="5"/>
      <c r="S221" s="5"/>
      <c r="T221" s="5"/>
      <c r="U221" s="5"/>
      <c r="V221" s="5"/>
      <c r="W221" s="5"/>
      <c r="X221" s="5"/>
      <c r="Y221" s="5"/>
    </row>
    <row r="222" spans="9:25" ht="33">
      <c r="I222" s="40"/>
      <c r="J222" s="40"/>
      <c r="M222" s="26" t="s">
        <v>54</v>
      </c>
      <c r="N222" s="25" t="s">
        <v>55</v>
      </c>
      <c r="O222" s="26"/>
      <c r="P222" s="26" t="s">
        <v>293</v>
      </c>
      <c r="Q222" s="26"/>
      <c r="R222" s="5"/>
      <c r="S222" s="5"/>
      <c r="T222" s="5"/>
      <c r="U222" s="5"/>
      <c r="V222" s="5"/>
      <c r="W222" s="5"/>
      <c r="X222" s="5"/>
      <c r="Y222" s="5"/>
    </row>
    <row r="223" spans="9:25" ht="33">
      <c r="I223" s="40"/>
      <c r="J223" s="40"/>
      <c r="M223" s="26" t="s">
        <v>54</v>
      </c>
      <c r="N223" s="25" t="s">
        <v>55</v>
      </c>
      <c r="O223" s="26" t="s">
        <v>294</v>
      </c>
      <c r="P223" s="26"/>
      <c r="Q223" s="26"/>
      <c r="R223" s="5"/>
      <c r="S223" s="5"/>
      <c r="T223" s="5"/>
      <c r="U223" s="5"/>
      <c r="V223" s="5"/>
      <c r="W223" s="5"/>
      <c r="X223" s="5"/>
      <c r="Y223" s="5"/>
    </row>
    <row r="224" spans="9:25" ht="33">
      <c r="I224" s="40"/>
      <c r="J224" s="40"/>
      <c r="M224" s="26" t="s">
        <v>54</v>
      </c>
      <c r="N224" s="25" t="s">
        <v>55</v>
      </c>
      <c r="O224" s="26" t="s">
        <v>295</v>
      </c>
      <c r="P224" s="26"/>
      <c r="Q224" s="26"/>
      <c r="R224" s="5"/>
      <c r="S224" s="5"/>
      <c r="T224" s="5"/>
      <c r="U224" s="5"/>
      <c r="V224" s="5"/>
      <c r="W224" s="5"/>
      <c r="X224" s="5"/>
      <c r="Y224" s="5"/>
    </row>
    <row r="225" spans="9:25" ht="44">
      <c r="I225" s="40"/>
      <c r="J225" s="40"/>
      <c r="M225" s="26" t="s">
        <v>54</v>
      </c>
      <c r="N225" s="25" t="s">
        <v>55</v>
      </c>
      <c r="O225" s="26" t="s">
        <v>296</v>
      </c>
      <c r="P225" s="26"/>
      <c r="Q225" s="26"/>
      <c r="R225" s="5"/>
      <c r="S225" s="5"/>
      <c r="T225" s="5"/>
      <c r="U225" s="5"/>
      <c r="V225" s="5"/>
      <c r="W225" s="5"/>
      <c r="X225" s="5"/>
      <c r="Y225" s="5"/>
    </row>
    <row r="226" spans="9:25" ht="33">
      <c r="I226" s="40"/>
      <c r="J226" s="40"/>
      <c r="M226" s="26" t="s">
        <v>54</v>
      </c>
      <c r="N226" s="25" t="s">
        <v>55</v>
      </c>
      <c r="O226" s="26" t="s">
        <v>297</v>
      </c>
      <c r="P226" s="26"/>
      <c r="Q226" s="26"/>
      <c r="R226" s="5"/>
      <c r="S226" s="5"/>
      <c r="T226" s="5"/>
      <c r="U226" s="5"/>
      <c r="V226" s="5"/>
      <c r="W226" s="5"/>
      <c r="X226" s="5"/>
      <c r="Y226" s="5"/>
    </row>
    <row r="227" spans="9:25" ht="22">
      <c r="I227" s="40"/>
      <c r="J227" s="40"/>
      <c r="M227" s="26" t="s">
        <v>54</v>
      </c>
      <c r="N227" s="25" t="s">
        <v>51</v>
      </c>
      <c r="O227" s="26" t="s">
        <v>298</v>
      </c>
      <c r="P227" s="26"/>
      <c r="Q227" s="26"/>
      <c r="R227" s="5"/>
      <c r="S227" s="5"/>
      <c r="T227" s="5"/>
      <c r="U227" s="5"/>
      <c r="V227" s="5"/>
      <c r="W227" s="5"/>
      <c r="X227" s="5"/>
      <c r="Y227" s="5"/>
    </row>
    <row r="228" spans="9:25" ht="44">
      <c r="I228" s="40"/>
      <c r="J228" s="40"/>
      <c r="M228" s="26" t="s">
        <v>54</v>
      </c>
      <c r="N228" s="25" t="s">
        <v>55</v>
      </c>
      <c r="O228" s="26"/>
      <c r="P228" s="26" t="s">
        <v>299</v>
      </c>
      <c r="Q228" s="26"/>
      <c r="R228" s="5"/>
      <c r="S228" s="5"/>
      <c r="T228" s="5"/>
      <c r="U228" s="5"/>
      <c r="V228" s="5"/>
      <c r="W228" s="5"/>
      <c r="X228" s="5"/>
      <c r="Y228" s="5"/>
    </row>
    <row r="229" spans="9:25" ht="44">
      <c r="I229" s="40"/>
      <c r="J229" s="40"/>
      <c r="M229" s="26" t="s">
        <v>54</v>
      </c>
      <c r="N229" s="25" t="s">
        <v>55</v>
      </c>
      <c r="O229" s="26"/>
      <c r="P229" s="26" t="s">
        <v>300</v>
      </c>
      <c r="Q229" s="26"/>
      <c r="R229" s="5"/>
      <c r="S229" s="5"/>
      <c r="T229" s="5"/>
      <c r="U229" s="5"/>
      <c r="V229" s="5"/>
      <c r="W229" s="5"/>
      <c r="X229" s="5"/>
      <c r="Y229" s="5"/>
    </row>
    <row r="230" spans="9:25" ht="22">
      <c r="I230" s="40"/>
      <c r="J230" s="40"/>
      <c r="M230" s="26" t="s">
        <v>54</v>
      </c>
      <c r="N230" s="25" t="s">
        <v>66</v>
      </c>
      <c r="O230" s="26" t="s">
        <v>301</v>
      </c>
      <c r="P230" s="26"/>
      <c r="Q230" s="26"/>
      <c r="R230" s="5"/>
      <c r="S230" s="5"/>
      <c r="T230" s="5"/>
      <c r="U230" s="5"/>
      <c r="V230" s="5"/>
      <c r="W230" s="5"/>
      <c r="X230" s="5"/>
      <c r="Y230" s="5"/>
    </row>
    <row r="231" spans="9:25" ht="22">
      <c r="I231" s="40"/>
      <c r="J231" s="40"/>
      <c r="M231" s="26" t="s">
        <v>54</v>
      </c>
      <c r="N231" s="25" t="s">
        <v>51</v>
      </c>
      <c r="O231" s="26" t="s">
        <v>302</v>
      </c>
      <c r="P231" s="26"/>
      <c r="Q231" s="26"/>
      <c r="R231" s="5"/>
      <c r="S231" s="5"/>
      <c r="T231" s="5"/>
      <c r="U231" s="5"/>
      <c r="V231" s="5"/>
      <c r="W231" s="5"/>
      <c r="X231" s="5"/>
      <c r="Y231" s="5"/>
    </row>
    <row r="232" spans="9:25" ht="22">
      <c r="I232" s="40"/>
      <c r="J232" s="40"/>
      <c r="M232" s="26" t="s">
        <v>54</v>
      </c>
      <c r="N232" s="25" t="s">
        <v>55</v>
      </c>
      <c r="O232" s="26"/>
      <c r="P232" s="26" t="s">
        <v>277</v>
      </c>
      <c r="Q232" s="26"/>
      <c r="R232" s="5"/>
      <c r="S232" s="5"/>
      <c r="T232" s="5"/>
      <c r="U232" s="5"/>
      <c r="V232" s="5"/>
      <c r="W232" s="5"/>
      <c r="X232" s="5"/>
      <c r="Y232" s="5"/>
    </row>
    <row r="233" spans="9:25" ht="66">
      <c r="I233" s="40"/>
      <c r="J233" s="40"/>
      <c r="M233" s="26" t="s">
        <v>54</v>
      </c>
      <c r="N233" s="25" t="s">
        <v>77</v>
      </c>
      <c r="O233" s="26" t="s">
        <v>303</v>
      </c>
      <c r="P233" s="26"/>
      <c r="Q233" s="26"/>
      <c r="R233" s="5"/>
      <c r="S233" s="5"/>
      <c r="T233" s="5"/>
      <c r="U233" s="5"/>
      <c r="V233" s="5"/>
      <c r="W233" s="5"/>
      <c r="X233" s="5"/>
      <c r="Y233" s="5"/>
    </row>
    <row r="234" spans="9:25" ht="22">
      <c r="I234" s="40"/>
      <c r="J234" s="40"/>
      <c r="M234" s="26" t="s">
        <v>82</v>
      </c>
      <c r="N234" s="25" t="s">
        <v>57</v>
      </c>
      <c r="O234" s="26" t="s">
        <v>304</v>
      </c>
      <c r="P234" s="26"/>
      <c r="Q234" s="26"/>
      <c r="R234" s="5"/>
      <c r="S234" s="5"/>
      <c r="T234" s="5"/>
      <c r="U234" s="5"/>
      <c r="V234" s="5"/>
      <c r="W234" s="5"/>
      <c r="X234" s="5"/>
      <c r="Y234" s="5"/>
    </row>
    <row r="235" spans="9:25" ht="22">
      <c r="I235" s="40"/>
      <c r="J235" s="40"/>
      <c r="M235" s="26" t="s">
        <v>82</v>
      </c>
      <c r="N235" s="25" t="s">
        <v>57</v>
      </c>
      <c r="O235" s="26" t="s">
        <v>305</v>
      </c>
      <c r="P235" s="26"/>
      <c r="Q235" s="26"/>
      <c r="R235" s="5"/>
      <c r="S235" s="5"/>
      <c r="T235" s="5"/>
      <c r="U235" s="5"/>
      <c r="V235" s="5"/>
      <c r="W235" s="5"/>
      <c r="X235" s="5"/>
      <c r="Y235" s="5"/>
    </row>
    <row r="236" spans="9:25" ht="22">
      <c r="I236" s="40"/>
      <c r="J236" s="40"/>
      <c r="M236" s="26" t="s">
        <v>82</v>
      </c>
      <c r="N236" s="25" t="s">
        <v>57</v>
      </c>
      <c r="O236" s="26" t="s">
        <v>306</v>
      </c>
      <c r="P236" s="26"/>
      <c r="Q236" s="26"/>
      <c r="R236" s="5"/>
      <c r="S236" s="5"/>
      <c r="T236" s="5"/>
      <c r="U236" s="5"/>
      <c r="V236" s="5"/>
      <c r="W236" s="5"/>
      <c r="X236" s="5"/>
      <c r="Y236" s="5"/>
    </row>
    <row r="237" spans="9:25" ht="22">
      <c r="I237" s="40"/>
      <c r="J237" s="40"/>
      <c r="M237" s="26" t="s">
        <v>82</v>
      </c>
      <c r="N237" s="25" t="s">
        <v>57</v>
      </c>
      <c r="O237" s="26" t="s">
        <v>307</v>
      </c>
      <c r="P237" s="26"/>
      <c r="Q237" s="26"/>
      <c r="R237" s="5"/>
      <c r="S237" s="5"/>
      <c r="T237" s="5"/>
      <c r="U237" s="5"/>
      <c r="V237" s="5"/>
      <c r="W237" s="5"/>
      <c r="X237" s="5"/>
      <c r="Y237" s="5"/>
    </row>
    <row r="238" spans="9:25" ht="33">
      <c r="I238" s="40"/>
      <c r="J238" s="40"/>
      <c r="M238" s="26" t="s">
        <v>82</v>
      </c>
      <c r="N238" s="25" t="s">
        <v>65</v>
      </c>
      <c r="O238" s="26" t="s">
        <v>308</v>
      </c>
      <c r="P238" s="26"/>
      <c r="Q238" s="26"/>
      <c r="R238" s="5"/>
      <c r="S238" s="5"/>
      <c r="T238" s="5"/>
      <c r="U238" s="5"/>
      <c r="V238" s="5"/>
      <c r="W238" s="5"/>
      <c r="X238" s="5"/>
      <c r="Y238" s="5"/>
    </row>
    <row r="239" spans="9:25" ht="22">
      <c r="I239" s="40"/>
      <c r="J239" s="40"/>
      <c r="M239" s="26" t="s">
        <v>82</v>
      </c>
      <c r="N239" s="25" t="s">
        <v>66</v>
      </c>
      <c r="O239" s="26" t="s">
        <v>309</v>
      </c>
      <c r="P239" s="26"/>
      <c r="Q239" s="26"/>
      <c r="R239" s="5"/>
      <c r="S239" s="5"/>
      <c r="T239" s="5"/>
      <c r="U239" s="5"/>
      <c r="V239" s="5"/>
      <c r="W239" s="5"/>
      <c r="X239" s="5"/>
      <c r="Y239" s="5"/>
    </row>
    <row r="240" spans="9:25" ht="22">
      <c r="I240" s="40"/>
      <c r="J240" s="40"/>
      <c r="M240" s="26" t="s">
        <v>83</v>
      </c>
      <c r="N240" s="25" t="s">
        <v>65</v>
      </c>
      <c r="O240" s="26" t="s">
        <v>310</v>
      </c>
      <c r="P240" s="26"/>
      <c r="Q240" s="26"/>
      <c r="R240" s="5"/>
      <c r="S240" s="5"/>
      <c r="T240" s="5"/>
      <c r="U240" s="5"/>
      <c r="V240" s="5"/>
      <c r="W240" s="5"/>
      <c r="X240" s="5"/>
      <c r="Y240" s="5"/>
    </row>
    <row r="241" spans="9:25" ht="33">
      <c r="I241" s="40"/>
      <c r="J241" s="40"/>
      <c r="M241" s="26" t="s">
        <v>83</v>
      </c>
      <c r="N241" s="25" t="s">
        <v>66</v>
      </c>
      <c r="O241" s="26" t="s">
        <v>311</v>
      </c>
      <c r="P241" s="26"/>
      <c r="Q241" s="26"/>
      <c r="R241" s="5"/>
      <c r="S241" s="5"/>
      <c r="T241" s="5"/>
      <c r="U241" s="5"/>
      <c r="V241" s="5"/>
      <c r="W241" s="5"/>
      <c r="X241" s="5"/>
      <c r="Y241" s="5"/>
    </row>
    <row r="242" spans="9:25" ht="33">
      <c r="I242" s="40"/>
      <c r="J242" s="40"/>
      <c r="M242" s="26" t="s">
        <v>83</v>
      </c>
      <c r="N242" s="25" t="s">
        <v>78</v>
      </c>
      <c r="O242" s="26" t="s">
        <v>312</v>
      </c>
      <c r="P242" s="26"/>
      <c r="Q242" s="26"/>
      <c r="R242" s="5"/>
      <c r="S242" s="5"/>
      <c r="T242" s="5"/>
      <c r="U242" s="5"/>
      <c r="V242" s="5"/>
      <c r="W242" s="5"/>
      <c r="X242" s="5"/>
      <c r="Y242" s="5"/>
    </row>
    <row r="243" spans="9:25" ht="22">
      <c r="I243" s="40"/>
      <c r="J243" s="40"/>
      <c r="M243" s="26" t="s">
        <v>74</v>
      </c>
      <c r="N243" s="25" t="s">
        <v>65</v>
      </c>
      <c r="O243" s="26" t="s">
        <v>313</v>
      </c>
      <c r="P243" s="26"/>
      <c r="Q243" s="26"/>
      <c r="R243" s="5"/>
      <c r="S243" s="5"/>
      <c r="T243" s="5"/>
      <c r="U243" s="5"/>
      <c r="V243" s="5"/>
      <c r="W243" s="5"/>
      <c r="X243" s="5"/>
      <c r="Y243" s="5"/>
    </row>
    <row r="244" spans="9:25" ht="22">
      <c r="I244" s="40"/>
      <c r="J244" s="40"/>
      <c r="M244" s="26" t="s">
        <v>74</v>
      </c>
      <c r="N244" s="25" t="s">
        <v>65</v>
      </c>
      <c r="O244" s="26" t="s">
        <v>313</v>
      </c>
      <c r="P244" s="26"/>
      <c r="Q244" s="26"/>
      <c r="R244" s="5"/>
      <c r="S244" s="5"/>
      <c r="T244" s="5"/>
      <c r="U244" s="5"/>
      <c r="V244" s="5"/>
      <c r="W244" s="5"/>
      <c r="X244" s="5"/>
      <c r="Y244" s="5"/>
    </row>
    <row r="245" spans="9:25" ht="22">
      <c r="I245" s="40"/>
      <c r="J245" s="40"/>
      <c r="M245" s="26" t="s">
        <v>74</v>
      </c>
      <c r="N245" s="25" t="s">
        <v>65</v>
      </c>
      <c r="O245" s="26" t="s">
        <v>314</v>
      </c>
      <c r="P245" s="26"/>
      <c r="Q245" s="26"/>
      <c r="R245" s="5"/>
      <c r="S245" s="5"/>
      <c r="T245" s="5"/>
      <c r="U245" s="5"/>
      <c r="V245" s="5"/>
      <c r="W245" s="5"/>
      <c r="X245" s="5"/>
      <c r="Y245" s="5"/>
    </row>
    <row r="246" spans="9:25" ht="22">
      <c r="I246" s="40"/>
      <c r="J246" s="40"/>
      <c r="M246" s="26" t="s">
        <v>74</v>
      </c>
      <c r="N246" s="25" t="s">
        <v>65</v>
      </c>
      <c r="O246" s="26" t="s">
        <v>314</v>
      </c>
      <c r="P246" s="26"/>
      <c r="Q246" s="26"/>
      <c r="R246" s="5"/>
      <c r="S246" s="5"/>
      <c r="T246" s="5"/>
      <c r="U246" s="5"/>
      <c r="V246" s="5"/>
      <c r="W246" s="5"/>
      <c r="X246" s="5"/>
      <c r="Y246" s="5"/>
    </row>
    <row r="247" spans="9:25" ht="22">
      <c r="I247" s="40"/>
      <c r="J247" s="40"/>
      <c r="M247" s="26" t="s">
        <v>74</v>
      </c>
      <c r="N247" s="25" t="s">
        <v>66</v>
      </c>
      <c r="O247" s="26" t="s">
        <v>315</v>
      </c>
      <c r="P247" s="26"/>
      <c r="Q247" s="26"/>
      <c r="R247" s="5"/>
      <c r="S247" s="5"/>
      <c r="T247" s="5"/>
      <c r="U247" s="5"/>
      <c r="V247" s="5"/>
      <c r="W247" s="5"/>
      <c r="X247" s="5"/>
      <c r="Y247" s="5"/>
    </row>
    <row r="248" spans="9:25" ht="22">
      <c r="I248" s="40"/>
      <c r="J248" s="40"/>
      <c r="M248" s="26" t="s">
        <v>76</v>
      </c>
      <c r="N248" s="25" t="s">
        <v>75</v>
      </c>
      <c r="O248" s="26" t="s">
        <v>316</v>
      </c>
      <c r="P248" s="26"/>
      <c r="Q248" s="26"/>
      <c r="R248" s="5"/>
      <c r="S248" s="5"/>
      <c r="T248" s="5"/>
      <c r="U248" s="5"/>
      <c r="V248" s="5"/>
      <c r="W248" s="5"/>
      <c r="X248" s="5"/>
      <c r="Y248" s="5"/>
    </row>
    <row r="249" spans="9:25" ht="66">
      <c r="I249" s="40"/>
      <c r="J249" s="40"/>
      <c r="M249" s="26" t="s">
        <v>76</v>
      </c>
      <c r="N249" s="25" t="s">
        <v>75</v>
      </c>
      <c r="O249" s="26" t="s">
        <v>317</v>
      </c>
      <c r="P249" s="26"/>
      <c r="Q249" s="26"/>
      <c r="R249" s="5"/>
      <c r="S249" s="5"/>
      <c r="T249" s="5"/>
      <c r="U249" s="5"/>
      <c r="V249" s="5"/>
      <c r="W249" s="5"/>
      <c r="X249" s="5"/>
      <c r="Y249" s="5"/>
    </row>
    <row r="250" spans="9:25" ht="22">
      <c r="I250" s="40"/>
      <c r="J250" s="40"/>
      <c r="M250" s="26" t="s">
        <v>52</v>
      </c>
      <c r="N250" s="25" t="s">
        <v>64</v>
      </c>
      <c r="O250" s="26" t="s">
        <v>318</v>
      </c>
      <c r="P250" s="26"/>
      <c r="Q250" s="26"/>
      <c r="R250" s="5"/>
      <c r="S250" s="5"/>
      <c r="T250" s="5"/>
      <c r="U250" s="5"/>
      <c r="V250" s="5"/>
      <c r="W250" s="5"/>
      <c r="X250" s="5"/>
      <c r="Y250" s="5"/>
    </row>
    <row r="251" spans="9:25" ht="22">
      <c r="I251" s="40"/>
      <c r="J251" s="40"/>
      <c r="M251" s="26" t="s">
        <v>52</v>
      </c>
      <c r="N251" s="25" t="s">
        <v>64</v>
      </c>
      <c r="O251" s="26" t="s">
        <v>319</v>
      </c>
      <c r="P251" s="26"/>
      <c r="Q251" s="26"/>
      <c r="R251" s="5"/>
      <c r="S251" s="5"/>
      <c r="T251" s="5"/>
      <c r="U251" s="5"/>
      <c r="V251" s="5"/>
      <c r="W251" s="5"/>
      <c r="X251" s="5"/>
      <c r="Y251" s="5"/>
    </row>
    <row r="252" spans="9:25" ht="22">
      <c r="I252" s="40"/>
      <c r="J252" s="40"/>
      <c r="M252" s="26" t="s">
        <v>52</v>
      </c>
      <c r="N252" s="25" t="s">
        <v>64</v>
      </c>
      <c r="O252" s="26" t="s">
        <v>320</v>
      </c>
      <c r="P252" s="26"/>
      <c r="Q252" s="26"/>
      <c r="R252" s="5"/>
      <c r="S252" s="5"/>
      <c r="T252" s="5"/>
      <c r="U252" s="5"/>
      <c r="V252" s="5"/>
      <c r="W252" s="5"/>
      <c r="X252" s="5"/>
      <c r="Y252" s="5"/>
    </row>
    <row r="253" spans="9:25" ht="22">
      <c r="I253" s="40"/>
      <c r="J253" s="40"/>
      <c r="M253" s="26" t="s">
        <v>52</v>
      </c>
      <c r="N253" s="25" t="s">
        <v>64</v>
      </c>
      <c r="O253" s="26" t="s">
        <v>321</v>
      </c>
      <c r="P253" s="26"/>
      <c r="Q253" s="26"/>
      <c r="R253" s="5"/>
      <c r="S253" s="5"/>
      <c r="T253" s="5"/>
      <c r="U253" s="5"/>
      <c r="V253" s="5"/>
      <c r="W253" s="5"/>
      <c r="X253" s="5"/>
      <c r="Y253" s="5"/>
    </row>
    <row r="254" spans="9:25" ht="55">
      <c r="I254" s="40"/>
      <c r="J254" s="40"/>
      <c r="M254" s="26" t="s">
        <v>52</v>
      </c>
      <c r="N254" s="25" t="s">
        <v>51</v>
      </c>
      <c r="O254" s="26" t="s">
        <v>322</v>
      </c>
      <c r="P254" s="26"/>
      <c r="Q254" s="26"/>
      <c r="R254" s="5"/>
      <c r="S254" s="5"/>
      <c r="T254" s="5"/>
      <c r="U254" s="5"/>
      <c r="V254" s="5"/>
      <c r="W254" s="5"/>
      <c r="X254" s="5"/>
      <c r="Y254" s="5"/>
    </row>
    <row r="255" spans="9:25" ht="77">
      <c r="I255" s="40"/>
      <c r="J255" s="40"/>
      <c r="M255" s="26" t="s">
        <v>52</v>
      </c>
      <c r="N255" s="25" t="s">
        <v>51</v>
      </c>
      <c r="O255" s="26" t="s">
        <v>323</v>
      </c>
      <c r="P255" s="26"/>
      <c r="Q255" s="26"/>
      <c r="R255" s="5"/>
      <c r="S255" s="5"/>
      <c r="T255" s="5"/>
      <c r="U255" s="5"/>
      <c r="V255" s="5"/>
      <c r="W255" s="5"/>
      <c r="X255" s="5"/>
      <c r="Y255" s="5"/>
    </row>
    <row r="256" spans="9:25" ht="44">
      <c r="I256" s="40"/>
      <c r="J256" s="40"/>
      <c r="M256" s="26" t="s">
        <v>52</v>
      </c>
      <c r="N256" s="25" t="s">
        <v>55</v>
      </c>
      <c r="O256" s="26" t="s">
        <v>324</v>
      </c>
      <c r="P256" s="26"/>
      <c r="Q256" s="26"/>
      <c r="R256" s="5"/>
      <c r="S256" s="5"/>
      <c r="T256" s="5"/>
      <c r="U256" s="5"/>
      <c r="V256" s="5"/>
      <c r="W256" s="5"/>
      <c r="X256" s="5"/>
      <c r="Y256" s="5"/>
    </row>
    <row r="257" spans="9:25" ht="44">
      <c r="I257" s="40"/>
      <c r="J257" s="40"/>
      <c r="M257" s="26" t="s">
        <v>52</v>
      </c>
      <c r="N257" s="25" t="s">
        <v>55</v>
      </c>
      <c r="O257" s="26" t="s">
        <v>325</v>
      </c>
      <c r="P257" s="26"/>
      <c r="Q257" s="26"/>
      <c r="R257" s="5"/>
      <c r="S257" s="5"/>
      <c r="T257" s="5"/>
      <c r="U257" s="5"/>
      <c r="V257" s="5"/>
      <c r="W257" s="5"/>
      <c r="X257" s="5"/>
      <c r="Y257" s="5"/>
    </row>
    <row r="258" spans="9:25" ht="44">
      <c r="I258" s="40"/>
      <c r="J258" s="40"/>
      <c r="M258" s="26" t="s">
        <v>52</v>
      </c>
      <c r="N258" s="25" t="s">
        <v>64</v>
      </c>
      <c r="O258" s="26" t="s">
        <v>326</v>
      </c>
      <c r="P258" s="26"/>
      <c r="Q258" s="26"/>
      <c r="R258" s="5"/>
      <c r="S258" s="5"/>
      <c r="T258" s="5"/>
      <c r="U258" s="5"/>
      <c r="V258" s="5"/>
      <c r="W258" s="5"/>
      <c r="X258" s="5"/>
      <c r="Y258" s="5"/>
    </row>
    <row r="259" spans="9:25" ht="33">
      <c r="I259" s="40"/>
      <c r="J259" s="40"/>
      <c r="M259" s="26" t="s">
        <v>52</v>
      </c>
      <c r="N259" s="25" t="s">
        <v>71</v>
      </c>
      <c r="O259" s="26" t="s">
        <v>327</v>
      </c>
      <c r="P259" s="26"/>
      <c r="Q259" s="26"/>
      <c r="R259" s="5"/>
      <c r="S259" s="5"/>
      <c r="T259" s="5"/>
      <c r="U259" s="5"/>
      <c r="V259" s="5"/>
      <c r="W259" s="5"/>
      <c r="X259" s="5"/>
      <c r="Y259" s="5"/>
    </row>
    <row r="260" spans="9:25" ht="33">
      <c r="I260" s="40"/>
      <c r="J260" s="40"/>
      <c r="M260" s="26" t="s">
        <v>69</v>
      </c>
      <c r="N260" s="25" t="s">
        <v>64</v>
      </c>
      <c r="O260" s="26" t="s">
        <v>328</v>
      </c>
      <c r="P260" s="26"/>
      <c r="Q260" s="26"/>
      <c r="R260" s="5"/>
      <c r="S260" s="5"/>
      <c r="T260" s="5"/>
      <c r="U260" s="5"/>
      <c r="V260" s="5"/>
      <c r="W260" s="5"/>
      <c r="X260" s="5"/>
      <c r="Y260" s="5"/>
    </row>
    <row r="261" spans="9:25" ht="77">
      <c r="I261" s="40"/>
      <c r="J261" s="40"/>
      <c r="M261" s="26" t="s">
        <v>69</v>
      </c>
      <c r="N261" s="25" t="s">
        <v>68</v>
      </c>
      <c r="O261" s="26" t="s">
        <v>329</v>
      </c>
      <c r="P261" s="26"/>
      <c r="Q261" s="26"/>
      <c r="R261" s="5"/>
      <c r="S261" s="5"/>
      <c r="T261" s="5"/>
      <c r="U261" s="5"/>
      <c r="V261" s="5"/>
      <c r="W261" s="5"/>
      <c r="X261" s="5"/>
      <c r="Y261" s="5"/>
    </row>
    <row r="262" spans="9:25" ht="99">
      <c r="I262" s="40"/>
      <c r="J262" s="40"/>
      <c r="M262" s="26" t="s">
        <v>56</v>
      </c>
      <c r="N262" s="25" t="s">
        <v>75</v>
      </c>
      <c r="O262" s="26" t="s">
        <v>330</v>
      </c>
      <c r="P262" s="26"/>
      <c r="Q262" s="26"/>
      <c r="R262" s="5"/>
      <c r="S262" s="5"/>
      <c r="T262" s="5"/>
      <c r="U262" s="5"/>
      <c r="V262" s="5"/>
      <c r="W262" s="5"/>
      <c r="X262" s="5"/>
      <c r="Y262" s="5"/>
    </row>
    <row r="263" spans="9:25" ht="99">
      <c r="I263" s="40"/>
      <c r="J263" s="40"/>
      <c r="M263" s="26" t="s">
        <v>56</v>
      </c>
      <c r="N263" s="25" t="s">
        <v>75</v>
      </c>
      <c r="O263" s="26" t="s">
        <v>330</v>
      </c>
      <c r="P263" s="26"/>
      <c r="Q263" s="26"/>
      <c r="R263" s="5"/>
      <c r="S263" s="5"/>
      <c r="T263" s="5"/>
      <c r="U263" s="5"/>
      <c r="V263" s="5"/>
      <c r="W263" s="5"/>
      <c r="X263" s="5"/>
      <c r="Y263" s="5"/>
    </row>
    <row r="264" spans="9:25" ht="99">
      <c r="I264" s="40"/>
      <c r="J264" s="40"/>
      <c r="M264" s="26" t="s">
        <v>56</v>
      </c>
      <c r="N264" s="25" t="s">
        <v>75</v>
      </c>
      <c r="O264" s="26" t="s">
        <v>331</v>
      </c>
      <c r="P264" s="26"/>
      <c r="Q264" s="26"/>
      <c r="R264" s="5"/>
      <c r="S264" s="5"/>
      <c r="T264" s="5"/>
      <c r="U264" s="5"/>
      <c r="V264" s="5"/>
      <c r="W264" s="5"/>
      <c r="X264" s="5"/>
      <c r="Y264" s="5"/>
    </row>
    <row r="265" spans="9:25" ht="99">
      <c r="I265" s="40"/>
      <c r="J265" s="40"/>
      <c r="M265" s="26" t="s">
        <v>56</v>
      </c>
      <c r="N265" s="25" t="s">
        <v>75</v>
      </c>
      <c r="O265" s="26" t="s">
        <v>330</v>
      </c>
      <c r="P265" s="26"/>
      <c r="Q265" s="26"/>
      <c r="R265" s="5"/>
      <c r="S265" s="5"/>
      <c r="T265" s="5"/>
      <c r="U265" s="5"/>
      <c r="V265" s="5"/>
      <c r="W265" s="5"/>
      <c r="X265" s="5"/>
      <c r="Y265" s="5"/>
    </row>
    <row r="266" spans="9:25" ht="99">
      <c r="I266" s="40"/>
      <c r="J266" s="40"/>
      <c r="M266" s="26" t="s">
        <v>56</v>
      </c>
      <c r="N266" s="25" t="s">
        <v>75</v>
      </c>
      <c r="O266" s="26" t="s">
        <v>332</v>
      </c>
      <c r="P266" s="26"/>
      <c r="Q266" s="26"/>
      <c r="R266" s="5"/>
      <c r="S266" s="5"/>
      <c r="T266" s="5"/>
      <c r="U266" s="5"/>
      <c r="V266" s="5"/>
      <c r="W266" s="5"/>
      <c r="X266" s="5"/>
      <c r="Y266" s="5"/>
    </row>
    <row r="267" spans="9:25" ht="99">
      <c r="I267" s="40"/>
      <c r="J267" s="40"/>
      <c r="M267" s="26" t="s">
        <v>56</v>
      </c>
      <c r="N267" s="25" t="s">
        <v>75</v>
      </c>
      <c r="O267" s="26" t="s">
        <v>330</v>
      </c>
      <c r="P267" s="26"/>
      <c r="Q267" s="26"/>
      <c r="R267" s="5"/>
      <c r="S267" s="5"/>
      <c r="T267" s="5"/>
      <c r="U267" s="5"/>
      <c r="V267" s="5"/>
      <c r="W267" s="5"/>
      <c r="X267" s="5"/>
      <c r="Y267" s="5"/>
    </row>
    <row r="268" spans="9:25" ht="99">
      <c r="I268" s="40"/>
      <c r="J268" s="40"/>
      <c r="M268" s="26" t="s">
        <v>56</v>
      </c>
      <c r="N268" s="25" t="s">
        <v>75</v>
      </c>
      <c r="O268" s="26" t="s">
        <v>333</v>
      </c>
      <c r="P268" s="26"/>
      <c r="Q268" s="26"/>
      <c r="R268" s="5"/>
      <c r="S268" s="5"/>
      <c r="T268" s="5"/>
      <c r="U268" s="5"/>
      <c r="V268" s="5"/>
      <c r="W268" s="5"/>
      <c r="X268" s="5"/>
      <c r="Y268" s="5"/>
    </row>
    <row r="269" spans="9:25" ht="99">
      <c r="I269" s="40"/>
      <c r="J269" s="40"/>
      <c r="M269" s="26" t="s">
        <v>56</v>
      </c>
      <c r="N269" s="25" t="s">
        <v>75</v>
      </c>
      <c r="O269" s="26" t="s">
        <v>330</v>
      </c>
      <c r="P269" s="26"/>
      <c r="Q269" s="26"/>
      <c r="R269" s="5"/>
      <c r="S269" s="5"/>
      <c r="T269" s="5"/>
      <c r="U269" s="5"/>
      <c r="V269" s="5"/>
      <c r="W269" s="5"/>
      <c r="X269" s="5"/>
      <c r="Y269" s="5"/>
    </row>
    <row r="270" spans="9:25" ht="99">
      <c r="I270" s="40"/>
      <c r="J270" s="40"/>
      <c r="M270" s="26" t="s">
        <v>56</v>
      </c>
      <c r="N270" s="25" t="s">
        <v>75</v>
      </c>
      <c r="O270" s="26" t="s">
        <v>334</v>
      </c>
      <c r="P270" s="26"/>
      <c r="Q270" s="26"/>
      <c r="R270" s="5"/>
      <c r="S270" s="5"/>
      <c r="T270" s="5"/>
      <c r="U270" s="5"/>
      <c r="V270" s="5"/>
      <c r="W270" s="5"/>
      <c r="X270" s="5"/>
      <c r="Y270" s="5"/>
    </row>
    <row r="271" spans="9:25" ht="44">
      <c r="I271" s="40"/>
      <c r="J271" s="40"/>
      <c r="M271" s="26" t="s">
        <v>56</v>
      </c>
      <c r="N271" s="25" t="s">
        <v>57</v>
      </c>
      <c r="O271" s="26" t="s">
        <v>335</v>
      </c>
      <c r="P271" s="26"/>
      <c r="Q271" s="26"/>
      <c r="R271" s="5"/>
      <c r="S271" s="5"/>
      <c r="T271" s="5"/>
      <c r="U271" s="5"/>
      <c r="V271" s="5"/>
      <c r="W271" s="5"/>
      <c r="X271" s="5"/>
      <c r="Y271" s="5"/>
    </row>
    <row r="272" spans="9:25" ht="55">
      <c r="I272" s="40"/>
      <c r="J272" s="40"/>
      <c r="M272" s="26" t="s">
        <v>56</v>
      </c>
      <c r="N272" s="25" t="s">
        <v>55</v>
      </c>
      <c r="O272" s="26" t="s">
        <v>336</v>
      </c>
      <c r="P272" s="26"/>
      <c r="Q272" s="26"/>
      <c r="R272" s="5"/>
      <c r="S272" s="5"/>
      <c r="T272" s="5"/>
      <c r="U272" s="5"/>
      <c r="V272" s="5"/>
      <c r="W272" s="5"/>
      <c r="X272" s="5"/>
      <c r="Y272" s="5"/>
    </row>
    <row r="273" spans="9:25" ht="44">
      <c r="I273" s="40"/>
      <c r="J273" s="40"/>
      <c r="M273" s="26" t="s">
        <v>56</v>
      </c>
      <c r="N273" s="25" t="s">
        <v>55</v>
      </c>
      <c r="O273" s="26" t="s">
        <v>337</v>
      </c>
      <c r="P273" s="26"/>
      <c r="Q273" s="26"/>
      <c r="R273" s="5"/>
      <c r="S273" s="5"/>
      <c r="T273" s="5"/>
      <c r="U273" s="5"/>
      <c r="V273" s="5"/>
      <c r="W273" s="5"/>
      <c r="X273" s="5"/>
      <c r="Y273" s="5"/>
    </row>
    <row r="274" spans="9:25" ht="99">
      <c r="I274" s="40"/>
      <c r="J274" s="40"/>
      <c r="M274" s="26" t="s">
        <v>56</v>
      </c>
      <c r="N274" s="25" t="s">
        <v>75</v>
      </c>
      <c r="O274" s="26" t="s">
        <v>338</v>
      </c>
      <c r="P274" s="26"/>
      <c r="Q274" s="26"/>
      <c r="R274" s="5"/>
      <c r="S274" s="5"/>
      <c r="T274" s="5"/>
      <c r="U274" s="5"/>
      <c r="V274" s="5"/>
      <c r="W274" s="5"/>
      <c r="X274" s="5"/>
      <c r="Y274" s="5"/>
    </row>
    <row r="275" spans="9:25" ht="44">
      <c r="I275" s="40"/>
      <c r="J275" s="40"/>
      <c r="M275" s="26" t="s">
        <v>56</v>
      </c>
      <c r="N275" s="25" t="s">
        <v>55</v>
      </c>
      <c r="O275" s="26" t="s">
        <v>339</v>
      </c>
      <c r="P275" s="26"/>
      <c r="Q275" s="26"/>
      <c r="R275" s="5"/>
      <c r="S275" s="5"/>
      <c r="T275" s="5"/>
      <c r="U275" s="5"/>
      <c r="V275" s="5"/>
      <c r="W275" s="5"/>
      <c r="X275" s="5"/>
      <c r="Y275" s="5"/>
    </row>
    <row r="276" spans="9:25" ht="44">
      <c r="I276" s="40"/>
      <c r="J276" s="40"/>
      <c r="M276" s="26" t="s">
        <v>56</v>
      </c>
      <c r="N276" s="25" t="s">
        <v>55</v>
      </c>
      <c r="O276" s="26" t="s">
        <v>340</v>
      </c>
      <c r="P276" s="26"/>
      <c r="Q276" s="26"/>
      <c r="R276" s="5"/>
      <c r="S276" s="5"/>
      <c r="T276" s="5"/>
      <c r="U276" s="5"/>
      <c r="V276" s="5"/>
      <c r="W276" s="5"/>
      <c r="X276" s="5"/>
      <c r="Y276" s="5"/>
    </row>
    <row r="277" spans="9:25" ht="99">
      <c r="I277" s="40"/>
      <c r="J277" s="40"/>
      <c r="M277" s="26" t="s">
        <v>56</v>
      </c>
      <c r="N277" s="25" t="s">
        <v>75</v>
      </c>
      <c r="O277" s="26" t="s">
        <v>341</v>
      </c>
      <c r="P277" s="26"/>
      <c r="Q277" s="26"/>
      <c r="R277" s="5"/>
      <c r="S277" s="5"/>
      <c r="T277" s="5"/>
      <c r="U277" s="5"/>
      <c r="V277" s="5"/>
      <c r="W277" s="5"/>
      <c r="X277" s="5"/>
      <c r="Y277" s="5"/>
    </row>
    <row r="278" spans="9:25" ht="99">
      <c r="I278" s="40"/>
      <c r="J278" s="40"/>
      <c r="M278" s="26" t="s">
        <v>56</v>
      </c>
      <c r="N278" s="25" t="s">
        <v>75</v>
      </c>
      <c r="O278" s="26" t="s">
        <v>342</v>
      </c>
      <c r="P278" s="26"/>
      <c r="Q278" s="26"/>
      <c r="R278" s="5"/>
      <c r="S278" s="5"/>
      <c r="T278" s="5"/>
      <c r="U278" s="5"/>
      <c r="V278" s="5"/>
      <c r="W278" s="5"/>
      <c r="X278" s="5"/>
      <c r="Y278" s="5"/>
    </row>
    <row r="279" spans="9:25" ht="132">
      <c r="I279" s="40"/>
      <c r="J279" s="40"/>
      <c r="M279" s="26" t="s">
        <v>56</v>
      </c>
      <c r="N279" s="25" t="s">
        <v>75</v>
      </c>
      <c r="O279" s="26" t="s">
        <v>343</v>
      </c>
      <c r="P279" s="26"/>
      <c r="Q279" s="26"/>
      <c r="R279" s="5"/>
      <c r="S279" s="5"/>
      <c r="T279" s="5"/>
      <c r="U279" s="5"/>
      <c r="V279" s="5"/>
      <c r="W279" s="5"/>
      <c r="X279" s="5"/>
      <c r="Y279" s="5"/>
    </row>
    <row r="280" spans="9:25" ht="22">
      <c r="I280" s="40"/>
      <c r="J280" s="40"/>
      <c r="M280" s="26" t="s">
        <v>79</v>
      </c>
      <c r="N280" s="25" t="s">
        <v>51</v>
      </c>
      <c r="O280" s="26" t="s">
        <v>344</v>
      </c>
      <c r="P280" s="26"/>
      <c r="Q280" s="26"/>
      <c r="R280" s="5"/>
      <c r="S280" s="5"/>
      <c r="T280" s="5"/>
      <c r="U280" s="5"/>
      <c r="V280" s="5"/>
      <c r="W280" s="5"/>
      <c r="X280" s="5"/>
      <c r="Y280" s="5"/>
    </row>
    <row r="281" spans="9:25" ht="44">
      <c r="I281" s="40"/>
      <c r="J281" s="40"/>
      <c r="M281" s="26" t="s">
        <v>79</v>
      </c>
      <c r="N281" s="25" t="s">
        <v>55</v>
      </c>
      <c r="O281" s="26"/>
      <c r="P281" s="26" t="s">
        <v>345</v>
      </c>
      <c r="Q281" s="26"/>
      <c r="R281" s="5"/>
      <c r="S281" s="5"/>
      <c r="T281" s="5"/>
      <c r="U281" s="5"/>
      <c r="V281" s="5"/>
      <c r="W281" s="5"/>
      <c r="X281" s="5"/>
      <c r="Y281" s="5"/>
    </row>
    <row r="282" spans="9:25" ht="22">
      <c r="I282" s="40"/>
      <c r="J282" s="40"/>
      <c r="M282" s="26" t="s">
        <v>79</v>
      </c>
      <c r="N282" s="25" t="s">
        <v>55</v>
      </c>
      <c r="O282" s="26"/>
      <c r="P282" s="26" t="s">
        <v>346</v>
      </c>
      <c r="Q282" s="26"/>
      <c r="R282" s="5"/>
      <c r="S282" s="5"/>
      <c r="T282" s="5"/>
      <c r="U282" s="5"/>
      <c r="V282" s="5"/>
      <c r="W282" s="5"/>
      <c r="X282" s="5"/>
      <c r="Y282" s="5"/>
    </row>
    <row r="283" spans="9:25" ht="22">
      <c r="I283" s="40"/>
      <c r="J283" s="40"/>
      <c r="M283" s="26" t="s">
        <v>79</v>
      </c>
      <c r="N283" s="25" t="s">
        <v>55</v>
      </c>
      <c r="O283" s="26"/>
      <c r="P283" s="26" t="s">
        <v>347</v>
      </c>
      <c r="Q283" s="26"/>
      <c r="R283" s="5"/>
      <c r="S283" s="5"/>
      <c r="T283" s="5"/>
      <c r="U283" s="5"/>
      <c r="V283" s="5"/>
      <c r="W283" s="5"/>
      <c r="X283" s="5"/>
      <c r="Y283" s="5"/>
    </row>
    <row r="284" spans="9:25" ht="22">
      <c r="I284" s="40"/>
      <c r="J284" s="40"/>
      <c r="M284" s="26" t="s">
        <v>79</v>
      </c>
      <c r="N284" s="25" t="s">
        <v>55</v>
      </c>
      <c r="O284" s="26"/>
      <c r="P284" s="26" t="s">
        <v>348</v>
      </c>
      <c r="Q284" s="26"/>
      <c r="R284" s="5"/>
      <c r="S284" s="5"/>
      <c r="T284" s="5"/>
      <c r="U284" s="5"/>
      <c r="V284" s="5"/>
      <c r="W284" s="5"/>
      <c r="X284" s="5"/>
      <c r="Y284" s="5"/>
    </row>
    <row r="285" spans="9:25" ht="22">
      <c r="I285" s="40"/>
      <c r="J285" s="40"/>
      <c r="M285" s="26" t="s">
        <v>79</v>
      </c>
      <c r="N285" s="25" t="s">
        <v>55</v>
      </c>
      <c r="O285" s="26"/>
      <c r="P285" s="26" t="s">
        <v>349</v>
      </c>
      <c r="Q285" s="26"/>
      <c r="R285" s="5"/>
      <c r="S285" s="5"/>
      <c r="T285" s="5"/>
      <c r="U285" s="5"/>
      <c r="V285" s="5"/>
      <c r="W285" s="5"/>
      <c r="X285" s="5"/>
      <c r="Y285" s="5"/>
    </row>
    <row r="286" spans="9:25" ht="22">
      <c r="I286" s="40"/>
      <c r="J286" s="40"/>
      <c r="M286" s="26" t="s">
        <v>79</v>
      </c>
      <c r="N286" s="25" t="s">
        <v>51</v>
      </c>
      <c r="O286" s="26" t="s">
        <v>350</v>
      </c>
      <c r="P286" s="26"/>
      <c r="Q286" s="26"/>
      <c r="R286" s="5"/>
      <c r="S286" s="5"/>
      <c r="T286" s="5"/>
      <c r="U286" s="5"/>
      <c r="V286" s="5"/>
      <c r="W286" s="5"/>
      <c r="X286" s="5"/>
      <c r="Y286" s="5"/>
    </row>
    <row r="287" spans="9:25" ht="66">
      <c r="I287" s="40"/>
      <c r="J287" s="40"/>
      <c r="M287" s="26" t="s">
        <v>79</v>
      </c>
      <c r="N287" s="25" t="s">
        <v>51</v>
      </c>
      <c r="O287" s="26"/>
      <c r="P287" s="26" t="s">
        <v>351</v>
      </c>
      <c r="Q287" s="26"/>
      <c r="R287" s="5"/>
      <c r="S287" s="5"/>
      <c r="T287" s="5"/>
      <c r="U287" s="5"/>
      <c r="V287" s="5"/>
      <c r="W287" s="5"/>
      <c r="X287" s="5"/>
      <c r="Y287" s="5"/>
    </row>
    <row r="288" spans="9:25" ht="44">
      <c r="I288" s="40"/>
      <c r="J288" s="40"/>
      <c r="M288" s="26" t="s">
        <v>79</v>
      </c>
      <c r="N288" s="25" t="s">
        <v>55</v>
      </c>
      <c r="O288" s="26"/>
      <c r="P288" s="26" t="s">
        <v>352</v>
      </c>
      <c r="Q288" s="26"/>
      <c r="R288" s="5"/>
      <c r="S288" s="5"/>
      <c r="T288" s="5"/>
      <c r="U288" s="5"/>
      <c r="V288" s="5"/>
      <c r="W288" s="5"/>
      <c r="X288" s="5"/>
      <c r="Y288" s="5"/>
    </row>
    <row r="289" spans="9:25" ht="55">
      <c r="I289" s="40"/>
      <c r="J289" s="40"/>
      <c r="M289" s="26" t="s">
        <v>79</v>
      </c>
      <c r="N289" s="25" t="s">
        <v>55</v>
      </c>
      <c r="O289" s="26"/>
      <c r="P289" s="26" t="s">
        <v>353</v>
      </c>
      <c r="Q289" s="26"/>
      <c r="R289" s="5"/>
      <c r="S289" s="5"/>
      <c r="T289" s="5"/>
      <c r="U289" s="5"/>
      <c r="V289" s="5"/>
      <c r="W289" s="5"/>
      <c r="X289" s="5"/>
      <c r="Y289" s="5"/>
    </row>
    <row r="290" spans="9:25" ht="55">
      <c r="I290" s="40"/>
      <c r="J290" s="40"/>
      <c r="M290" s="26" t="s">
        <v>79</v>
      </c>
      <c r="N290" s="25" t="s">
        <v>55</v>
      </c>
      <c r="O290" s="26"/>
      <c r="P290" s="26" t="s">
        <v>354</v>
      </c>
      <c r="Q290" s="26"/>
      <c r="R290" s="5"/>
      <c r="S290" s="5"/>
      <c r="T290" s="5"/>
      <c r="U290" s="5"/>
      <c r="V290" s="5"/>
      <c r="W290" s="5"/>
      <c r="X290" s="5"/>
      <c r="Y290" s="5"/>
    </row>
    <row r="291" spans="9:25" ht="55">
      <c r="I291" s="40"/>
      <c r="J291" s="40"/>
      <c r="M291" s="26" t="s">
        <v>79</v>
      </c>
      <c r="N291" s="25" t="s">
        <v>55</v>
      </c>
      <c r="O291" s="26"/>
      <c r="P291" s="26" t="s">
        <v>355</v>
      </c>
      <c r="Q291" s="26"/>
      <c r="R291" s="5"/>
      <c r="S291" s="5"/>
      <c r="T291" s="5"/>
      <c r="U291" s="5"/>
      <c r="V291" s="5"/>
      <c r="W291" s="5"/>
      <c r="X291" s="5"/>
      <c r="Y291" s="5"/>
    </row>
    <row r="292" spans="9:25" ht="44">
      <c r="I292" s="40"/>
      <c r="J292" s="40"/>
      <c r="M292" s="26" t="s">
        <v>79</v>
      </c>
      <c r="N292" s="25" t="s">
        <v>55</v>
      </c>
      <c r="O292" s="26"/>
      <c r="P292" s="26" t="s">
        <v>356</v>
      </c>
      <c r="Q292" s="26"/>
      <c r="R292" s="5"/>
      <c r="S292" s="5"/>
      <c r="T292" s="5"/>
      <c r="U292" s="5"/>
      <c r="V292" s="5"/>
      <c r="W292" s="5"/>
      <c r="X292" s="5"/>
      <c r="Y292" s="5"/>
    </row>
    <row r="293" spans="9:25" ht="22">
      <c r="I293" s="40"/>
      <c r="J293" s="40"/>
      <c r="M293" s="26" t="s">
        <v>79</v>
      </c>
      <c r="N293" s="25" t="s">
        <v>55</v>
      </c>
      <c r="O293" s="26"/>
      <c r="P293" s="26" t="s">
        <v>357</v>
      </c>
      <c r="Q293" s="26"/>
      <c r="R293" s="5"/>
      <c r="S293" s="5"/>
      <c r="T293" s="5"/>
      <c r="U293" s="5"/>
      <c r="V293" s="5"/>
      <c r="W293" s="5"/>
      <c r="X293" s="5"/>
      <c r="Y293" s="5"/>
    </row>
    <row r="294" spans="9:25" ht="44">
      <c r="I294" s="40"/>
      <c r="J294" s="40"/>
      <c r="M294" s="26" t="s">
        <v>79</v>
      </c>
      <c r="N294" s="25" t="s">
        <v>55</v>
      </c>
      <c r="O294" s="26"/>
      <c r="P294" s="26" t="s">
        <v>358</v>
      </c>
      <c r="Q294" s="26"/>
      <c r="R294" s="5"/>
      <c r="S294" s="5"/>
      <c r="T294" s="5"/>
      <c r="U294" s="5"/>
      <c r="V294" s="5"/>
      <c r="W294" s="5"/>
      <c r="X294" s="5"/>
      <c r="Y294" s="5"/>
    </row>
    <row r="295" spans="9:25" ht="22">
      <c r="I295" s="40"/>
      <c r="J295" s="40"/>
      <c r="M295" s="26" t="s">
        <v>79</v>
      </c>
      <c r="N295" s="25" t="s">
        <v>55</v>
      </c>
      <c r="O295" s="26"/>
      <c r="P295" s="26" t="s">
        <v>359</v>
      </c>
      <c r="Q295" s="26"/>
      <c r="R295" s="5"/>
      <c r="S295" s="5"/>
      <c r="T295" s="5"/>
      <c r="U295" s="5"/>
      <c r="V295" s="5"/>
      <c r="W295" s="5"/>
      <c r="X295" s="5"/>
      <c r="Y295" s="5"/>
    </row>
    <row r="296" spans="9:25" ht="44">
      <c r="I296" s="40"/>
      <c r="J296" s="40"/>
      <c r="M296" s="26" t="s">
        <v>79</v>
      </c>
      <c r="N296" s="25" t="s">
        <v>55</v>
      </c>
      <c r="O296" s="26"/>
      <c r="P296" s="26" t="s">
        <v>360</v>
      </c>
      <c r="Q296" s="26"/>
      <c r="R296" s="5"/>
      <c r="S296" s="5"/>
      <c r="T296" s="5"/>
      <c r="U296" s="5"/>
      <c r="V296" s="5"/>
      <c r="W296" s="5"/>
      <c r="X296" s="5"/>
      <c r="Y296" s="5"/>
    </row>
    <row r="297" spans="9:25" ht="33">
      <c r="I297" s="40"/>
      <c r="J297" s="40"/>
      <c r="M297" s="26" t="s">
        <v>79</v>
      </c>
      <c r="N297" s="25" t="s">
        <v>55</v>
      </c>
      <c r="O297" s="26"/>
      <c r="P297" s="26" t="s">
        <v>361</v>
      </c>
      <c r="Q297" s="26"/>
      <c r="R297" s="5"/>
      <c r="S297" s="5"/>
      <c r="T297" s="5"/>
      <c r="U297" s="5"/>
      <c r="V297" s="5"/>
      <c r="W297" s="5"/>
      <c r="X297" s="5"/>
      <c r="Y297" s="5"/>
    </row>
    <row r="298" spans="9:25" ht="22">
      <c r="I298" s="40"/>
      <c r="J298" s="40"/>
      <c r="M298" s="26" t="s">
        <v>79</v>
      </c>
      <c r="N298" s="25" t="s">
        <v>55</v>
      </c>
      <c r="O298" s="26"/>
      <c r="P298" s="26" t="s">
        <v>362</v>
      </c>
      <c r="Q298" s="26"/>
      <c r="R298" s="5"/>
      <c r="S298" s="5"/>
      <c r="T298" s="5"/>
      <c r="U298" s="5"/>
      <c r="V298" s="5"/>
      <c r="W298" s="5"/>
      <c r="X298" s="5"/>
      <c r="Y298" s="5"/>
    </row>
    <row r="299" spans="9:25" ht="22">
      <c r="I299" s="40"/>
      <c r="J299" s="40"/>
      <c r="M299" s="26" t="s">
        <v>79</v>
      </c>
      <c r="N299" s="25" t="s">
        <v>55</v>
      </c>
      <c r="O299" s="26"/>
      <c r="P299" s="26" t="s">
        <v>363</v>
      </c>
      <c r="Q299" s="26"/>
      <c r="R299" s="5"/>
      <c r="S299" s="5"/>
      <c r="T299" s="5"/>
      <c r="U299" s="5"/>
      <c r="V299" s="5"/>
      <c r="W299" s="5"/>
      <c r="X299" s="5"/>
      <c r="Y299" s="5"/>
    </row>
    <row r="300" spans="9:25" ht="44">
      <c r="I300" s="40"/>
      <c r="J300" s="40"/>
      <c r="M300" s="26" t="s">
        <v>79</v>
      </c>
      <c r="N300" s="25" t="s">
        <v>55</v>
      </c>
      <c r="O300" s="26"/>
      <c r="P300" s="26" t="s">
        <v>364</v>
      </c>
      <c r="Q300" s="26"/>
      <c r="R300" s="5"/>
      <c r="S300" s="5"/>
      <c r="T300" s="5"/>
      <c r="U300" s="5"/>
      <c r="V300" s="5"/>
      <c r="W300" s="5"/>
      <c r="X300" s="5"/>
      <c r="Y300" s="5"/>
    </row>
    <row r="301" spans="9:25" ht="33">
      <c r="I301" s="40"/>
      <c r="J301" s="40"/>
      <c r="M301" s="26" t="s">
        <v>79</v>
      </c>
      <c r="N301" s="25" t="s">
        <v>55</v>
      </c>
      <c r="O301" s="26"/>
      <c r="P301" s="26" t="s">
        <v>365</v>
      </c>
      <c r="Q301" s="26"/>
      <c r="R301" s="5"/>
      <c r="S301" s="5"/>
      <c r="T301" s="5"/>
      <c r="U301" s="5"/>
      <c r="V301" s="5"/>
      <c r="W301" s="5"/>
      <c r="X301" s="5"/>
      <c r="Y301" s="5"/>
    </row>
    <row r="302" spans="9:25" ht="55">
      <c r="M302" s="26" t="s">
        <v>79</v>
      </c>
      <c r="N302" s="25" t="s">
        <v>55</v>
      </c>
      <c r="O302" s="26"/>
      <c r="P302" s="26" t="s">
        <v>269</v>
      </c>
      <c r="Q302" s="26"/>
      <c r="R302" s="5"/>
      <c r="S302" s="5"/>
      <c r="T302" s="5"/>
      <c r="U302" s="5"/>
      <c r="V302" s="5"/>
      <c r="W302" s="5"/>
      <c r="X302" s="5"/>
      <c r="Y302" s="5"/>
    </row>
    <row r="303" spans="9:25" ht="44">
      <c r="M303" s="26" t="s">
        <v>79</v>
      </c>
      <c r="N303" s="25" t="s">
        <v>55</v>
      </c>
      <c r="O303" s="26"/>
      <c r="P303" s="26" t="s">
        <v>366</v>
      </c>
      <c r="Q303" s="26"/>
      <c r="R303" s="5"/>
      <c r="S303" s="5"/>
      <c r="T303" s="5"/>
      <c r="U303" s="5"/>
      <c r="V303" s="5"/>
      <c r="W303" s="5"/>
      <c r="X303" s="5"/>
      <c r="Y303" s="5"/>
    </row>
    <row r="304" spans="9:25" ht="44">
      <c r="M304" s="26" t="s">
        <v>79</v>
      </c>
      <c r="N304" s="25" t="s">
        <v>55</v>
      </c>
      <c r="O304" s="26"/>
      <c r="P304" s="26" t="s">
        <v>367</v>
      </c>
      <c r="Q304" s="26"/>
      <c r="R304" s="5"/>
      <c r="S304" s="5"/>
      <c r="T304" s="5"/>
      <c r="U304" s="5"/>
      <c r="V304" s="5"/>
      <c r="W304" s="5"/>
      <c r="X304" s="5"/>
      <c r="Y304" s="5"/>
    </row>
    <row r="305" spans="13:25" ht="33">
      <c r="M305" s="26" t="s">
        <v>79</v>
      </c>
      <c r="N305" s="25" t="s">
        <v>55</v>
      </c>
      <c r="O305" s="26"/>
      <c r="P305" s="26" t="s">
        <v>368</v>
      </c>
      <c r="Q305" s="26"/>
      <c r="R305" s="5"/>
      <c r="S305" s="5"/>
      <c r="T305" s="5"/>
      <c r="U305" s="5"/>
      <c r="V305" s="5"/>
      <c r="W305" s="5"/>
      <c r="X305" s="5"/>
      <c r="Y305" s="5"/>
    </row>
    <row r="306" spans="13:25" ht="44">
      <c r="M306" s="26" t="s">
        <v>79</v>
      </c>
      <c r="N306" s="25" t="s">
        <v>55</v>
      </c>
      <c r="O306" s="26"/>
      <c r="P306" s="26" t="s">
        <v>126</v>
      </c>
      <c r="Q306" s="26"/>
      <c r="R306" s="5"/>
      <c r="S306" s="5"/>
      <c r="T306" s="5"/>
      <c r="U306" s="5"/>
      <c r="V306" s="5"/>
      <c r="W306" s="5"/>
      <c r="X306" s="5"/>
      <c r="Y306" s="5"/>
    </row>
    <row r="307" spans="13:25" ht="44">
      <c r="M307" s="26" t="s">
        <v>79</v>
      </c>
      <c r="N307" s="25" t="s">
        <v>55</v>
      </c>
      <c r="O307" s="26"/>
      <c r="P307" s="26" t="s">
        <v>369</v>
      </c>
      <c r="Q307" s="26"/>
      <c r="R307" s="5"/>
      <c r="S307" s="5"/>
      <c r="T307" s="5"/>
      <c r="U307" s="5"/>
      <c r="V307" s="5"/>
      <c r="W307" s="5"/>
      <c r="X307" s="5"/>
      <c r="Y307" s="5"/>
    </row>
    <row r="308" spans="13:25" ht="22">
      <c r="M308" s="26" t="s">
        <v>79</v>
      </c>
      <c r="N308" s="25" t="s">
        <v>55</v>
      </c>
      <c r="O308" s="26"/>
      <c r="P308" s="26" t="s">
        <v>370</v>
      </c>
      <c r="Q308" s="26"/>
      <c r="R308" s="5"/>
      <c r="S308" s="5"/>
      <c r="T308" s="5"/>
      <c r="U308" s="5"/>
      <c r="V308" s="5"/>
      <c r="W308" s="5"/>
      <c r="X308" s="5"/>
      <c r="Y308" s="5"/>
    </row>
    <row r="309" spans="13:25" ht="44">
      <c r="M309" s="26" t="s">
        <v>79</v>
      </c>
      <c r="N309" s="25" t="s">
        <v>55</v>
      </c>
      <c r="O309" s="26"/>
      <c r="P309" s="26" t="s">
        <v>371</v>
      </c>
      <c r="Q309" s="26"/>
      <c r="R309" s="5"/>
      <c r="S309" s="5"/>
      <c r="T309" s="5"/>
      <c r="U309" s="5"/>
      <c r="V309" s="5"/>
      <c r="W309" s="5"/>
      <c r="X309" s="5"/>
      <c r="Y309" s="5"/>
    </row>
    <row r="310" spans="13:25" ht="22">
      <c r="M310" s="26" t="s">
        <v>79</v>
      </c>
      <c r="N310" s="25" t="s">
        <v>55</v>
      </c>
      <c r="O310" s="26"/>
      <c r="P310" s="26" t="s">
        <v>372</v>
      </c>
      <c r="Q310" s="26"/>
      <c r="R310" s="5"/>
      <c r="S310" s="5"/>
      <c r="T310" s="5"/>
      <c r="U310" s="5"/>
      <c r="V310" s="5"/>
      <c r="W310" s="5"/>
      <c r="X310" s="5"/>
      <c r="Y310" s="5"/>
    </row>
    <row r="311" spans="13:25" ht="22">
      <c r="M311" s="26" t="s">
        <v>79</v>
      </c>
      <c r="N311" s="25" t="s">
        <v>55</v>
      </c>
      <c r="O311" s="26"/>
      <c r="P311" s="26" t="s">
        <v>373</v>
      </c>
      <c r="Q311" s="26"/>
      <c r="R311" s="5"/>
      <c r="S311" s="5"/>
      <c r="T311" s="5"/>
      <c r="U311" s="5"/>
      <c r="V311" s="5"/>
      <c r="W311" s="5"/>
      <c r="X311" s="5"/>
      <c r="Y311" s="5"/>
    </row>
    <row r="312" spans="13:25" ht="22">
      <c r="M312" s="26" t="s">
        <v>79</v>
      </c>
      <c r="N312" s="25" t="s">
        <v>55</v>
      </c>
      <c r="O312" s="26"/>
      <c r="P312" s="26" t="s">
        <v>374</v>
      </c>
      <c r="Q312" s="26"/>
      <c r="R312" s="5"/>
      <c r="S312" s="5"/>
      <c r="T312" s="5"/>
      <c r="U312" s="5"/>
      <c r="V312" s="5"/>
      <c r="W312" s="5"/>
      <c r="X312" s="5"/>
      <c r="Y312" s="5"/>
    </row>
    <row r="313" spans="13:25" ht="22">
      <c r="M313" s="26" t="s">
        <v>79</v>
      </c>
      <c r="N313" s="25" t="s">
        <v>51</v>
      </c>
      <c r="O313" s="26" t="s">
        <v>375</v>
      </c>
      <c r="P313" s="26"/>
      <c r="Q313" s="26"/>
      <c r="R313" s="5"/>
      <c r="S313" s="5"/>
      <c r="T313" s="5"/>
      <c r="U313" s="5"/>
      <c r="V313" s="5"/>
      <c r="W313" s="5"/>
      <c r="X313" s="5"/>
      <c r="Y313" s="5"/>
    </row>
    <row r="314" spans="13:25" ht="33">
      <c r="M314" s="26" t="s">
        <v>79</v>
      </c>
      <c r="N314" s="25" t="s">
        <v>55</v>
      </c>
      <c r="O314" s="26"/>
      <c r="P314" s="26" t="s">
        <v>376</v>
      </c>
      <c r="Q314" s="26"/>
      <c r="R314" s="5"/>
      <c r="S314" s="5"/>
      <c r="T314" s="5"/>
      <c r="U314" s="5"/>
      <c r="V314" s="5"/>
      <c r="W314" s="5"/>
      <c r="X314" s="5"/>
      <c r="Y314" s="5"/>
    </row>
    <row r="315" spans="13:25" ht="44">
      <c r="M315" s="26" t="s">
        <v>79</v>
      </c>
      <c r="N315" s="25" t="s">
        <v>55</v>
      </c>
      <c r="O315" s="26"/>
      <c r="P315" s="26" t="s">
        <v>377</v>
      </c>
      <c r="Q315" s="26"/>
      <c r="R315" s="5"/>
      <c r="S315" s="5"/>
      <c r="T315" s="5"/>
      <c r="U315" s="5"/>
      <c r="V315" s="5"/>
      <c r="W315" s="5"/>
      <c r="X315" s="5"/>
      <c r="Y315" s="5"/>
    </row>
    <row r="316" spans="13:25" ht="22">
      <c r="M316" s="26" t="s">
        <v>79</v>
      </c>
      <c r="N316" s="25" t="s">
        <v>55</v>
      </c>
      <c r="O316" s="26"/>
      <c r="P316" s="26" t="s">
        <v>378</v>
      </c>
      <c r="Q316" s="26"/>
      <c r="R316" s="5"/>
      <c r="S316" s="5"/>
      <c r="T316" s="5"/>
      <c r="U316" s="5"/>
      <c r="V316" s="5"/>
      <c r="W316" s="5"/>
      <c r="X316" s="5"/>
      <c r="Y316" s="5"/>
    </row>
    <row r="317" spans="13:25" ht="33">
      <c r="M317" s="26" t="s">
        <v>79</v>
      </c>
      <c r="N317" s="25" t="s">
        <v>55</v>
      </c>
      <c r="O317" s="26"/>
      <c r="P317" s="26" t="s">
        <v>379</v>
      </c>
      <c r="Q317" s="26"/>
      <c r="R317" s="5"/>
      <c r="S317" s="5"/>
      <c r="T317" s="5"/>
      <c r="U317" s="5"/>
      <c r="V317" s="5"/>
      <c r="W317" s="5"/>
      <c r="X317" s="5"/>
      <c r="Y317" s="5"/>
    </row>
    <row r="318" spans="13:25" ht="55">
      <c r="M318" s="26" t="s">
        <v>79</v>
      </c>
      <c r="N318" s="25" t="s">
        <v>55</v>
      </c>
      <c r="O318" s="26"/>
      <c r="P318" s="26" t="s">
        <v>107</v>
      </c>
      <c r="Q318" s="26"/>
      <c r="R318" s="5"/>
      <c r="S318" s="5"/>
      <c r="T318" s="5"/>
      <c r="U318" s="5"/>
      <c r="V318" s="5"/>
      <c r="W318" s="5"/>
      <c r="X318" s="5"/>
      <c r="Y318" s="5"/>
    </row>
    <row r="319" spans="13:25" ht="55">
      <c r="M319" s="26" t="s">
        <v>79</v>
      </c>
      <c r="N319" s="25" t="s">
        <v>55</v>
      </c>
      <c r="O319" s="26"/>
      <c r="P319" s="26" t="s">
        <v>380</v>
      </c>
      <c r="Q319" s="26"/>
      <c r="R319" s="5"/>
      <c r="S319" s="5"/>
      <c r="T319" s="5"/>
      <c r="U319" s="5"/>
      <c r="V319" s="5"/>
      <c r="W319" s="5"/>
      <c r="X319" s="5"/>
      <c r="Y319" s="5"/>
    </row>
    <row r="320" spans="13:25" ht="55">
      <c r="M320" s="26" t="s">
        <v>79</v>
      </c>
      <c r="N320" s="25" t="s">
        <v>55</v>
      </c>
      <c r="O320" s="26"/>
      <c r="P320" s="26" t="s">
        <v>353</v>
      </c>
      <c r="Q320" s="26"/>
      <c r="R320" s="5"/>
      <c r="S320" s="5"/>
      <c r="T320" s="5"/>
      <c r="U320" s="5"/>
      <c r="V320" s="5"/>
      <c r="W320" s="5"/>
      <c r="X320" s="5"/>
      <c r="Y320" s="5"/>
    </row>
    <row r="321" spans="13:25" ht="55">
      <c r="M321" s="26" t="s">
        <v>79</v>
      </c>
      <c r="N321" s="25" t="s">
        <v>55</v>
      </c>
      <c r="O321" s="26"/>
      <c r="P321" s="26" t="s">
        <v>381</v>
      </c>
      <c r="Q321" s="26"/>
      <c r="R321" s="5"/>
      <c r="S321" s="5"/>
      <c r="T321" s="5"/>
      <c r="U321" s="5"/>
      <c r="V321" s="5"/>
      <c r="W321" s="5"/>
      <c r="X321" s="5"/>
      <c r="Y321" s="5"/>
    </row>
    <row r="322" spans="13:25" ht="55">
      <c r="M322" s="26" t="s">
        <v>79</v>
      </c>
      <c r="N322" s="25" t="s">
        <v>55</v>
      </c>
      <c r="O322" s="26"/>
      <c r="P322" s="26" t="s">
        <v>353</v>
      </c>
      <c r="Q322" s="26"/>
      <c r="R322" s="5"/>
      <c r="S322" s="5"/>
      <c r="T322" s="5"/>
      <c r="U322" s="5"/>
      <c r="V322" s="5"/>
      <c r="W322" s="5"/>
      <c r="X322" s="5"/>
      <c r="Y322" s="5"/>
    </row>
    <row r="323" spans="13:25" ht="55">
      <c r="M323" s="26" t="s">
        <v>79</v>
      </c>
      <c r="N323" s="25" t="s">
        <v>55</v>
      </c>
      <c r="O323" s="26"/>
      <c r="P323" s="26" t="s">
        <v>382</v>
      </c>
      <c r="Q323" s="26"/>
      <c r="R323" s="5"/>
      <c r="S323" s="5"/>
      <c r="T323" s="5"/>
      <c r="U323" s="5"/>
      <c r="V323" s="5"/>
      <c r="W323" s="5"/>
      <c r="X323" s="5"/>
      <c r="Y323" s="5"/>
    </row>
    <row r="324" spans="13:25" ht="55">
      <c r="M324" s="26" t="s">
        <v>79</v>
      </c>
      <c r="N324" s="25" t="s">
        <v>55</v>
      </c>
      <c r="O324" s="26"/>
      <c r="P324" s="26" t="s">
        <v>383</v>
      </c>
      <c r="Q324" s="26"/>
      <c r="R324" s="5"/>
      <c r="S324" s="5"/>
      <c r="T324" s="5"/>
      <c r="U324" s="5"/>
      <c r="V324" s="5"/>
      <c r="W324" s="5"/>
      <c r="X324" s="5"/>
      <c r="Y324" s="5"/>
    </row>
    <row r="325" spans="13:25" ht="22">
      <c r="M325" s="26" t="s">
        <v>79</v>
      </c>
      <c r="N325" s="25" t="s">
        <v>55</v>
      </c>
      <c r="O325" s="26"/>
      <c r="P325" s="26" t="s">
        <v>384</v>
      </c>
      <c r="Q325" s="26"/>
      <c r="R325" s="5"/>
      <c r="S325" s="5"/>
      <c r="T325" s="5"/>
      <c r="U325" s="5"/>
      <c r="V325" s="5"/>
      <c r="W325" s="5"/>
      <c r="X325" s="5"/>
      <c r="Y325" s="5"/>
    </row>
    <row r="326" spans="13:25" ht="55">
      <c r="M326" s="26" t="s">
        <v>79</v>
      </c>
      <c r="N326" s="25" t="s">
        <v>55</v>
      </c>
      <c r="O326" s="26"/>
      <c r="P326" s="26" t="s">
        <v>112</v>
      </c>
      <c r="Q326" s="26"/>
      <c r="R326" s="5"/>
      <c r="S326" s="5"/>
      <c r="T326" s="5"/>
      <c r="U326" s="5"/>
      <c r="V326" s="5"/>
      <c r="W326" s="5"/>
      <c r="X326" s="5"/>
      <c r="Y326" s="5"/>
    </row>
    <row r="327" spans="13:25" ht="22">
      <c r="M327" s="26" t="s">
        <v>79</v>
      </c>
      <c r="N327" s="25" t="s">
        <v>55</v>
      </c>
      <c r="O327" s="26"/>
      <c r="P327" s="26" t="s">
        <v>385</v>
      </c>
      <c r="Q327" s="26"/>
      <c r="R327" s="5"/>
      <c r="S327" s="5"/>
      <c r="T327" s="5"/>
      <c r="U327" s="5"/>
      <c r="V327" s="5"/>
      <c r="W327" s="5"/>
      <c r="X327" s="5"/>
      <c r="Y327" s="5"/>
    </row>
    <row r="328" spans="13:25" ht="22">
      <c r="M328" s="26" t="s">
        <v>79</v>
      </c>
      <c r="N328" s="25" t="s">
        <v>55</v>
      </c>
      <c r="O328" s="26"/>
      <c r="P328" s="26" t="s">
        <v>386</v>
      </c>
      <c r="Q328" s="26"/>
      <c r="R328" s="5"/>
      <c r="S328" s="5"/>
      <c r="T328" s="5"/>
      <c r="U328" s="5"/>
      <c r="V328" s="5"/>
      <c r="W328" s="5"/>
      <c r="X328" s="5"/>
      <c r="Y328" s="5"/>
    </row>
    <row r="329" spans="13:25" ht="22">
      <c r="M329" s="26" t="s">
        <v>79</v>
      </c>
      <c r="N329" s="25" t="s">
        <v>55</v>
      </c>
      <c r="O329" s="26"/>
      <c r="P329" s="26" t="s">
        <v>387</v>
      </c>
      <c r="Q329" s="26"/>
      <c r="R329" s="5"/>
      <c r="S329" s="5"/>
      <c r="T329" s="5"/>
      <c r="U329" s="5"/>
      <c r="V329" s="5"/>
      <c r="W329" s="5"/>
      <c r="X329" s="5"/>
      <c r="Y329" s="5"/>
    </row>
    <row r="330" spans="13:25" ht="33">
      <c r="M330" s="26" t="s">
        <v>79</v>
      </c>
      <c r="N330" s="25" t="s">
        <v>55</v>
      </c>
      <c r="O330" s="26"/>
      <c r="P330" s="26" t="s">
        <v>388</v>
      </c>
      <c r="Q330" s="26"/>
      <c r="R330" s="5"/>
      <c r="S330" s="5"/>
      <c r="T330" s="5"/>
      <c r="U330" s="5"/>
      <c r="V330" s="5"/>
      <c r="W330" s="5"/>
      <c r="X330" s="5"/>
      <c r="Y330" s="5"/>
    </row>
    <row r="331" spans="13:25" ht="33">
      <c r="M331" s="26" t="s">
        <v>79</v>
      </c>
      <c r="N331" s="25" t="s">
        <v>55</v>
      </c>
      <c r="O331" s="26"/>
      <c r="P331" s="26" t="s">
        <v>389</v>
      </c>
      <c r="Q331" s="26"/>
      <c r="R331" s="5"/>
      <c r="S331" s="5"/>
      <c r="T331" s="5"/>
      <c r="U331" s="5"/>
      <c r="V331" s="5"/>
      <c r="W331" s="5"/>
      <c r="X331" s="5"/>
      <c r="Y331" s="5"/>
    </row>
    <row r="332" spans="13:25" ht="22">
      <c r="M332" s="26" t="s">
        <v>79</v>
      </c>
      <c r="N332" s="25" t="s">
        <v>55</v>
      </c>
      <c r="O332" s="26"/>
      <c r="P332" s="26" t="s">
        <v>390</v>
      </c>
      <c r="Q332" s="26"/>
      <c r="R332" s="5"/>
      <c r="S332" s="5"/>
      <c r="T332" s="5"/>
      <c r="U332" s="5"/>
      <c r="V332" s="5"/>
      <c r="W332" s="5"/>
      <c r="X332" s="5"/>
      <c r="Y332" s="5"/>
    </row>
    <row r="333" spans="13:25" ht="44">
      <c r="M333" s="26" t="s">
        <v>79</v>
      </c>
      <c r="N333" s="25" t="s">
        <v>55</v>
      </c>
      <c r="O333" s="26"/>
      <c r="P333" s="26" t="s">
        <v>371</v>
      </c>
      <c r="Q333" s="26"/>
      <c r="R333" s="5"/>
      <c r="S333" s="5"/>
      <c r="T333" s="5"/>
      <c r="U333" s="5"/>
      <c r="V333" s="5"/>
      <c r="W333" s="5"/>
      <c r="X333" s="5"/>
      <c r="Y333" s="5"/>
    </row>
    <row r="334" spans="13:25" ht="44">
      <c r="M334" s="26" t="s">
        <v>79</v>
      </c>
      <c r="N334" s="25" t="s">
        <v>55</v>
      </c>
      <c r="O334" s="26"/>
      <c r="P334" s="26" t="s">
        <v>391</v>
      </c>
      <c r="Q334" s="26"/>
      <c r="R334" s="5"/>
      <c r="S334" s="5"/>
      <c r="T334" s="5"/>
      <c r="U334" s="5"/>
      <c r="V334" s="5"/>
      <c r="W334" s="5"/>
      <c r="X334" s="5"/>
      <c r="Y334" s="5"/>
    </row>
    <row r="335" spans="13:25" ht="44">
      <c r="M335" s="26" t="s">
        <v>79</v>
      </c>
      <c r="N335" s="25" t="s">
        <v>55</v>
      </c>
      <c r="O335" s="26"/>
      <c r="P335" s="26" t="s">
        <v>371</v>
      </c>
      <c r="Q335" s="26"/>
      <c r="R335" s="5"/>
      <c r="S335" s="5"/>
      <c r="T335" s="5"/>
      <c r="U335" s="5"/>
      <c r="V335" s="5"/>
      <c r="W335" s="5"/>
      <c r="X335" s="5"/>
      <c r="Y335" s="5"/>
    </row>
    <row r="336" spans="13:25" ht="44">
      <c r="M336" s="26" t="s">
        <v>79</v>
      </c>
      <c r="N336" s="25" t="s">
        <v>55</v>
      </c>
      <c r="O336" s="26"/>
      <c r="P336" s="26" t="s">
        <v>392</v>
      </c>
      <c r="Q336" s="26"/>
      <c r="R336" s="5"/>
      <c r="S336" s="5"/>
      <c r="T336" s="5"/>
      <c r="U336" s="5"/>
      <c r="V336" s="5"/>
      <c r="W336" s="5"/>
      <c r="X336" s="5"/>
      <c r="Y336" s="5"/>
    </row>
    <row r="337" spans="13:25" ht="22">
      <c r="M337" s="26" t="s">
        <v>79</v>
      </c>
      <c r="N337" s="25" t="s">
        <v>55</v>
      </c>
      <c r="O337" s="26"/>
      <c r="P337" s="26" t="s">
        <v>393</v>
      </c>
      <c r="Q337" s="26"/>
      <c r="R337" s="5"/>
      <c r="S337" s="5"/>
      <c r="T337" s="5"/>
      <c r="U337" s="5"/>
      <c r="V337" s="5"/>
      <c r="W337" s="5"/>
      <c r="X337" s="5"/>
      <c r="Y337" s="5"/>
    </row>
    <row r="338" spans="13:25" ht="22">
      <c r="M338" s="26" t="s">
        <v>79</v>
      </c>
      <c r="N338" s="25" t="s">
        <v>55</v>
      </c>
      <c r="O338" s="26"/>
      <c r="P338" s="26" t="s">
        <v>394</v>
      </c>
      <c r="Q338" s="26"/>
      <c r="R338" s="5"/>
      <c r="S338" s="5"/>
      <c r="T338" s="5"/>
      <c r="U338" s="5"/>
      <c r="V338" s="5"/>
      <c r="W338" s="5"/>
      <c r="X338" s="5"/>
      <c r="Y338" s="5"/>
    </row>
    <row r="339" spans="13:25" ht="33">
      <c r="M339" s="26" t="s">
        <v>79</v>
      </c>
      <c r="N339" s="25" t="s">
        <v>55</v>
      </c>
      <c r="O339" s="26"/>
      <c r="P339" s="26" t="s">
        <v>395</v>
      </c>
      <c r="Q339" s="26"/>
      <c r="R339" s="5"/>
      <c r="S339" s="5"/>
      <c r="T339" s="5"/>
      <c r="U339" s="5"/>
      <c r="V339" s="5"/>
      <c r="W339" s="5"/>
      <c r="X339" s="5"/>
      <c r="Y339" s="5"/>
    </row>
    <row r="340" spans="13:25" ht="33">
      <c r="M340" s="26" t="s">
        <v>79</v>
      </c>
      <c r="N340" s="25" t="s">
        <v>55</v>
      </c>
      <c r="O340" s="26"/>
      <c r="P340" s="26" t="s">
        <v>396</v>
      </c>
      <c r="Q340" s="26"/>
      <c r="R340" s="5"/>
      <c r="S340" s="5"/>
      <c r="T340" s="5"/>
      <c r="U340" s="5"/>
      <c r="V340" s="5"/>
      <c r="W340" s="5"/>
      <c r="X340" s="5"/>
      <c r="Y340" s="5"/>
    </row>
    <row r="341" spans="13:25" ht="22">
      <c r="M341" s="26" t="s">
        <v>79</v>
      </c>
      <c r="N341" s="25" t="s">
        <v>55</v>
      </c>
      <c r="O341" s="26"/>
      <c r="P341" s="26" t="s">
        <v>397</v>
      </c>
      <c r="Q341" s="26"/>
      <c r="R341" s="5"/>
      <c r="S341" s="5"/>
      <c r="T341" s="5"/>
      <c r="U341" s="5"/>
      <c r="V341" s="5"/>
      <c r="W341" s="5"/>
      <c r="X341" s="5"/>
      <c r="Y341" s="5"/>
    </row>
    <row r="342" spans="13:25" ht="22">
      <c r="M342" s="26" t="s">
        <v>79</v>
      </c>
      <c r="N342" s="25" t="s">
        <v>55</v>
      </c>
      <c r="O342" s="26"/>
      <c r="P342" s="26" t="s">
        <v>398</v>
      </c>
      <c r="Q342" s="26"/>
      <c r="R342" s="5"/>
      <c r="S342" s="5"/>
      <c r="T342" s="5"/>
      <c r="U342" s="5"/>
      <c r="V342" s="5"/>
      <c r="W342" s="5"/>
      <c r="X342" s="5"/>
      <c r="Y342" s="5"/>
    </row>
    <row r="343" spans="13:25" ht="22">
      <c r="M343" s="26" t="s">
        <v>79</v>
      </c>
      <c r="N343" s="25" t="s">
        <v>55</v>
      </c>
      <c r="O343" s="26"/>
      <c r="P343" s="26" t="s">
        <v>399</v>
      </c>
      <c r="Q343" s="26"/>
      <c r="R343" s="5"/>
      <c r="S343" s="5"/>
      <c r="T343" s="5"/>
      <c r="U343" s="5"/>
      <c r="V343" s="5"/>
      <c r="W343" s="5"/>
      <c r="X343" s="5"/>
      <c r="Y343" s="5"/>
    </row>
    <row r="344" spans="13:25" ht="44">
      <c r="M344" s="26" t="s">
        <v>79</v>
      </c>
      <c r="N344" s="25" t="s">
        <v>55</v>
      </c>
      <c r="O344" s="26"/>
      <c r="P344" s="26" t="s">
        <v>400</v>
      </c>
      <c r="Q344" s="26"/>
      <c r="R344" s="5"/>
      <c r="S344" s="5"/>
      <c r="T344" s="5"/>
      <c r="U344" s="5"/>
      <c r="V344" s="5"/>
      <c r="W344" s="5"/>
      <c r="X344" s="5"/>
      <c r="Y344" s="5"/>
    </row>
    <row r="345" spans="13:25" ht="44">
      <c r="M345" s="26" t="s">
        <v>79</v>
      </c>
      <c r="N345" s="25" t="s">
        <v>55</v>
      </c>
      <c r="O345" s="26"/>
      <c r="P345" s="26" t="s">
        <v>401</v>
      </c>
      <c r="Q345" s="26"/>
      <c r="R345" s="5"/>
      <c r="S345" s="5"/>
      <c r="T345" s="5"/>
      <c r="U345" s="5"/>
      <c r="V345" s="5"/>
      <c r="W345" s="5"/>
      <c r="X345" s="5"/>
      <c r="Y345" s="5"/>
    </row>
    <row r="346" spans="13:25" ht="22">
      <c r="M346" s="26" t="s">
        <v>79</v>
      </c>
      <c r="N346" s="25" t="s">
        <v>55</v>
      </c>
      <c r="O346" s="26"/>
      <c r="P346" s="26" t="s">
        <v>402</v>
      </c>
      <c r="Q346" s="26"/>
      <c r="R346" s="5"/>
      <c r="S346" s="5"/>
      <c r="T346" s="5"/>
      <c r="U346" s="5"/>
      <c r="V346" s="5"/>
      <c r="W346" s="5"/>
      <c r="X346" s="5"/>
      <c r="Y346" s="5"/>
    </row>
    <row r="347" spans="13:25" ht="22">
      <c r="M347" s="26" t="s">
        <v>79</v>
      </c>
      <c r="N347" s="25" t="s">
        <v>51</v>
      </c>
      <c r="O347" s="26"/>
      <c r="P347" s="26" t="s">
        <v>403</v>
      </c>
      <c r="Q347" s="26"/>
      <c r="R347" s="5"/>
      <c r="S347" s="5"/>
      <c r="T347" s="5"/>
      <c r="U347" s="5"/>
      <c r="V347" s="5"/>
      <c r="W347" s="5"/>
      <c r="X347" s="5"/>
      <c r="Y347" s="5"/>
    </row>
    <row r="348" spans="13:25" ht="22">
      <c r="M348" s="26" t="s">
        <v>79</v>
      </c>
      <c r="N348" s="25" t="s">
        <v>51</v>
      </c>
      <c r="O348" s="26"/>
      <c r="P348" s="26" t="s">
        <v>404</v>
      </c>
      <c r="Q348" s="26"/>
      <c r="R348" s="5"/>
      <c r="S348" s="5"/>
      <c r="T348" s="5"/>
      <c r="U348" s="5"/>
      <c r="V348" s="5"/>
      <c r="W348" s="5"/>
      <c r="X348" s="5"/>
      <c r="Y348" s="5"/>
    </row>
    <row r="349" spans="13:25" ht="22">
      <c r="M349" s="26" t="s">
        <v>79</v>
      </c>
      <c r="N349" s="25" t="s">
        <v>51</v>
      </c>
      <c r="O349" s="26"/>
      <c r="P349" s="26" t="s">
        <v>405</v>
      </c>
      <c r="Q349" s="26"/>
      <c r="R349" s="5"/>
      <c r="S349" s="5"/>
      <c r="T349" s="5"/>
      <c r="U349" s="5"/>
      <c r="V349" s="5"/>
      <c r="W349" s="5"/>
      <c r="X349" s="5"/>
      <c r="Y349" s="5"/>
    </row>
    <row r="350" spans="13:25" ht="22">
      <c r="M350" s="26" t="s">
        <v>79</v>
      </c>
      <c r="N350" s="25" t="s">
        <v>51</v>
      </c>
      <c r="O350" s="26"/>
      <c r="P350" s="26" t="s">
        <v>406</v>
      </c>
      <c r="Q350" s="26"/>
      <c r="R350" s="5"/>
      <c r="S350" s="5"/>
      <c r="T350" s="5"/>
      <c r="U350" s="5"/>
      <c r="V350" s="5"/>
      <c r="W350" s="5"/>
      <c r="X350" s="5"/>
      <c r="Y350" s="5"/>
    </row>
    <row r="351" spans="13:25" ht="22">
      <c r="M351" s="26" t="s">
        <v>79</v>
      </c>
      <c r="N351" s="25" t="s">
        <v>51</v>
      </c>
      <c r="O351" s="26"/>
      <c r="P351" s="26" t="s">
        <v>407</v>
      </c>
      <c r="Q351" s="26"/>
      <c r="R351" s="5"/>
      <c r="S351" s="5"/>
      <c r="T351" s="5"/>
      <c r="U351" s="5"/>
      <c r="V351" s="5"/>
      <c r="W351" s="5"/>
      <c r="X351" s="5"/>
      <c r="Y351" s="5"/>
    </row>
    <row r="352" spans="13:25" ht="22">
      <c r="M352" s="26" t="s">
        <v>79</v>
      </c>
      <c r="N352" s="25" t="s">
        <v>51</v>
      </c>
      <c r="O352" s="26"/>
      <c r="P352" s="26" t="s">
        <v>408</v>
      </c>
      <c r="Q352" s="26"/>
      <c r="R352" s="5"/>
      <c r="S352" s="5"/>
      <c r="T352" s="5"/>
      <c r="U352" s="5"/>
      <c r="V352" s="5"/>
      <c r="W352" s="5"/>
      <c r="X352" s="5"/>
      <c r="Y352" s="5"/>
    </row>
    <row r="353" spans="13:25" ht="22">
      <c r="M353" s="26" t="s">
        <v>79</v>
      </c>
      <c r="N353" s="25" t="s">
        <v>55</v>
      </c>
      <c r="O353" s="26"/>
      <c r="P353" s="26" t="s">
        <v>409</v>
      </c>
      <c r="Q353" s="26"/>
      <c r="R353" s="5"/>
      <c r="S353" s="5"/>
      <c r="T353" s="5"/>
      <c r="U353" s="5"/>
      <c r="V353" s="5"/>
      <c r="W353" s="5"/>
      <c r="X353" s="5"/>
      <c r="Y353" s="5"/>
    </row>
    <row r="354" spans="13:25" ht="22">
      <c r="M354" s="26" t="s">
        <v>79</v>
      </c>
      <c r="N354" s="25" t="s">
        <v>55</v>
      </c>
      <c r="O354" s="26"/>
      <c r="P354" s="26" t="s">
        <v>410</v>
      </c>
      <c r="Q354" s="26"/>
      <c r="R354" s="5"/>
      <c r="S354" s="5"/>
      <c r="T354" s="5"/>
      <c r="U354" s="5"/>
      <c r="V354" s="5"/>
      <c r="W354" s="5"/>
      <c r="X354" s="5"/>
      <c r="Y354" s="5"/>
    </row>
    <row r="355" spans="13:25" ht="22">
      <c r="M355" s="26" t="s">
        <v>79</v>
      </c>
      <c r="N355" s="25" t="s">
        <v>55</v>
      </c>
      <c r="O355" s="26"/>
      <c r="P355" s="26" t="s">
        <v>411</v>
      </c>
      <c r="Q355" s="26"/>
      <c r="R355" s="5"/>
      <c r="S355" s="5"/>
      <c r="T355" s="5"/>
      <c r="U355" s="5"/>
      <c r="V355" s="5"/>
      <c r="W355" s="5"/>
      <c r="X355" s="5"/>
      <c r="Y355" s="5"/>
    </row>
    <row r="356" spans="13:25" ht="22">
      <c r="M356" s="26" t="s">
        <v>79</v>
      </c>
      <c r="N356" s="25" t="s">
        <v>55</v>
      </c>
      <c r="O356" s="26"/>
      <c r="P356" s="26" t="s">
        <v>412</v>
      </c>
      <c r="Q356" s="26"/>
      <c r="R356" s="5"/>
      <c r="S356" s="5"/>
      <c r="T356" s="5"/>
      <c r="U356" s="5"/>
      <c r="V356" s="5"/>
      <c r="W356" s="5"/>
      <c r="X356" s="5"/>
      <c r="Y356" s="5"/>
    </row>
    <row r="357" spans="13:25" ht="77">
      <c r="M357" s="26" t="s">
        <v>79</v>
      </c>
      <c r="N357" s="25" t="s">
        <v>51</v>
      </c>
      <c r="O357" s="26"/>
      <c r="P357" s="26" t="s">
        <v>413</v>
      </c>
      <c r="Q357" s="26"/>
      <c r="R357" s="5"/>
      <c r="S357" s="5"/>
      <c r="T357" s="5"/>
      <c r="U357" s="5"/>
      <c r="V357" s="5"/>
      <c r="W357" s="5"/>
      <c r="X357" s="5"/>
      <c r="Y357" s="5"/>
    </row>
    <row r="358" spans="13:25" ht="55">
      <c r="M358" s="26" t="s">
        <v>79</v>
      </c>
      <c r="N358" s="25" t="s">
        <v>55</v>
      </c>
      <c r="O358" s="26"/>
      <c r="P358" s="26" t="s">
        <v>414</v>
      </c>
      <c r="Q358" s="26"/>
      <c r="R358" s="5"/>
      <c r="S358" s="5"/>
      <c r="T358" s="5"/>
      <c r="U358" s="5"/>
      <c r="V358" s="5"/>
      <c r="W358" s="5"/>
      <c r="X358" s="5"/>
      <c r="Y358" s="5"/>
    </row>
    <row r="359" spans="13:25" ht="66">
      <c r="M359" s="26" t="s">
        <v>79</v>
      </c>
      <c r="N359" s="25" t="s">
        <v>55</v>
      </c>
      <c r="O359" s="26"/>
      <c r="P359" s="26" t="s">
        <v>415</v>
      </c>
      <c r="Q359" s="26"/>
      <c r="R359" s="5"/>
      <c r="S359" s="5"/>
      <c r="T359" s="5"/>
      <c r="U359" s="5"/>
      <c r="V359" s="5"/>
      <c r="W359" s="5"/>
      <c r="X359" s="5"/>
      <c r="Y359" s="5"/>
    </row>
    <row r="360" spans="13:25" ht="22">
      <c r="M360" s="26" t="s">
        <v>79</v>
      </c>
      <c r="N360" s="25" t="s">
        <v>55</v>
      </c>
      <c r="O360" s="26"/>
      <c r="P360" s="26" t="s">
        <v>416</v>
      </c>
      <c r="Q360" s="26"/>
      <c r="R360" s="5"/>
      <c r="S360" s="5"/>
      <c r="T360" s="5"/>
      <c r="U360" s="5"/>
      <c r="V360" s="5"/>
      <c r="W360" s="5"/>
      <c r="X360" s="5"/>
      <c r="Y360" s="5"/>
    </row>
    <row r="361" spans="13:25" ht="77">
      <c r="M361" s="26" t="s">
        <v>79</v>
      </c>
      <c r="N361" s="25" t="s">
        <v>55</v>
      </c>
      <c r="O361" s="26"/>
      <c r="P361" s="26" t="s">
        <v>417</v>
      </c>
      <c r="Q361" s="26"/>
      <c r="R361" s="5"/>
      <c r="S361" s="5"/>
      <c r="T361" s="5"/>
      <c r="U361" s="5"/>
      <c r="V361" s="5"/>
      <c r="W361" s="5"/>
      <c r="X361" s="5"/>
      <c r="Y361" s="5"/>
    </row>
    <row r="362" spans="13:25" ht="99">
      <c r="M362" s="26" t="s">
        <v>79</v>
      </c>
      <c r="N362" s="25" t="s">
        <v>55</v>
      </c>
      <c r="O362" s="26"/>
      <c r="P362" s="26" t="s">
        <v>418</v>
      </c>
      <c r="Q362" s="26"/>
      <c r="R362" s="5"/>
      <c r="S362" s="5"/>
      <c r="T362" s="5"/>
      <c r="U362" s="5"/>
      <c r="V362" s="5"/>
      <c r="W362" s="5"/>
      <c r="X362" s="5"/>
      <c r="Y362" s="5"/>
    </row>
    <row r="363" spans="13:25" ht="22">
      <c r="M363" s="26" t="s">
        <v>79</v>
      </c>
      <c r="N363" s="25" t="s">
        <v>55</v>
      </c>
      <c r="O363" s="26"/>
      <c r="P363" s="26" t="s">
        <v>419</v>
      </c>
      <c r="Q363" s="26"/>
      <c r="R363" s="5"/>
      <c r="S363" s="5"/>
      <c r="T363" s="5"/>
      <c r="U363" s="5"/>
      <c r="V363" s="5"/>
      <c r="W363" s="5"/>
      <c r="X363" s="5"/>
      <c r="Y363" s="5"/>
    </row>
    <row r="364" spans="13:25" ht="55">
      <c r="M364" s="26" t="s">
        <v>79</v>
      </c>
      <c r="N364" s="25" t="s">
        <v>55</v>
      </c>
      <c r="O364" s="26"/>
      <c r="P364" s="26" t="s">
        <v>420</v>
      </c>
      <c r="Q364" s="26"/>
      <c r="R364" s="5"/>
      <c r="S364" s="5"/>
      <c r="T364" s="5"/>
      <c r="U364" s="5"/>
      <c r="V364" s="5"/>
      <c r="W364" s="5"/>
      <c r="X364" s="5"/>
      <c r="Y364" s="5"/>
    </row>
    <row r="365" spans="13:25" ht="88">
      <c r="M365" s="26" t="s">
        <v>79</v>
      </c>
      <c r="N365" s="25" t="s">
        <v>55</v>
      </c>
      <c r="O365" s="26"/>
      <c r="P365" s="26" t="s">
        <v>421</v>
      </c>
      <c r="Q365" s="26"/>
      <c r="R365" s="5"/>
      <c r="S365" s="5"/>
      <c r="T365" s="5"/>
      <c r="U365" s="5"/>
      <c r="V365" s="5"/>
      <c r="W365" s="5"/>
      <c r="X365" s="5"/>
      <c r="Y365" s="5"/>
    </row>
    <row r="366" spans="13:25" ht="44">
      <c r="M366" s="26" t="s">
        <v>79</v>
      </c>
      <c r="N366" s="25" t="s">
        <v>55</v>
      </c>
      <c r="O366" s="26"/>
      <c r="P366" s="26" t="s">
        <v>422</v>
      </c>
      <c r="Q366" s="26"/>
      <c r="R366" s="5"/>
      <c r="S366" s="5"/>
      <c r="T366" s="5"/>
      <c r="U366" s="5"/>
      <c r="V366" s="5"/>
      <c r="W366" s="5"/>
      <c r="X366" s="5"/>
      <c r="Y366" s="5"/>
    </row>
    <row r="367" spans="13:25" ht="22">
      <c r="M367" s="26" t="s">
        <v>79</v>
      </c>
      <c r="N367" s="25" t="s">
        <v>55</v>
      </c>
      <c r="O367" s="26"/>
      <c r="P367" s="26" t="s">
        <v>423</v>
      </c>
      <c r="Q367" s="26"/>
      <c r="R367" s="5"/>
      <c r="S367" s="5"/>
      <c r="T367" s="5"/>
      <c r="U367" s="5"/>
      <c r="V367" s="5"/>
      <c r="W367" s="5"/>
      <c r="X367" s="5"/>
      <c r="Y367" s="5"/>
    </row>
    <row r="368" spans="13:25" ht="44">
      <c r="M368" s="26" t="s">
        <v>79</v>
      </c>
      <c r="N368" s="25" t="s">
        <v>55</v>
      </c>
      <c r="O368" s="26"/>
      <c r="P368" s="26" t="s">
        <v>424</v>
      </c>
      <c r="Q368" s="26"/>
      <c r="R368" s="5"/>
      <c r="S368" s="5"/>
      <c r="T368" s="5"/>
      <c r="U368" s="5"/>
      <c r="V368" s="5"/>
      <c r="W368" s="5"/>
      <c r="X368" s="5"/>
      <c r="Y368" s="5"/>
    </row>
    <row r="369" spans="13:25" ht="33">
      <c r="M369" s="26" t="s">
        <v>79</v>
      </c>
      <c r="N369" s="25" t="s">
        <v>51</v>
      </c>
      <c r="O369" s="26"/>
      <c r="P369" s="26" t="s">
        <v>425</v>
      </c>
      <c r="Q369" s="26"/>
      <c r="R369" s="5"/>
      <c r="S369" s="5"/>
      <c r="T369" s="5"/>
      <c r="U369" s="5"/>
      <c r="V369" s="5"/>
      <c r="W369" s="5"/>
      <c r="X369" s="5"/>
      <c r="Y369" s="5"/>
    </row>
    <row r="370" spans="13:25" ht="44">
      <c r="M370" s="26" t="s">
        <v>79</v>
      </c>
      <c r="N370" s="25" t="s">
        <v>51</v>
      </c>
      <c r="O370" s="26"/>
      <c r="P370" s="26" t="s">
        <v>426</v>
      </c>
      <c r="Q370" s="26"/>
      <c r="R370" s="5"/>
      <c r="S370" s="5"/>
      <c r="T370" s="5"/>
      <c r="U370" s="5"/>
      <c r="V370" s="5"/>
      <c r="W370" s="5"/>
      <c r="X370" s="5"/>
      <c r="Y370" s="5"/>
    </row>
    <row r="371" spans="13:25" ht="22">
      <c r="M371" s="26" t="s">
        <v>79</v>
      </c>
      <c r="N371" s="25" t="s">
        <v>51</v>
      </c>
      <c r="O371" s="26"/>
      <c r="P371" s="26" t="s">
        <v>427</v>
      </c>
      <c r="Q371" s="26"/>
      <c r="R371" s="5"/>
      <c r="S371" s="5"/>
      <c r="T371" s="5"/>
      <c r="U371" s="5"/>
      <c r="V371" s="5"/>
      <c r="W371" s="5"/>
      <c r="X371" s="5"/>
      <c r="Y371" s="5"/>
    </row>
    <row r="372" spans="13:25" ht="22">
      <c r="M372" s="26" t="s">
        <v>79</v>
      </c>
      <c r="N372" s="25" t="s">
        <v>51</v>
      </c>
      <c r="O372" s="26"/>
      <c r="P372" s="26" t="s">
        <v>428</v>
      </c>
      <c r="Q372" s="26"/>
      <c r="R372" s="5"/>
      <c r="S372" s="5"/>
      <c r="T372" s="5"/>
      <c r="U372" s="5"/>
      <c r="V372" s="5"/>
      <c r="W372" s="5"/>
      <c r="X372" s="5"/>
      <c r="Y372" s="5"/>
    </row>
    <row r="373" spans="13:25" ht="44">
      <c r="M373" s="26" t="s">
        <v>79</v>
      </c>
      <c r="N373" s="25" t="s">
        <v>51</v>
      </c>
      <c r="O373" s="26"/>
      <c r="P373" s="26" t="s">
        <v>429</v>
      </c>
      <c r="Q373" s="26"/>
      <c r="R373" s="5"/>
      <c r="S373" s="5"/>
      <c r="T373" s="5"/>
      <c r="U373" s="5"/>
      <c r="V373" s="5"/>
      <c r="W373" s="5"/>
      <c r="X373" s="5"/>
      <c r="Y373" s="5"/>
    </row>
    <row r="374" spans="13:25" ht="22">
      <c r="M374" s="26" t="s">
        <v>79</v>
      </c>
      <c r="N374" s="25" t="s">
        <v>51</v>
      </c>
      <c r="O374" s="26"/>
      <c r="P374" s="26" t="s">
        <v>430</v>
      </c>
      <c r="Q374" s="26"/>
      <c r="R374" s="5"/>
      <c r="S374" s="5"/>
      <c r="T374" s="5"/>
      <c r="U374" s="5"/>
      <c r="V374" s="5"/>
      <c r="W374" s="5"/>
      <c r="X374" s="5"/>
      <c r="Y374" s="5"/>
    </row>
    <row r="375" spans="13:25" ht="22">
      <c r="M375" s="26" t="s">
        <v>79</v>
      </c>
      <c r="N375" s="25" t="s">
        <v>55</v>
      </c>
      <c r="O375" s="26"/>
      <c r="P375" s="26" t="s">
        <v>431</v>
      </c>
      <c r="Q375" s="26"/>
      <c r="R375" s="5"/>
      <c r="S375" s="5"/>
      <c r="T375" s="5"/>
      <c r="U375" s="5"/>
      <c r="V375" s="5"/>
      <c r="W375" s="5"/>
      <c r="X375" s="5"/>
      <c r="Y375" s="5"/>
    </row>
    <row r="376" spans="13:25" ht="44">
      <c r="M376" s="26" t="s">
        <v>79</v>
      </c>
      <c r="N376" s="25" t="s">
        <v>55</v>
      </c>
      <c r="O376" s="26"/>
      <c r="P376" s="26" t="s">
        <v>432</v>
      </c>
      <c r="Q376" s="26"/>
      <c r="R376" s="5"/>
      <c r="S376" s="5"/>
      <c r="T376" s="5"/>
      <c r="U376" s="5"/>
      <c r="V376" s="5"/>
      <c r="W376" s="5"/>
      <c r="X376" s="5"/>
      <c r="Y376" s="5"/>
    </row>
    <row r="377" spans="13:25" ht="22">
      <c r="M377" s="26" t="s">
        <v>79</v>
      </c>
      <c r="N377" s="25" t="s">
        <v>55</v>
      </c>
      <c r="O377" s="26"/>
      <c r="P377" s="26" t="s">
        <v>433</v>
      </c>
      <c r="Q377" s="26"/>
      <c r="R377" s="5"/>
      <c r="S377" s="5"/>
      <c r="T377" s="5"/>
      <c r="U377" s="5"/>
      <c r="V377" s="5"/>
      <c r="W377" s="5"/>
      <c r="X377" s="5"/>
      <c r="Y377" s="5"/>
    </row>
    <row r="378" spans="13:25" ht="22">
      <c r="M378" s="26" t="s">
        <v>79</v>
      </c>
      <c r="N378" s="25" t="s">
        <v>55</v>
      </c>
      <c r="O378" s="26"/>
      <c r="P378" s="26" t="s">
        <v>434</v>
      </c>
      <c r="Q378" s="26"/>
      <c r="R378" s="5"/>
      <c r="S378" s="5"/>
      <c r="T378" s="5"/>
      <c r="U378" s="5"/>
      <c r="V378" s="5"/>
      <c r="W378" s="5"/>
      <c r="X378" s="5"/>
      <c r="Y378" s="5"/>
    </row>
    <row r="379" spans="13:25" ht="33">
      <c r="M379" s="26" t="s">
        <v>79</v>
      </c>
      <c r="N379" s="25" t="s">
        <v>51</v>
      </c>
      <c r="O379" s="26"/>
      <c r="P379" s="26" t="s">
        <v>435</v>
      </c>
      <c r="Q379" s="26"/>
      <c r="R379" s="5"/>
      <c r="S379" s="5"/>
      <c r="T379" s="5"/>
      <c r="U379" s="5"/>
      <c r="V379" s="5"/>
      <c r="W379" s="5"/>
      <c r="X379" s="5"/>
      <c r="Y379" s="5"/>
    </row>
    <row r="380" spans="13:25" ht="55">
      <c r="M380" s="26" t="s">
        <v>79</v>
      </c>
      <c r="N380" s="25" t="s">
        <v>51</v>
      </c>
      <c r="O380" s="26"/>
      <c r="P380" s="26" t="s">
        <v>436</v>
      </c>
      <c r="Q380" s="26"/>
      <c r="R380" s="5"/>
      <c r="S380" s="5"/>
      <c r="T380" s="5"/>
      <c r="U380" s="5"/>
      <c r="V380" s="5"/>
      <c r="W380" s="5"/>
      <c r="X380" s="5"/>
      <c r="Y380" s="5"/>
    </row>
    <row r="381" spans="13:25" ht="55">
      <c r="M381" s="26" t="s">
        <v>79</v>
      </c>
      <c r="N381" s="25" t="s">
        <v>51</v>
      </c>
      <c r="O381" s="26"/>
      <c r="P381" s="26" t="s">
        <v>437</v>
      </c>
      <c r="Q381" s="26"/>
      <c r="R381" s="5"/>
      <c r="S381" s="5"/>
      <c r="T381" s="5"/>
      <c r="U381" s="5"/>
      <c r="V381" s="5"/>
      <c r="W381" s="5"/>
      <c r="X381" s="5"/>
      <c r="Y381" s="5"/>
    </row>
    <row r="382" spans="13:25" ht="44">
      <c r="M382" s="26" t="s">
        <v>79</v>
      </c>
      <c r="N382" s="25" t="s">
        <v>51</v>
      </c>
      <c r="O382" s="26"/>
      <c r="P382" s="26" t="s">
        <v>438</v>
      </c>
      <c r="Q382" s="26"/>
      <c r="R382" s="5"/>
      <c r="S382" s="5"/>
      <c r="T382" s="5"/>
      <c r="U382" s="5"/>
      <c r="V382" s="5"/>
      <c r="W382" s="5"/>
      <c r="X382" s="5"/>
      <c r="Y382" s="5"/>
    </row>
    <row r="383" spans="13:25" ht="44">
      <c r="M383" s="26" t="s">
        <v>79</v>
      </c>
      <c r="N383" s="25" t="s">
        <v>51</v>
      </c>
      <c r="O383" s="26"/>
      <c r="P383" s="26" t="s">
        <v>439</v>
      </c>
      <c r="Q383" s="26"/>
      <c r="R383" s="5"/>
      <c r="S383" s="5"/>
      <c r="T383" s="5"/>
      <c r="U383" s="5"/>
      <c r="V383" s="5"/>
      <c r="W383" s="5"/>
      <c r="X383" s="5"/>
      <c r="Y383" s="5"/>
    </row>
    <row r="384" spans="13:25" ht="22">
      <c r="M384" s="26" t="s">
        <v>79</v>
      </c>
      <c r="N384" s="25" t="s">
        <v>55</v>
      </c>
      <c r="O384" s="26"/>
      <c r="P384" s="26" t="s">
        <v>440</v>
      </c>
      <c r="Q384" s="26"/>
      <c r="R384" s="5"/>
      <c r="S384" s="5"/>
      <c r="T384" s="5"/>
      <c r="U384" s="5"/>
      <c r="V384" s="5"/>
      <c r="W384" s="5"/>
      <c r="X384" s="5"/>
      <c r="Y384" s="5"/>
    </row>
    <row r="385" spans="13:25" ht="44">
      <c r="M385" s="26" t="s">
        <v>79</v>
      </c>
      <c r="N385" s="25" t="s">
        <v>55</v>
      </c>
      <c r="O385" s="26"/>
      <c r="P385" s="26" t="s">
        <v>441</v>
      </c>
      <c r="Q385" s="26"/>
      <c r="R385" s="5"/>
      <c r="S385" s="5"/>
      <c r="T385" s="5"/>
      <c r="U385" s="5"/>
      <c r="V385" s="5"/>
      <c r="W385" s="5"/>
      <c r="X385" s="5"/>
      <c r="Y385" s="5"/>
    </row>
    <row r="386" spans="13:25" ht="44">
      <c r="M386" s="26" t="s">
        <v>79</v>
      </c>
      <c r="N386" s="25" t="s">
        <v>55</v>
      </c>
      <c r="O386" s="26"/>
      <c r="P386" s="26" t="s">
        <v>442</v>
      </c>
      <c r="Q386" s="26"/>
      <c r="R386" s="5"/>
      <c r="S386" s="5"/>
      <c r="T386" s="5"/>
      <c r="U386" s="5"/>
      <c r="V386" s="5"/>
      <c r="W386" s="5"/>
      <c r="X386" s="5"/>
      <c r="Y386" s="5"/>
    </row>
    <row r="387" spans="13:25" ht="55">
      <c r="M387" s="26" t="s">
        <v>79</v>
      </c>
      <c r="N387" s="25" t="s">
        <v>51</v>
      </c>
      <c r="O387" s="26"/>
      <c r="P387" s="26" t="s">
        <v>443</v>
      </c>
      <c r="Q387" s="26"/>
      <c r="R387" s="5"/>
      <c r="S387" s="5"/>
      <c r="T387" s="5"/>
      <c r="U387" s="5"/>
      <c r="V387" s="5"/>
      <c r="W387" s="5"/>
      <c r="X387" s="5"/>
      <c r="Y387" s="5"/>
    </row>
    <row r="388" spans="13:25" ht="44">
      <c r="M388" s="26" t="s">
        <v>79</v>
      </c>
      <c r="N388" s="25" t="s">
        <v>51</v>
      </c>
      <c r="O388" s="26"/>
      <c r="P388" s="26" t="s">
        <v>444</v>
      </c>
      <c r="Q388" s="26"/>
      <c r="R388" s="5"/>
      <c r="S388" s="5"/>
      <c r="T388" s="5"/>
      <c r="U388" s="5"/>
      <c r="V388" s="5"/>
      <c r="W388" s="5"/>
      <c r="X388" s="5"/>
      <c r="Y388" s="5"/>
    </row>
    <row r="389" spans="13:25" ht="33">
      <c r="M389" s="26" t="s">
        <v>79</v>
      </c>
      <c r="N389" s="25" t="s">
        <v>55</v>
      </c>
      <c r="O389" s="26"/>
      <c r="P389" s="26" t="s">
        <v>445</v>
      </c>
      <c r="Q389" s="26"/>
      <c r="R389" s="5"/>
      <c r="S389" s="5"/>
      <c r="T389" s="5"/>
      <c r="U389" s="5"/>
      <c r="V389" s="5"/>
      <c r="W389" s="5"/>
      <c r="X389" s="5"/>
      <c r="Y389" s="5"/>
    </row>
    <row r="390" spans="13:25" ht="55">
      <c r="M390" s="26" t="s">
        <v>79</v>
      </c>
      <c r="N390" s="25" t="s">
        <v>55</v>
      </c>
      <c r="O390" s="26"/>
      <c r="P390" s="26" t="s">
        <v>446</v>
      </c>
      <c r="Q390" s="26"/>
      <c r="R390" s="5"/>
      <c r="S390" s="5"/>
      <c r="T390" s="5"/>
      <c r="U390" s="5"/>
      <c r="V390" s="5"/>
      <c r="W390" s="5"/>
      <c r="X390" s="5"/>
      <c r="Y390" s="5"/>
    </row>
    <row r="391" spans="13:25" ht="22">
      <c r="M391" s="26" t="s">
        <v>79</v>
      </c>
      <c r="N391" s="25" t="s">
        <v>70</v>
      </c>
      <c r="O391" s="26"/>
      <c r="P391" s="26" t="s">
        <v>447</v>
      </c>
      <c r="Q391" s="26"/>
      <c r="R391" s="5"/>
      <c r="S391" s="5"/>
      <c r="T391" s="5"/>
      <c r="U391" s="5"/>
      <c r="V391" s="5"/>
      <c r="W391" s="5"/>
      <c r="X391" s="5"/>
      <c r="Y391" s="5"/>
    </row>
    <row r="392" spans="13:25" ht="44">
      <c r="M392" s="26" t="s">
        <v>79</v>
      </c>
      <c r="N392" s="25" t="s">
        <v>55</v>
      </c>
      <c r="O392" s="26"/>
      <c r="P392" s="26" t="s">
        <v>448</v>
      </c>
      <c r="Q392" s="26"/>
      <c r="R392" s="5"/>
      <c r="S392" s="5"/>
      <c r="T392" s="5"/>
      <c r="U392" s="5"/>
      <c r="V392" s="5"/>
      <c r="W392" s="5"/>
      <c r="X392" s="5"/>
      <c r="Y392" s="5"/>
    </row>
    <row r="393" spans="13:25" ht="22">
      <c r="M393" s="26" t="s">
        <v>79</v>
      </c>
      <c r="N393" s="25" t="s">
        <v>55</v>
      </c>
      <c r="O393" s="26"/>
      <c r="P393" s="26" t="s">
        <v>449</v>
      </c>
      <c r="Q393" s="26"/>
      <c r="R393" s="5"/>
      <c r="S393" s="5"/>
      <c r="T393" s="5"/>
      <c r="U393" s="5"/>
      <c r="V393" s="5"/>
      <c r="W393" s="5"/>
      <c r="X393" s="5"/>
      <c r="Y393" s="5"/>
    </row>
    <row r="394" spans="13:25" ht="55">
      <c r="M394" s="26" t="s">
        <v>79</v>
      </c>
      <c r="N394" s="25" t="s">
        <v>55</v>
      </c>
      <c r="O394" s="26"/>
      <c r="P394" s="26" t="s">
        <v>414</v>
      </c>
      <c r="Q394" s="26"/>
      <c r="R394" s="5"/>
      <c r="S394" s="5"/>
      <c r="T394" s="5"/>
      <c r="U394" s="5"/>
      <c r="V394" s="5"/>
      <c r="W394" s="5"/>
      <c r="X394" s="5"/>
      <c r="Y394" s="5"/>
    </row>
    <row r="395" spans="13:25" ht="66">
      <c r="M395" s="26" t="s">
        <v>79</v>
      </c>
      <c r="N395" s="25" t="s">
        <v>55</v>
      </c>
      <c r="O395" s="26"/>
      <c r="P395" s="26" t="s">
        <v>415</v>
      </c>
      <c r="Q395" s="26"/>
      <c r="R395" s="5"/>
      <c r="S395" s="5"/>
      <c r="T395" s="5"/>
      <c r="U395" s="5"/>
      <c r="V395" s="5"/>
      <c r="W395" s="5"/>
      <c r="X395" s="5"/>
      <c r="Y395" s="5"/>
    </row>
    <row r="396" spans="13:25" ht="77">
      <c r="M396" s="26" t="s">
        <v>79</v>
      </c>
      <c r="N396" s="25" t="s">
        <v>55</v>
      </c>
      <c r="O396" s="26"/>
      <c r="P396" s="26" t="s">
        <v>450</v>
      </c>
      <c r="Q396" s="26"/>
      <c r="R396" s="5"/>
      <c r="S396" s="5"/>
      <c r="T396" s="5"/>
      <c r="U396" s="5"/>
      <c r="V396" s="5"/>
      <c r="W396" s="5"/>
      <c r="X396" s="5"/>
      <c r="Y396" s="5"/>
    </row>
    <row r="397" spans="13:25" ht="77">
      <c r="M397" s="26" t="s">
        <v>79</v>
      </c>
      <c r="N397" s="25" t="s">
        <v>51</v>
      </c>
      <c r="O397" s="26"/>
      <c r="P397" s="26" t="s">
        <v>451</v>
      </c>
      <c r="Q397" s="26"/>
      <c r="R397" s="5"/>
      <c r="S397" s="5"/>
      <c r="T397" s="5"/>
      <c r="U397" s="5"/>
      <c r="V397" s="5"/>
      <c r="W397" s="5"/>
      <c r="X397" s="5"/>
      <c r="Y397" s="5"/>
    </row>
    <row r="398" spans="13:25" ht="44">
      <c r="M398" s="26" t="s">
        <v>79</v>
      </c>
      <c r="N398" s="25" t="s">
        <v>51</v>
      </c>
      <c r="O398" s="26"/>
      <c r="P398" s="26" t="s">
        <v>452</v>
      </c>
      <c r="Q398" s="26"/>
      <c r="R398" s="5"/>
      <c r="S398" s="5"/>
      <c r="T398" s="5"/>
      <c r="U398" s="5"/>
      <c r="V398" s="5"/>
      <c r="W398" s="5"/>
      <c r="X398" s="5"/>
      <c r="Y398" s="5"/>
    </row>
    <row r="399" spans="13:25" ht="66">
      <c r="M399" s="26" t="s">
        <v>79</v>
      </c>
      <c r="N399" s="25" t="s">
        <v>51</v>
      </c>
      <c r="O399" s="26"/>
      <c r="P399" s="26" t="s">
        <v>453</v>
      </c>
      <c r="Q399" s="26"/>
      <c r="R399" s="5"/>
      <c r="S399" s="5"/>
      <c r="T399" s="5"/>
      <c r="U399" s="5"/>
      <c r="V399" s="5"/>
      <c r="W399" s="5"/>
      <c r="X399" s="5"/>
      <c r="Y399" s="5"/>
    </row>
    <row r="400" spans="13:25" ht="44">
      <c r="M400" s="26" t="s">
        <v>79</v>
      </c>
      <c r="N400" s="25" t="s">
        <v>55</v>
      </c>
      <c r="O400" s="26"/>
      <c r="P400" s="26" t="s">
        <v>454</v>
      </c>
      <c r="Q400" s="26"/>
      <c r="R400" s="5"/>
      <c r="S400" s="5"/>
      <c r="T400" s="5"/>
      <c r="U400" s="5"/>
      <c r="V400" s="5"/>
      <c r="W400" s="5"/>
      <c r="X400" s="5"/>
      <c r="Y400" s="5"/>
    </row>
    <row r="401" spans="13:25" ht="33">
      <c r="M401" s="26" t="s">
        <v>79</v>
      </c>
      <c r="N401" s="25" t="s">
        <v>55</v>
      </c>
      <c r="O401" s="26"/>
      <c r="P401" s="26" t="s">
        <v>445</v>
      </c>
      <c r="Q401" s="26"/>
      <c r="R401" s="5"/>
      <c r="S401" s="5"/>
      <c r="T401" s="5"/>
      <c r="U401" s="5"/>
      <c r="V401" s="5"/>
      <c r="W401" s="5"/>
      <c r="X401" s="5"/>
      <c r="Y401" s="5"/>
    </row>
    <row r="402" spans="13:25" ht="55">
      <c r="M402" s="26" t="s">
        <v>79</v>
      </c>
      <c r="N402" s="25" t="s">
        <v>55</v>
      </c>
      <c r="O402" s="26"/>
      <c r="P402" s="26" t="s">
        <v>446</v>
      </c>
      <c r="Q402" s="26"/>
      <c r="R402" s="5"/>
      <c r="S402" s="5"/>
      <c r="T402" s="5"/>
      <c r="U402" s="5"/>
      <c r="V402" s="5"/>
      <c r="W402" s="5"/>
      <c r="X402" s="5"/>
      <c r="Y402" s="5"/>
    </row>
    <row r="403" spans="13:25" ht="22">
      <c r="M403" s="26" t="s">
        <v>79</v>
      </c>
      <c r="N403" s="25" t="s">
        <v>70</v>
      </c>
      <c r="O403" s="26"/>
      <c r="P403" s="26" t="s">
        <v>455</v>
      </c>
      <c r="Q403" s="26"/>
      <c r="R403" s="5"/>
      <c r="S403" s="5"/>
      <c r="T403" s="5"/>
      <c r="U403" s="5"/>
      <c r="V403" s="5"/>
      <c r="W403" s="5"/>
      <c r="X403" s="5"/>
      <c r="Y403" s="5"/>
    </row>
    <row r="404" spans="13:25" ht="44">
      <c r="M404" s="26" t="s">
        <v>79</v>
      </c>
      <c r="N404" s="25" t="s">
        <v>51</v>
      </c>
      <c r="O404" s="26"/>
      <c r="P404" s="26" t="s">
        <v>456</v>
      </c>
      <c r="Q404" s="26"/>
      <c r="R404" s="5"/>
      <c r="S404" s="5"/>
      <c r="T404" s="5"/>
      <c r="U404" s="5"/>
      <c r="V404" s="5"/>
      <c r="W404" s="5"/>
      <c r="X404" s="5"/>
      <c r="Y404" s="5"/>
    </row>
    <row r="405" spans="13:25" ht="44">
      <c r="M405" s="26" t="s">
        <v>79</v>
      </c>
      <c r="N405" s="25" t="s">
        <v>55</v>
      </c>
      <c r="O405" s="26"/>
      <c r="P405" s="26" t="s">
        <v>457</v>
      </c>
      <c r="Q405" s="26"/>
      <c r="R405" s="5"/>
      <c r="S405" s="5"/>
      <c r="T405" s="5"/>
      <c r="U405" s="5"/>
      <c r="V405" s="5"/>
      <c r="W405" s="5"/>
      <c r="X405" s="5"/>
      <c r="Y405" s="5"/>
    </row>
    <row r="406" spans="13:25" ht="22">
      <c r="M406" s="26" t="s">
        <v>79</v>
      </c>
      <c r="N406" s="25" t="s">
        <v>55</v>
      </c>
      <c r="O406" s="26"/>
      <c r="P406" s="26" t="s">
        <v>458</v>
      </c>
      <c r="Q406" s="26"/>
      <c r="R406" s="5"/>
      <c r="S406" s="5"/>
      <c r="T406" s="5"/>
      <c r="U406" s="5"/>
      <c r="V406" s="5"/>
      <c r="W406" s="5"/>
      <c r="X406" s="5"/>
      <c r="Y406" s="5"/>
    </row>
    <row r="407" spans="13:25" ht="22">
      <c r="M407" s="26" t="s">
        <v>79</v>
      </c>
      <c r="N407" s="25" t="s">
        <v>57</v>
      </c>
      <c r="O407" s="26"/>
      <c r="P407" s="26" t="s">
        <v>459</v>
      </c>
      <c r="Q407" s="26"/>
      <c r="R407" s="5"/>
      <c r="S407" s="5"/>
      <c r="T407" s="5"/>
      <c r="U407" s="5"/>
      <c r="V407" s="5"/>
      <c r="W407" s="5"/>
      <c r="X407" s="5"/>
      <c r="Y407" s="5"/>
    </row>
    <row r="408" spans="13:25" ht="99">
      <c r="M408" s="26" t="s">
        <v>79</v>
      </c>
      <c r="N408" s="25" t="s">
        <v>55</v>
      </c>
      <c r="O408" s="26"/>
      <c r="P408" s="26" t="s">
        <v>460</v>
      </c>
      <c r="Q408" s="26"/>
      <c r="R408" s="5"/>
      <c r="S408" s="5"/>
      <c r="T408" s="5"/>
      <c r="U408" s="5"/>
      <c r="V408" s="5"/>
      <c r="W408" s="5"/>
      <c r="X408" s="5"/>
      <c r="Y408" s="5"/>
    </row>
    <row r="409" spans="13:25" ht="77">
      <c r="M409" s="26" t="s">
        <v>79</v>
      </c>
      <c r="N409" s="25" t="s">
        <v>55</v>
      </c>
      <c r="O409" s="26"/>
      <c r="P409" s="26" t="s">
        <v>461</v>
      </c>
      <c r="Q409" s="26"/>
      <c r="R409" s="5"/>
      <c r="S409" s="5"/>
      <c r="T409" s="5"/>
      <c r="U409" s="5"/>
      <c r="V409" s="5"/>
      <c r="W409" s="5"/>
      <c r="X409" s="5"/>
      <c r="Y409" s="5"/>
    </row>
    <row r="410" spans="13:25" ht="88">
      <c r="M410" s="26" t="s">
        <v>79</v>
      </c>
      <c r="N410" s="25" t="s">
        <v>55</v>
      </c>
      <c r="O410" s="26"/>
      <c r="P410" s="26" t="s">
        <v>462</v>
      </c>
      <c r="Q410" s="26"/>
      <c r="R410" s="5"/>
      <c r="S410" s="5"/>
      <c r="T410" s="5"/>
      <c r="U410" s="5"/>
      <c r="V410" s="5"/>
      <c r="W410" s="5"/>
      <c r="X410" s="5"/>
      <c r="Y410" s="5"/>
    </row>
    <row r="411" spans="13:25" ht="55">
      <c r="M411" s="26" t="s">
        <v>79</v>
      </c>
      <c r="N411" s="25" t="s">
        <v>55</v>
      </c>
      <c r="O411" s="26"/>
      <c r="P411" s="26" t="s">
        <v>463</v>
      </c>
      <c r="Q411" s="26"/>
      <c r="R411" s="5"/>
      <c r="S411" s="5"/>
      <c r="T411" s="5"/>
      <c r="U411" s="5"/>
      <c r="V411" s="5"/>
      <c r="W411" s="5"/>
      <c r="X411" s="5"/>
      <c r="Y411" s="5"/>
    </row>
    <row r="412" spans="13:25" ht="22">
      <c r="M412" s="26" t="s">
        <v>79</v>
      </c>
      <c r="N412" s="25" t="s">
        <v>55</v>
      </c>
      <c r="O412" s="26"/>
      <c r="P412" s="26" t="s">
        <v>464</v>
      </c>
      <c r="Q412" s="26"/>
      <c r="R412" s="5"/>
      <c r="S412" s="5"/>
      <c r="T412" s="5"/>
      <c r="U412" s="5"/>
      <c r="V412" s="5"/>
      <c r="W412" s="5"/>
      <c r="X412" s="5"/>
      <c r="Y412" s="5"/>
    </row>
    <row r="413" spans="13:25" ht="33">
      <c r="M413" s="26" t="s">
        <v>79</v>
      </c>
      <c r="N413" s="25" t="s">
        <v>55</v>
      </c>
      <c r="O413" s="26"/>
      <c r="P413" s="26" t="s">
        <v>465</v>
      </c>
      <c r="Q413" s="26"/>
      <c r="R413" s="5"/>
      <c r="S413" s="5"/>
      <c r="T413" s="5"/>
      <c r="U413" s="5"/>
      <c r="V413" s="5"/>
      <c r="W413" s="5"/>
      <c r="X413" s="5"/>
      <c r="Y413" s="5"/>
    </row>
    <row r="414" spans="13:25" ht="22">
      <c r="M414" s="26" t="s">
        <v>79</v>
      </c>
      <c r="N414" s="25" t="s">
        <v>55</v>
      </c>
      <c r="O414" s="26"/>
      <c r="P414" s="26" t="s">
        <v>466</v>
      </c>
      <c r="Q414" s="26"/>
      <c r="R414" s="5"/>
      <c r="S414" s="5"/>
      <c r="T414" s="5"/>
      <c r="U414" s="5"/>
      <c r="V414" s="5"/>
      <c r="W414" s="5"/>
      <c r="X414" s="5"/>
      <c r="Y414" s="5"/>
    </row>
    <row r="415" spans="13:25" ht="55">
      <c r="M415" s="26" t="s">
        <v>79</v>
      </c>
      <c r="N415" s="25" t="s">
        <v>55</v>
      </c>
      <c r="O415" s="26"/>
      <c r="P415" s="26" t="s">
        <v>467</v>
      </c>
      <c r="Q415" s="26"/>
      <c r="R415" s="5"/>
      <c r="S415" s="5"/>
      <c r="T415" s="5"/>
      <c r="U415" s="5"/>
      <c r="V415" s="5"/>
      <c r="W415" s="5"/>
      <c r="X415" s="5"/>
      <c r="Y415" s="5"/>
    </row>
    <row r="416" spans="13:25" ht="55">
      <c r="M416" s="26" t="s">
        <v>79</v>
      </c>
      <c r="N416" s="25" t="s">
        <v>55</v>
      </c>
      <c r="O416" s="26"/>
      <c r="P416" s="26" t="s">
        <v>468</v>
      </c>
      <c r="Q416" s="26"/>
      <c r="R416" s="5"/>
      <c r="S416" s="5"/>
      <c r="T416" s="5"/>
      <c r="U416" s="5"/>
      <c r="V416" s="5"/>
      <c r="W416" s="5"/>
      <c r="X416" s="5"/>
      <c r="Y416" s="5"/>
    </row>
    <row r="417" spans="13:25" ht="66">
      <c r="M417" s="26" t="s">
        <v>79</v>
      </c>
      <c r="N417" s="25" t="s">
        <v>55</v>
      </c>
      <c r="O417" s="26"/>
      <c r="P417" s="26" t="s">
        <v>469</v>
      </c>
      <c r="Q417" s="26"/>
      <c r="R417" s="5"/>
      <c r="S417" s="5"/>
      <c r="T417" s="5"/>
      <c r="U417" s="5"/>
      <c r="V417" s="5"/>
      <c r="W417" s="5"/>
      <c r="X417" s="5"/>
      <c r="Y417" s="5"/>
    </row>
    <row r="418" spans="13:25" ht="22">
      <c r="M418" s="26" t="s">
        <v>79</v>
      </c>
      <c r="N418" s="25" t="s">
        <v>70</v>
      </c>
      <c r="O418" s="26"/>
      <c r="P418" s="26" t="s">
        <v>470</v>
      </c>
      <c r="Q418" s="26"/>
      <c r="R418" s="5"/>
      <c r="S418" s="5"/>
      <c r="T418" s="5"/>
      <c r="U418" s="5"/>
      <c r="V418" s="5"/>
      <c r="W418" s="5"/>
      <c r="X418" s="5"/>
      <c r="Y418" s="5"/>
    </row>
    <row r="419" spans="13:25" ht="22">
      <c r="M419" s="26" t="s">
        <v>79</v>
      </c>
      <c r="N419" s="25" t="s">
        <v>55</v>
      </c>
      <c r="O419" s="26"/>
      <c r="P419" s="26" t="s">
        <v>471</v>
      </c>
      <c r="Q419" s="26"/>
      <c r="R419" s="5"/>
      <c r="S419" s="5"/>
      <c r="T419" s="5"/>
      <c r="U419" s="5"/>
      <c r="V419" s="5"/>
      <c r="W419" s="5"/>
      <c r="X419" s="5"/>
      <c r="Y419" s="5"/>
    </row>
    <row r="420" spans="13:25" ht="22">
      <c r="M420" s="26" t="s">
        <v>79</v>
      </c>
      <c r="N420" s="25" t="s">
        <v>55</v>
      </c>
      <c r="O420" s="26"/>
      <c r="P420" s="26" t="s">
        <v>472</v>
      </c>
      <c r="Q420" s="26"/>
      <c r="R420" s="5"/>
      <c r="S420" s="5"/>
      <c r="T420" s="5"/>
      <c r="U420" s="5"/>
      <c r="V420" s="5"/>
      <c r="W420" s="5"/>
      <c r="X420" s="5"/>
      <c r="Y420" s="5"/>
    </row>
    <row r="421" spans="13:25" ht="44">
      <c r="M421" s="26" t="s">
        <v>79</v>
      </c>
      <c r="N421" s="25" t="s">
        <v>55</v>
      </c>
      <c r="O421" s="26"/>
      <c r="P421" s="26" t="s">
        <v>442</v>
      </c>
      <c r="Q421" s="26"/>
      <c r="R421" s="5"/>
      <c r="S421" s="5"/>
      <c r="T421" s="5"/>
      <c r="U421" s="5"/>
      <c r="V421" s="5"/>
      <c r="W421" s="5"/>
      <c r="X421" s="5"/>
      <c r="Y421" s="5"/>
    </row>
    <row r="422" spans="13:25" ht="22">
      <c r="M422" s="26" t="s">
        <v>79</v>
      </c>
      <c r="N422" s="25" t="s">
        <v>55</v>
      </c>
      <c r="O422" s="26"/>
      <c r="P422" s="26" t="s">
        <v>473</v>
      </c>
      <c r="Q422" s="26"/>
      <c r="R422" s="5"/>
      <c r="S422" s="5"/>
      <c r="T422" s="5"/>
      <c r="U422" s="5"/>
      <c r="V422" s="5"/>
      <c r="W422" s="5"/>
      <c r="X422" s="5"/>
      <c r="Y422" s="5"/>
    </row>
    <row r="423" spans="13:25" ht="44">
      <c r="M423" s="26" t="s">
        <v>79</v>
      </c>
      <c r="N423" s="25" t="s">
        <v>51</v>
      </c>
      <c r="O423" s="26"/>
      <c r="P423" s="26" t="s">
        <v>474</v>
      </c>
      <c r="Q423" s="26"/>
      <c r="R423" s="5"/>
      <c r="S423" s="5"/>
      <c r="T423" s="5"/>
      <c r="U423" s="5"/>
      <c r="V423" s="5"/>
      <c r="W423" s="5"/>
      <c r="X423" s="5"/>
      <c r="Y423" s="5"/>
    </row>
    <row r="424" spans="13:25" ht="33">
      <c r="M424" s="26" t="s">
        <v>79</v>
      </c>
      <c r="N424" s="25" t="s">
        <v>51</v>
      </c>
      <c r="O424" s="26"/>
      <c r="P424" s="26" t="s">
        <v>475</v>
      </c>
      <c r="Q424" s="26"/>
      <c r="R424" s="5"/>
      <c r="S424" s="5"/>
      <c r="T424" s="5"/>
      <c r="U424" s="5"/>
      <c r="V424" s="5"/>
      <c r="W424" s="5"/>
      <c r="X424" s="5"/>
      <c r="Y424" s="5"/>
    </row>
    <row r="425" spans="13:25" ht="44">
      <c r="M425" s="26" t="s">
        <v>79</v>
      </c>
      <c r="N425" s="25" t="s">
        <v>51</v>
      </c>
      <c r="O425" s="26"/>
      <c r="P425" s="26" t="s">
        <v>476</v>
      </c>
      <c r="Q425" s="26"/>
      <c r="R425" s="5"/>
      <c r="S425" s="5"/>
      <c r="T425" s="5"/>
      <c r="U425" s="5"/>
      <c r="V425" s="5"/>
      <c r="W425" s="5"/>
      <c r="X425" s="5"/>
      <c r="Y425" s="5"/>
    </row>
    <row r="426" spans="13:25" ht="55">
      <c r="M426" s="26" t="s">
        <v>79</v>
      </c>
      <c r="N426" s="25" t="s">
        <v>55</v>
      </c>
      <c r="O426" s="26"/>
      <c r="P426" s="26" t="s">
        <v>467</v>
      </c>
      <c r="Q426" s="26"/>
      <c r="R426" s="5"/>
      <c r="S426" s="5"/>
      <c r="T426" s="5"/>
      <c r="U426" s="5"/>
      <c r="V426" s="5"/>
      <c r="W426" s="5"/>
      <c r="X426" s="5"/>
      <c r="Y426" s="5"/>
    </row>
    <row r="427" spans="13:25" ht="44">
      <c r="M427" s="26" t="s">
        <v>79</v>
      </c>
      <c r="N427" s="25" t="s">
        <v>55</v>
      </c>
      <c r="O427" s="26"/>
      <c r="P427" s="26" t="s">
        <v>477</v>
      </c>
      <c r="Q427" s="26"/>
      <c r="R427" s="5"/>
      <c r="S427" s="5"/>
      <c r="T427" s="5"/>
      <c r="U427" s="5"/>
      <c r="V427" s="5"/>
      <c r="W427" s="5"/>
      <c r="X427" s="5"/>
      <c r="Y427" s="5"/>
    </row>
    <row r="428" spans="13:25" ht="44">
      <c r="M428" s="26" t="s">
        <v>79</v>
      </c>
      <c r="N428" s="25" t="s">
        <v>55</v>
      </c>
      <c r="O428" s="26"/>
      <c r="P428" s="26" t="s">
        <v>442</v>
      </c>
      <c r="Q428" s="26"/>
      <c r="R428" s="5"/>
      <c r="S428" s="5"/>
      <c r="T428" s="5"/>
      <c r="U428" s="5"/>
      <c r="V428" s="5"/>
      <c r="W428" s="5"/>
      <c r="X428" s="5"/>
      <c r="Y428" s="5"/>
    </row>
    <row r="429" spans="13:25" ht="99">
      <c r="M429" s="26" t="s">
        <v>79</v>
      </c>
      <c r="N429" s="25" t="s">
        <v>55</v>
      </c>
      <c r="O429" s="26"/>
      <c r="P429" s="26" t="s">
        <v>478</v>
      </c>
      <c r="Q429" s="26"/>
      <c r="R429" s="5"/>
      <c r="S429" s="5"/>
      <c r="T429" s="5"/>
      <c r="U429" s="5"/>
      <c r="V429" s="5"/>
      <c r="W429" s="5"/>
      <c r="X429" s="5"/>
      <c r="Y429" s="5"/>
    </row>
    <row r="430" spans="13:25" ht="88">
      <c r="M430" s="26" t="s">
        <v>79</v>
      </c>
      <c r="N430" s="25" t="s">
        <v>55</v>
      </c>
      <c r="O430" s="26"/>
      <c r="P430" s="26" t="s">
        <v>479</v>
      </c>
      <c r="Q430" s="26"/>
      <c r="R430" s="5"/>
      <c r="S430" s="5"/>
      <c r="T430" s="5"/>
      <c r="U430" s="5"/>
      <c r="V430" s="5"/>
      <c r="W430" s="5"/>
      <c r="X430" s="5"/>
      <c r="Y430" s="5"/>
    </row>
    <row r="431" spans="13:25" ht="22">
      <c r="M431" s="26" t="s">
        <v>79</v>
      </c>
      <c r="N431" s="25" t="s">
        <v>51</v>
      </c>
      <c r="O431" s="26"/>
      <c r="P431" s="26" t="s">
        <v>480</v>
      </c>
      <c r="Q431" s="26"/>
      <c r="R431" s="5"/>
      <c r="S431" s="5"/>
      <c r="T431" s="5"/>
      <c r="U431" s="5"/>
      <c r="V431" s="5"/>
      <c r="W431" s="5"/>
      <c r="X431" s="5"/>
      <c r="Y431" s="5"/>
    </row>
    <row r="432" spans="13:25" ht="55">
      <c r="M432" s="26" t="s">
        <v>79</v>
      </c>
      <c r="N432" s="25" t="s">
        <v>51</v>
      </c>
      <c r="O432" s="26"/>
      <c r="P432" s="26" t="s">
        <v>481</v>
      </c>
      <c r="Q432" s="26"/>
      <c r="R432" s="5"/>
      <c r="S432" s="5"/>
      <c r="T432" s="5"/>
      <c r="U432" s="5"/>
      <c r="V432" s="5"/>
      <c r="W432" s="5"/>
      <c r="X432" s="5"/>
      <c r="Y432" s="5"/>
    </row>
    <row r="433" spans="13:25" ht="22">
      <c r="M433" s="26" t="s">
        <v>79</v>
      </c>
      <c r="N433" s="25" t="s">
        <v>55</v>
      </c>
      <c r="O433" s="26"/>
      <c r="P433" s="26" t="s">
        <v>482</v>
      </c>
      <c r="Q433" s="26"/>
      <c r="R433" s="5"/>
      <c r="S433" s="5"/>
      <c r="T433" s="5"/>
      <c r="U433" s="5"/>
      <c r="V433" s="5"/>
      <c r="W433" s="5"/>
      <c r="X433" s="5"/>
      <c r="Y433" s="5"/>
    </row>
    <row r="434" spans="13:25" ht="22">
      <c r="M434" s="26" t="s">
        <v>79</v>
      </c>
      <c r="N434" s="25" t="s">
        <v>55</v>
      </c>
      <c r="O434" s="26"/>
      <c r="P434" s="26" t="s">
        <v>483</v>
      </c>
      <c r="Q434" s="26"/>
      <c r="R434" s="5"/>
      <c r="S434" s="5"/>
      <c r="T434" s="5"/>
      <c r="U434" s="5"/>
      <c r="V434" s="5"/>
      <c r="W434" s="5"/>
      <c r="X434" s="5"/>
      <c r="Y434" s="5"/>
    </row>
    <row r="435" spans="13:25" ht="33">
      <c r="M435" s="26" t="s">
        <v>79</v>
      </c>
      <c r="N435" s="25" t="s">
        <v>51</v>
      </c>
      <c r="O435" s="26"/>
      <c r="P435" s="26" t="s">
        <v>484</v>
      </c>
      <c r="Q435" s="26"/>
      <c r="R435" s="5"/>
      <c r="S435" s="5"/>
      <c r="T435" s="5"/>
      <c r="U435" s="5"/>
      <c r="V435" s="5"/>
      <c r="W435" s="5"/>
      <c r="X435" s="5"/>
      <c r="Y435" s="5"/>
    </row>
    <row r="436" spans="13:25" ht="55">
      <c r="M436" s="26" t="s">
        <v>79</v>
      </c>
      <c r="N436" s="25" t="s">
        <v>51</v>
      </c>
      <c r="O436" s="26"/>
      <c r="P436" s="26" t="s">
        <v>485</v>
      </c>
      <c r="Q436" s="26"/>
      <c r="R436" s="5"/>
      <c r="S436" s="5"/>
      <c r="T436" s="5"/>
      <c r="U436" s="5"/>
      <c r="V436" s="5"/>
      <c r="W436" s="5"/>
      <c r="X436" s="5"/>
      <c r="Y436" s="5"/>
    </row>
    <row r="437" spans="13:25" ht="55">
      <c r="M437" s="26" t="s">
        <v>79</v>
      </c>
      <c r="N437" s="25" t="s">
        <v>55</v>
      </c>
      <c r="O437" s="26"/>
      <c r="P437" s="26" t="s">
        <v>446</v>
      </c>
      <c r="Q437" s="26"/>
      <c r="R437" s="5"/>
      <c r="S437" s="5"/>
      <c r="T437" s="5"/>
      <c r="U437" s="5"/>
      <c r="V437" s="5"/>
      <c r="W437" s="5"/>
      <c r="X437" s="5"/>
      <c r="Y437" s="5"/>
    </row>
    <row r="438" spans="13:25" ht="55">
      <c r="M438" s="26" t="s">
        <v>79</v>
      </c>
      <c r="N438" s="25" t="s">
        <v>55</v>
      </c>
      <c r="O438" s="26"/>
      <c r="P438" s="26" t="s">
        <v>467</v>
      </c>
      <c r="Q438" s="26"/>
      <c r="R438" s="5"/>
      <c r="S438" s="5"/>
      <c r="T438" s="5"/>
      <c r="U438" s="5"/>
      <c r="V438" s="5"/>
      <c r="W438" s="5"/>
      <c r="X438" s="5"/>
      <c r="Y438" s="5"/>
    </row>
    <row r="439" spans="13:25" ht="44">
      <c r="M439" s="26" t="s">
        <v>79</v>
      </c>
      <c r="N439" s="25" t="s">
        <v>55</v>
      </c>
      <c r="O439" s="26"/>
      <c r="P439" s="26" t="s">
        <v>477</v>
      </c>
      <c r="Q439" s="26"/>
      <c r="R439" s="5"/>
      <c r="S439" s="5"/>
      <c r="T439" s="5"/>
      <c r="U439" s="5"/>
      <c r="V439" s="5"/>
      <c r="W439" s="5"/>
      <c r="X439" s="5"/>
      <c r="Y439" s="5"/>
    </row>
    <row r="440" spans="13:25" ht="77">
      <c r="M440" s="26" t="s">
        <v>79</v>
      </c>
      <c r="N440" s="25" t="s">
        <v>55</v>
      </c>
      <c r="O440" s="26"/>
      <c r="P440" s="26" t="s">
        <v>486</v>
      </c>
      <c r="Q440" s="26"/>
      <c r="R440" s="5"/>
      <c r="S440" s="5"/>
      <c r="T440" s="5"/>
      <c r="U440" s="5"/>
      <c r="V440" s="5"/>
      <c r="W440" s="5"/>
      <c r="X440" s="5"/>
      <c r="Y440" s="5"/>
    </row>
    <row r="441" spans="13:25" ht="22">
      <c r="M441" s="26" t="s">
        <v>79</v>
      </c>
      <c r="N441" s="25" t="s">
        <v>51</v>
      </c>
      <c r="O441" s="26" t="s">
        <v>487</v>
      </c>
      <c r="P441" s="26"/>
      <c r="Q441" s="26"/>
      <c r="R441" s="5"/>
      <c r="S441" s="5"/>
      <c r="T441" s="5"/>
      <c r="U441" s="5"/>
      <c r="V441" s="5"/>
      <c r="W441" s="5"/>
      <c r="X441" s="5"/>
      <c r="Y441" s="5"/>
    </row>
    <row r="442" spans="13:25" ht="66">
      <c r="M442" s="26" t="s">
        <v>79</v>
      </c>
      <c r="N442" s="25" t="s">
        <v>51</v>
      </c>
      <c r="O442" s="26"/>
      <c r="P442" s="26" t="s">
        <v>488</v>
      </c>
      <c r="Q442" s="26"/>
      <c r="R442" s="5"/>
      <c r="S442" s="5"/>
      <c r="T442" s="5"/>
      <c r="U442" s="5"/>
      <c r="V442" s="5"/>
      <c r="W442" s="5"/>
      <c r="X442" s="5"/>
      <c r="Y442" s="5"/>
    </row>
    <row r="443" spans="13:25" ht="44">
      <c r="M443" s="26" t="s">
        <v>79</v>
      </c>
      <c r="N443" s="25" t="s">
        <v>55</v>
      </c>
      <c r="O443" s="26"/>
      <c r="P443" s="26" t="s">
        <v>489</v>
      </c>
      <c r="Q443" s="26"/>
      <c r="R443" s="5"/>
      <c r="S443" s="5"/>
      <c r="T443" s="5"/>
      <c r="U443" s="5"/>
      <c r="V443" s="5"/>
      <c r="W443" s="5"/>
      <c r="X443" s="5"/>
      <c r="Y443" s="5"/>
    </row>
    <row r="444" spans="13:25" ht="55">
      <c r="M444" s="26" t="s">
        <v>79</v>
      </c>
      <c r="N444" s="25" t="s">
        <v>55</v>
      </c>
      <c r="O444" s="26"/>
      <c r="P444" s="26" t="s">
        <v>353</v>
      </c>
      <c r="Q444" s="26"/>
      <c r="R444" s="5"/>
      <c r="S444" s="5"/>
      <c r="T444" s="5"/>
      <c r="U444" s="5"/>
      <c r="V444" s="5"/>
      <c r="W444" s="5"/>
      <c r="X444" s="5"/>
      <c r="Y444" s="5"/>
    </row>
    <row r="445" spans="13:25" ht="55">
      <c r="M445" s="26" t="s">
        <v>79</v>
      </c>
      <c r="N445" s="25" t="s">
        <v>55</v>
      </c>
      <c r="O445" s="26"/>
      <c r="P445" s="26" t="s">
        <v>381</v>
      </c>
      <c r="Q445" s="26"/>
      <c r="R445" s="5"/>
      <c r="S445" s="5"/>
      <c r="T445" s="5"/>
      <c r="U445" s="5"/>
      <c r="V445" s="5"/>
      <c r="W445" s="5"/>
      <c r="X445" s="5"/>
      <c r="Y445" s="5"/>
    </row>
    <row r="446" spans="13:25" ht="55">
      <c r="M446" s="26" t="s">
        <v>79</v>
      </c>
      <c r="N446" s="25" t="s">
        <v>55</v>
      </c>
      <c r="O446" s="26"/>
      <c r="P446" s="26" t="s">
        <v>353</v>
      </c>
      <c r="Q446" s="26"/>
      <c r="R446" s="5"/>
      <c r="S446" s="5"/>
      <c r="T446" s="5"/>
      <c r="U446" s="5"/>
      <c r="V446" s="5"/>
      <c r="W446" s="5"/>
      <c r="X446" s="5"/>
      <c r="Y446" s="5"/>
    </row>
    <row r="447" spans="13:25" ht="55">
      <c r="M447" s="26" t="s">
        <v>79</v>
      </c>
      <c r="N447" s="25" t="s">
        <v>55</v>
      </c>
      <c r="O447" s="26"/>
      <c r="P447" s="26" t="s">
        <v>490</v>
      </c>
      <c r="Q447" s="26"/>
      <c r="R447" s="5"/>
      <c r="S447" s="5"/>
      <c r="T447" s="5"/>
      <c r="U447" s="5"/>
      <c r="V447" s="5"/>
      <c r="W447" s="5"/>
      <c r="X447" s="5"/>
      <c r="Y447" s="5"/>
    </row>
    <row r="448" spans="13:25" ht="55">
      <c r="M448" s="26" t="s">
        <v>79</v>
      </c>
      <c r="N448" s="25" t="s">
        <v>55</v>
      </c>
      <c r="O448" s="26"/>
      <c r="P448" s="26" t="s">
        <v>491</v>
      </c>
      <c r="Q448" s="26"/>
      <c r="R448" s="5"/>
      <c r="S448" s="5"/>
      <c r="T448" s="5"/>
      <c r="U448" s="5"/>
      <c r="V448" s="5"/>
      <c r="W448" s="5"/>
      <c r="X448" s="5"/>
      <c r="Y448" s="5"/>
    </row>
    <row r="449" spans="13:25" ht="33">
      <c r="M449" s="26" t="s">
        <v>79</v>
      </c>
      <c r="N449" s="25" t="s">
        <v>55</v>
      </c>
      <c r="O449" s="26"/>
      <c r="P449" s="26" t="s">
        <v>492</v>
      </c>
      <c r="Q449" s="26"/>
      <c r="R449" s="5"/>
      <c r="S449" s="5"/>
      <c r="T449" s="5"/>
      <c r="U449" s="5"/>
      <c r="V449" s="5"/>
      <c r="W449" s="5"/>
      <c r="X449" s="5"/>
      <c r="Y449" s="5"/>
    </row>
    <row r="450" spans="13:25" ht="55">
      <c r="M450" s="26" t="s">
        <v>79</v>
      </c>
      <c r="N450" s="25" t="s">
        <v>55</v>
      </c>
      <c r="O450" s="26"/>
      <c r="P450" s="26" t="s">
        <v>493</v>
      </c>
      <c r="Q450" s="26"/>
      <c r="R450" s="5"/>
      <c r="S450" s="5"/>
      <c r="T450" s="5"/>
      <c r="U450" s="5"/>
      <c r="V450" s="5"/>
      <c r="W450" s="5"/>
      <c r="X450" s="5"/>
      <c r="Y450" s="5"/>
    </row>
    <row r="451" spans="13:25" ht="22">
      <c r="M451" s="26" t="s">
        <v>79</v>
      </c>
      <c r="N451" s="25" t="s">
        <v>55</v>
      </c>
      <c r="O451" s="26"/>
      <c r="P451" s="26" t="s">
        <v>494</v>
      </c>
      <c r="Q451" s="26"/>
      <c r="R451" s="5"/>
      <c r="S451" s="5"/>
      <c r="T451" s="5"/>
      <c r="U451" s="5"/>
      <c r="V451" s="5"/>
      <c r="W451" s="5"/>
      <c r="X451" s="5"/>
      <c r="Y451" s="5"/>
    </row>
    <row r="452" spans="13:25" ht="44">
      <c r="M452" s="26" t="s">
        <v>79</v>
      </c>
      <c r="N452" s="25" t="s">
        <v>55</v>
      </c>
      <c r="O452" s="26"/>
      <c r="P452" s="26" t="s">
        <v>495</v>
      </c>
      <c r="Q452" s="26"/>
      <c r="R452" s="5"/>
      <c r="S452" s="5"/>
      <c r="T452" s="5"/>
      <c r="U452" s="5"/>
      <c r="V452" s="5"/>
      <c r="W452" s="5"/>
      <c r="X452" s="5"/>
      <c r="Y452" s="5"/>
    </row>
    <row r="453" spans="13:25" ht="44">
      <c r="M453" s="26" t="s">
        <v>79</v>
      </c>
      <c r="N453" s="25" t="s">
        <v>55</v>
      </c>
      <c r="O453" s="26"/>
      <c r="P453" s="26" t="s">
        <v>360</v>
      </c>
      <c r="Q453" s="26"/>
      <c r="R453" s="5"/>
      <c r="S453" s="5"/>
      <c r="T453" s="5"/>
      <c r="U453" s="5"/>
      <c r="V453" s="5"/>
      <c r="W453" s="5"/>
      <c r="X453" s="5"/>
      <c r="Y453" s="5"/>
    </row>
    <row r="454" spans="13:25" ht="44">
      <c r="M454" s="26" t="s">
        <v>79</v>
      </c>
      <c r="N454" s="25" t="s">
        <v>55</v>
      </c>
      <c r="O454" s="26"/>
      <c r="P454" s="26" t="s">
        <v>496</v>
      </c>
      <c r="Q454" s="26"/>
      <c r="R454" s="5"/>
      <c r="S454" s="5"/>
      <c r="T454" s="5"/>
      <c r="U454" s="5"/>
      <c r="V454" s="5"/>
      <c r="W454" s="5"/>
      <c r="X454" s="5"/>
      <c r="Y454" s="5"/>
    </row>
    <row r="455" spans="13:25" ht="44">
      <c r="M455" s="26" t="s">
        <v>79</v>
      </c>
      <c r="N455" s="25" t="s">
        <v>55</v>
      </c>
      <c r="O455" s="26"/>
      <c r="P455" s="26" t="s">
        <v>497</v>
      </c>
      <c r="Q455" s="26"/>
      <c r="R455" s="5"/>
      <c r="S455" s="5"/>
      <c r="T455" s="5"/>
      <c r="U455" s="5"/>
      <c r="V455" s="5"/>
      <c r="W455" s="5"/>
      <c r="X455" s="5"/>
      <c r="Y455" s="5"/>
    </row>
    <row r="456" spans="13:25" ht="44">
      <c r="M456" s="26" t="s">
        <v>79</v>
      </c>
      <c r="N456" s="25" t="s">
        <v>55</v>
      </c>
      <c r="O456" s="26"/>
      <c r="P456" s="26" t="s">
        <v>496</v>
      </c>
      <c r="Q456" s="26"/>
      <c r="R456" s="5"/>
      <c r="S456" s="5"/>
      <c r="T456" s="5"/>
      <c r="U456" s="5"/>
      <c r="V456" s="5"/>
      <c r="W456" s="5"/>
      <c r="X456" s="5"/>
      <c r="Y456" s="5"/>
    </row>
    <row r="457" spans="13:25" ht="33">
      <c r="M457" s="26" t="s">
        <v>79</v>
      </c>
      <c r="N457" s="25" t="s">
        <v>55</v>
      </c>
      <c r="O457" s="26"/>
      <c r="P457" s="26" t="s">
        <v>498</v>
      </c>
      <c r="Q457" s="26"/>
      <c r="R457" s="5"/>
      <c r="S457" s="5"/>
      <c r="T457" s="5"/>
      <c r="U457" s="5"/>
      <c r="V457" s="5"/>
      <c r="W457" s="5"/>
      <c r="X457" s="5"/>
      <c r="Y457" s="5"/>
    </row>
    <row r="458" spans="13:25" ht="22">
      <c r="M458" s="26" t="s">
        <v>79</v>
      </c>
      <c r="N458" s="25" t="s">
        <v>55</v>
      </c>
      <c r="O458" s="26"/>
      <c r="P458" s="26" t="s">
        <v>499</v>
      </c>
      <c r="Q458" s="26"/>
      <c r="R458" s="5"/>
      <c r="S458" s="5"/>
      <c r="T458" s="5"/>
      <c r="U458" s="5"/>
      <c r="V458" s="5"/>
      <c r="W458" s="5"/>
      <c r="X458" s="5"/>
      <c r="Y458" s="5"/>
    </row>
    <row r="459" spans="13:25" ht="44">
      <c r="M459" s="26" t="s">
        <v>79</v>
      </c>
      <c r="N459" s="25" t="s">
        <v>55</v>
      </c>
      <c r="O459" s="26"/>
      <c r="P459" s="26" t="s">
        <v>500</v>
      </c>
      <c r="Q459" s="26"/>
      <c r="R459" s="5"/>
      <c r="S459" s="5"/>
      <c r="T459" s="5"/>
      <c r="U459" s="5"/>
      <c r="V459" s="5"/>
      <c r="W459" s="5"/>
      <c r="X459" s="5"/>
      <c r="Y459" s="5"/>
    </row>
    <row r="460" spans="13:25" ht="22">
      <c r="M460" s="26" t="s">
        <v>79</v>
      </c>
      <c r="N460" s="25" t="s">
        <v>55</v>
      </c>
      <c r="O460" s="26"/>
      <c r="P460" s="26" t="s">
        <v>501</v>
      </c>
      <c r="Q460" s="26"/>
      <c r="R460" s="5"/>
      <c r="S460" s="5"/>
      <c r="T460" s="5"/>
      <c r="U460" s="5"/>
      <c r="V460" s="5"/>
      <c r="W460" s="5"/>
      <c r="X460" s="5"/>
      <c r="Y460" s="5"/>
    </row>
    <row r="461" spans="13:25" ht="33">
      <c r="M461" s="26" t="s">
        <v>79</v>
      </c>
      <c r="N461" s="25" t="s">
        <v>55</v>
      </c>
      <c r="O461" s="26"/>
      <c r="P461" s="26" t="s">
        <v>502</v>
      </c>
      <c r="Q461" s="26"/>
      <c r="R461" s="5"/>
      <c r="S461" s="5"/>
      <c r="T461" s="5"/>
      <c r="U461" s="5"/>
      <c r="V461" s="5"/>
      <c r="W461" s="5"/>
      <c r="X461" s="5"/>
      <c r="Y461" s="5"/>
    </row>
    <row r="462" spans="13:25" ht="33">
      <c r="M462" s="26" t="s">
        <v>79</v>
      </c>
      <c r="N462" s="25" t="s">
        <v>55</v>
      </c>
      <c r="O462" s="26"/>
      <c r="P462" s="26" t="s">
        <v>365</v>
      </c>
      <c r="Q462" s="26"/>
      <c r="R462" s="5"/>
      <c r="S462" s="5"/>
      <c r="T462" s="5"/>
      <c r="U462" s="5"/>
      <c r="V462" s="5"/>
      <c r="W462" s="5"/>
      <c r="X462" s="5"/>
      <c r="Y462" s="5"/>
    </row>
    <row r="463" spans="13:25" ht="33">
      <c r="M463" s="26" t="s">
        <v>79</v>
      </c>
      <c r="N463" s="25" t="s">
        <v>55</v>
      </c>
      <c r="O463" s="26"/>
      <c r="P463" s="26" t="s">
        <v>503</v>
      </c>
      <c r="Q463" s="26"/>
      <c r="R463" s="5"/>
      <c r="S463" s="5"/>
      <c r="T463" s="5"/>
      <c r="U463" s="5"/>
      <c r="V463" s="5"/>
      <c r="W463" s="5"/>
      <c r="X463" s="5"/>
      <c r="Y463" s="5"/>
    </row>
    <row r="464" spans="13:25" ht="44">
      <c r="M464" s="26" t="s">
        <v>79</v>
      </c>
      <c r="N464" s="25" t="s">
        <v>55</v>
      </c>
      <c r="O464" s="26"/>
      <c r="P464" s="26" t="s">
        <v>504</v>
      </c>
      <c r="Q464" s="26"/>
      <c r="R464" s="5"/>
      <c r="S464" s="5"/>
      <c r="T464" s="5"/>
      <c r="U464" s="5"/>
      <c r="V464" s="5"/>
      <c r="W464" s="5"/>
      <c r="X464" s="5"/>
      <c r="Y464" s="5"/>
    </row>
    <row r="465" spans="13:25" ht="22">
      <c r="M465" s="26" t="s">
        <v>79</v>
      </c>
      <c r="N465" s="25" t="s">
        <v>55</v>
      </c>
      <c r="O465" s="26"/>
      <c r="P465" s="26" t="s">
        <v>505</v>
      </c>
      <c r="Q465" s="26"/>
      <c r="R465" s="5"/>
      <c r="S465" s="5"/>
      <c r="T465" s="5"/>
      <c r="U465" s="5"/>
      <c r="V465" s="5"/>
      <c r="W465" s="5"/>
      <c r="X465" s="5"/>
      <c r="Y465" s="5"/>
    </row>
    <row r="466" spans="13:25" ht="55">
      <c r="M466" s="26" t="s">
        <v>79</v>
      </c>
      <c r="N466" s="25" t="s">
        <v>55</v>
      </c>
      <c r="O466" s="26"/>
      <c r="P466" s="26" t="s">
        <v>506</v>
      </c>
      <c r="Q466" s="26"/>
      <c r="R466" s="5"/>
      <c r="S466" s="5"/>
      <c r="T466" s="5"/>
      <c r="U466" s="5"/>
      <c r="V466" s="5"/>
      <c r="W466" s="5"/>
      <c r="X466" s="5"/>
      <c r="Y466" s="5"/>
    </row>
    <row r="467" spans="13:25" ht="22">
      <c r="M467" s="26" t="s">
        <v>79</v>
      </c>
      <c r="N467" s="25" t="s">
        <v>55</v>
      </c>
      <c r="O467" s="26"/>
      <c r="P467" s="26" t="s">
        <v>507</v>
      </c>
      <c r="Q467" s="26"/>
      <c r="R467" s="5"/>
      <c r="S467" s="5"/>
      <c r="T467" s="5"/>
      <c r="U467" s="5"/>
      <c r="V467" s="5"/>
      <c r="W467" s="5"/>
      <c r="X467" s="5"/>
      <c r="Y467" s="5"/>
    </row>
    <row r="468" spans="13:25" ht="22">
      <c r="M468" s="26" t="s">
        <v>79</v>
      </c>
      <c r="N468" s="25" t="s">
        <v>55</v>
      </c>
      <c r="O468" s="26"/>
      <c r="P468" s="26" t="s">
        <v>508</v>
      </c>
      <c r="Q468" s="26"/>
      <c r="R468" s="5"/>
      <c r="S468" s="5"/>
      <c r="T468" s="5"/>
      <c r="U468" s="5"/>
      <c r="V468" s="5"/>
      <c r="W468" s="5"/>
      <c r="X468" s="5"/>
      <c r="Y468" s="5"/>
    </row>
    <row r="469" spans="13:25" ht="22">
      <c r="M469" s="26" t="s">
        <v>79</v>
      </c>
      <c r="N469" s="25" t="s">
        <v>55</v>
      </c>
      <c r="O469" s="26"/>
      <c r="P469" s="26" t="s">
        <v>509</v>
      </c>
      <c r="Q469" s="26"/>
      <c r="R469" s="5"/>
      <c r="S469" s="5"/>
      <c r="T469" s="5"/>
      <c r="U469" s="5"/>
      <c r="V469" s="5"/>
      <c r="W469" s="5"/>
      <c r="X469" s="5"/>
      <c r="Y469" s="5"/>
    </row>
    <row r="470" spans="13:25" ht="22">
      <c r="M470" s="26" t="s">
        <v>79</v>
      </c>
      <c r="N470" s="25" t="s">
        <v>55</v>
      </c>
      <c r="O470" s="26"/>
      <c r="P470" s="26" t="s">
        <v>510</v>
      </c>
      <c r="Q470" s="26"/>
      <c r="R470" s="5"/>
      <c r="S470" s="5"/>
      <c r="T470" s="5"/>
      <c r="U470" s="5"/>
      <c r="V470" s="5"/>
      <c r="W470" s="5"/>
      <c r="X470" s="5"/>
      <c r="Y470" s="5"/>
    </row>
    <row r="471" spans="13:25" ht="44">
      <c r="M471" s="26" t="s">
        <v>79</v>
      </c>
      <c r="N471" s="25" t="s">
        <v>55</v>
      </c>
      <c r="O471" s="26"/>
      <c r="P471" s="26" t="s">
        <v>366</v>
      </c>
      <c r="Q471" s="26"/>
      <c r="R471" s="5"/>
      <c r="S471" s="5"/>
      <c r="T471" s="5"/>
      <c r="U471" s="5"/>
      <c r="V471" s="5"/>
      <c r="W471" s="5"/>
      <c r="X471" s="5"/>
      <c r="Y471" s="5"/>
    </row>
    <row r="472" spans="13:25" ht="44">
      <c r="M472" s="26" t="s">
        <v>79</v>
      </c>
      <c r="N472" s="25" t="s">
        <v>55</v>
      </c>
      <c r="O472" s="26"/>
      <c r="P472" s="26" t="s">
        <v>511</v>
      </c>
      <c r="Q472" s="26"/>
      <c r="R472" s="5"/>
      <c r="S472" s="5"/>
      <c r="T472" s="5"/>
      <c r="U472" s="5"/>
      <c r="V472" s="5"/>
      <c r="W472" s="5"/>
      <c r="X472" s="5"/>
      <c r="Y472" s="5"/>
    </row>
    <row r="473" spans="13:25" ht="44">
      <c r="M473" s="26" t="s">
        <v>79</v>
      </c>
      <c r="N473" s="25" t="s">
        <v>55</v>
      </c>
      <c r="O473" s="26"/>
      <c r="P473" s="26" t="s">
        <v>367</v>
      </c>
      <c r="Q473" s="26"/>
      <c r="R473" s="5"/>
      <c r="S473" s="5"/>
      <c r="T473" s="5"/>
      <c r="U473" s="5"/>
      <c r="V473" s="5"/>
      <c r="W473" s="5"/>
      <c r="X473" s="5"/>
      <c r="Y473" s="5"/>
    </row>
    <row r="474" spans="13:25" ht="44">
      <c r="M474" s="26" t="s">
        <v>79</v>
      </c>
      <c r="N474" s="25" t="s">
        <v>55</v>
      </c>
      <c r="O474" s="26"/>
      <c r="P474" s="26" t="s">
        <v>512</v>
      </c>
      <c r="Q474" s="26"/>
      <c r="R474" s="5"/>
      <c r="S474" s="5"/>
      <c r="T474" s="5"/>
      <c r="U474" s="5"/>
      <c r="V474" s="5"/>
      <c r="W474" s="5"/>
      <c r="X474" s="5"/>
      <c r="Y474" s="5"/>
    </row>
    <row r="475" spans="13:25" ht="22">
      <c r="M475" s="26" t="s">
        <v>79</v>
      </c>
      <c r="N475" s="25" t="s">
        <v>55</v>
      </c>
      <c r="O475" s="26"/>
      <c r="P475" s="26" t="s">
        <v>513</v>
      </c>
      <c r="Q475" s="26"/>
      <c r="R475" s="5"/>
      <c r="S475" s="5"/>
      <c r="T475" s="5"/>
      <c r="U475" s="5"/>
      <c r="V475" s="5"/>
      <c r="W475" s="5"/>
      <c r="X475" s="5"/>
      <c r="Y475" s="5"/>
    </row>
    <row r="476" spans="13:25" ht="33">
      <c r="M476" s="26" t="s">
        <v>79</v>
      </c>
      <c r="N476" s="25" t="s">
        <v>55</v>
      </c>
      <c r="O476" s="26"/>
      <c r="P476" s="26" t="s">
        <v>368</v>
      </c>
      <c r="Q476" s="26"/>
      <c r="R476" s="5"/>
      <c r="S476" s="5"/>
      <c r="T476" s="5"/>
      <c r="U476" s="5"/>
      <c r="V476" s="5"/>
      <c r="W476" s="5"/>
      <c r="X476" s="5"/>
      <c r="Y476" s="5"/>
    </row>
    <row r="477" spans="13:25" ht="33">
      <c r="M477" s="26" t="s">
        <v>79</v>
      </c>
      <c r="N477" s="25" t="s">
        <v>55</v>
      </c>
      <c r="O477" s="26"/>
      <c r="P477" s="26" t="s">
        <v>514</v>
      </c>
      <c r="Q477" s="26"/>
      <c r="R477" s="5"/>
      <c r="S477" s="5"/>
      <c r="T477" s="5"/>
      <c r="U477" s="5"/>
      <c r="V477" s="5"/>
      <c r="W477" s="5"/>
      <c r="X477" s="5"/>
      <c r="Y477" s="5"/>
    </row>
    <row r="478" spans="13:25" ht="44">
      <c r="M478" s="26" t="s">
        <v>79</v>
      </c>
      <c r="N478" s="25" t="s">
        <v>55</v>
      </c>
      <c r="O478" s="26"/>
      <c r="P478" s="26" t="s">
        <v>126</v>
      </c>
      <c r="Q478" s="26"/>
      <c r="R478" s="5"/>
      <c r="S478" s="5"/>
      <c r="T478" s="5"/>
      <c r="U478" s="5"/>
      <c r="V478" s="5"/>
      <c r="W478" s="5"/>
      <c r="X478" s="5"/>
      <c r="Y478" s="5"/>
    </row>
    <row r="479" spans="13:25" ht="44">
      <c r="M479" s="26" t="s">
        <v>79</v>
      </c>
      <c r="N479" s="25" t="s">
        <v>55</v>
      </c>
      <c r="O479" s="26"/>
      <c r="P479" s="26" t="s">
        <v>369</v>
      </c>
      <c r="Q479" s="26"/>
      <c r="R479" s="5"/>
      <c r="S479" s="5"/>
      <c r="T479" s="5"/>
      <c r="U479" s="5"/>
      <c r="V479" s="5"/>
      <c r="W479" s="5"/>
      <c r="X479" s="5"/>
      <c r="Y479" s="5"/>
    </row>
    <row r="480" spans="13:25" ht="44">
      <c r="M480" s="26" t="s">
        <v>79</v>
      </c>
      <c r="N480" s="25" t="s">
        <v>55</v>
      </c>
      <c r="O480" s="26"/>
      <c r="P480" s="26" t="s">
        <v>369</v>
      </c>
      <c r="Q480" s="26"/>
      <c r="R480" s="5"/>
      <c r="S480" s="5"/>
      <c r="T480" s="5"/>
      <c r="U480" s="5"/>
      <c r="V480" s="5"/>
      <c r="W480" s="5"/>
      <c r="X480" s="5"/>
      <c r="Y480" s="5"/>
    </row>
    <row r="481" spans="13:25" ht="44">
      <c r="M481" s="26" t="s">
        <v>79</v>
      </c>
      <c r="N481" s="25" t="s">
        <v>55</v>
      </c>
      <c r="O481" s="26"/>
      <c r="P481" s="26" t="s">
        <v>371</v>
      </c>
      <c r="Q481" s="26"/>
      <c r="R481" s="5"/>
      <c r="S481" s="5"/>
      <c r="T481" s="5"/>
      <c r="U481" s="5"/>
      <c r="V481" s="5"/>
      <c r="W481" s="5"/>
      <c r="X481" s="5"/>
      <c r="Y481" s="5"/>
    </row>
    <row r="482" spans="13:25" ht="44">
      <c r="M482" s="26" t="s">
        <v>79</v>
      </c>
      <c r="N482" s="25" t="s">
        <v>55</v>
      </c>
      <c r="O482" s="26"/>
      <c r="P482" s="26" t="s">
        <v>391</v>
      </c>
      <c r="Q482" s="26"/>
      <c r="R482" s="5"/>
      <c r="S482" s="5"/>
      <c r="T482" s="5"/>
      <c r="U482" s="5"/>
      <c r="V482" s="5"/>
      <c r="W482" s="5"/>
      <c r="X482" s="5"/>
      <c r="Y482" s="5"/>
    </row>
    <row r="483" spans="13:25" ht="44">
      <c r="M483" s="26" t="s">
        <v>79</v>
      </c>
      <c r="N483" s="25" t="s">
        <v>55</v>
      </c>
      <c r="O483" s="26"/>
      <c r="P483" s="26" t="s">
        <v>371</v>
      </c>
      <c r="Q483" s="26"/>
      <c r="R483" s="5"/>
      <c r="S483" s="5"/>
      <c r="T483" s="5"/>
      <c r="U483" s="5"/>
      <c r="V483" s="5"/>
      <c r="W483" s="5"/>
      <c r="X483" s="5"/>
      <c r="Y483" s="5"/>
    </row>
    <row r="484" spans="13:25" ht="44">
      <c r="M484" s="26" t="s">
        <v>79</v>
      </c>
      <c r="N484" s="25" t="s">
        <v>55</v>
      </c>
      <c r="O484" s="26"/>
      <c r="P484" s="26" t="s">
        <v>515</v>
      </c>
      <c r="Q484" s="26"/>
      <c r="R484" s="5"/>
      <c r="S484" s="5"/>
      <c r="T484" s="5"/>
      <c r="U484" s="5"/>
      <c r="V484" s="5"/>
      <c r="W484" s="5"/>
      <c r="X484" s="5"/>
      <c r="Y484" s="5"/>
    </row>
    <row r="485" spans="13:25" ht="22">
      <c r="M485" s="26" t="s">
        <v>79</v>
      </c>
      <c r="N485" s="25" t="s">
        <v>55</v>
      </c>
      <c r="O485" s="26"/>
      <c r="P485" s="26" t="s">
        <v>516</v>
      </c>
      <c r="Q485" s="26"/>
      <c r="R485" s="5"/>
      <c r="S485" s="5"/>
      <c r="T485" s="5"/>
      <c r="U485" s="5"/>
      <c r="V485" s="5"/>
      <c r="W485" s="5"/>
      <c r="X485" s="5"/>
      <c r="Y485" s="5"/>
    </row>
    <row r="486" spans="13:25" ht="33">
      <c r="M486" s="26" t="s">
        <v>79</v>
      </c>
      <c r="N486" s="25" t="s">
        <v>55</v>
      </c>
      <c r="O486" s="26"/>
      <c r="P486" s="26" t="s">
        <v>517</v>
      </c>
      <c r="Q486" s="26"/>
      <c r="R486" s="5"/>
      <c r="S486" s="5"/>
      <c r="T486" s="5"/>
      <c r="U486" s="5"/>
      <c r="V486" s="5"/>
      <c r="W486" s="5"/>
      <c r="X486" s="5"/>
      <c r="Y486" s="5"/>
    </row>
    <row r="487" spans="13:25" ht="33">
      <c r="M487" s="26" t="s">
        <v>79</v>
      </c>
      <c r="N487" s="25" t="s">
        <v>55</v>
      </c>
      <c r="O487" s="26"/>
      <c r="P487" s="26" t="s">
        <v>518</v>
      </c>
      <c r="Q487" s="26"/>
      <c r="R487" s="5"/>
      <c r="S487" s="5"/>
      <c r="T487" s="5"/>
      <c r="U487" s="5"/>
      <c r="V487" s="5"/>
      <c r="W487" s="5"/>
      <c r="X487" s="5"/>
      <c r="Y487" s="5"/>
    </row>
    <row r="488" spans="13:25" ht="33">
      <c r="M488" s="26" t="s">
        <v>79</v>
      </c>
      <c r="N488" s="25" t="s">
        <v>55</v>
      </c>
      <c r="O488" s="26"/>
      <c r="P488" s="26" t="s">
        <v>519</v>
      </c>
      <c r="Q488" s="26"/>
      <c r="R488" s="5"/>
      <c r="S488" s="5"/>
      <c r="T488" s="5"/>
      <c r="U488" s="5"/>
      <c r="V488" s="5"/>
      <c r="W488" s="5"/>
      <c r="X488" s="5"/>
      <c r="Y488" s="5"/>
    </row>
    <row r="489" spans="13:25" ht="22">
      <c r="M489" s="26" t="s">
        <v>79</v>
      </c>
      <c r="N489" s="25" t="s">
        <v>55</v>
      </c>
      <c r="O489" s="26"/>
      <c r="P489" s="26" t="s">
        <v>520</v>
      </c>
      <c r="Q489" s="26"/>
      <c r="R489" s="5"/>
      <c r="S489" s="5"/>
      <c r="T489" s="5"/>
      <c r="U489" s="5"/>
      <c r="V489" s="5"/>
      <c r="W489" s="5"/>
      <c r="X489" s="5"/>
      <c r="Y489" s="5"/>
    </row>
    <row r="490" spans="13:25" ht="22">
      <c r="M490" s="26" t="s">
        <v>79</v>
      </c>
      <c r="N490" s="25" t="s">
        <v>51</v>
      </c>
      <c r="O490" s="26" t="s">
        <v>521</v>
      </c>
      <c r="P490" s="26"/>
      <c r="Q490" s="26"/>
      <c r="R490" s="5"/>
      <c r="S490" s="5"/>
      <c r="T490" s="5"/>
      <c r="U490" s="5"/>
      <c r="V490" s="5"/>
      <c r="W490" s="5"/>
      <c r="X490" s="5"/>
      <c r="Y490" s="5"/>
    </row>
    <row r="491" spans="13:25" ht="33">
      <c r="M491" s="26" t="s">
        <v>79</v>
      </c>
      <c r="N491" s="25" t="s">
        <v>70</v>
      </c>
      <c r="O491" s="26"/>
      <c r="P491" s="26" t="s">
        <v>522</v>
      </c>
      <c r="Q491" s="26"/>
      <c r="R491" s="5"/>
      <c r="S491" s="5"/>
      <c r="T491" s="5"/>
      <c r="U491" s="5"/>
      <c r="V491" s="5"/>
      <c r="W491" s="5"/>
      <c r="X491" s="5"/>
      <c r="Y491" s="5"/>
    </row>
    <row r="492" spans="13:25" ht="22">
      <c r="M492" s="26" t="s">
        <v>79</v>
      </c>
      <c r="N492" s="25" t="s">
        <v>70</v>
      </c>
      <c r="O492" s="26"/>
      <c r="P492" s="26" t="s">
        <v>523</v>
      </c>
      <c r="Q492" s="26"/>
      <c r="R492" s="5"/>
      <c r="S492" s="5"/>
      <c r="T492" s="5"/>
      <c r="U492" s="5"/>
      <c r="V492" s="5"/>
      <c r="W492" s="5"/>
      <c r="X492" s="5"/>
      <c r="Y492" s="5"/>
    </row>
    <row r="493" spans="13:25" ht="22">
      <c r="M493" s="26" t="s">
        <v>79</v>
      </c>
      <c r="N493" s="25" t="s">
        <v>70</v>
      </c>
      <c r="O493" s="26"/>
      <c r="P493" s="26" t="s">
        <v>524</v>
      </c>
      <c r="Q493" s="26"/>
      <c r="R493" s="5"/>
      <c r="S493" s="5"/>
      <c r="T493" s="5"/>
      <c r="U493" s="5"/>
      <c r="V493" s="5"/>
      <c r="W493" s="5"/>
      <c r="X493" s="5"/>
      <c r="Y493" s="5"/>
    </row>
    <row r="494" spans="13:25" ht="22">
      <c r="M494" s="26" t="s">
        <v>79</v>
      </c>
      <c r="N494" s="25" t="s">
        <v>70</v>
      </c>
      <c r="O494" s="26"/>
      <c r="P494" s="26" t="s">
        <v>525</v>
      </c>
      <c r="Q494" s="26"/>
      <c r="R494" s="5"/>
      <c r="S494" s="5"/>
      <c r="T494" s="5"/>
      <c r="U494" s="5"/>
      <c r="V494" s="5"/>
      <c r="W494" s="5"/>
      <c r="X494" s="5"/>
      <c r="Y494" s="5"/>
    </row>
    <row r="495" spans="13:25" ht="22">
      <c r="M495" s="26" t="s">
        <v>79</v>
      </c>
      <c r="N495" s="25" t="s">
        <v>70</v>
      </c>
      <c r="O495" s="26"/>
      <c r="P495" s="26" t="s">
        <v>526</v>
      </c>
      <c r="Q495" s="26"/>
      <c r="R495" s="5"/>
      <c r="S495" s="5"/>
      <c r="T495" s="5"/>
      <c r="U495" s="5"/>
      <c r="V495" s="5"/>
      <c r="W495" s="5"/>
      <c r="X495" s="5"/>
      <c r="Y495" s="5"/>
    </row>
    <row r="496" spans="13:25" ht="22">
      <c r="M496" s="26" t="s">
        <v>79</v>
      </c>
      <c r="N496" s="25" t="s">
        <v>70</v>
      </c>
      <c r="O496" s="26"/>
      <c r="P496" s="26" t="s">
        <v>527</v>
      </c>
      <c r="Q496" s="26"/>
      <c r="R496" s="5"/>
      <c r="S496" s="5"/>
      <c r="T496" s="5"/>
      <c r="U496" s="5"/>
      <c r="V496" s="5"/>
      <c r="W496" s="5"/>
      <c r="X496" s="5"/>
      <c r="Y496" s="5"/>
    </row>
    <row r="497" spans="13:25" ht="22">
      <c r="M497" s="26" t="s">
        <v>79</v>
      </c>
      <c r="N497" s="25" t="s">
        <v>70</v>
      </c>
      <c r="O497" s="26"/>
      <c r="P497" s="26" t="s">
        <v>528</v>
      </c>
      <c r="Q497" s="26"/>
      <c r="R497" s="5"/>
      <c r="S497" s="5"/>
      <c r="T497" s="5"/>
      <c r="U497" s="5"/>
      <c r="V497" s="5"/>
      <c r="W497" s="5"/>
      <c r="X497" s="5"/>
      <c r="Y497" s="5"/>
    </row>
    <row r="498" spans="13:25" ht="33">
      <c r="M498" s="26" t="s">
        <v>79</v>
      </c>
      <c r="N498" s="25" t="s">
        <v>70</v>
      </c>
      <c r="O498" s="26"/>
      <c r="P498" s="26" t="s">
        <v>529</v>
      </c>
      <c r="Q498" s="26"/>
      <c r="R498" s="5"/>
      <c r="S498" s="5"/>
      <c r="T498" s="5"/>
      <c r="U498" s="5"/>
      <c r="V498" s="5"/>
      <c r="W498" s="5"/>
      <c r="X498" s="5"/>
      <c r="Y498" s="5"/>
    </row>
    <row r="499" spans="13:25" ht="22">
      <c r="M499" s="26" t="s">
        <v>79</v>
      </c>
      <c r="N499" s="25" t="s">
        <v>70</v>
      </c>
      <c r="O499" s="26"/>
      <c r="P499" s="26" t="s">
        <v>530</v>
      </c>
      <c r="Q499" s="26"/>
      <c r="R499" s="5"/>
      <c r="S499" s="5"/>
      <c r="T499" s="5"/>
      <c r="U499" s="5"/>
      <c r="V499" s="5"/>
      <c r="W499" s="5"/>
      <c r="X499" s="5"/>
      <c r="Y499" s="5"/>
    </row>
    <row r="500" spans="13:25" ht="22">
      <c r="M500" s="26" t="s">
        <v>79</v>
      </c>
      <c r="N500" s="25" t="s">
        <v>70</v>
      </c>
      <c r="O500" s="26"/>
      <c r="P500" s="26" t="s">
        <v>531</v>
      </c>
      <c r="Q500" s="26"/>
      <c r="R500" s="5"/>
      <c r="S500" s="5"/>
      <c r="T500" s="5"/>
      <c r="U500" s="5"/>
      <c r="V500" s="5"/>
      <c r="W500" s="5"/>
      <c r="X500" s="5"/>
      <c r="Y500" s="5"/>
    </row>
    <row r="501" spans="13:25" ht="33">
      <c r="M501" s="26" t="s">
        <v>79</v>
      </c>
      <c r="N501" s="25" t="s">
        <v>70</v>
      </c>
      <c r="O501" s="26"/>
      <c r="P501" s="26" t="s">
        <v>532</v>
      </c>
      <c r="Q501" s="26"/>
      <c r="R501" s="5"/>
      <c r="S501" s="5"/>
      <c r="T501" s="5"/>
      <c r="U501" s="5"/>
      <c r="V501" s="5"/>
      <c r="W501" s="5"/>
      <c r="X501" s="5"/>
      <c r="Y501" s="5"/>
    </row>
    <row r="502" spans="13:25" ht="22">
      <c r="M502" s="26" t="s">
        <v>79</v>
      </c>
      <c r="N502" s="25" t="s">
        <v>70</v>
      </c>
      <c r="O502" s="26"/>
      <c r="P502" s="26" t="s">
        <v>533</v>
      </c>
      <c r="Q502" s="26"/>
      <c r="R502" s="5"/>
      <c r="S502" s="5"/>
      <c r="T502" s="5"/>
      <c r="U502" s="5"/>
      <c r="V502" s="5"/>
      <c r="W502" s="5"/>
      <c r="X502" s="5"/>
      <c r="Y502" s="5"/>
    </row>
    <row r="503" spans="13:25" ht="22">
      <c r="M503" s="26" t="s">
        <v>79</v>
      </c>
      <c r="N503" s="25" t="s">
        <v>70</v>
      </c>
      <c r="O503" s="26"/>
      <c r="P503" s="26" t="s">
        <v>534</v>
      </c>
      <c r="Q503" s="26"/>
      <c r="R503" s="5"/>
      <c r="S503" s="5"/>
      <c r="T503" s="5"/>
      <c r="U503" s="5"/>
      <c r="V503" s="5"/>
      <c r="W503" s="5"/>
      <c r="X503" s="5"/>
      <c r="Y503" s="5"/>
    </row>
    <row r="504" spans="13:25" ht="22">
      <c r="M504" s="26" t="s">
        <v>79</v>
      </c>
      <c r="N504" s="25" t="s">
        <v>70</v>
      </c>
      <c r="O504" s="26"/>
      <c r="P504" s="26" t="s">
        <v>535</v>
      </c>
      <c r="Q504" s="26"/>
      <c r="R504" s="5"/>
      <c r="S504" s="5"/>
      <c r="T504" s="5"/>
      <c r="U504" s="5"/>
      <c r="V504" s="5"/>
      <c r="W504" s="5"/>
      <c r="X504" s="5"/>
      <c r="Y504" s="5"/>
    </row>
    <row r="505" spans="13:25" ht="22">
      <c r="M505" s="26" t="s">
        <v>79</v>
      </c>
      <c r="N505" s="25" t="s">
        <v>70</v>
      </c>
      <c r="O505" s="26"/>
      <c r="P505" s="26" t="s">
        <v>536</v>
      </c>
      <c r="Q505" s="26"/>
      <c r="R505" s="5"/>
      <c r="S505" s="5"/>
      <c r="T505" s="5"/>
      <c r="U505" s="5"/>
      <c r="V505" s="5"/>
      <c r="W505" s="5"/>
      <c r="X505" s="5"/>
      <c r="Y505" s="5"/>
    </row>
    <row r="506" spans="13:25" ht="33">
      <c r="M506" s="26" t="s">
        <v>79</v>
      </c>
      <c r="N506" s="25" t="s">
        <v>70</v>
      </c>
      <c r="O506" s="26"/>
      <c r="P506" s="26" t="s">
        <v>537</v>
      </c>
      <c r="Q506" s="26"/>
      <c r="R506" s="5"/>
      <c r="S506" s="5"/>
      <c r="T506" s="5"/>
      <c r="U506" s="5"/>
      <c r="V506" s="5"/>
      <c r="W506" s="5"/>
      <c r="X506" s="5"/>
      <c r="Y506" s="5"/>
    </row>
    <row r="507" spans="13:25" ht="33">
      <c r="M507" s="26" t="s">
        <v>79</v>
      </c>
      <c r="N507" s="25" t="s">
        <v>70</v>
      </c>
      <c r="O507" s="26"/>
      <c r="P507" s="26" t="s">
        <v>538</v>
      </c>
      <c r="Q507" s="26"/>
      <c r="R507" s="5"/>
      <c r="S507" s="5"/>
      <c r="T507" s="5"/>
      <c r="U507" s="5"/>
      <c r="V507" s="5"/>
      <c r="W507" s="5"/>
      <c r="X507" s="5"/>
      <c r="Y507" s="5"/>
    </row>
    <row r="508" spans="13:25" ht="33">
      <c r="M508" s="26" t="s">
        <v>79</v>
      </c>
      <c r="N508" s="25" t="s">
        <v>70</v>
      </c>
      <c r="O508" s="26"/>
      <c r="P508" s="26" t="s">
        <v>539</v>
      </c>
      <c r="Q508" s="26"/>
      <c r="R508" s="5"/>
      <c r="S508" s="5"/>
      <c r="T508" s="5"/>
      <c r="U508" s="5"/>
      <c r="V508" s="5"/>
      <c r="W508" s="5"/>
      <c r="X508" s="5"/>
      <c r="Y508" s="5"/>
    </row>
    <row r="509" spans="13:25" ht="33">
      <c r="M509" s="26" t="s">
        <v>79</v>
      </c>
      <c r="N509" s="25" t="s">
        <v>51</v>
      </c>
      <c r="O509" s="26"/>
      <c r="P509" s="26" t="s">
        <v>540</v>
      </c>
      <c r="Q509" s="26"/>
      <c r="R509" s="5"/>
      <c r="S509" s="5"/>
      <c r="T509" s="5"/>
      <c r="U509" s="5"/>
      <c r="V509" s="5"/>
      <c r="W509" s="5"/>
      <c r="X509" s="5"/>
      <c r="Y509" s="5"/>
    </row>
    <row r="510" spans="13:25" ht="33">
      <c r="M510" s="26" t="s">
        <v>79</v>
      </c>
      <c r="N510" s="25" t="s">
        <v>51</v>
      </c>
      <c r="O510" s="26"/>
      <c r="P510" s="26" t="s">
        <v>541</v>
      </c>
      <c r="Q510" s="26"/>
      <c r="R510" s="5"/>
      <c r="S510" s="5"/>
      <c r="T510" s="5"/>
      <c r="U510" s="5"/>
      <c r="V510" s="5"/>
      <c r="W510" s="5"/>
      <c r="X510" s="5"/>
      <c r="Y510" s="5"/>
    </row>
    <row r="511" spans="13:25" ht="33">
      <c r="M511" s="26" t="s">
        <v>79</v>
      </c>
      <c r="N511" s="25" t="s">
        <v>55</v>
      </c>
      <c r="O511" s="26"/>
      <c r="P511" s="26" t="s">
        <v>542</v>
      </c>
      <c r="Q511" s="26"/>
      <c r="R511" s="5"/>
      <c r="S511" s="5"/>
      <c r="T511" s="5"/>
      <c r="U511" s="5"/>
      <c r="V511" s="5"/>
      <c r="W511" s="5"/>
      <c r="X511" s="5"/>
      <c r="Y511" s="5"/>
    </row>
    <row r="512" spans="13:25" ht="44">
      <c r="M512" s="26" t="s">
        <v>79</v>
      </c>
      <c r="N512" s="25" t="s">
        <v>70</v>
      </c>
      <c r="O512" s="26"/>
      <c r="P512" s="26" t="s">
        <v>543</v>
      </c>
      <c r="Q512" s="26"/>
      <c r="R512" s="5"/>
      <c r="S512" s="5"/>
      <c r="T512" s="5"/>
      <c r="U512" s="5"/>
      <c r="V512" s="5"/>
      <c r="W512" s="5"/>
      <c r="X512" s="5"/>
      <c r="Y512" s="5"/>
    </row>
    <row r="513" spans="13:25" ht="44">
      <c r="M513" s="26" t="s">
        <v>79</v>
      </c>
      <c r="N513" s="25" t="s">
        <v>70</v>
      </c>
      <c r="O513" s="26"/>
      <c r="P513" s="26" t="s">
        <v>544</v>
      </c>
      <c r="Q513" s="26"/>
      <c r="R513" s="5"/>
      <c r="S513" s="5"/>
      <c r="T513" s="5"/>
      <c r="U513" s="5"/>
      <c r="V513" s="5"/>
      <c r="W513" s="5"/>
      <c r="X513" s="5"/>
      <c r="Y513" s="5"/>
    </row>
    <row r="514" spans="13:25" ht="22">
      <c r="M514" s="26" t="s">
        <v>79</v>
      </c>
      <c r="N514" s="25" t="s">
        <v>70</v>
      </c>
      <c r="O514" s="26"/>
      <c r="P514" s="26" t="s">
        <v>545</v>
      </c>
      <c r="Q514" s="26"/>
      <c r="R514" s="5"/>
      <c r="S514" s="5"/>
      <c r="T514" s="5"/>
      <c r="U514" s="5"/>
      <c r="V514" s="5"/>
      <c r="W514" s="5"/>
      <c r="X514" s="5"/>
      <c r="Y514" s="5"/>
    </row>
    <row r="515" spans="13:25" ht="33">
      <c r="M515" s="26" t="s">
        <v>79</v>
      </c>
      <c r="N515" s="25" t="s">
        <v>70</v>
      </c>
      <c r="O515" s="26"/>
      <c r="P515" s="26" t="s">
        <v>546</v>
      </c>
      <c r="Q515" s="26"/>
      <c r="R515" s="5"/>
      <c r="S515" s="5"/>
      <c r="T515" s="5"/>
      <c r="U515" s="5"/>
      <c r="V515" s="5"/>
      <c r="W515" s="5"/>
      <c r="X515" s="5"/>
      <c r="Y515" s="5"/>
    </row>
    <row r="516" spans="13:25" ht="22">
      <c r="M516" s="26" t="s">
        <v>79</v>
      </c>
      <c r="N516" s="25" t="s">
        <v>70</v>
      </c>
      <c r="O516" s="26"/>
      <c r="P516" s="26" t="s">
        <v>547</v>
      </c>
      <c r="Q516" s="26"/>
      <c r="R516" s="5"/>
      <c r="S516" s="5"/>
      <c r="T516" s="5"/>
      <c r="U516" s="5"/>
      <c r="V516" s="5"/>
      <c r="W516" s="5"/>
      <c r="X516" s="5"/>
      <c r="Y516" s="5"/>
    </row>
    <row r="517" spans="13:25" ht="33">
      <c r="M517" s="26" t="s">
        <v>79</v>
      </c>
      <c r="N517" s="25" t="s">
        <v>70</v>
      </c>
      <c r="O517" s="26"/>
      <c r="P517" s="26" t="s">
        <v>548</v>
      </c>
      <c r="Q517" s="26"/>
      <c r="R517" s="5"/>
      <c r="S517" s="5"/>
      <c r="T517" s="5"/>
      <c r="U517" s="5"/>
      <c r="V517" s="5"/>
      <c r="W517" s="5"/>
      <c r="X517" s="5"/>
      <c r="Y517" s="5"/>
    </row>
    <row r="518" spans="13:25" ht="66">
      <c r="M518" s="26" t="s">
        <v>79</v>
      </c>
      <c r="N518" s="25" t="s">
        <v>70</v>
      </c>
      <c r="O518" s="26"/>
      <c r="P518" s="26" t="s">
        <v>549</v>
      </c>
      <c r="Q518" s="26"/>
      <c r="R518" s="5"/>
      <c r="S518" s="5"/>
      <c r="T518" s="5"/>
      <c r="U518" s="5"/>
      <c r="V518" s="5"/>
      <c r="W518" s="5"/>
      <c r="X518" s="5"/>
      <c r="Y518" s="5"/>
    </row>
    <row r="519" spans="13:25" ht="66">
      <c r="M519" s="26" t="s">
        <v>79</v>
      </c>
      <c r="N519" s="25" t="s">
        <v>70</v>
      </c>
      <c r="O519" s="26"/>
      <c r="P519" s="26" t="s">
        <v>550</v>
      </c>
      <c r="Q519" s="26"/>
      <c r="R519" s="5"/>
      <c r="S519" s="5"/>
      <c r="T519" s="5"/>
      <c r="U519" s="5"/>
      <c r="V519" s="5"/>
      <c r="W519" s="5"/>
      <c r="X519" s="5"/>
      <c r="Y519" s="5"/>
    </row>
    <row r="520" spans="13:25" ht="44">
      <c r="M520" s="26" t="s">
        <v>79</v>
      </c>
      <c r="N520" s="25" t="s">
        <v>51</v>
      </c>
      <c r="O520" s="26"/>
      <c r="P520" s="26" t="s">
        <v>551</v>
      </c>
      <c r="Q520" s="26"/>
      <c r="R520" s="5"/>
      <c r="S520" s="5"/>
      <c r="T520" s="5"/>
      <c r="U520" s="5"/>
      <c r="V520" s="5"/>
      <c r="W520" s="5"/>
      <c r="X520" s="5"/>
      <c r="Y520" s="5"/>
    </row>
    <row r="521" spans="13:25" ht="22">
      <c r="M521" s="26" t="s">
        <v>79</v>
      </c>
      <c r="N521" s="25" t="s">
        <v>70</v>
      </c>
      <c r="O521" s="26"/>
      <c r="P521" s="26" t="s">
        <v>552</v>
      </c>
      <c r="Q521" s="26"/>
      <c r="R521" s="5"/>
      <c r="S521" s="5"/>
      <c r="T521" s="5"/>
      <c r="U521" s="5"/>
      <c r="V521" s="5"/>
      <c r="W521" s="5"/>
      <c r="X521" s="5"/>
      <c r="Y521" s="5"/>
    </row>
    <row r="522" spans="13:25" ht="44">
      <c r="M522" s="26" t="s">
        <v>79</v>
      </c>
      <c r="N522" s="25" t="s">
        <v>70</v>
      </c>
      <c r="O522" s="26"/>
      <c r="P522" s="26" t="s">
        <v>553</v>
      </c>
      <c r="Q522" s="26"/>
      <c r="R522" s="5"/>
      <c r="S522" s="5"/>
      <c r="T522" s="5"/>
      <c r="U522" s="5"/>
      <c r="V522" s="5"/>
      <c r="W522" s="5"/>
      <c r="X522" s="5"/>
      <c r="Y522" s="5"/>
    </row>
    <row r="523" spans="13:25" ht="33">
      <c r="M523" s="26" t="s">
        <v>79</v>
      </c>
      <c r="N523" s="25" t="s">
        <v>70</v>
      </c>
      <c r="O523" s="26"/>
      <c r="P523" s="26" t="s">
        <v>554</v>
      </c>
      <c r="Q523" s="26"/>
      <c r="R523" s="5"/>
      <c r="S523" s="5"/>
      <c r="T523" s="5"/>
      <c r="U523" s="5"/>
      <c r="V523" s="5"/>
      <c r="W523" s="5"/>
      <c r="X523" s="5"/>
      <c r="Y523" s="5"/>
    </row>
    <row r="524" spans="13:25" ht="33">
      <c r="M524" s="26" t="s">
        <v>79</v>
      </c>
      <c r="N524" s="25" t="s">
        <v>70</v>
      </c>
      <c r="O524" s="26"/>
      <c r="P524" s="26" t="s">
        <v>555</v>
      </c>
      <c r="Q524" s="26"/>
      <c r="R524" s="5"/>
      <c r="S524" s="5"/>
      <c r="T524" s="5"/>
      <c r="U524" s="5"/>
      <c r="V524" s="5"/>
      <c r="W524" s="5"/>
      <c r="X524" s="5"/>
      <c r="Y524" s="5"/>
    </row>
    <row r="525" spans="13:25" ht="44">
      <c r="M525" s="26" t="s">
        <v>79</v>
      </c>
      <c r="N525" s="25" t="s">
        <v>51</v>
      </c>
      <c r="O525" s="26"/>
      <c r="P525" s="26" t="s">
        <v>556</v>
      </c>
      <c r="Q525" s="26"/>
      <c r="R525" s="5"/>
      <c r="S525" s="5"/>
      <c r="T525" s="5"/>
      <c r="U525" s="5"/>
      <c r="V525" s="5"/>
      <c r="W525" s="5"/>
      <c r="X525" s="5"/>
      <c r="Y525" s="5"/>
    </row>
    <row r="526" spans="13:25" ht="22">
      <c r="M526" s="26" t="s">
        <v>79</v>
      </c>
      <c r="N526" s="25" t="s">
        <v>51</v>
      </c>
      <c r="O526" s="26"/>
      <c r="P526" s="26" t="s">
        <v>557</v>
      </c>
      <c r="Q526" s="26"/>
      <c r="R526" s="5"/>
      <c r="S526" s="5"/>
      <c r="T526" s="5"/>
      <c r="U526" s="5"/>
      <c r="V526" s="5"/>
      <c r="W526" s="5"/>
      <c r="X526" s="5"/>
      <c r="Y526" s="5"/>
    </row>
    <row r="527" spans="13:25" ht="22">
      <c r="M527" s="26" t="s">
        <v>79</v>
      </c>
      <c r="N527" s="25" t="s">
        <v>51</v>
      </c>
      <c r="O527" s="26"/>
      <c r="P527" s="26" t="s">
        <v>558</v>
      </c>
      <c r="Q527" s="26"/>
      <c r="R527" s="5"/>
      <c r="S527" s="5"/>
      <c r="T527" s="5"/>
      <c r="U527" s="5"/>
      <c r="V527" s="5"/>
      <c r="W527" s="5"/>
      <c r="X527" s="5"/>
      <c r="Y527" s="5"/>
    </row>
    <row r="528" spans="13:25" ht="44">
      <c r="M528" s="26" t="s">
        <v>79</v>
      </c>
      <c r="N528" s="25" t="s">
        <v>70</v>
      </c>
      <c r="O528" s="26"/>
      <c r="P528" s="26" t="s">
        <v>559</v>
      </c>
      <c r="Q528" s="26"/>
      <c r="R528" s="5"/>
      <c r="S528" s="5"/>
      <c r="T528" s="5"/>
      <c r="U528" s="5"/>
      <c r="V528" s="5"/>
      <c r="W528" s="5"/>
      <c r="X528" s="5"/>
      <c r="Y528" s="5"/>
    </row>
    <row r="529" spans="13:25" ht="44">
      <c r="M529" s="26" t="s">
        <v>79</v>
      </c>
      <c r="N529" s="25" t="s">
        <v>70</v>
      </c>
      <c r="O529" s="26"/>
      <c r="P529" s="26" t="s">
        <v>560</v>
      </c>
      <c r="Q529" s="26"/>
      <c r="R529" s="5"/>
      <c r="S529" s="5"/>
      <c r="T529" s="5"/>
      <c r="U529" s="5"/>
      <c r="V529" s="5"/>
      <c r="W529" s="5"/>
      <c r="X529" s="5"/>
      <c r="Y529" s="5"/>
    </row>
    <row r="530" spans="13:25" ht="22">
      <c r="M530" s="26" t="s">
        <v>79</v>
      </c>
      <c r="N530" s="25" t="s">
        <v>70</v>
      </c>
      <c r="O530" s="26"/>
      <c r="P530" s="26" t="s">
        <v>561</v>
      </c>
      <c r="Q530" s="26"/>
      <c r="R530" s="5"/>
      <c r="S530" s="5"/>
      <c r="T530" s="5"/>
      <c r="U530" s="5"/>
      <c r="V530" s="5"/>
      <c r="W530" s="5"/>
      <c r="X530" s="5"/>
      <c r="Y530" s="5"/>
    </row>
    <row r="531" spans="13:25" ht="44">
      <c r="M531" s="26" t="s">
        <v>79</v>
      </c>
      <c r="N531" s="25" t="s">
        <v>51</v>
      </c>
      <c r="O531" s="26"/>
      <c r="P531" s="26" t="s">
        <v>562</v>
      </c>
      <c r="Q531" s="26"/>
      <c r="R531" s="5"/>
      <c r="S531" s="5"/>
      <c r="T531" s="5"/>
      <c r="U531" s="5"/>
      <c r="V531" s="5"/>
      <c r="W531" s="5"/>
      <c r="X531" s="5"/>
      <c r="Y531" s="5"/>
    </row>
    <row r="532" spans="13:25" ht="77">
      <c r="M532" s="26" t="s">
        <v>79</v>
      </c>
      <c r="N532" s="25" t="s">
        <v>55</v>
      </c>
      <c r="O532" s="26"/>
      <c r="P532" s="26" t="s">
        <v>563</v>
      </c>
      <c r="Q532" s="26"/>
      <c r="R532" s="5"/>
      <c r="S532" s="5"/>
      <c r="T532" s="5"/>
      <c r="U532" s="5"/>
      <c r="V532" s="5"/>
      <c r="W532" s="5"/>
      <c r="X532" s="5"/>
      <c r="Y532" s="5"/>
    </row>
    <row r="533" spans="13:25" ht="66">
      <c r="M533" s="26" t="s">
        <v>79</v>
      </c>
      <c r="N533" s="25" t="s">
        <v>70</v>
      </c>
      <c r="O533" s="26"/>
      <c r="P533" s="26" t="s">
        <v>564</v>
      </c>
      <c r="Q533" s="26"/>
      <c r="R533" s="5"/>
      <c r="S533" s="5"/>
      <c r="T533" s="5"/>
      <c r="U533" s="5"/>
      <c r="V533" s="5"/>
      <c r="W533" s="5"/>
      <c r="X533" s="5"/>
      <c r="Y533" s="5"/>
    </row>
    <row r="534" spans="13:25" ht="66">
      <c r="M534" s="26" t="s">
        <v>79</v>
      </c>
      <c r="N534" s="25" t="s">
        <v>70</v>
      </c>
      <c r="O534" s="26"/>
      <c r="P534" s="26" t="s">
        <v>564</v>
      </c>
      <c r="Q534" s="26"/>
      <c r="R534" s="5"/>
      <c r="S534" s="5"/>
      <c r="T534" s="5"/>
      <c r="U534" s="5"/>
      <c r="V534" s="5"/>
      <c r="W534" s="5"/>
      <c r="X534" s="5"/>
      <c r="Y534" s="5"/>
    </row>
    <row r="535" spans="13:25" ht="22">
      <c r="M535" s="26" t="s">
        <v>79</v>
      </c>
      <c r="N535" s="25" t="s">
        <v>51</v>
      </c>
      <c r="O535" s="26" t="s">
        <v>565</v>
      </c>
      <c r="P535" s="26"/>
      <c r="Q535" s="26"/>
      <c r="R535" s="5"/>
      <c r="S535" s="5"/>
      <c r="T535" s="5"/>
      <c r="U535" s="5"/>
      <c r="V535" s="5"/>
      <c r="W535" s="5"/>
      <c r="X535" s="5"/>
      <c r="Y535" s="5"/>
    </row>
    <row r="536" spans="13:25" ht="44">
      <c r="M536" s="26" t="s">
        <v>79</v>
      </c>
      <c r="N536" s="25" t="s">
        <v>70</v>
      </c>
      <c r="O536" s="26"/>
      <c r="P536" s="26" t="s">
        <v>566</v>
      </c>
      <c r="Q536" s="26"/>
      <c r="R536" s="5"/>
      <c r="S536" s="5"/>
      <c r="T536" s="5"/>
      <c r="U536" s="5"/>
      <c r="V536" s="5"/>
      <c r="W536" s="5"/>
      <c r="X536" s="5"/>
      <c r="Y536" s="5"/>
    </row>
    <row r="537" spans="13:25" ht="22">
      <c r="M537" s="26" t="s">
        <v>79</v>
      </c>
      <c r="N537" s="25" t="s">
        <v>70</v>
      </c>
      <c r="O537" s="26"/>
      <c r="P537" s="26" t="s">
        <v>567</v>
      </c>
      <c r="Q537" s="26"/>
      <c r="R537" s="5"/>
      <c r="S537" s="5"/>
      <c r="T537" s="5"/>
      <c r="U537" s="5"/>
      <c r="V537" s="5"/>
      <c r="W537" s="5"/>
      <c r="X537" s="5"/>
      <c r="Y537" s="5"/>
    </row>
    <row r="538" spans="13:25" ht="44">
      <c r="M538" s="26" t="s">
        <v>79</v>
      </c>
      <c r="N538" s="25" t="s">
        <v>70</v>
      </c>
      <c r="O538" s="26"/>
      <c r="P538" s="26" t="s">
        <v>568</v>
      </c>
      <c r="Q538" s="26"/>
      <c r="R538" s="5"/>
      <c r="S538" s="5"/>
      <c r="T538" s="5"/>
      <c r="U538" s="5"/>
      <c r="V538" s="5"/>
      <c r="W538" s="5"/>
      <c r="X538" s="5"/>
      <c r="Y538" s="5"/>
    </row>
    <row r="539" spans="13:25" ht="22">
      <c r="M539" s="26" t="s">
        <v>79</v>
      </c>
      <c r="N539" s="25" t="s">
        <v>55</v>
      </c>
      <c r="O539" s="26"/>
      <c r="P539" s="26" t="s">
        <v>569</v>
      </c>
      <c r="Q539" s="26"/>
      <c r="R539" s="5"/>
      <c r="S539" s="5"/>
      <c r="T539" s="5"/>
      <c r="U539" s="5"/>
      <c r="V539" s="5"/>
      <c r="W539" s="5"/>
      <c r="X539" s="5"/>
      <c r="Y539" s="5"/>
    </row>
    <row r="540" spans="13:25" ht="33">
      <c r="M540" s="26" t="s">
        <v>79</v>
      </c>
      <c r="N540" s="25" t="s">
        <v>70</v>
      </c>
      <c r="O540" s="26"/>
      <c r="P540" s="26" t="s">
        <v>570</v>
      </c>
      <c r="Q540" s="26"/>
      <c r="R540" s="5"/>
      <c r="S540" s="5"/>
      <c r="T540" s="5"/>
      <c r="U540" s="5"/>
      <c r="V540" s="5"/>
      <c r="W540" s="5"/>
      <c r="X540" s="5"/>
      <c r="Y540" s="5"/>
    </row>
    <row r="541" spans="13:25" ht="22">
      <c r="M541" s="26" t="s">
        <v>79</v>
      </c>
      <c r="N541" s="25" t="s">
        <v>70</v>
      </c>
      <c r="O541" s="26"/>
      <c r="P541" s="26" t="s">
        <v>571</v>
      </c>
      <c r="Q541" s="26"/>
      <c r="R541" s="5"/>
      <c r="S541" s="5"/>
      <c r="T541" s="5"/>
      <c r="U541" s="5"/>
      <c r="V541" s="5"/>
      <c r="W541" s="5"/>
      <c r="X541" s="5"/>
      <c r="Y541" s="5"/>
    </row>
    <row r="542" spans="13:25" ht="55">
      <c r="M542" s="26" t="s">
        <v>79</v>
      </c>
      <c r="N542" s="25" t="s">
        <v>70</v>
      </c>
      <c r="O542" s="26"/>
      <c r="P542" s="26" t="s">
        <v>572</v>
      </c>
      <c r="Q542" s="26"/>
      <c r="R542" s="5"/>
      <c r="S542" s="5"/>
      <c r="T542" s="5"/>
      <c r="U542" s="5"/>
      <c r="V542" s="5"/>
      <c r="W542" s="5"/>
      <c r="X542" s="5"/>
      <c r="Y542" s="5"/>
    </row>
    <row r="543" spans="13:25" ht="33">
      <c r="M543" s="26" t="s">
        <v>79</v>
      </c>
      <c r="N543" s="25" t="s">
        <v>70</v>
      </c>
      <c r="O543" s="26"/>
      <c r="P543" s="26" t="s">
        <v>573</v>
      </c>
      <c r="Q543" s="26"/>
      <c r="R543" s="5"/>
      <c r="S543" s="5"/>
      <c r="T543" s="5"/>
      <c r="U543" s="5"/>
      <c r="V543" s="5"/>
      <c r="W543" s="5"/>
      <c r="X543" s="5"/>
      <c r="Y543" s="5"/>
    </row>
    <row r="544" spans="13:25" ht="22">
      <c r="M544" s="26" t="s">
        <v>79</v>
      </c>
      <c r="N544" s="25" t="s">
        <v>70</v>
      </c>
      <c r="O544" s="26"/>
      <c r="P544" s="26" t="s">
        <v>574</v>
      </c>
      <c r="Q544" s="26"/>
      <c r="R544" s="5"/>
      <c r="S544" s="5"/>
      <c r="T544" s="5"/>
      <c r="U544" s="5"/>
      <c r="V544" s="5"/>
      <c r="W544" s="5"/>
      <c r="X544" s="5"/>
      <c r="Y544" s="5"/>
    </row>
    <row r="545" spans="13:25" ht="22">
      <c r="M545" s="26" t="s">
        <v>79</v>
      </c>
      <c r="N545" s="25" t="s">
        <v>70</v>
      </c>
      <c r="O545" s="26"/>
      <c r="P545" s="26" t="s">
        <v>575</v>
      </c>
      <c r="Q545" s="26"/>
      <c r="R545" s="5"/>
      <c r="S545" s="5"/>
      <c r="T545" s="5"/>
      <c r="U545" s="5"/>
      <c r="V545" s="5"/>
      <c r="W545" s="5"/>
      <c r="X545" s="5"/>
      <c r="Y545" s="5"/>
    </row>
    <row r="546" spans="13:25" ht="22">
      <c r="M546" s="26" t="s">
        <v>79</v>
      </c>
      <c r="N546" s="25" t="s">
        <v>70</v>
      </c>
      <c r="O546" s="26"/>
      <c r="P546" s="26" t="s">
        <v>576</v>
      </c>
      <c r="Q546" s="26"/>
      <c r="R546" s="5"/>
      <c r="S546" s="5"/>
      <c r="T546" s="5"/>
      <c r="U546" s="5"/>
      <c r="V546" s="5"/>
      <c r="W546" s="5"/>
      <c r="X546" s="5"/>
      <c r="Y546" s="5"/>
    </row>
    <row r="547" spans="13:25" ht="22">
      <c r="M547" s="26" t="s">
        <v>79</v>
      </c>
      <c r="N547" s="25" t="s">
        <v>70</v>
      </c>
      <c r="O547" s="26"/>
      <c r="P547" s="26" t="s">
        <v>577</v>
      </c>
      <c r="Q547" s="26"/>
      <c r="R547" s="5"/>
      <c r="S547" s="5"/>
      <c r="T547" s="5"/>
      <c r="U547" s="5"/>
      <c r="V547" s="5"/>
      <c r="W547" s="5"/>
      <c r="X547" s="5"/>
      <c r="Y547" s="5"/>
    </row>
    <row r="548" spans="13:25" ht="22">
      <c r="M548" s="26" t="s">
        <v>79</v>
      </c>
      <c r="N548" s="25" t="s">
        <v>70</v>
      </c>
      <c r="O548" s="26"/>
      <c r="P548" s="26" t="s">
        <v>578</v>
      </c>
      <c r="Q548" s="26"/>
      <c r="R548" s="5"/>
      <c r="S548" s="5"/>
      <c r="T548" s="5"/>
      <c r="U548" s="5"/>
      <c r="V548" s="5"/>
      <c r="W548" s="5"/>
      <c r="X548" s="5"/>
      <c r="Y548" s="5"/>
    </row>
    <row r="549" spans="13:25" ht="33">
      <c r="M549" s="26" t="s">
        <v>79</v>
      </c>
      <c r="N549" s="25" t="s">
        <v>70</v>
      </c>
      <c r="O549" s="26"/>
      <c r="P549" s="26" t="s">
        <v>579</v>
      </c>
      <c r="Q549" s="26"/>
      <c r="R549" s="5"/>
      <c r="S549" s="5"/>
      <c r="T549" s="5"/>
      <c r="U549" s="5"/>
      <c r="V549" s="5"/>
      <c r="W549" s="5"/>
      <c r="X549" s="5"/>
      <c r="Y549" s="5"/>
    </row>
    <row r="550" spans="13:25" ht="33">
      <c r="M550" s="26" t="s">
        <v>79</v>
      </c>
      <c r="N550" s="25" t="s">
        <v>51</v>
      </c>
      <c r="O550" s="26"/>
      <c r="P550" s="26" t="s">
        <v>580</v>
      </c>
      <c r="Q550" s="26"/>
      <c r="R550" s="5"/>
      <c r="S550" s="5"/>
      <c r="T550" s="5"/>
      <c r="U550" s="5"/>
      <c r="V550" s="5"/>
      <c r="W550" s="5"/>
      <c r="X550" s="5"/>
      <c r="Y550" s="5"/>
    </row>
    <row r="551" spans="13:25" ht="33">
      <c r="M551" s="26" t="s">
        <v>79</v>
      </c>
      <c r="N551" s="25" t="s">
        <v>51</v>
      </c>
      <c r="O551" s="26"/>
      <c r="P551" s="26" t="s">
        <v>581</v>
      </c>
      <c r="Q551" s="26"/>
      <c r="R551" s="5"/>
      <c r="S551" s="5"/>
      <c r="T551" s="5"/>
      <c r="U551" s="5"/>
      <c r="V551" s="5"/>
      <c r="W551" s="5"/>
      <c r="X551" s="5"/>
      <c r="Y551" s="5"/>
    </row>
    <row r="552" spans="13:25" ht="33">
      <c r="M552" s="26" t="s">
        <v>79</v>
      </c>
      <c r="N552" s="25" t="s">
        <v>70</v>
      </c>
      <c r="O552" s="26"/>
      <c r="P552" s="26" t="s">
        <v>582</v>
      </c>
      <c r="Q552" s="26"/>
      <c r="R552" s="5"/>
      <c r="S552" s="5"/>
      <c r="T552" s="5"/>
      <c r="U552" s="5"/>
      <c r="V552" s="5"/>
      <c r="W552" s="5"/>
      <c r="X552" s="5"/>
      <c r="Y552" s="5"/>
    </row>
    <row r="553" spans="13:25" ht="33">
      <c r="M553" s="26" t="s">
        <v>79</v>
      </c>
      <c r="N553" s="25" t="s">
        <v>70</v>
      </c>
      <c r="O553" s="26"/>
      <c r="P553" s="26" t="s">
        <v>583</v>
      </c>
      <c r="Q553" s="26"/>
      <c r="R553" s="5"/>
      <c r="S553" s="5"/>
      <c r="T553" s="5"/>
      <c r="U553" s="5"/>
      <c r="V553" s="5"/>
      <c r="W553" s="5"/>
      <c r="X553" s="5"/>
      <c r="Y553" s="5"/>
    </row>
    <row r="554" spans="13:25" ht="22">
      <c r="M554" s="26" t="s">
        <v>79</v>
      </c>
      <c r="N554" s="25" t="s">
        <v>70</v>
      </c>
      <c r="O554" s="26"/>
      <c r="P554" s="26" t="s">
        <v>584</v>
      </c>
      <c r="Q554" s="26"/>
      <c r="R554" s="5"/>
      <c r="S554" s="5"/>
      <c r="T554" s="5"/>
      <c r="U554" s="5"/>
      <c r="V554" s="5"/>
      <c r="W554" s="5"/>
      <c r="X554" s="5"/>
      <c r="Y554" s="5"/>
    </row>
    <row r="555" spans="13:25" ht="22">
      <c r="M555" s="26" t="s">
        <v>79</v>
      </c>
      <c r="N555" s="25" t="s">
        <v>70</v>
      </c>
      <c r="O555" s="26"/>
      <c r="P555" s="26" t="s">
        <v>585</v>
      </c>
      <c r="Q555" s="26"/>
      <c r="R555" s="5"/>
      <c r="S555" s="5"/>
      <c r="T555" s="5"/>
      <c r="U555" s="5"/>
      <c r="V555" s="5"/>
      <c r="W555" s="5"/>
      <c r="X555" s="5"/>
      <c r="Y555" s="5"/>
    </row>
    <row r="556" spans="13:25" ht="22">
      <c r="M556" s="26" t="s">
        <v>79</v>
      </c>
      <c r="N556" s="25" t="s">
        <v>51</v>
      </c>
      <c r="O556" s="26"/>
      <c r="P556" s="26" t="s">
        <v>586</v>
      </c>
      <c r="Q556" s="26"/>
      <c r="R556" s="5"/>
      <c r="S556" s="5"/>
      <c r="T556" s="5"/>
      <c r="U556" s="5"/>
      <c r="V556" s="5"/>
      <c r="W556" s="5"/>
      <c r="X556" s="5"/>
      <c r="Y556" s="5"/>
    </row>
    <row r="557" spans="13:25" ht="22">
      <c r="M557" s="26" t="s">
        <v>79</v>
      </c>
      <c r="N557" s="25" t="s">
        <v>51</v>
      </c>
      <c r="O557" s="26"/>
      <c r="P557" s="26" t="s">
        <v>587</v>
      </c>
      <c r="Q557" s="26"/>
      <c r="R557" s="5"/>
      <c r="S557" s="5"/>
      <c r="T557" s="5"/>
      <c r="U557" s="5"/>
      <c r="V557" s="5"/>
      <c r="W557" s="5"/>
      <c r="X557" s="5"/>
      <c r="Y557" s="5"/>
    </row>
    <row r="558" spans="13:25" ht="33">
      <c r="M558" s="26" t="s">
        <v>79</v>
      </c>
      <c r="N558" s="25" t="s">
        <v>51</v>
      </c>
      <c r="O558" s="26"/>
      <c r="P558" s="26" t="s">
        <v>174</v>
      </c>
      <c r="Q558" s="26"/>
      <c r="R558" s="5"/>
      <c r="S558" s="5"/>
      <c r="T558" s="5"/>
      <c r="U558" s="5"/>
      <c r="V558" s="5"/>
      <c r="W558" s="5"/>
      <c r="X558" s="5"/>
      <c r="Y558" s="5"/>
    </row>
    <row r="559" spans="13:25" ht="33">
      <c r="M559" s="26" t="s">
        <v>79</v>
      </c>
      <c r="N559" s="25" t="s">
        <v>51</v>
      </c>
      <c r="O559" s="26"/>
      <c r="P559" s="26" t="s">
        <v>588</v>
      </c>
      <c r="Q559" s="26"/>
      <c r="R559" s="5"/>
      <c r="S559" s="5"/>
      <c r="T559" s="5"/>
      <c r="U559" s="5"/>
      <c r="V559" s="5"/>
      <c r="W559" s="5"/>
      <c r="X559" s="5"/>
      <c r="Y559" s="5"/>
    </row>
    <row r="560" spans="13:25" ht="33">
      <c r="M560" s="26" t="s">
        <v>79</v>
      </c>
      <c r="N560" s="25" t="s">
        <v>70</v>
      </c>
      <c r="O560" s="26"/>
      <c r="P560" s="26" t="s">
        <v>589</v>
      </c>
      <c r="Q560" s="26"/>
      <c r="R560" s="5"/>
      <c r="S560" s="5"/>
      <c r="T560" s="5"/>
      <c r="U560" s="5"/>
      <c r="V560" s="5"/>
      <c r="W560" s="5"/>
      <c r="X560" s="5"/>
      <c r="Y560" s="5"/>
    </row>
    <row r="561" spans="13:25" ht="22">
      <c r="M561" s="26" t="s">
        <v>79</v>
      </c>
      <c r="N561" s="25" t="s">
        <v>70</v>
      </c>
      <c r="O561" s="26"/>
      <c r="P561" s="26" t="s">
        <v>590</v>
      </c>
      <c r="Q561" s="26"/>
      <c r="R561" s="5"/>
      <c r="S561" s="5"/>
      <c r="T561" s="5"/>
      <c r="U561" s="5"/>
      <c r="V561" s="5"/>
      <c r="W561" s="5"/>
      <c r="X561" s="5"/>
      <c r="Y561" s="5"/>
    </row>
    <row r="562" spans="13:25" ht="22">
      <c r="M562" s="26" t="s">
        <v>79</v>
      </c>
      <c r="N562" s="25" t="s">
        <v>70</v>
      </c>
      <c r="O562" s="26"/>
      <c r="P562" s="26" t="s">
        <v>591</v>
      </c>
      <c r="Q562" s="26"/>
      <c r="R562" s="5"/>
      <c r="S562" s="5"/>
      <c r="T562" s="5"/>
      <c r="U562" s="5"/>
      <c r="V562" s="5"/>
      <c r="W562" s="5"/>
      <c r="X562" s="5"/>
      <c r="Y562" s="5"/>
    </row>
    <row r="563" spans="13:25" ht="66">
      <c r="M563" s="26" t="s">
        <v>79</v>
      </c>
      <c r="N563" s="25" t="s">
        <v>70</v>
      </c>
      <c r="O563" s="26"/>
      <c r="P563" s="26" t="s">
        <v>592</v>
      </c>
      <c r="Q563" s="26"/>
      <c r="R563" s="5"/>
      <c r="S563" s="5"/>
      <c r="T563" s="5"/>
      <c r="U563" s="5"/>
      <c r="V563" s="5"/>
      <c r="W563" s="5"/>
      <c r="X563" s="5"/>
      <c r="Y563" s="5"/>
    </row>
    <row r="564" spans="13:25" ht="77">
      <c r="M564" s="26" t="s">
        <v>79</v>
      </c>
      <c r="N564" s="25" t="s">
        <v>55</v>
      </c>
      <c r="O564" s="26"/>
      <c r="P564" s="26" t="s">
        <v>593</v>
      </c>
      <c r="Q564" s="26"/>
      <c r="R564" s="5"/>
      <c r="S564" s="5"/>
      <c r="T564" s="5"/>
      <c r="U564" s="5"/>
      <c r="V564" s="5"/>
      <c r="W564" s="5"/>
      <c r="X564" s="5"/>
      <c r="Y564" s="5"/>
    </row>
    <row r="565" spans="13:25" ht="33">
      <c r="M565" s="26" t="s">
        <v>79</v>
      </c>
      <c r="N565" s="25" t="s">
        <v>55</v>
      </c>
      <c r="O565" s="26"/>
      <c r="P565" s="26" t="s">
        <v>594</v>
      </c>
      <c r="Q565" s="26"/>
      <c r="R565" s="5"/>
      <c r="S565" s="5"/>
      <c r="T565" s="5"/>
      <c r="U565" s="5"/>
      <c r="V565" s="5"/>
      <c r="W565" s="5"/>
      <c r="X565" s="5"/>
      <c r="Y565" s="5"/>
    </row>
    <row r="566" spans="13:25" ht="55">
      <c r="M566" s="26" t="s">
        <v>79</v>
      </c>
      <c r="N566" s="25" t="s">
        <v>51</v>
      </c>
      <c r="O566" s="26"/>
      <c r="P566" s="26" t="s">
        <v>595</v>
      </c>
      <c r="Q566" s="26"/>
      <c r="R566" s="5"/>
      <c r="S566" s="5"/>
      <c r="T566" s="5"/>
      <c r="U566" s="5"/>
      <c r="V566" s="5"/>
      <c r="W566" s="5"/>
      <c r="X566" s="5"/>
      <c r="Y566" s="5"/>
    </row>
    <row r="567" spans="13:25" ht="55">
      <c r="M567" s="26" t="s">
        <v>79</v>
      </c>
      <c r="N567" s="25" t="s">
        <v>51</v>
      </c>
      <c r="O567" s="26"/>
      <c r="P567" s="26" t="s">
        <v>596</v>
      </c>
      <c r="Q567" s="26"/>
      <c r="R567" s="5"/>
      <c r="S567" s="5"/>
      <c r="T567" s="5"/>
      <c r="U567" s="5"/>
      <c r="V567" s="5"/>
      <c r="W567" s="5"/>
      <c r="X567" s="5"/>
      <c r="Y567" s="5"/>
    </row>
    <row r="568" spans="13:25" ht="66">
      <c r="M568" s="26" t="s">
        <v>79</v>
      </c>
      <c r="N568" s="25" t="s">
        <v>51</v>
      </c>
      <c r="O568" s="26"/>
      <c r="P568" s="26" t="s">
        <v>597</v>
      </c>
      <c r="Q568" s="26"/>
      <c r="R568" s="5"/>
      <c r="S568" s="5"/>
      <c r="T568" s="5"/>
      <c r="U568" s="5"/>
      <c r="V568" s="5"/>
      <c r="W568" s="5"/>
      <c r="X568" s="5"/>
      <c r="Y568" s="5"/>
    </row>
    <row r="569" spans="13:25" ht="77">
      <c r="M569" s="26" t="s">
        <v>79</v>
      </c>
      <c r="N569" s="25" t="s">
        <v>55</v>
      </c>
      <c r="O569" s="26"/>
      <c r="P569" s="26" t="s">
        <v>563</v>
      </c>
      <c r="Q569" s="26"/>
      <c r="R569" s="5"/>
      <c r="S569" s="5"/>
      <c r="T569" s="5"/>
      <c r="U569" s="5"/>
      <c r="V569" s="5"/>
      <c r="W569" s="5"/>
      <c r="X569" s="5"/>
      <c r="Y569" s="5"/>
    </row>
    <row r="570" spans="13:25" ht="22">
      <c r="M570" s="26" t="s">
        <v>79</v>
      </c>
      <c r="N570" s="25" t="s">
        <v>70</v>
      </c>
      <c r="O570" s="26"/>
      <c r="P570" s="26" t="s">
        <v>598</v>
      </c>
      <c r="Q570" s="26"/>
      <c r="R570" s="5"/>
      <c r="S570" s="5"/>
      <c r="T570" s="5"/>
      <c r="U570" s="5"/>
      <c r="V570" s="5"/>
      <c r="W570" s="5"/>
      <c r="X570" s="5"/>
      <c r="Y570" s="5"/>
    </row>
    <row r="571" spans="13:25" ht="22">
      <c r="M571" s="26" t="s">
        <v>79</v>
      </c>
      <c r="N571" s="25" t="s">
        <v>70</v>
      </c>
      <c r="O571" s="26"/>
      <c r="P571" s="26" t="s">
        <v>599</v>
      </c>
      <c r="Q571" s="26"/>
      <c r="R571" s="5"/>
      <c r="S571" s="5"/>
      <c r="T571" s="5"/>
      <c r="U571" s="5"/>
      <c r="V571" s="5"/>
      <c r="W571" s="5"/>
      <c r="X571" s="5"/>
      <c r="Y571" s="5"/>
    </row>
    <row r="572" spans="13:25" ht="33">
      <c r="M572" s="26" t="s">
        <v>79</v>
      </c>
      <c r="N572" s="25" t="s">
        <v>70</v>
      </c>
      <c r="O572" s="26"/>
      <c r="P572" s="26" t="s">
        <v>600</v>
      </c>
      <c r="Q572" s="26"/>
      <c r="R572" s="5"/>
      <c r="S572" s="5"/>
      <c r="T572" s="5"/>
      <c r="U572" s="5"/>
      <c r="V572" s="5"/>
      <c r="W572" s="5"/>
      <c r="X572" s="5"/>
      <c r="Y572" s="5"/>
    </row>
    <row r="573" spans="13:25" ht="44">
      <c r="M573" s="26" t="s">
        <v>79</v>
      </c>
      <c r="N573" s="25" t="s">
        <v>51</v>
      </c>
      <c r="O573" s="26"/>
      <c r="P573" s="26" t="s">
        <v>601</v>
      </c>
      <c r="Q573" s="26"/>
      <c r="R573" s="5"/>
      <c r="S573" s="5"/>
      <c r="T573" s="5"/>
      <c r="U573" s="5"/>
      <c r="V573" s="5"/>
      <c r="W573" s="5"/>
      <c r="X573" s="5"/>
      <c r="Y573" s="5"/>
    </row>
    <row r="574" spans="13:25" ht="22">
      <c r="M574" s="26" t="s">
        <v>79</v>
      </c>
      <c r="N574" s="25" t="s">
        <v>51</v>
      </c>
      <c r="O574" s="26" t="s">
        <v>602</v>
      </c>
      <c r="P574" s="26"/>
      <c r="Q574" s="26"/>
      <c r="R574" s="5"/>
      <c r="S574" s="5"/>
      <c r="T574" s="5"/>
      <c r="U574" s="5"/>
      <c r="V574" s="5"/>
      <c r="W574" s="5"/>
      <c r="X574" s="5"/>
      <c r="Y574" s="5"/>
    </row>
    <row r="575" spans="13:25" ht="22">
      <c r="M575" s="26" t="s">
        <v>79</v>
      </c>
      <c r="N575" s="25" t="s">
        <v>70</v>
      </c>
      <c r="O575" s="26"/>
      <c r="P575" s="26" t="s">
        <v>603</v>
      </c>
      <c r="Q575" s="26"/>
      <c r="R575" s="5"/>
      <c r="S575" s="5"/>
      <c r="T575" s="5"/>
      <c r="U575" s="5"/>
      <c r="V575" s="5"/>
      <c r="W575" s="5"/>
      <c r="X575" s="5"/>
      <c r="Y575" s="5"/>
    </row>
    <row r="576" spans="13:25" ht="22">
      <c r="M576" s="26" t="s">
        <v>79</v>
      </c>
      <c r="N576" s="25" t="s">
        <v>70</v>
      </c>
      <c r="O576" s="26"/>
      <c r="P576" s="26" t="s">
        <v>604</v>
      </c>
      <c r="Q576" s="26"/>
      <c r="R576" s="5"/>
      <c r="S576" s="5"/>
      <c r="T576" s="5"/>
      <c r="U576" s="5"/>
      <c r="V576" s="5"/>
      <c r="W576" s="5"/>
      <c r="X576" s="5"/>
      <c r="Y576" s="5"/>
    </row>
    <row r="577" spans="13:25" ht="44">
      <c r="M577" s="26" t="s">
        <v>79</v>
      </c>
      <c r="N577" s="25" t="s">
        <v>70</v>
      </c>
      <c r="O577" s="26"/>
      <c r="P577" s="26" t="s">
        <v>605</v>
      </c>
      <c r="Q577" s="26"/>
      <c r="R577" s="5"/>
      <c r="S577" s="5"/>
      <c r="T577" s="5"/>
      <c r="U577" s="5"/>
      <c r="V577" s="5"/>
      <c r="W577" s="5"/>
      <c r="X577" s="5"/>
      <c r="Y577" s="5"/>
    </row>
    <row r="578" spans="13:25" ht="33">
      <c r="M578" s="26" t="s">
        <v>79</v>
      </c>
      <c r="N578" s="25" t="s">
        <v>70</v>
      </c>
      <c r="O578" s="26"/>
      <c r="P578" s="26" t="s">
        <v>606</v>
      </c>
      <c r="Q578" s="26"/>
      <c r="R578" s="5"/>
      <c r="S578" s="5"/>
      <c r="T578" s="5"/>
      <c r="U578" s="5"/>
      <c r="V578" s="5"/>
      <c r="W578" s="5"/>
      <c r="X578" s="5"/>
      <c r="Y578" s="5"/>
    </row>
    <row r="579" spans="13:25" ht="33">
      <c r="M579" s="26" t="s">
        <v>79</v>
      </c>
      <c r="N579" s="25" t="s">
        <v>70</v>
      </c>
      <c r="O579" s="26"/>
      <c r="P579" s="26" t="s">
        <v>607</v>
      </c>
      <c r="Q579" s="26"/>
      <c r="R579" s="5"/>
      <c r="S579" s="5"/>
      <c r="T579" s="5"/>
      <c r="U579" s="5"/>
      <c r="V579" s="5"/>
      <c r="W579" s="5"/>
      <c r="X579" s="5"/>
      <c r="Y579" s="5"/>
    </row>
    <row r="580" spans="13:25" ht="22">
      <c r="M580" s="26" t="s">
        <v>79</v>
      </c>
      <c r="N580" s="25" t="s">
        <v>70</v>
      </c>
      <c r="O580" s="26"/>
      <c r="P580" s="26" t="s">
        <v>608</v>
      </c>
      <c r="Q580" s="26"/>
      <c r="R580" s="5"/>
      <c r="S580" s="5"/>
      <c r="T580" s="5"/>
      <c r="U580" s="5"/>
      <c r="V580" s="5"/>
      <c r="W580" s="5"/>
      <c r="X580" s="5"/>
      <c r="Y580" s="5"/>
    </row>
    <row r="581" spans="13:25" ht="22">
      <c r="M581" s="26" t="s">
        <v>79</v>
      </c>
      <c r="N581" s="25" t="s">
        <v>70</v>
      </c>
      <c r="O581" s="26"/>
      <c r="P581" s="26" t="s">
        <v>609</v>
      </c>
      <c r="Q581" s="26"/>
      <c r="R581" s="5"/>
      <c r="S581" s="5"/>
      <c r="T581" s="5"/>
      <c r="U581" s="5"/>
      <c r="V581" s="5"/>
      <c r="W581" s="5"/>
      <c r="X581" s="5"/>
      <c r="Y581" s="5"/>
    </row>
    <row r="582" spans="13:25" ht="44">
      <c r="M582" s="26" t="s">
        <v>79</v>
      </c>
      <c r="N582" s="25" t="s">
        <v>70</v>
      </c>
      <c r="O582" s="26"/>
      <c r="P582" s="26" t="s">
        <v>610</v>
      </c>
      <c r="Q582" s="26"/>
      <c r="R582" s="5"/>
      <c r="S582" s="5"/>
      <c r="T582" s="5"/>
      <c r="U582" s="5"/>
      <c r="V582" s="5"/>
      <c r="W582" s="5"/>
      <c r="X582" s="5"/>
      <c r="Y582" s="5"/>
    </row>
    <row r="583" spans="13:25" ht="33">
      <c r="M583" s="26" t="s">
        <v>79</v>
      </c>
      <c r="N583" s="25" t="s">
        <v>70</v>
      </c>
      <c r="O583" s="26"/>
      <c r="P583" s="26" t="s">
        <v>611</v>
      </c>
      <c r="Q583" s="26"/>
      <c r="R583" s="5"/>
      <c r="S583" s="5"/>
      <c r="T583" s="5"/>
      <c r="U583" s="5"/>
      <c r="V583" s="5"/>
      <c r="W583" s="5"/>
      <c r="X583" s="5"/>
      <c r="Y583" s="5"/>
    </row>
    <row r="584" spans="13:25" ht="33">
      <c r="M584" s="26" t="s">
        <v>79</v>
      </c>
      <c r="N584" s="25" t="s">
        <v>70</v>
      </c>
      <c r="O584" s="26"/>
      <c r="P584" s="26" t="s">
        <v>612</v>
      </c>
      <c r="Q584" s="26"/>
      <c r="R584" s="5"/>
      <c r="S584" s="5"/>
      <c r="T584" s="5"/>
      <c r="U584" s="5"/>
      <c r="V584" s="5"/>
      <c r="W584" s="5"/>
      <c r="X584" s="5"/>
      <c r="Y584" s="5"/>
    </row>
    <row r="585" spans="13:25" ht="33">
      <c r="M585" s="26" t="s">
        <v>79</v>
      </c>
      <c r="N585" s="25" t="s">
        <v>70</v>
      </c>
      <c r="O585" s="26"/>
      <c r="P585" s="26" t="s">
        <v>613</v>
      </c>
      <c r="Q585" s="26"/>
      <c r="R585" s="5"/>
      <c r="S585" s="5"/>
      <c r="T585" s="5"/>
      <c r="U585" s="5"/>
      <c r="V585" s="5"/>
      <c r="W585" s="5"/>
      <c r="X585" s="5"/>
      <c r="Y585" s="5"/>
    </row>
    <row r="586" spans="13:25" ht="22">
      <c r="M586" s="26" t="s">
        <v>79</v>
      </c>
      <c r="N586" s="25" t="s">
        <v>70</v>
      </c>
      <c r="O586" s="26"/>
      <c r="P586" s="26" t="s">
        <v>614</v>
      </c>
      <c r="Q586" s="26"/>
      <c r="R586" s="5"/>
      <c r="S586" s="5"/>
      <c r="T586" s="5"/>
      <c r="U586" s="5"/>
      <c r="V586" s="5"/>
      <c r="W586" s="5"/>
      <c r="X586" s="5"/>
      <c r="Y586" s="5"/>
    </row>
    <row r="587" spans="13:25" ht="55">
      <c r="M587" s="26" t="s">
        <v>79</v>
      </c>
      <c r="N587" s="25" t="s">
        <v>70</v>
      </c>
      <c r="O587" s="26"/>
      <c r="P587" s="26" t="s">
        <v>615</v>
      </c>
      <c r="Q587" s="26"/>
      <c r="R587" s="5"/>
      <c r="S587" s="5"/>
      <c r="T587" s="5"/>
      <c r="U587" s="5"/>
      <c r="V587" s="5"/>
      <c r="W587" s="5"/>
      <c r="X587" s="5"/>
      <c r="Y587" s="5"/>
    </row>
    <row r="588" spans="13:25" ht="55">
      <c r="M588" s="26" t="s">
        <v>79</v>
      </c>
      <c r="N588" s="25" t="s">
        <v>70</v>
      </c>
      <c r="O588" s="26"/>
      <c r="P588" s="26" t="s">
        <v>616</v>
      </c>
      <c r="Q588" s="26"/>
      <c r="R588" s="5"/>
      <c r="S588" s="5"/>
      <c r="T588" s="5"/>
      <c r="U588" s="5"/>
      <c r="V588" s="5"/>
      <c r="W588" s="5"/>
      <c r="X588" s="5"/>
      <c r="Y588" s="5"/>
    </row>
    <row r="589" spans="13:25" ht="33">
      <c r="M589" s="26" t="s">
        <v>79</v>
      </c>
      <c r="N589" s="25" t="s">
        <v>70</v>
      </c>
      <c r="O589" s="26"/>
      <c r="P589" s="26" t="s">
        <v>617</v>
      </c>
      <c r="Q589" s="26"/>
      <c r="R589" s="5"/>
      <c r="S589" s="5"/>
      <c r="T589" s="5"/>
      <c r="U589" s="5"/>
      <c r="V589" s="5"/>
      <c r="W589" s="5"/>
      <c r="X589" s="5"/>
      <c r="Y589" s="5"/>
    </row>
    <row r="590" spans="13:25" ht="22">
      <c r="M590" s="26" t="s">
        <v>79</v>
      </c>
      <c r="N590" s="25" t="s">
        <v>70</v>
      </c>
      <c r="O590" s="26"/>
      <c r="P590" s="26" t="s">
        <v>618</v>
      </c>
      <c r="Q590" s="26"/>
      <c r="R590" s="5"/>
      <c r="S590" s="5"/>
      <c r="T590" s="5"/>
      <c r="U590" s="5"/>
      <c r="V590" s="5"/>
      <c r="W590" s="5"/>
      <c r="X590" s="5"/>
      <c r="Y590" s="5"/>
    </row>
    <row r="591" spans="13:25" ht="22">
      <c r="M591" s="26" t="s">
        <v>79</v>
      </c>
      <c r="N591" s="25" t="s">
        <v>70</v>
      </c>
      <c r="O591" s="26"/>
      <c r="P591" s="26" t="s">
        <v>619</v>
      </c>
      <c r="Q591" s="26"/>
      <c r="R591" s="5"/>
      <c r="S591" s="5"/>
      <c r="T591" s="5"/>
      <c r="U591" s="5"/>
      <c r="V591" s="5"/>
      <c r="W591" s="5"/>
      <c r="X591" s="5"/>
      <c r="Y591" s="5"/>
    </row>
    <row r="592" spans="13:25" ht="22">
      <c r="M592" s="26" t="s">
        <v>79</v>
      </c>
      <c r="N592" s="25" t="s">
        <v>70</v>
      </c>
      <c r="O592" s="26"/>
      <c r="P592" s="26" t="s">
        <v>620</v>
      </c>
      <c r="Q592" s="26"/>
      <c r="R592" s="5"/>
      <c r="S592" s="5"/>
      <c r="T592" s="5"/>
      <c r="U592" s="5"/>
      <c r="V592" s="5"/>
      <c r="W592" s="5"/>
      <c r="X592" s="5"/>
      <c r="Y592" s="5"/>
    </row>
    <row r="593" spans="13:25" ht="66">
      <c r="M593" s="26" t="s">
        <v>79</v>
      </c>
      <c r="N593" s="25" t="s">
        <v>70</v>
      </c>
      <c r="O593" s="26"/>
      <c r="P593" s="26" t="s">
        <v>621</v>
      </c>
      <c r="Q593" s="26"/>
      <c r="R593" s="5"/>
      <c r="S593" s="5"/>
      <c r="T593" s="5"/>
      <c r="U593" s="5"/>
      <c r="V593" s="5"/>
      <c r="W593" s="5"/>
      <c r="X593" s="5"/>
      <c r="Y593" s="5"/>
    </row>
    <row r="594" spans="13:25" ht="33">
      <c r="M594" s="26" t="s">
        <v>79</v>
      </c>
      <c r="N594" s="25" t="s">
        <v>70</v>
      </c>
      <c r="O594" s="26"/>
      <c r="P594" s="26" t="s">
        <v>622</v>
      </c>
      <c r="Q594" s="26"/>
      <c r="R594" s="5"/>
      <c r="S594" s="5"/>
      <c r="T594" s="5"/>
      <c r="U594" s="5"/>
      <c r="V594" s="5"/>
      <c r="W594" s="5"/>
      <c r="X594" s="5"/>
      <c r="Y594" s="5"/>
    </row>
    <row r="595" spans="13:25" ht="22">
      <c r="M595" s="26" t="s">
        <v>79</v>
      </c>
      <c r="N595" s="25" t="s">
        <v>70</v>
      </c>
      <c r="O595" s="26"/>
      <c r="P595" s="26" t="s">
        <v>623</v>
      </c>
      <c r="Q595" s="26"/>
      <c r="R595" s="5"/>
      <c r="S595" s="5"/>
      <c r="T595" s="5"/>
      <c r="U595" s="5"/>
      <c r="V595" s="5"/>
      <c r="W595" s="5"/>
      <c r="X595" s="5"/>
      <c r="Y595" s="5"/>
    </row>
    <row r="596" spans="13:25" ht="55">
      <c r="M596" s="26" t="s">
        <v>79</v>
      </c>
      <c r="N596" s="25" t="s">
        <v>55</v>
      </c>
      <c r="O596" s="26"/>
      <c r="P596" s="26" t="s">
        <v>624</v>
      </c>
      <c r="Q596" s="26"/>
      <c r="R596" s="5"/>
      <c r="S596" s="5"/>
      <c r="T596" s="5"/>
      <c r="U596" s="5"/>
      <c r="V596" s="5"/>
      <c r="W596" s="5"/>
      <c r="X596" s="5"/>
      <c r="Y596" s="5"/>
    </row>
    <row r="597" spans="13:25" ht="33">
      <c r="M597" s="26" t="s">
        <v>79</v>
      </c>
      <c r="N597" s="25" t="s">
        <v>70</v>
      </c>
      <c r="O597" s="26"/>
      <c r="P597" s="26" t="s">
        <v>625</v>
      </c>
      <c r="Q597" s="26"/>
      <c r="R597" s="5"/>
      <c r="S597" s="5"/>
      <c r="T597" s="5"/>
      <c r="U597" s="5"/>
      <c r="V597" s="5"/>
      <c r="W597" s="5"/>
      <c r="X597" s="5"/>
      <c r="Y597" s="5"/>
    </row>
    <row r="598" spans="13:25" ht="33">
      <c r="M598" s="26" t="s">
        <v>79</v>
      </c>
      <c r="N598" s="25" t="s">
        <v>70</v>
      </c>
      <c r="O598" s="26"/>
      <c r="P598" s="26" t="s">
        <v>626</v>
      </c>
      <c r="Q598" s="26"/>
      <c r="R598" s="5"/>
      <c r="S598" s="5"/>
      <c r="T598" s="5"/>
      <c r="U598" s="5"/>
      <c r="V598" s="5"/>
      <c r="W598" s="5"/>
      <c r="X598" s="5"/>
      <c r="Y598" s="5"/>
    </row>
    <row r="599" spans="13:25" ht="33">
      <c r="M599" s="26" t="s">
        <v>79</v>
      </c>
      <c r="N599" s="25" t="s">
        <v>70</v>
      </c>
      <c r="O599" s="26"/>
      <c r="P599" s="26" t="s">
        <v>627</v>
      </c>
      <c r="Q599" s="26"/>
      <c r="R599" s="5"/>
      <c r="S599" s="5"/>
      <c r="T599" s="5"/>
      <c r="U599" s="5"/>
      <c r="V599" s="5"/>
      <c r="W599" s="5"/>
      <c r="X599" s="5"/>
      <c r="Y599" s="5"/>
    </row>
    <row r="600" spans="13:25" ht="66">
      <c r="M600" s="26" t="s">
        <v>79</v>
      </c>
      <c r="N600" s="25" t="s">
        <v>70</v>
      </c>
      <c r="O600" s="26"/>
      <c r="P600" s="26" t="s">
        <v>628</v>
      </c>
      <c r="Q600" s="26"/>
      <c r="R600" s="5"/>
      <c r="S600" s="5"/>
      <c r="T600" s="5"/>
      <c r="U600" s="5"/>
      <c r="V600" s="5"/>
      <c r="W600" s="5"/>
      <c r="X600" s="5"/>
      <c r="Y600" s="5"/>
    </row>
    <row r="601" spans="13:25" ht="66">
      <c r="M601" s="26" t="s">
        <v>79</v>
      </c>
      <c r="N601" s="25" t="s">
        <v>51</v>
      </c>
      <c r="O601" s="26"/>
      <c r="P601" s="26" t="s">
        <v>629</v>
      </c>
      <c r="Q601" s="26"/>
      <c r="R601" s="5"/>
      <c r="S601" s="5"/>
      <c r="T601" s="5"/>
      <c r="U601" s="5"/>
      <c r="V601" s="5"/>
      <c r="W601" s="5"/>
      <c r="X601" s="5"/>
      <c r="Y601" s="5"/>
    </row>
    <row r="602" spans="13:25" ht="22">
      <c r="M602" s="26" t="s">
        <v>79</v>
      </c>
      <c r="N602" s="25" t="s">
        <v>51</v>
      </c>
      <c r="O602" s="26"/>
      <c r="P602" s="26" t="s">
        <v>630</v>
      </c>
      <c r="Q602" s="26"/>
      <c r="R602" s="5"/>
      <c r="S602" s="5"/>
      <c r="T602" s="5"/>
      <c r="U602" s="5"/>
      <c r="V602" s="5"/>
      <c r="W602" s="5"/>
      <c r="X602" s="5"/>
      <c r="Y602" s="5"/>
    </row>
    <row r="603" spans="13:25" ht="44">
      <c r="M603" s="26" t="s">
        <v>79</v>
      </c>
      <c r="N603" s="25" t="s">
        <v>51</v>
      </c>
      <c r="O603" s="26"/>
      <c r="P603" s="26" t="s">
        <v>631</v>
      </c>
      <c r="Q603" s="26"/>
      <c r="R603" s="5"/>
      <c r="S603" s="5"/>
      <c r="T603" s="5"/>
      <c r="U603" s="5"/>
      <c r="V603" s="5"/>
      <c r="W603" s="5"/>
      <c r="X603" s="5"/>
      <c r="Y603" s="5"/>
    </row>
    <row r="604" spans="13:25" ht="44">
      <c r="M604" s="26" t="s">
        <v>79</v>
      </c>
      <c r="N604" s="25" t="s">
        <v>70</v>
      </c>
      <c r="O604" s="26"/>
      <c r="P604" s="26" t="s">
        <v>632</v>
      </c>
      <c r="Q604" s="26"/>
      <c r="R604" s="5"/>
      <c r="S604" s="5"/>
      <c r="T604" s="5"/>
      <c r="U604" s="5"/>
      <c r="V604" s="5"/>
      <c r="W604" s="5"/>
      <c r="X604" s="5"/>
      <c r="Y604" s="5"/>
    </row>
    <row r="605" spans="13:25" ht="33">
      <c r="M605" s="26" t="s">
        <v>79</v>
      </c>
      <c r="N605" s="25" t="s">
        <v>70</v>
      </c>
      <c r="O605" s="26"/>
      <c r="P605" s="26" t="s">
        <v>548</v>
      </c>
      <c r="Q605" s="26"/>
      <c r="R605" s="5"/>
      <c r="S605" s="5"/>
      <c r="T605" s="5"/>
      <c r="U605" s="5"/>
      <c r="V605" s="5"/>
      <c r="W605" s="5"/>
      <c r="X605" s="5"/>
      <c r="Y605" s="5"/>
    </row>
    <row r="606" spans="13:25" ht="66">
      <c r="M606" s="26" t="s">
        <v>79</v>
      </c>
      <c r="N606" s="25" t="s">
        <v>51</v>
      </c>
      <c r="O606" s="26"/>
      <c r="P606" s="26" t="s">
        <v>633</v>
      </c>
      <c r="Q606" s="26"/>
      <c r="R606" s="5"/>
      <c r="S606" s="5"/>
      <c r="T606" s="5"/>
      <c r="U606" s="5"/>
      <c r="V606" s="5"/>
      <c r="W606" s="5"/>
      <c r="X606" s="5"/>
      <c r="Y606" s="5"/>
    </row>
    <row r="607" spans="13:25" ht="66">
      <c r="M607" s="26" t="s">
        <v>79</v>
      </c>
      <c r="N607" s="25" t="s">
        <v>51</v>
      </c>
      <c r="O607" s="26"/>
      <c r="P607" s="26" t="s">
        <v>634</v>
      </c>
      <c r="Q607" s="26"/>
      <c r="R607" s="5"/>
      <c r="S607" s="5"/>
      <c r="T607" s="5"/>
      <c r="U607" s="5"/>
      <c r="V607" s="5"/>
      <c r="W607" s="5"/>
      <c r="X607" s="5"/>
      <c r="Y607" s="5"/>
    </row>
    <row r="608" spans="13:25" ht="22">
      <c r="M608" s="26" t="s">
        <v>79</v>
      </c>
      <c r="N608" s="25" t="s">
        <v>70</v>
      </c>
      <c r="O608" s="26"/>
      <c r="P608" s="26" t="s">
        <v>635</v>
      </c>
      <c r="Q608" s="26"/>
      <c r="R608" s="5"/>
      <c r="S608" s="5"/>
      <c r="T608" s="5"/>
      <c r="U608" s="5"/>
      <c r="V608" s="5"/>
      <c r="W608" s="5"/>
      <c r="X608" s="5"/>
      <c r="Y608" s="5"/>
    </row>
    <row r="609" spans="13:25" ht="22">
      <c r="M609" s="26" t="s">
        <v>79</v>
      </c>
      <c r="N609" s="25" t="s">
        <v>55</v>
      </c>
      <c r="O609" s="26"/>
      <c r="P609" s="26" t="s">
        <v>636</v>
      </c>
      <c r="Q609" s="26"/>
      <c r="R609" s="5"/>
      <c r="S609" s="5"/>
      <c r="T609" s="5"/>
      <c r="U609" s="5"/>
      <c r="V609" s="5"/>
      <c r="W609" s="5"/>
      <c r="X609" s="5"/>
      <c r="Y609" s="5"/>
    </row>
    <row r="610" spans="13:25" ht="77">
      <c r="M610" s="26" t="s">
        <v>79</v>
      </c>
      <c r="N610" s="25" t="s">
        <v>55</v>
      </c>
      <c r="O610" s="26"/>
      <c r="P610" s="26" t="s">
        <v>637</v>
      </c>
      <c r="Q610" s="26"/>
      <c r="R610" s="5"/>
      <c r="S610" s="5"/>
      <c r="T610" s="5"/>
      <c r="U610" s="5"/>
      <c r="V610" s="5"/>
      <c r="W610" s="5"/>
      <c r="X610" s="5"/>
      <c r="Y610" s="5"/>
    </row>
    <row r="611" spans="13:25" ht="22">
      <c r="M611" s="26" t="s">
        <v>79</v>
      </c>
      <c r="N611" s="25" t="s">
        <v>55</v>
      </c>
      <c r="O611" s="26"/>
      <c r="P611" s="26" t="s">
        <v>638</v>
      </c>
      <c r="Q611" s="26"/>
      <c r="R611" s="5"/>
      <c r="S611" s="5"/>
      <c r="T611" s="5"/>
      <c r="U611" s="5"/>
      <c r="V611" s="5"/>
      <c r="W611" s="5"/>
      <c r="X611" s="5"/>
      <c r="Y611" s="5"/>
    </row>
    <row r="612" spans="13:25" ht="44">
      <c r="M612" s="26" t="s">
        <v>79</v>
      </c>
      <c r="N612" s="25" t="s">
        <v>70</v>
      </c>
      <c r="O612" s="26"/>
      <c r="P612" s="26" t="s">
        <v>639</v>
      </c>
      <c r="Q612" s="26"/>
      <c r="R612" s="5"/>
      <c r="S612" s="5"/>
      <c r="T612" s="5"/>
      <c r="U612" s="5"/>
      <c r="V612" s="5"/>
      <c r="W612" s="5"/>
      <c r="X612" s="5"/>
      <c r="Y612" s="5"/>
    </row>
    <row r="613" spans="13:25" ht="22">
      <c r="M613" s="26" t="s">
        <v>79</v>
      </c>
      <c r="N613" s="25" t="s">
        <v>70</v>
      </c>
      <c r="O613" s="26"/>
      <c r="P613" s="26" t="s">
        <v>640</v>
      </c>
      <c r="Q613" s="26"/>
      <c r="R613" s="5"/>
      <c r="S613" s="5"/>
      <c r="T613" s="5"/>
      <c r="U613" s="5"/>
      <c r="V613" s="5"/>
      <c r="W613" s="5"/>
      <c r="X613" s="5"/>
      <c r="Y613" s="5"/>
    </row>
    <row r="614" spans="13:25" ht="33">
      <c r="M614" s="26" t="s">
        <v>79</v>
      </c>
      <c r="N614" s="25" t="s">
        <v>70</v>
      </c>
      <c r="O614" s="26"/>
      <c r="P614" s="26" t="s">
        <v>641</v>
      </c>
      <c r="Q614" s="26"/>
      <c r="R614" s="5"/>
      <c r="S614" s="5"/>
      <c r="T614" s="5"/>
      <c r="U614" s="5"/>
      <c r="V614" s="5"/>
      <c r="W614" s="5"/>
      <c r="X614" s="5"/>
      <c r="Y614" s="5"/>
    </row>
    <row r="615" spans="13:25" ht="33">
      <c r="M615" s="26" t="s">
        <v>79</v>
      </c>
      <c r="N615" s="25" t="s">
        <v>70</v>
      </c>
      <c r="O615" s="26"/>
      <c r="P615" s="26" t="s">
        <v>642</v>
      </c>
      <c r="Q615" s="26"/>
      <c r="R615" s="5"/>
      <c r="S615" s="5"/>
      <c r="T615" s="5"/>
      <c r="U615" s="5"/>
      <c r="V615" s="5"/>
      <c r="W615" s="5"/>
      <c r="X615" s="5"/>
      <c r="Y615" s="5"/>
    </row>
    <row r="616" spans="13:25" ht="44">
      <c r="M616" s="26" t="s">
        <v>79</v>
      </c>
      <c r="N616" s="25" t="s">
        <v>70</v>
      </c>
      <c r="O616" s="26"/>
      <c r="P616" s="26" t="s">
        <v>643</v>
      </c>
      <c r="Q616" s="26"/>
      <c r="R616" s="5"/>
      <c r="S616" s="5"/>
      <c r="T616" s="5"/>
      <c r="U616" s="5"/>
      <c r="V616" s="5"/>
      <c r="W616" s="5"/>
      <c r="X616" s="5"/>
      <c r="Y616" s="5"/>
    </row>
    <row r="617" spans="13:25" ht="22">
      <c r="M617" s="26" t="s">
        <v>79</v>
      </c>
      <c r="N617" s="25" t="s">
        <v>70</v>
      </c>
      <c r="O617" s="26"/>
      <c r="P617" s="26" t="s">
        <v>644</v>
      </c>
      <c r="Q617" s="26"/>
      <c r="R617" s="5"/>
      <c r="S617" s="5"/>
      <c r="T617" s="5"/>
      <c r="U617" s="5"/>
      <c r="V617" s="5"/>
      <c r="W617" s="5"/>
      <c r="X617" s="5"/>
      <c r="Y617" s="5"/>
    </row>
    <row r="618" spans="13:25" ht="44">
      <c r="M618" s="26" t="s">
        <v>79</v>
      </c>
      <c r="N618" s="25" t="s">
        <v>55</v>
      </c>
      <c r="O618" s="26"/>
      <c r="P618" s="26" t="s">
        <v>645</v>
      </c>
      <c r="Q618" s="26"/>
      <c r="R618" s="5"/>
      <c r="S618" s="5"/>
      <c r="T618" s="5"/>
      <c r="U618" s="5"/>
      <c r="V618" s="5"/>
      <c r="W618" s="5"/>
      <c r="X618" s="5"/>
      <c r="Y618" s="5"/>
    </row>
    <row r="619" spans="13:25" ht="33">
      <c r="M619" s="26" t="s">
        <v>79</v>
      </c>
      <c r="N619" s="25" t="s">
        <v>55</v>
      </c>
      <c r="O619" s="26"/>
      <c r="P619" s="26" t="s">
        <v>646</v>
      </c>
      <c r="Q619" s="26"/>
      <c r="R619" s="5"/>
      <c r="S619" s="5"/>
      <c r="T619" s="5"/>
      <c r="U619" s="5"/>
      <c r="V619" s="5"/>
      <c r="W619" s="5"/>
      <c r="X619" s="5"/>
      <c r="Y619" s="5"/>
    </row>
    <row r="620" spans="13:25" ht="66">
      <c r="M620" s="26" t="s">
        <v>79</v>
      </c>
      <c r="N620" s="25" t="s">
        <v>70</v>
      </c>
      <c r="O620" s="26"/>
      <c r="P620" s="26" t="s">
        <v>647</v>
      </c>
      <c r="Q620" s="26"/>
      <c r="R620" s="5"/>
      <c r="S620" s="5"/>
      <c r="T620" s="5"/>
      <c r="U620" s="5"/>
      <c r="V620" s="5"/>
      <c r="W620" s="5"/>
      <c r="X620" s="5"/>
      <c r="Y620" s="5"/>
    </row>
    <row r="621" spans="13:25" ht="33">
      <c r="M621" s="26" t="s">
        <v>79</v>
      </c>
      <c r="N621" s="25" t="s">
        <v>70</v>
      </c>
      <c r="O621" s="26"/>
      <c r="P621" s="26" t="s">
        <v>648</v>
      </c>
      <c r="Q621" s="26"/>
      <c r="R621" s="5"/>
      <c r="S621" s="5"/>
      <c r="T621" s="5"/>
      <c r="U621" s="5"/>
      <c r="V621" s="5"/>
      <c r="W621" s="5"/>
      <c r="X621" s="5"/>
      <c r="Y621" s="5"/>
    </row>
    <row r="622" spans="13:25" ht="44">
      <c r="M622" s="26" t="s">
        <v>79</v>
      </c>
      <c r="N622" s="25" t="s">
        <v>70</v>
      </c>
      <c r="O622" s="26"/>
      <c r="P622" s="26" t="s">
        <v>649</v>
      </c>
      <c r="Q622" s="26"/>
      <c r="R622" s="5"/>
      <c r="S622" s="5"/>
      <c r="T622" s="5"/>
      <c r="U622" s="5"/>
      <c r="V622" s="5"/>
      <c r="W622" s="5"/>
      <c r="X622" s="5"/>
      <c r="Y622" s="5"/>
    </row>
    <row r="623" spans="13:25" ht="22">
      <c r="M623" s="26" t="s">
        <v>79</v>
      </c>
      <c r="N623" s="25" t="s">
        <v>70</v>
      </c>
      <c r="O623" s="26"/>
      <c r="P623" s="26" t="s">
        <v>650</v>
      </c>
      <c r="Q623" s="26"/>
      <c r="R623" s="5"/>
      <c r="S623" s="5"/>
      <c r="T623" s="5"/>
      <c r="U623" s="5"/>
      <c r="V623" s="5"/>
      <c r="W623" s="5"/>
      <c r="X623" s="5"/>
      <c r="Y623" s="5"/>
    </row>
    <row r="624" spans="13:25" ht="44">
      <c r="M624" s="26" t="s">
        <v>79</v>
      </c>
      <c r="N624" s="25" t="s">
        <v>70</v>
      </c>
      <c r="O624" s="26"/>
      <c r="P624" s="26" t="s">
        <v>651</v>
      </c>
      <c r="Q624" s="26"/>
      <c r="R624" s="5"/>
      <c r="S624" s="5"/>
      <c r="T624" s="5"/>
      <c r="U624" s="5"/>
      <c r="V624" s="5"/>
      <c r="W624" s="5"/>
      <c r="X624" s="5"/>
      <c r="Y624" s="5"/>
    </row>
    <row r="625" spans="13:25" ht="22">
      <c r="M625" s="26" t="s">
        <v>79</v>
      </c>
      <c r="N625" s="25" t="s">
        <v>70</v>
      </c>
      <c r="O625" s="26"/>
      <c r="P625" s="26" t="s">
        <v>652</v>
      </c>
      <c r="Q625" s="26"/>
      <c r="R625" s="5"/>
      <c r="S625" s="5"/>
      <c r="T625" s="5"/>
      <c r="U625" s="5"/>
      <c r="V625" s="5"/>
      <c r="W625" s="5"/>
      <c r="X625" s="5"/>
      <c r="Y625" s="5"/>
    </row>
    <row r="626" spans="13:25" ht="44">
      <c r="M626" s="26" t="s">
        <v>79</v>
      </c>
      <c r="N626" s="25" t="s">
        <v>70</v>
      </c>
      <c r="O626" s="26"/>
      <c r="P626" s="26" t="s">
        <v>653</v>
      </c>
      <c r="Q626" s="26"/>
      <c r="R626" s="5"/>
      <c r="S626" s="5"/>
      <c r="T626" s="5"/>
      <c r="U626" s="5"/>
      <c r="V626" s="5"/>
      <c r="W626" s="5"/>
      <c r="X626" s="5"/>
      <c r="Y626" s="5"/>
    </row>
    <row r="627" spans="13:25" ht="22">
      <c r="M627" s="26" t="s">
        <v>79</v>
      </c>
      <c r="N627" s="25" t="s">
        <v>70</v>
      </c>
      <c r="O627" s="26"/>
      <c r="P627" s="26" t="s">
        <v>654</v>
      </c>
      <c r="Q627" s="26"/>
      <c r="R627" s="5"/>
      <c r="S627" s="5"/>
      <c r="T627" s="5"/>
      <c r="U627" s="5"/>
      <c r="V627" s="5"/>
      <c r="W627" s="5"/>
      <c r="X627" s="5"/>
      <c r="Y627" s="5"/>
    </row>
    <row r="628" spans="13:25" ht="66">
      <c r="M628" s="26" t="s">
        <v>79</v>
      </c>
      <c r="N628" s="25" t="s">
        <v>51</v>
      </c>
      <c r="O628" s="26"/>
      <c r="P628" s="26" t="s">
        <v>655</v>
      </c>
      <c r="Q628" s="26"/>
      <c r="R628" s="5"/>
      <c r="S628" s="5"/>
      <c r="T628" s="5"/>
      <c r="U628" s="5"/>
      <c r="V628" s="5"/>
      <c r="W628" s="5"/>
      <c r="X628" s="5"/>
      <c r="Y628" s="5"/>
    </row>
    <row r="629" spans="13:25" ht="66">
      <c r="M629" s="26" t="s">
        <v>79</v>
      </c>
      <c r="N629" s="25" t="s">
        <v>55</v>
      </c>
      <c r="O629" s="26"/>
      <c r="P629" s="26" t="s">
        <v>656</v>
      </c>
      <c r="Q629" s="26"/>
      <c r="R629" s="5"/>
      <c r="S629" s="5"/>
      <c r="T629" s="5"/>
      <c r="U629" s="5"/>
      <c r="V629" s="5"/>
      <c r="W629" s="5"/>
      <c r="X629" s="5"/>
      <c r="Y629" s="5"/>
    </row>
    <row r="630" spans="13:25" ht="66">
      <c r="M630" s="26" t="s">
        <v>79</v>
      </c>
      <c r="N630" s="25" t="s">
        <v>55</v>
      </c>
      <c r="O630" s="26"/>
      <c r="P630" s="26" t="s">
        <v>657</v>
      </c>
      <c r="Q630" s="26"/>
      <c r="R630" s="5"/>
      <c r="S630" s="5"/>
      <c r="T630" s="5"/>
      <c r="U630" s="5"/>
      <c r="V630" s="5"/>
      <c r="W630" s="5"/>
      <c r="X630" s="5"/>
      <c r="Y630" s="5"/>
    </row>
    <row r="631" spans="13:25" ht="22">
      <c r="M631" s="26" t="s">
        <v>79</v>
      </c>
      <c r="N631" s="25" t="s">
        <v>70</v>
      </c>
      <c r="O631" s="26"/>
      <c r="P631" s="26" t="s">
        <v>658</v>
      </c>
      <c r="Q631" s="26"/>
      <c r="R631" s="5"/>
      <c r="S631" s="5"/>
      <c r="T631" s="5"/>
      <c r="U631" s="5"/>
      <c r="V631" s="5"/>
      <c r="W631" s="5"/>
      <c r="X631" s="5"/>
      <c r="Y631" s="5"/>
    </row>
    <row r="632" spans="13:25" ht="66">
      <c r="M632" s="26" t="s">
        <v>79</v>
      </c>
      <c r="N632" s="25" t="s">
        <v>55</v>
      </c>
      <c r="O632" s="26"/>
      <c r="P632" s="26" t="s">
        <v>659</v>
      </c>
      <c r="Q632" s="26"/>
      <c r="R632" s="5"/>
      <c r="S632" s="5"/>
      <c r="T632" s="5"/>
      <c r="U632" s="5"/>
      <c r="V632" s="5"/>
      <c r="W632" s="5"/>
      <c r="X632" s="5"/>
      <c r="Y632" s="5"/>
    </row>
    <row r="633" spans="13:25" ht="22">
      <c r="M633" s="26" t="s">
        <v>79</v>
      </c>
      <c r="N633" s="25" t="s">
        <v>51</v>
      </c>
      <c r="O633" s="26" t="s">
        <v>660</v>
      </c>
      <c r="P633" s="26"/>
      <c r="Q633" s="26"/>
      <c r="R633" s="5"/>
      <c r="S633" s="5"/>
      <c r="T633" s="5"/>
      <c r="U633" s="5"/>
      <c r="V633" s="5"/>
      <c r="W633" s="5"/>
      <c r="X633" s="5"/>
      <c r="Y633" s="5"/>
    </row>
    <row r="634" spans="13:25" ht="33">
      <c r="M634" s="26" t="s">
        <v>79</v>
      </c>
      <c r="N634" s="25" t="s">
        <v>55</v>
      </c>
      <c r="O634" s="26"/>
      <c r="P634" s="26" t="s">
        <v>661</v>
      </c>
      <c r="Q634" s="26"/>
      <c r="R634" s="5"/>
      <c r="S634" s="5"/>
      <c r="T634" s="5"/>
      <c r="U634" s="5"/>
      <c r="V634" s="5"/>
      <c r="W634" s="5"/>
      <c r="X634" s="5"/>
      <c r="Y634" s="5"/>
    </row>
    <row r="635" spans="13:25" ht="33">
      <c r="M635" s="26" t="s">
        <v>79</v>
      </c>
      <c r="N635" s="25" t="s">
        <v>55</v>
      </c>
      <c r="O635" s="26"/>
      <c r="P635" s="26" t="s">
        <v>662</v>
      </c>
      <c r="Q635" s="26"/>
      <c r="R635" s="5"/>
      <c r="S635" s="5"/>
      <c r="T635" s="5"/>
      <c r="U635" s="5"/>
      <c r="V635" s="5"/>
      <c r="W635" s="5"/>
      <c r="X635" s="5"/>
      <c r="Y635" s="5"/>
    </row>
    <row r="636" spans="13:25" ht="55">
      <c r="M636" s="26" t="s">
        <v>79</v>
      </c>
      <c r="N636" s="25" t="s">
        <v>55</v>
      </c>
      <c r="O636" s="26"/>
      <c r="P636" s="26" t="s">
        <v>663</v>
      </c>
      <c r="Q636" s="26"/>
      <c r="R636" s="5"/>
      <c r="S636" s="5"/>
      <c r="T636" s="5"/>
      <c r="U636" s="5"/>
      <c r="V636" s="5"/>
      <c r="W636" s="5"/>
      <c r="X636" s="5"/>
      <c r="Y636" s="5"/>
    </row>
    <row r="637" spans="13:25" ht="55">
      <c r="M637" s="26" t="s">
        <v>79</v>
      </c>
      <c r="N637" s="25" t="s">
        <v>55</v>
      </c>
      <c r="O637" s="26"/>
      <c r="P637" s="26" t="s">
        <v>664</v>
      </c>
      <c r="Q637" s="26"/>
      <c r="R637" s="5"/>
      <c r="S637" s="5"/>
      <c r="T637" s="5"/>
      <c r="U637" s="5"/>
      <c r="V637" s="5"/>
      <c r="W637" s="5"/>
      <c r="X637" s="5"/>
      <c r="Y637" s="5"/>
    </row>
    <row r="638" spans="13:25" ht="22">
      <c r="M638" s="26" t="s">
        <v>79</v>
      </c>
      <c r="N638" s="25" t="s">
        <v>55</v>
      </c>
      <c r="O638" s="26" t="s">
        <v>665</v>
      </c>
      <c r="P638" s="26"/>
      <c r="Q638" s="26"/>
      <c r="R638" s="5"/>
      <c r="S638" s="5"/>
      <c r="T638" s="5"/>
      <c r="U638" s="5"/>
      <c r="V638" s="5"/>
      <c r="W638" s="5"/>
      <c r="X638" s="5"/>
      <c r="Y638" s="5"/>
    </row>
    <row r="639" spans="13:25" ht="22">
      <c r="M639" s="26" t="s">
        <v>79</v>
      </c>
      <c r="N639" s="25" t="s">
        <v>51</v>
      </c>
      <c r="O639" s="26" t="s">
        <v>666</v>
      </c>
      <c r="P639" s="26"/>
      <c r="Q639" s="26"/>
      <c r="R639" s="5"/>
      <c r="S639" s="5"/>
      <c r="T639" s="5"/>
      <c r="U639" s="5"/>
      <c r="V639" s="5"/>
      <c r="W639" s="5"/>
      <c r="X639" s="5"/>
      <c r="Y639" s="5"/>
    </row>
    <row r="640" spans="13:25" ht="44">
      <c r="M640" s="26" t="s">
        <v>79</v>
      </c>
      <c r="N640" s="25" t="s">
        <v>55</v>
      </c>
      <c r="O640" s="26"/>
      <c r="P640" s="26" t="s">
        <v>667</v>
      </c>
      <c r="Q640" s="26"/>
      <c r="R640" s="5"/>
      <c r="S640" s="5"/>
      <c r="T640" s="5"/>
      <c r="U640" s="5"/>
      <c r="V640" s="5"/>
      <c r="W640" s="5"/>
      <c r="X640" s="5"/>
      <c r="Y640" s="5"/>
    </row>
    <row r="641" spans="13:25" ht="22">
      <c r="M641" s="26" t="s">
        <v>79</v>
      </c>
      <c r="N641" s="25" t="s">
        <v>55</v>
      </c>
      <c r="O641" s="26"/>
      <c r="P641" s="26" t="s">
        <v>668</v>
      </c>
      <c r="Q641" s="26"/>
      <c r="R641" s="5"/>
      <c r="S641" s="5"/>
      <c r="T641" s="5"/>
      <c r="U641" s="5"/>
      <c r="V641" s="5"/>
      <c r="W641" s="5"/>
      <c r="X641" s="5"/>
      <c r="Y641" s="5"/>
    </row>
    <row r="642" spans="13:25" ht="22">
      <c r="M642" s="26" t="s">
        <v>79</v>
      </c>
      <c r="N642" s="25" t="s">
        <v>55</v>
      </c>
      <c r="O642" s="26"/>
      <c r="P642" s="26" t="s">
        <v>669</v>
      </c>
      <c r="Q642" s="26"/>
      <c r="R642" s="5"/>
      <c r="S642" s="5"/>
      <c r="T642" s="5"/>
      <c r="U642" s="5"/>
      <c r="V642" s="5"/>
      <c r="W642" s="5"/>
      <c r="X642" s="5"/>
      <c r="Y642" s="5"/>
    </row>
    <row r="643" spans="13:25" ht="22">
      <c r="M643" s="26" t="s">
        <v>79</v>
      </c>
      <c r="N643" s="25" t="s">
        <v>55</v>
      </c>
      <c r="O643" s="26"/>
      <c r="P643" s="26" t="s">
        <v>670</v>
      </c>
      <c r="Q643" s="26"/>
      <c r="R643" s="5"/>
      <c r="S643" s="5"/>
      <c r="T643" s="5"/>
      <c r="U643" s="5"/>
      <c r="V643" s="5"/>
      <c r="W643" s="5"/>
      <c r="X643" s="5"/>
      <c r="Y643" s="5"/>
    </row>
    <row r="644" spans="13:25" ht="33">
      <c r="M644" s="26" t="s">
        <v>79</v>
      </c>
      <c r="N644" s="25" t="s">
        <v>55</v>
      </c>
      <c r="O644" s="26"/>
      <c r="P644" s="26" t="s">
        <v>671</v>
      </c>
      <c r="Q644" s="26"/>
      <c r="R644" s="5"/>
      <c r="S644" s="5"/>
      <c r="T644" s="5"/>
      <c r="U644" s="5"/>
      <c r="V644" s="5"/>
      <c r="W644" s="5"/>
      <c r="X644" s="5"/>
      <c r="Y644" s="5"/>
    </row>
    <row r="645" spans="13:25" ht="33">
      <c r="M645" s="26" t="s">
        <v>79</v>
      </c>
      <c r="N645" s="25" t="s">
        <v>55</v>
      </c>
      <c r="O645" s="26"/>
      <c r="P645" s="26" t="s">
        <v>672</v>
      </c>
      <c r="Q645" s="26"/>
      <c r="R645" s="5"/>
      <c r="S645" s="5"/>
      <c r="T645" s="5"/>
      <c r="U645" s="5"/>
      <c r="V645" s="5"/>
      <c r="W645" s="5"/>
      <c r="X645" s="5"/>
      <c r="Y645" s="5"/>
    </row>
    <row r="646" spans="13:25" ht="22">
      <c r="M646" s="26" t="s">
        <v>79</v>
      </c>
      <c r="N646" s="25" t="s">
        <v>55</v>
      </c>
      <c r="O646" s="26"/>
      <c r="P646" s="26" t="s">
        <v>673</v>
      </c>
      <c r="Q646" s="26"/>
      <c r="R646" s="5"/>
      <c r="S646" s="5"/>
      <c r="T646" s="5"/>
      <c r="U646" s="5"/>
      <c r="V646" s="5"/>
      <c r="W646" s="5"/>
      <c r="X646" s="5"/>
      <c r="Y646" s="5"/>
    </row>
    <row r="647" spans="13:25" ht="33">
      <c r="M647" s="26" t="s">
        <v>79</v>
      </c>
      <c r="N647" s="25" t="s">
        <v>55</v>
      </c>
      <c r="O647" s="26"/>
      <c r="P647" s="26" t="s">
        <v>674</v>
      </c>
      <c r="Q647" s="26"/>
      <c r="R647" s="5"/>
      <c r="S647" s="5"/>
      <c r="T647" s="5"/>
      <c r="U647" s="5"/>
      <c r="V647" s="5"/>
      <c r="W647" s="5"/>
      <c r="X647" s="5"/>
      <c r="Y647" s="5"/>
    </row>
    <row r="648" spans="13:25" ht="33">
      <c r="M648" s="26" t="s">
        <v>79</v>
      </c>
      <c r="N648" s="25" t="s">
        <v>55</v>
      </c>
      <c r="O648" s="26"/>
      <c r="P648" s="26" t="s">
        <v>675</v>
      </c>
      <c r="Q648" s="26"/>
      <c r="R648" s="5"/>
      <c r="S648" s="5"/>
      <c r="T648" s="5"/>
      <c r="U648" s="5"/>
      <c r="V648" s="5"/>
      <c r="W648" s="5"/>
      <c r="X648" s="5"/>
      <c r="Y648" s="5"/>
    </row>
    <row r="649" spans="13:25" ht="22">
      <c r="M649" s="26" t="s">
        <v>79</v>
      </c>
      <c r="N649" s="25" t="s">
        <v>55</v>
      </c>
      <c r="O649" s="26"/>
      <c r="P649" s="26" t="s">
        <v>676</v>
      </c>
      <c r="Q649" s="26"/>
      <c r="R649" s="5"/>
      <c r="S649" s="5"/>
      <c r="T649" s="5"/>
      <c r="U649" s="5"/>
      <c r="V649" s="5"/>
      <c r="W649" s="5"/>
      <c r="X649" s="5"/>
      <c r="Y649" s="5"/>
    </row>
    <row r="650" spans="13:25" ht="22">
      <c r="M650" s="26" t="s">
        <v>79</v>
      </c>
      <c r="N650" s="25" t="s">
        <v>55</v>
      </c>
      <c r="O650" s="26"/>
      <c r="P650" s="26" t="s">
        <v>677</v>
      </c>
      <c r="Q650" s="26"/>
      <c r="R650" s="5"/>
      <c r="S650" s="5"/>
      <c r="T650" s="5"/>
      <c r="U650" s="5"/>
      <c r="V650" s="5"/>
      <c r="W650" s="5"/>
      <c r="X650" s="5"/>
      <c r="Y650" s="5"/>
    </row>
    <row r="651" spans="13:25" ht="33">
      <c r="M651" s="26" t="s">
        <v>79</v>
      </c>
      <c r="N651" s="25" t="s">
        <v>55</v>
      </c>
      <c r="O651" s="26"/>
      <c r="P651" s="26" t="s">
        <v>678</v>
      </c>
      <c r="Q651" s="26"/>
      <c r="R651" s="5"/>
      <c r="S651" s="5"/>
      <c r="T651" s="5"/>
      <c r="U651" s="5"/>
      <c r="V651" s="5"/>
      <c r="W651" s="5"/>
      <c r="X651" s="5"/>
      <c r="Y651" s="5"/>
    </row>
    <row r="652" spans="13:25" ht="33">
      <c r="M652" s="26" t="s">
        <v>79</v>
      </c>
      <c r="N652" s="25" t="s">
        <v>55</v>
      </c>
      <c r="O652" s="26"/>
      <c r="P652" s="26" t="s">
        <v>679</v>
      </c>
      <c r="Q652" s="26"/>
      <c r="R652" s="5"/>
      <c r="S652" s="5"/>
      <c r="T652" s="5"/>
      <c r="U652" s="5"/>
      <c r="V652" s="5"/>
      <c r="W652" s="5"/>
      <c r="X652" s="5"/>
      <c r="Y652" s="5"/>
    </row>
    <row r="653" spans="13:25" ht="44">
      <c r="M653" s="26" t="s">
        <v>79</v>
      </c>
      <c r="N653" s="25" t="s">
        <v>55</v>
      </c>
      <c r="O653" s="26"/>
      <c r="P653" s="26" t="s">
        <v>680</v>
      </c>
      <c r="Q653" s="26"/>
      <c r="R653" s="5"/>
      <c r="S653" s="5"/>
      <c r="T653" s="5"/>
      <c r="U653" s="5"/>
      <c r="V653" s="5"/>
      <c r="W653" s="5"/>
      <c r="X653" s="5"/>
      <c r="Y653" s="5"/>
    </row>
    <row r="654" spans="13:25" ht="44">
      <c r="M654" s="26" t="s">
        <v>79</v>
      </c>
      <c r="N654" s="25" t="s">
        <v>55</v>
      </c>
      <c r="O654" s="26"/>
      <c r="P654" s="26" t="s">
        <v>681</v>
      </c>
      <c r="Q654" s="26"/>
      <c r="R654" s="5"/>
      <c r="S654" s="5"/>
      <c r="T654" s="5"/>
      <c r="U654" s="5"/>
      <c r="V654" s="5"/>
      <c r="W654" s="5"/>
      <c r="X654" s="5"/>
      <c r="Y654" s="5"/>
    </row>
    <row r="655" spans="13:25" ht="44">
      <c r="M655" s="26" t="s">
        <v>79</v>
      </c>
      <c r="N655" s="25" t="s">
        <v>55</v>
      </c>
      <c r="O655" s="26"/>
      <c r="P655" s="26" t="s">
        <v>682</v>
      </c>
      <c r="Q655" s="26"/>
      <c r="R655" s="5"/>
      <c r="S655" s="5"/>
      <c r="T655" s="5"/>
      <c r="U655" s="5"/>
      <c r="V655" s="5"/>
      <c r="W655" s="5"/>
      <c r="X655" s="5"/>
      <c r="Y655" s="5"/>
    </row>
    <row r="656" spans="13:25" ht="44">
      <c r="M656" s="26" t="s">
        <v>79</v>
      </c>
      <c r="N656" s="25" t="s">
        <v>55</v>
      </c>
      <c r="O656" s="26"/>
      <c r="P656" s="26" t="s">
        <v>683</v>
      </c>
      <c r="Q656" s="26"/>
      <c r="R656" s="5"/>
      <c r="S656" s="5"/>
      <c r="T656" s="5"/>
      <c r="U656" s="5"/>
      <c r="V656" s="5"/>
      <c r="W656" s="5"/>
      <c r="X656" s="5"/>
      <c r="Y656" s="5"/>
    </row>
    <row r="657" spans="13:25" ht="44">
      <c r="M657" s="26" t="s">
        <v>79</v>
      </c>
      <c r="N657" s="25" t="s">
        <v>55</v>
      </c>
      <c r="O657" s="26"/>
      <c r="P657" s="26" t="s">
        <v>684</v>
      </c>
      <c r="Q657" s="26"/>
      <c r="R657" s="5"/>
      <c r="S657" s="5"/>
      <c r="T657" s="5"/>
      <c r="U657" s="5"/>
      <c r="V657" s="5"/>
      <c r="W657" s="5"/>
      <c r="X657" s="5"/>
      <c r="Y657" s="5"/>
    </row>
    <row r="658" spans="13:25" ht="44">
      <c r="M658" s="26" t="s">
        <v>79</v>
      </c>
      <c r="N658" s="25" t="s">
        <v>55</v>
      </c>
      <c r="O658" s="26"/>
      <c r="P658" s="26" t="s">
        <v>685</v>
      </c>
      <c r="Q658" s="26"/>
      <c r="R658" s="5"/>
      <c r="S658" s="5"/>
      <c r="T658" s="5"/>
      <c r="U658" s="5"/>
      <c r="V658" s="5"/>
      <c r="W658" s="5"/>
      <c r="X658" s="5"/>
      <c r="Y658" s="5"/>
    </row>
    <row r="659" spans="13:25" ht="22">
      <c r="M659" s="26" t="s">
        <v>79</v>
      </c>
      <c r="N659" s="25" t="s">
        <v>55</v>
      </c>
      <c r="O659" s="26"/>
      <c r="P659" s="26" t="s">
        <v>686</v>
      </c>
      <c r="Q659" s="26"/>
      <c r="R659" s="5"/>
      <c r="S659" s="5"/>
      <c r="T659" s="5"/>
      <c r="U659" s="5"/>
      <c r="V659" s="5"/>
      <c r="W659" s="5"/>
      <c r="X659" s="5"/>
      <c r="Y659" s="5"/>
    </row>
    <row r="660" spans="13:25" ht="22">
      <c r="M660" s="26" t="s">
        <v>79</v>
      </c>
      <c r="N660" s="25" t="s">
        <v>55</v>
      </c>
      <c r="O660" s="26"/>
      <c r="P660" s="26" t="s">
        <v>687</v>
      </c>
      <c r="Q660" s="26"/>
      <c r="R660" s="5"/>
      <c r="S660" s="5"/>
      <c r="T660" s="5"/>
      <c r="U660" s="5"/>
      <c r="V660" s="5"/>
      <c r="W660" s="5"/>
      <c r="X660" s="5"/>
      <c r="Y660" s="5"/>
    </row>
    <row r="661" spans="13:25" ht="77">
      <c r="M661" s="26" t="s">
        <v>79</v>
      </c>
      <c r="N661" s="25" t="s">
        <v>51</v>
      </c>
      <c r="O661" s="26"/>
      <c r="P661" s="26" t="s">
        <v>688</v>
      </c>
      <c r="Q661" s="26"/>
      <c r="R661" s="5"/>
      <c r="S661" s="5"/>
      <c r="T661" s="5"/>
      <c r="U661" s="5"/>
      <c r="V661" s="5"/>
      <c r="W661" s="5"/>
      <c r="X661" s="5"/>
      <c r="Y661" s="5"/>
    </row>
    <row r="662" spans="13:25" ht="66">
      <c r="M662" s="26" t="s">
        <v>79</v>
      </c>
      <c r="N662" s="25" t="s">
        <v>51</v>
      </c>
      <c r="O662" s="26"/>
      <c r="P662" s="26" t="s">
        <v>689</v>
      </c>
      <c r="Q662" s="26"/>
      <c r="R662" s="5"/>
      <c r="S662" s="5"/>
      <c r="T662" s="5"/>
      <c r="U662" s="5"/>
      <c r="V662" s="5"/>
      <c r="W662" s="5"/>
      <c r="X662" s="5"/>
      <c r="Y662" s="5"/>
    </row>
    <row r="663" spans="13:25" ht="22">
      <c r="M663" s="26" t="s">
        <v>79</v>
      </c>
      <c r="N663" s="25" t="s">
        <v>51</v>
      </c>
      <c r="O663" s="26"/>
      <c r="P663" s="26" t="s">
        <v>690</v>
      </c>
      <c r="Q663" s="26"/>
      <c r="R663" s="5"/>
      <c r="S663" s="5"/>
      <c r="T663" s="5"/>
      <c r="U663" s="5"/>
      <c r="V663" s="5"/>
      <c r="W663" s="5"/>
      <c r="X663" s="5"/>
      <c r="Y663" s="5"/>
    </row>
    <row r="664" spans="13:25" ht="77">
      <c r="M664" s="26" t="s">
        <v>79</v>
      </c>
      <c r="N664" s="25" t="s">
        <v>51</v>
      </c>
      <c r="O664" s="26"/>
      <c r="P664" s="26" t="s">
        <v>691</v>
      </c>
      <c r="Q664" s="26"/>
      <c r="R664" s="5"/>
      <c r="S664" s="5"/>
      <c r="T664" s="5"/>
      <c r="U664" s="5"/>
      <c r="V664" s="5"/>
      <c r="W664" s="5"/>
      <c r="X664" s="5"/>
      <c r="Y664" s="5"/>
    </row>
    <row r="665" spans="13:25" ht="44">
      <c r="M665" s="26" t="s">
        <v>79</v>
      </c>
      <c r="N665" s="25" t="s">
        <v>70</v>
      </c>
      <c r="O665" s="26"/>
      <c r="P665" s="26" t="s">
        <v>692</v>
      </c>
      <c r="Q665" s="26"/>
      <c r="R665" s="5"/>
      <c r="S665" s="5"/>
      <c r="T665" s="5"/>
      <c r="U665" s="5"/>
      <c r="V665" s="5"/>
      <c r="W665" s="5"/>
      <c r="X665" s="5"/>
      <c r="Y665" s="5"/>
    </row>
    <row r="666" spans="13:25" ht="66">
      <c r="M666" s="26" t="s">
        <v>79</v>
      </c>
      <c r="N666" s="25" t="s">
        <v>51</v>
      </c>
      <c r="O666" s="26"/>
      <c r="P666" s="26" t="s">
        <v>655</v>
      </c>
      <c r="Q666" s="26"/>
      <c r="R666" s="5"/>
      <c r="S666" s="5"/>
      <c r="T666" s="5"/>
      <c r="U666" s="5"/>
      <c r="V666" s="5"/>
      <c r="W666" s="5"/>
      <c r="X666" s="5"/>
      <c r="Y666" s="5"/>
    </row>
    <row r="667" spans="13:25" ht="66">
      <c r="M667" s="26" t="s">
        <v>79</v>
      </c>
      <c r="N667" s="25" t="s">
        <v>51</v>
      </c>
      <c r="O667" s="26"/>
      <c r="P667" s="26" t="s">
        <v>693</v>
      </c>
      <c r="Q667" s="26"/>
      <c r="R667" s="5"/>
      <c r="S667" s="5"/>
      <c r="T667" s="5"/>
      <c r="U667" s="5"/>
      <c r="V667" s="5"/>
      <c r="W667" s="5"/>
      <c r="X667" s="5"/>
      <c r="Y667" s="5"/>
    </row>
    <row r="668" spans="13:25" ht="66">
      <c r="M668" s="26" t="s">
        <v>79</v>
      </c>
      <c r="N668" s="25" t="s">
        <v>51</v>
      </c>
      <c r="O668" s="26"/>
      <c r="P668" s="26" t="s">
        <v>694</v>
      </c>
      <c r="Q668" s="26"/>
      <c r="R668" s="5"/>
      <c r="S668" s="5"/>
      <c r="T668" s="5"/>
      <c r="U668" s="5"/>
      <c r="V668" s="5"/>
      <c r="W668" s="5"/>
      <c r="X668" s="5"/>
      <c r="Y668" s="5"/>
    </row>
    <row r="669" spans="13:25" ht="77">
      <c r="M669" s="26" t="s">
        <v>79</v>
      </c>
      <c r="N669" s="25" t="s">
        <v>51</v>
      </c>
      <c r="O669" s="26"/>
      <c r="P669" s="26" t="s">
        <v>323</v>
      </c>
      <c r="Q669" s="26"/>
      <c r="R669" s="5"/>
      <c r="S669" s="5"/>
      <c r="T669" s="5"/>
      <c r="U669" s="5"/>
      <c r="V669" s="5"/>
      <c r="W669" s="5"/>
      <c r="X669" s="5"/>
      <c r="Y669" s="5"/>
    </row>
    <row r="670" spans="13:25" ht="22">
      <c r="M670" s="26" t="s">
        <v>79</v>
      </c>
      <c r="N670" s="25" t="s">
        <v>51</v>
      </c>
      <c r="O670" s="26"/>
      <c r="P670" s="26" t="s">
        <v>695</v>
      </c>
      <c r="Q670" s="26"/>
      <c r="R670" s="5"/>
      <c r="S670" s="5"/>
      <c r="T670" s="5"/>
      <c r="U670" s="5"/>
      <c r="V670" s="5"/>
      <c r="W670" s="5"/>
      <c r="X670" s="5"/>
      <c r="Y670" s="5"/>
    </row>
    <row r="671" spans="13:25" ht="44">
      <c r="M671" s="26" t="s">
        <v>79</v>
      </c>
      <c r="N671" s="25" t="s">
        <v>57</v>
      </c>
      <c r="O671" s="26"/>
      <c r="P671" s="26" t="s">
        <v>696</v>
      </c>
      <c r="Q671" s="26"/>
      <c r="R671" s="5"/>
      <c r="S671" s="5"/>
      <c r="T671" s="5"/>
      <c r="U671" s="5"/>
      <c r="V671" s="5"/>
      <c r="W671" s="5"/>
      <c r="X671" s="5"/>
      <c r="Y671" s="5"/>
    </row>
    <row r="672" spans="13:25" ht="55">
      <c r="M672" s="26" t="s">
        <v>79</v>
      </c>
      <c r="N672" s="25" t="s">
        <v>55</v>
      </c>
      <c r="O672" s="26"/>
      <c r="P672" s="26" t="s">
        <v>697</v>
      </c>
      <c r="Q672" s="26"/>
      <c r="R672" s="5"/>
      <c r="S672" s="5"/>
      <c r="T672" s="5"/>
      <c r="U672" s="5"/>
      <c r="V672" s="5"/>
      <c r="W672" s="5"/>
      <c r="X672" s="5"/>
      <c r="Y672" s="5"/>
    </row>
    <row r="673" spans="13:25" ht="55">
      <c r="M673" s="26" t="s">
        <v>79</v>
      </c>
      <c r="N673" s="25" t="s">
        <v>51</v>
      </c>
      <c r="O673" s="26"/>
      <c r="P673" s="26" t="s">
        <v>698</v>
      </c>
      <c r="Q673" s="26"/>
      <c r="R673" s="5"/>
      <c r="S673" s="5"/>
      <c r="T673" s="5"/>
      <c r="U673" s="5"/>
      <c r="V673" s="5"/>
      <c r="W673" s="5"/>
      <c r="X673" s="5"/>
      <c r="Y673" s="5"/>
    </row>
    <row r="674" spans="13:25" ht="33">
      <c r="M674" s="26" t="s">
        <v>79</v>
      </c>
      <c r="N674" s="25" t="s">
        <v>51</v>
      </c>
      <c r="O674" s="26"/>
      <c r="P674" s="26" t="s">
        <v>699</v>
      </c>
      <c r="Q674" s="26"/>
      <c r="R674" s="5"/>
      <c r="S674" s="5"/>
      <c r="T674" s="5"/>
      <c r="U674" s="5"/>
      <c r="V674" s="5"/>
      <c r="W674" s="5"/>
      <c r="X674" s="5"/>
      <c r="Y674" s="5"/>
    </row>
    <row r="675" spans="13:25" ht="22">
      <c r="M675" s="26" t="s">
        <v>79</v>
      </c>
      <c r="N675" s="25" t="s">
        <v>55</v>
      </c>
      <c r="O675" s="26" t="s">
        <v>700</v>
      </c>
      <c r="P675" s="26"/>
      <c r="Q675" s="26"/>
      <c r="R675" s="5"/>
      <c r="S675" s="5"/>
      <c r="T675" s="5"/>
      <c r="U675" s="5"/>
      <c r="V675" s="5"/>
      <c r="W675" s="5"/>
      <c r="X675" s="5"/>
      <c r="Y675" s="5"/>
    </row>
    <row r="676" spans="13:25" ht="22">
      <c r="M676" s="26" t="s">
        <v>79</v>
      </c>
      <c r="N676" s="25" t="s">
        <v>51</v>
      </c>
      <c r="O676" s="26" t="s">
        <v>701</v>
      </c>
      <c r="P676" s="26"/>
      <c r="Q676" s="26"/>
      <c r="R676" s="5"/>
      <c r="S676" s="5"/>
      <c r="T676" s="5"/>
      <c r="U676" s="5"/>
      <c r="V676" s="5"/>
      <c r="W676" s="5"/>
      <c r="X676" s="5"/>
      <c r="Y676" s="5"/>
    </row>
    <row r="677" spans="13:25" ht="22">
      <c r="M677" s="26" t="s">
        <v>79</v>
      </c>
      <c r="N677" s="25" t="s">
        <v>70</v>
      </c>
      <c r="O677" s="26"/>
      <c r="P677" s="26" t="s">
        <v>702</v>
      </c>
      <c r="Q677" s="26"/>
      <c r="R677" s="5"/>
      <c r="S677" s="5"/>
      <c r="T677" s="5"/>
      <c r="U677" s="5"/>
      <c r="V677" s="5"/>
      <c r="W677" s="5"/>
      <c r="X677" s="5"/>
      <c r="Y677" s="5"/>
    </row>
    <row r="678" spans="13:25" ht="22">
      <c r="M678" s="26" t="s">
        <v>79</v>
      </c>
      <c r="N678" s="25" t="s">
        <v>51</v>
      </c>
      <c r="O678" s="26" t="s">
        <v>703</v>
      </c>
      <c r="P678" s="26"/>
      <c r="Q678" s="26"/>
      <c r="R678" s="5"/>
      <c r="S678" s="5"/>
      <c r="T678" s="5"/>
      <c r="U678" s="5"/>
      <c r="V678" s="5"/>
      <c r="W678" s="5"/>
      <c r="X678" s="5"/>
      <c r="Y678" s="5"/>
    </row>
    <row r="679" spans="13:25" ht="44">
      <c r="M679" s="26" t="s">
        <v>79</v>
      </c>
      <c r="N679" s="25" t="s">
        <v>70</v>
      </c>
      <c r="O679" s="26"/>
      <c r="P679" s="26" t="s">
        <v>704</v>
      </c>
      <c r="Q679" s="26"/>
      <c r="R679" s="5"/>
      <c r="S679" s="5"/>
      <c r="T679" s="5"/>
      <c r="U679" s="5"/>
      <c r="V679" s="5"/>
      <c r="W679" s="5"/>
      <c r="X679" s="5"/>
      <c r="Y679" s="5"/>
    </row>
    <row r="680" spans="13:25" ht="22">
      <c r="M680" s="26" t="s">
        <v>79</v>
      </c>
      <c r="N680" s="25" t="s">
        <v>70</v>
      </c>
      <c r="O680" s="26"/>
      <c r="P680" s="26" t="s">
        <v>705</v>
      </c>
      <c r="Q680" s="26"/>
      <c r="R680" s="5"/>
      <c r="S680" s="5"/>
      <c r="T680" s="5"/>
      <c r="U680" s="5"/>
      <c r="V680" s="5"/>
      <c r="W680" s="5"/>
      <c r="X680" s="5"/>
      <c r="Y680" s="5"/>
    </row>
    <row r="681" spans="13:25" ht="44">
      <c r="M681" s="26" t="s">
        <v>79</v>
      </c>
      <c r="N681" s="25" t="s">
        <v>70</v>
      </c>
      <c r="O681" s="26"/>
      <c r="P681" s="26" t="s">
        <v>706</v>
      </c>
      <c r="Q681" s="26"/>
      <c r="R681" s="5"/>
      <c r="S681" s="5"/>
      <c r="T681" s="5"/>
      <c r="U681" s="5"/>
      <c r="V681" s="5"/>
      <c r="W681" s="5"/>
      <c r="X681" s="5"/>
      <c r="Y681" s="5"/>
    </row>
    <row r="682" spans="13:25" ht="33">
      <c r="M682" s="26" t="s">
        <v>79</v>
      </c>
      <c r="N682" s="25" t="s">
        <v>70</v>
      </c>
      <c r="O682" s="26"/>
      <c r="P682" s="26" t="s">
        <v>707</v>
      </c>
      <c r="Q682" s="26"/>
      <c r="R682" s="5"/>
      <c r="S682" s="5"/>
      <c r="T682" s="5"/>
      <c r="U682" s="5"/>
      <c r="V682" s="5"/>
      <c r="W682" s="5"/>
      <c r="X682" s="5"/>
      <c r="Y682" s="5"/>
    </row>
    <row r="683" spans="13:25" ht="33">
      <c r="M683" s="26" t="s">
        <v>79</v>
      </c>
      <c r="N683" s="25" t="s">
        <v>70</v>
      </c>
      <c r="O683" s="26"/>
      <c r="P683" s="26" t="s">
        <v>612</v>
      </c>
      <c r="Q683" s="26"/>
      <c r="R683" s="5"/>
      <c r="S683" s="5"/>
      <c r="T683" s="5"/>
      <c r="U683" s="5"/>
      <c r="V683" s="5"/>
      <c r="W683" s="5"/>
      <c r="X683" s="5"/>
      <c r="Y683" s="5"/>
    </row>
    <row r="684" spans="13:25" ht="33">
      <c r="M684" s="26" t="s">
        <v>79</v>
      </c>
      <c r="N684" s="25" t="s">
        <v>70</v>
      </c>
      <c r="O684" s="26"/>
      <c r="P684" s="26" t="s">
        <v>708</v>
      </c>
      <c r="Q684" s="26"/>
      <c r="R684" s="5"/>
      <c r="S684" s="5"/>
      <c r="T684" s="5"/>
      <c r="U684" s="5"/>
      <c r="V684" s="5"/>
      <c r="W684" s="5"/>
      <c r="X684" s="5"/>
      <c r="Y684" s="5"/>
    </row>
    <row r="685" spans="13:25" ht="55">
      <c r="M685" s="26" t="s">
        <v>79</v>
      </c>
      <c r="N685" s="25" t="s">
        <v>70</v>
      </c>
      <c r="O685" s="26"/>
      <c r="P685" s="26" t="s">
        <v>615</v>
      </c>
      <c r="Q685" s="26"/>
      <c r="R685" s="5"/>
      <c r="S685" s="5"/>
      <c r="T685" s="5"/>
      <c r="U685" s="5"/>
      <c r="V685" s="5"/>
      <c r="W685" s="5"/>
      <c r="X685" s="5"/>
      <c r="Y685" s="5"/>
    </row>
    <row r="686" spans="13:25" ht="55">
      <c r="M686" s="26" t="s">
        <v>79</v>
      </c>
      <c r="N686" s="25" t="s">
        <v>70</v>
      </c>
      <c r="O686" s="26"/>
      <c r="P686" s="26" t="s">
        <v>709</v>
      </c>
      <c r="Q686" s="26"/>
      <c r="R686" s="5"/>
      <c r="S686" s="5"/>
      <c r="T686" s="5"/>
      <c r="U686" s="5"/>
      <c r="V686" s="5"/>
      <c r="W686" s="5"/>
      <c r="X686" s="5"/>
      <c r="Y686" s="5"/>
    </row>
    <row r="687" spans="13:25" ht="33">
      <c r="M687" s="26" t="s">
        <v>79</v>
      </c>
      <c r="N687" s="25" t="s">
        <v>70</v>
      </c>
      <c r="O687" s="26"/>
      <c r="P687" s="26" t="s">
        <v>710</v>
      </c>
      <c r="Q687" s="26"/>
      <c r="R687" s="5"/>
      <c r="S687" s="5"/>
      <c r="T687" s="5"/>
      <c r="U687" s="5"/>
      <c r="V687" s="5"/>
      <c r="W687" s="5"/>
      <c r="X687" s="5"/>
      <c r="Y687" s="5"/>
    </row>
    <row r="688" spans="13:25" ht="33">
      <c r="M688" s="26" t="s">
        <v>79</v>
      </c>
      <c r="N688" s="25" t="s">
        <v>70</v>
      </c>
      <c r="O688" s="26"/>
      <c r="P688" s="26" t="s">
        <v>711</v>
      </c>
      <c r="Q688" s="26"/>
      <c r="R688" s="5"/>
      <c r="S688" s="5"/>
      <c r="T688" s="5"/>
      <c r="U688" s="5"/>
      <c r="V688" s="5"/>
      <c r="W688" s="5"/>
      <c r="X688" s="5"/>
      <c r="Y688" s="5"/>
    </row>
    <row r="689" spans="13:25" ht="33">
      <c r="M689" s="26" t="s">
        <v>79</v>
      </c>
      <c r="N689" s="25" t="s">
        <v>70</v>
      </c>
      <c r="O689" s="26"/>
      <c r="P689" s="26" t="s">
        <v>712</v>
      </c>
      <c r="Q689" s="26"/>
      <c r="R689" s="5"/>
      <c r="S689" s="5"/>
      <c r="T689" s="5"/>
      <c r="U689" s="5"/>
      <c r="V689" s="5"/>
      <c r="W689" s="5"/>
      <c r="X689" s="5"/>
      <c r="Y689" s="5"/>
    </row>
    <row r="690" spans="13:25" ht="33">
      <c r="M690" s="26" t="s">
        <v>79</v>
      </c>
      <c r="N690" s="25" t="s">
        <v>70</v>
      </c>
      <c r="O690" s="26"/>
      <c r="P690" s="26" t="s">
        <v>713</v>
      </c>
      <c r="Q690" s="26"/>
      <c r="R690" s="5"/>
      <c r="S690" s="5"/>
      <c r="T690" s="5"/>
      <c r="U690" s="5"/>
      <c r="V690" s="5"/>
      <c r="W690" s="5"/>
      <c r="X690" s="5"/>
      <c r="Y690" s="5"/>
    </row>
    <row r="691" spans="13:25" ht="33">
      <c r="M691" s="26" t="s">
        <v>79</v>
      </c>
      <c r="N691" s="25" t="s">
        <v>70</v>
      </c>
      <c r="O691" s="26"/>
      <c r="P691" s="26" t="s">
        <v>714</v>
      </c>
      <c r="Q691" s="26"/>
      <c r="R691" s="5"/>
      <c r="S691" s="5"/>
      <c r="T691" s="5"/>
      <c r="U691" s="5"/>
      <c r="V691" s="5"/>
      <c r="W691" s="5"/>
      <c r="X691" s="5"/>
      <c r="Y691" s="5"/>
    </row>
    <row r="692" spans="13:25" ht="33">
      <c r="M692" s="26" t="s">
        <v>79</v>
      </c>
      <c r="N692" s="25" t="s">
        <v>70</v>
      </c>
      <c r="O692" s="26"/>
      <c r="P692" s="26" t="s">
        <v>715</v>
      </c>
      <c r="Q692" s="26"/>
      <c r="R692" s="5"/>
      <c r="S692" s="5"/>
      <c r="T692" s="5"/>
      <c r="U692" s="5"/>
      <c r="V692" s="5"/>
      <c r="W692" s="5"/>
      <c r="X692" s="5"/>
      <c r="Y692" s="5"/>
    </row>
    <row r="693" spans="13:25" ht="33">
      <c r="M693" s="26" t="s">
        <v>79</v>
      </c>
      <c r="N693" s="25" t="s">
        <v>70</v>
      </c>
      <c r="O693" s="26"/>
      <c r="P693" s="26" t="s">
        <v>716</v>
      </c>
      <c r="Q693" s="26"/>
      <c r="R693" s="5"/>
      <c r="S693" s="5"/>
      <c r="T693" s="5"/>
      <c r="U693" s="5"/>
      <c r="V693" s="5"/>
      <c r="W693" s="5"/>
      <c r="X693" s="5"/>
      <c r="Y693" s="5"/>
    </row>
    <row r="694" spans="13:25" ht="22">
      <c r="M694" s="26" t="s">
        <v>79</v>
      </c>
      <c r="N694" s="25" t="s">
        <v>55</v>
      </c>
      <c r="O694" s="26"/>
      <c r="P694" s="26" t="s">
        <v>717</v>
      </c>
      <c r="Q694" s="26"/>
      <c r="R694" s="5"/>
      <c r="S694" s="5"/>
      <c r="T694" s="5"/>
      <c r="U694" s="5"/>
      <c r="V694" s="5"/>
      <c r="W694" s="5"/>
      <c r="X694" s="5"/>
      <c r="Y694" s="5"/>
    </row>
    <row r="695" spans="13:25" ht="55">
      <c r="M695" s="26" t="s">
        <v>79</v>
      </c>
      <c r="N695" s="25" t="s">
        <v>55</v>
      </c>
      <c r="O695" s="26"/>
      <c r="P695" s="26" t="s">
        <v>718</v>
      </c>
      <c r="Q695" s="26"/>
      <c r="R695" s="5"/>
      <c r="S695" s="5"/>
      <c r="T695" s="5"/>
      <c r="U695" s="5"/>
      <c r="V695" s="5"/>
      <c r="W695" s="5"/>
      <c r="X695" s="5"/>
      <c r="Y695" s="5"/>
    </row>
    <row r="696" spans="13:25" ht="33">
      <c r="M696" s="26" t="s">
        <v>79</v>
      </c>
      <c r="N696" s="25" t="s">
        <v>70</v>
      </c>
      <c r="O696" s="26"/>
      <c r="P696" s="26" t="s">
        <v>719</v>
      </c>
      <c r="Q696" s="26"/>
      <c r="R696" s="5"/>
      <c r="S696" s="5"/>
      <c r="T696" s="5"/>
      <c r="U696" s="5"/>
      <c r="V696" s="5"/>
      <c r="W696" s="5"/>
      <c r="X696" s="5"/>
      <c r="Y696" s="5"/>
    </row>
    <row r="697" spans="13:25" ht="22">
      <c r="M697" s="26" t="s">
        <v>79</v>
      </c>
      <c r="N697" s="25" t="s">
        <v>70</v>
      </c>
      <c r="O697" s="26"/>
      <c r="P697" s="26" t="s">
        <v>720</v>
      </c>
      <c r="Q697" s="26"/>
      <c r="R697" s="5"/>
      <c r="S697" s="5"/>
      <c r="T697" s="5"/>
      <c r="U697" s="5"/>
      <c r="V697" s="5"/>
      <c r="W697" s="5"/>
      <c r="X697" s="5"/>
      <c r="Y697" s="5"/>
    </row>
    <row r="698" spans="13:25" ht="22">
      <c r="M698" s="26" t="s">
        <v>79</v>
      </c>
      <c r="N698" s="25" t="s">
        <v>70</v>
      </c>
      <c r="O698" s="26"/>
      <c r="P698" s="26" t="s">
        <v>721</v>
      </c>
      <c r="Q698" s="26"/>
      <c r="R698" s="5"/>
      <c r="S698" s="5"/>
      <c r="T698" s="5"/>
      <c r="U698" s="5"/>
      <c r="V698" s="5"/>
      <c r="W698" s="5"/>
      <c r="X698" s="5"/>
      <c r="Y698" s="5"/>
    </row>
    <row r="699" spans="13:25" ht="22">
      <c r="M699" s="26" t="s">
        <v>79</v>
      </c>
      <c r="N699" s="25" t="s">
        <v>70</v>
      </c>
      <c r="O699" s="26"/>
      <c r="P699" s="26" t="s">
        <v>722</v>
      </c>
      <c r="Q699" s="26"/>
      <c r="R699" s="5"/>
      <c r="S699" s="5"/>
      <c r="T699" s="5"/>
      <c r="U699" s="5"/>
      <c r="V699" s="5"/>
      <c r="W699" s="5"/>
      <c r="X699" s="5"/>
      <c r="Y699" s="5"/>
    </row>
    <row r="700" spans="13:25" ht="44">
      <c r="M700" s="26" t="s">
        <v>79</v>
      </c>
      <c r="N700" s="25" t="s">
        <v>70</v>
      </c>
      <c r="O700" s="26"/>
      <c r="P700" s="26" t="s">
        <v>723</v>
      </c>
      <c r="Q700" s="26"/>
      <c r="R700" s="5"/>
      <c r="S700" s="5"/>
      <c r="T700" s="5"/>
      <c r="U700" s="5"/>
      <c r="V700" s="5"/>
      <c r="W700" s="5"/>
      <c r="X700" s="5"/>
      <c r="Y700" s="5"/>
    </row>
    <row r="701" spans="13:25" ht="22">
      <c r="M701" s="26" t="s">
        <v>79</v>
      </c>
      <c r="N701" s="25" t="s">
        <v>70</v>
      </c>
      <c r="O701" s="26"/>
      <c r="P701" s="26" t="s">
        <v>724</v>
      </c>
      <c r="Q701" s="26"/>
      <c r="R701" s="5"/>
      <c r="S701" s="5"/>
      <c r="T701" s="5"/>
      <c r="U701" s="5"/>
      <c r="V701" s="5"/>
      <c r="W701" s="5"/>
      <c r="X701" s="5"/>
      <c r="Y701" s="5"/>
    </row>
    <row r="702" spans="13:25" ht="22">
      <c r="M702" s="26" t="s">
        <v>79</v>
      </c>
      <c r="N702" s="25" t="s">
        <v>70</v>
      </c>
      <c r="O702" s="26"/>
      <c r="P702" s="26" t="s">
        <v>725</v>
      </c>
      <c r="Q702" s="26"/>
      <c r="R702" s="5"/>
      <c r="S702" s="5"/>
      <c r="T702" s="5"/>
      <c r="U702" s="5"/>
      <c r="V702" s="5"/>
      <c r="W702" s="5"/>
      <c r="X702" s="5"/>
      <c r="Y702" s="5"/>
    </row>
    <row r="703" spans="13:25" ht="22">
      <c r="M703" s="26" t="s">
        <v>79</v>
      </c>
      <c r="N703" s="25" t="s">
        <v>70</v>
      </c>
      <c r="O703" s="26"/>
      <c r="P703" s="26" t="s">
        <v>726</v>
      </c>
      <c r="Q703" s="26"/>
      <c r="R703" s="5"/>
      <c r="S703" s="5"/>
      <c r="T703" s="5"/>
      <c r="U703" s="5"/>
      <c r="V703" s="5"/>
      <c r="W703" s="5"/>
      <c r="X703" s="5"/>
      <c r="Y703" s="5"/>
    </row>
    <row r="704" spans="13:25" ht="22">
      <c r="M704" s="26" t="s">
        <v>79</v>
      </c>
      <c r="N704" s="25" t="s">
        <v>70</v>
      </c>
      <c r="O704" s="26"/>
      <c r="P704" s="26" t="s">
        <v>727</v>
      </c>
      <c r="Q704" s="26"/>
      <c r="R704" s="5"/>
      <c r="S704" s="5"/>
      <c r="T704" s="5"/>
      <c r="U704" s="5"/>
      <c r="V704" s="5"/>
      <c r="W704" s="5"/>
      <c r="X704" s="5"/>
      <c r="Y704" s="5"/>
    </row>
    <row r="705" spans="13:25" ht="22">
      <c r="M705" s="26" t="s">
        <v>79</v>
      </c>
      <c r="N705" s="25" t="s">
        <v>70</v>
      </c>
      <c r="O705" s="26"/>
      <c r="P705" s="26" t="s">
        <v>728</v>
      </c>
      <c r="Q705" s="26"/>
      <c r="R705" s="5"/>
      <c r="S705" s="5"/>
      <c r="T705" s="5"/>
      <c r="U705" s="5"/>
      <c r="V705" s="5"/>
      <c r="W705" s="5"/>
      <c r="X705" s="5"/>
      <c r="Y705" s="5"/>
    </row>
    <row r="706" spans="13:25" ht="22">
      <c r="M706" s="26" t="s">
        <v>79</v>
      </c>
      <c r="N706" s="25" t="s">
        <v>70</v>
      </c>
      <c r="O706" s="26"/>
      <c r="P706" s="26" t="s">
        <v>729</v>
      </c>
      <c r="Q706" s="26"/>
      <c r="R706" s="5"/>
      <c r="S706" s="5"/>
      <c r="T706" s="5"/>
      <c r="U706" s="5"/>
      <c r="V706" s="5"/>
      <c r="W706" s="5"/>
      <c r="X706" s="5"/>
      <c r="Y706" s="5"/>
    </row>
    <row r="707" spans="13:25" ht="22">
      <c r="M707" s="26" t="s">
        <v>79</v>
      </c>
      <c r="N707" s="25" t="s">
        <v>70</v>
      </c>
      <c r="O707" s="26"/>
      <c r="P707" s="26" t="s">
        <v>730</v>
      </c>
      <c r="Q707" s="26"/>
      <c r="R707" s="5"/>
      <c r="S707" s="5"/>
      <c r="T707" s="5"/>
      <c r="U707" s="5"/>
      <c r="V707" s="5"/>
      <c r="W707" s="5"/>
      <c r="X707" s="5"/>
      <c r="Y707" s="5"/>
    </row>
    <row r="708" spans="13:25" ht="22">
      <c r="M708" s="26" t="s">
        <v>79</v>
      </c>
      <c r="N708" s="25" t="s">
        <v>70</v>
      </c>
      <c r="O708" s="26"/>
      <c r="P708" s="26" t="s">
        <v>731</v>
      </c>
      <c r="Q708" s="26"/>
      <c r="R708" s="5"/>
      <c r="S708" s="5"/>
      <c r="T708" s="5"/>
      <c r="U708" s="5"/>
      <c r="V708" s="5"/>
      <c r="W708" s="5"/>
      <c r="X708" s="5"/>
      <c r="Y708" s="5"/>
    </row>
    <row r="709" spans="13:25" ht="22">
      <c r="M709" s="26" t="s">
        <v>79</v>
      </c>
      <c r="N709" s="25" t="s">
        <v>70</v>
      </c>
      <c r="O709" s="26"/>
      <c r="P709" s="26" t="s">
        <v>732</v>
      </c>
      <c r="Q709" s="26"/>
      <c r="R709" s="5"/>
      <c r="S709" s="5"/>
      <c r="T709" s="5"/>
      <c r="U709" s="5"/>
      <c r="V709" s="5"/>
      <c r="W709" s="5"/>
      <c r="X709" s="5"/>
      <c r="Y709" s="5"/>
    </row>
    <row r="710" spans="13:25" ht="22">
      <c r="M710" s="26" t="s">
        <v>79</v>
      </c>
      <c r="N710" s="25" t="s">
        <v>70</v>
      </c>
      <c r="O710" s="26"/>
      <c r="P710" s="26" t="s">
        <v>733</v>
      </c>
      <c r="Q710" s="26"/>
      <c r="R710" s="5"/>
      <c r="S710" s="5"/>
      <c r="T710" s="5"/>
      <c r="U710" s="5"/>
      <c r="V710" s="5"/>
      <c r="W710" s="5"/>
      <c r="X710" s="5"/>
      <c r="Y710" s="5"/>
    </row>
    <row r="711" spans="13:25" ht="33">
      <c r="M711" s="26" t="s">
        <v>79</v>
      </c>
      <c r="N711" s="25" t="s">
        <v>70</v>
      </c>
      <c r="O711" s="26"/>
      <c r="P711" s="26" t="s">
        <v>734</v>
      </c>
      <c r="Q711" s="26"/>
      <c r="R711" s="5"/>
      <c r="S711" s="5"/>
      <c r="T711" s="5"/>
      <c r="U711" s="5"/>
      <c r="V711" s="5"/>
      <c r="W711" s="5"/>
      <c r="X711" s="5"/>
      <c r="Y711" s="5"/>
    </row>
    <row r="712" spans="13:25" ht="22">
      <c r="M712" s="26" t="s">
        <v>79</v>
      </c>
      <c r="N712" s="25" t="s">
        <v>51</v>
      </c>
      <c r="O712" s="26" t="s">
        <v>735</v>
      </c>
      <c r="P712" s="26"/>
      <c r="Q712" s="26"/>
      <c r="R712" s="5"/>
      <c r="S712" s="5"/>
      <c r="T712" s="5"/>
      <c r="U712" s="5"/>
      <c r="V712" s="5"/>
      <c r="W712" s="5"/>
      <c r="X712" s="5"/>
      <c r="Y712" s="5"/>
    </row>
    <row r="713" spans="13:25" ht="22">
      <c r="M713" s="26" t="s">
        <v>79</v>
      </c>
      <c r="N713" s="25" t="s">
        <v>55</v>
      </c>
      <c r="O713" s="26"/>
      <c r="P713" s="26" t="s">
        <v>736</v>
      </c>
      <c r="Q713" s="26"/>
      <c r="R713" s="5"/>
      <c r="S713" s="5"/>
      <c r="T713" s="5"/>
      <c r="U713" s="5"/>
      <c r="V713" s="5"/>
      <c r="W713" s="5"/>
      <c r="X713" s="5"/>
      <c r="Y713" s="5"/>
    </row>
    <row r="714" spans="13:25" ht="22">
      <c r="M714" s="26" t="s">
        <v>79</v>
      </c>
      <c r="N714" s="25" t="s">
        <v>55</v>
      </c>
      <c r="O714" s="26"/>
      <c r="P714" s="26" t="s">
        <v>737</v>
      </c>
      <c r="Q714" s="26"/>
      <c r="R714" s="5"/>
      <c r="S714" s="5"/>
      <c r="T714" s="5"/>
      <c r="U714" s="5"/>
      <c r="V714" s="5"/>
      <c r="W714" s="5"/>
      <c r="X714" s="5"/>
      <c r="Y714" s="5"/>
    </row>
    <row r="715" spans="13:25" ht="44">
      <c r="M715" s="26" t="s">
        <v>79</v>
      </c>
      <c r="N715" s="25" t="s">
        <v>55</v>
      </c>
      <c r="O715" s="26"/>
      <c r="P715" s="26" t="s">
        <v>738</v>
      </c>
      <c r="Q715" s="26"/>
      <c r="R715" s="5"/>
      <c r="S715" s="5"/>
      <c r="T715" s="5"/>
      <c r="U715" s="5"/>
      <c r="V715" s="5"/>
      <c r="W715" s="5"/>
      <c r="X715" s="5"/>
      <c r="Y715" s="5"/>
    </row>
    <row r="716" spans="13:25" ht="44">
      <c r="M716" s="26" t="s">
        <v>79</v>
      </c>
      <c r="N716" s="25" t="s">
        <v>55</v>
      </c>
      <c r="O716" s="26"/>
      <c r="P716" s="26" t="s">
        <v>739</v>
      </c>
      <c r="Q716" s="26"/>
      <c r="R716" s="5"/>
      <c r="S716" s="5"/>
      <c r="T716" s="5"/>
      <c r="U716" s="5"/>
      <c r="V716" s="5"/>
      <c r="W716" s="5"/>
      <c r="X716" s="5"/>
      <c r="Y716" s="5"/>
    </row>
    <row r="717" spans="13:25" ht="22">
      <c r="M717" s="26" t="s">
        <v>79</v>
      </c>
      <c r="N717" s="25" t="s">
        <v>55</v>
      </c>
      <c r="O717" s="26"/>
      <c r="P717" s="26" t="s">
        <v>740</v>
      </c>
      <c r="Q717" s="26"/>
      <c r="R717" s="5"/>
      <c r="S717" s="5"/>
      <c r="T717" s="5"/>
      <c r="U717" s="5"/>
      <c r="V717" s="5"/>
      <c r="W717" s="5"/>
      <c r="X717" s="5"/>
      <c r="Y717" s="5"/>
    </row>
    <row r="718" spans="13:25" ht="22">
      <c r="M718" s="26" t="s">
        <v>79</v>
      </c>
      <c r="N718" s="25" t="s">
        <v>55</v>
      </c>
      <c r="O718" s="26"/>
      <c r="P718" s="26" t="s">
        <v>741</v>
      </c>
      <c r="Q718" s="26"/>
      <c r="R718" s="5"/>
      <c r="S718" s="5"/>
      <c r="T718" s="5"/>
      <c r="U718" s="5"/>
      <c r="V718" s="5"/>
      <c r="W718" s="5"/>
      <c r="X718" s="5"/>
      <c r="Y718" s="5"/>
    </row>
    <row r="719" spans="13:25" ht="22">
      <c r="M719" s="26" t="s">
        <v>79</v>
      </c>
      <c r="N719" s="25" t="s">
        <v>55</v>
      </c>
      <c r="O719" s="26"/>
      <c r="P719" s="26" t="s">
        <v>742</v>
      </c>
      <c r="Q719" s="26"/>
      <c r="R719" s="5"/>
      <c r="S719" s="5"/>
      <c r="T719" s="5"/>
      <c r="U719" s="5"/>
      <c r="V719" s="5"/>
      <c r="W719" s="5"/>
      <c r="X719" s="5"/>
      <c r="Y719" s="5"/>
    </row>
    <row r="720" spans="13:25" ht="33">
      <c r="M720" s="26" t="s">
        <v>79</v>
      </c>
      <c r="N720" s="25" t="s">
        <v>55</v>
      </c>
      <c r="O720" s="26"/>
      <c r="P720" s="26" t="s">
        <v>743</v>
      </c>
      <c r="Q720" s="26"/>
      <c r="R720" s="5"/>
      <c r="S720" s="5"/>
      <c r="T720" s="5"/>
      <c r="U720" s="5"/>
      <c r="V720" s="5"/>
      <c r="W720" s="5"/>
      <c r="X720" s="5"/>
      <c r="Y720" s="5"/>
    </row>
    <row r="721" spans="13:25" ht="33">
      <c r="M721" s="26" t="s">
        <v>79</v>
      </c>
      <c r="N721" s="25" t="s">
        <v>55</v>
      </c>
      <c r="O721" s="26"/>
      <c r="P721" s="26" t="s">
        <v>744</v>
      </c>
      <c r="Q721" s="26"/>
      <c r="R721" s="5"/>
      <c r="S721" s="5"/>
      <c r="T721" s="5"/>
      <c r="U721" s="5"/>
      <c r="V721" s="5"/>
      <c r="W721" s="5"/>
      <c r="X721" s="5"/>
      <c r="Y721" s="5"/>
    </row>
    <row r="722" spans="13:25" ht="66">
      <c r="M722" s="26" t="s">
        <v>79</v>
      </c>
      <c r="N722" s="25" t="s">
        <v>55</v>
      </c>
      <c r="O722" s="26"/>
      <c r="P722" s="26" t="s">
        <v>745</v>
      </c>
      <c r="Q722" s="26"/>
      <c r="R722" s="5"/>
      <c r="S722" s="5"/>
      <c r="T722" s="5"/>
      <c r="U722" s="5"/>
      <c r="V722" s="5"/>
      <c r="W722" s="5"/>
      <c r="X722" s="5"/>
      <c r="Y722" s="5"/>
    </row>
    <row r="723" spans="13:25" ht="66">
      <c r="M723" s="26" t="s">
        <v>79</v>
      </c>
      <c r="N723" s="25" t="s">
        <v>55</v>
      </c>
      <c r="O723" s="26"/>
      <c r="P723" s="26" t="s">
        <v>746</v>
      </c>
      <c r="Q723" s="26"/>
      <c r="R723" s="5"/>
      <c r="S723" s="5"/>
      <c r="T723" s="5"/>
      <c r="U723" s="5"/>
      <c r="V723" s="5"/>
      <c r="W723" s="5"/>
      <c r="X723" s="5"/>
      <c r="Y723" s="5"/>
    </row>
    <row r="724" spans="13:25" ht="33">
      <c r="M724" s="26" t="s">
        <v>79</v>
      </c>
      <c r="N724" s="25" t="s">
        <v>55</v>
      </c>
      <c r="O724" s="26"/>
      <c r="P724" s="26" t="s">
        <v>747</v>
      </c>
      <c r="Q724" s="26"/>
      <c r="R724" s="5"/>
      <c r="S724" s="5"/>
      <c r="T724" s="5"/>
      <c r="U724" s="5"/>
      <c r="V724" s="5"/>
      <c r="W724" s="5"/>
      <c r="X724" s="5"/>
      <c r="Y724" s="5"/>
    </row>
    <row r="725" spans="13:25" ht="22">
      <c r="M725" s="26" t="s">
        <v>79</v>
      </c>
      <c r="N725" s="25" t="s">
        <v>55</v>
      </c>
      <c r="O725" s="26"/>
      <c r="P725" s="26" t="s">
        <v>748</v>
      </c>
      <c r="Q725" s="26"/>
      <c r="R725" s="5"/>
      <c r="S725" s="5"/>
      <c r="T725" s="5"/>
      <c r="U725" s="5"/>
      <c r="V725" s="5"/>
      <c r="W725" s="5"/>
      <c r="X725" s="5"/>
      <c r="Y725" s="5"/>
    </row>
    <row r="726" spans="13:25" ht="22">
      <c r="M726" s="26" t="s">
        <v>79</v>
      </c>
      <c r="N726" s="25" t="s">
        <v>55</v>
      </c>
      <c r="O726" s="26"/>
      <c r="P726" s="26" t="s">
        <v>749</v>
      </c>
      <c r="Q726" s="26"/>
      <c r="R726" s="5"/>
      <c r="S726" s="5"/>
      <c r="T726" s="5"/>
      <c r="U726" s="5"/>
      <c r="V726" s="5"/>
      <c r="W726" s="5"/>
      <c r="X726" s="5"/>
      <c r="Y726" s="5"/>
    </row>
    <row r="727" spans="13:25" ht="22">
      <c r="M727" s="26" t="s">
        <v>79</v>
      </c>
      <c r="N727" s="25" t="s">
        <v>51</v>
      </c>
      <c r="O727" s="26"/>
      <c r="P727" s="26" t="s">
        <v>750</v>
      </c>
      <c r="Q727" s="26"/>
      <c r="R727" s="5"/>
      <c r="S727" s="5"/>
      <c r="T727" s="5"/>
      <c r="U727" s="5"/>
      <c r="V727" s="5"/>
      <c r="W727" s="5"/>
      <c r="X727" s="5"/>
      <c r="Y727" s="5"/>
    </row>
    <row r="728" spans="13:25" ht="22">
      <c r="M728" s="26" t="s">
        <v>79</v>
      </c>
      <c r="N728" s="25" t="s">
        <v>51</v>
      </c>
      <c r="O728" s="26" t="s">
        <v>751</v>
      </c>
      <c r="P728" s="26"/>
      <c r="Q728" s="26"/>
      <c r="R728" s="5"/>
      <c r="S728" s="5"/>
      <c r="T728" s="5"/>
      <c r="U728" s="5"/>
      <c r="V728" s="5"/>
      <c r="W728" s="5"/>
      <c r="X728" s="5"/>
      <c r="Y728" s="5"/>
    </row>
    <row r="729" spans="13:25" ht="55">
      <c r="M729" s="26" t="s">
        <v>79</v>
      </c>
      <c r="N729" s="25" t="s">
        <v>55</v>
      </c>
      <c r="O729" s="26"/>
      <c r="P729" s="26" t="s">
        <v>752</v>
      </c>
      <c r="Q729" s="26"/>
      <c r="R729" s="5"/>
      <c r="S729" s="5"/>
      <c r="T729" s="5"/>
      <c r="U729" s="5"/>
      <c r="V729" s="5"/>
      <c r="W729" s="5"/>
      <c r="X729" s="5"/>
      <c r="Y729" s="5"/>
    </row>
    <row r="730" spans="13:25" ht="55">
      <c r="M730" s="26" t="s">
        <v>79</v>
      </c>
      <c r="N730" s="25" t="s">
        <v>55</v>
      </c>
      <c r="O730" s="26"/>
      <c r="P730" s="26" t="s">
        <v>753</v>
      </c>
      <c r="Q730" s="26"/>
      <c r="R730" s="5"/>
      <c r="S730" s="5"/>
      <c r="T730" s="5"/>
      <c r="U730" s="5"/>
      <c r="V730" s="5"/>
      <c r="W730" s="5"/>
      <c r="X730" s="5"/>
      <c r="Y730" s="5"/>
    </row>
    <row r="731" spans="13:25" ht="55">
      <c r="M731" s="26" t="s">
        <v>79</v>
      </c>
      <c r="N731" s="25" t="s">
        <v>55</v>
      </c>
      <c r="O731" s="26"/>
      <c r="P731" s="26" t="s">
        <v>752</v>
      </c>
      <c r="Q731" s="26"/>
      <c r="R731" s="5"/>
      <c r="S731" s="5"/>
      <c r="T731" s="5"/>
      <c r="U731" s="5"/>
      <c r="V731" s="5"/>
      <c r="W731" s="5"/>
      <c r="X731" s="5"/>
      <c r="Y731" s="5"/>
    </row>
    <row r="732" spans="13:25" ht="55">
      <c r="M732" s="26" t="s">
        <v>79</v>
      </c>
      <c r="N732" s="25" t="s">
        <v>55</v>
      </c>
      <c r="O732" s="26"/>
      <c r="P732" s="26" t="s">
        <v>754</v>
      </c>
      <c r="Q732" s="26"/>
      <c r="R732" s="5"/>
      <c r="S732" s="5"/>
      <c r="T732" s="5"/>
      <c r="U732" s="5"/>
      <c r="V732" s="5"/>
      <c r="W732" s="5"/>
      <c r="X732" s="5"/>
      <c r="Y732" s="5"/>
    </row>
    <row r="733" spans="13:25" ht="55">
      <c r="M733" s="26" t="s">
        <v>79</v>
      </c>
      <c r="N733" s="25" t="s">
        <v>55</v>
      </c>
      <c r="O733" s="26"/>
      <c r="P733" s="26" t="s">
        <v>755</v>
      </c>
      <c r="Q733" s="26"/>
      <c r="R733" s="5"/>
      <c r="S733" s="5"/>
      <c r="T733" s="5"/>
      <c r="U733" s="5"/>
      <c r="V733" s="5"/>
      <c r="W733" s="5"/>
      <c r="X733" s="5"/>
      <c r="Y733" s="5"/>
    </row>
    <row r="734" spans="13:25" ht="55">
      <c r="M734" s="26" t="s">
        <v>79</v>
      </c>
      <c r="N734" s="25" t="s">
        <v>55</v>
      </c>
      <c r="O734" s="26"/>
      <c r="P734" s="26" t="s">
        <v>756</v>
      </c>
      <c r="Q734" s="26"/>
      <c r="R734" s="5"/>
      <c r="S734" s="5"/>
      <c r="T734" s="5"/>
      <c r="U734" s="5"/>
      <c r="V734" s="5"/>
      <c r="W734" s="5"/>
      <c r="X734" s="5"/>
      <c r="Y734" s="5"/>
    </row>
    <row r="735" spans="13:25" ht="55">
      <c r="M735" s="26" t="s">
        <v>79</v>
      </c>
      <c r="N735" s="25" t="s">
        <v>55</v>
      </c>
      <c r="O735" s="26"/>
      <c r="P735" s="26" t="s">
        <v>755</v>
      </c>
      <c r="Q735" s="26"/>
      <c r="R735" s="5"/>
      <c r="S735" s="5"/>
      <c r="T735" s="5"/>
      <c r="U735" s="5"/>
      <c r="V735" s="5"/>
      <c r="W735" s="5"/>
      <c r="X735" s="5"/>
      <c r="Y735" s="5"/>
    </row>
    <row r="736" spans="13:25" ht="55">
      <c r="M736" s="26" t="s">
        <v>79</v>
      </c>
      <c r="N736" s="25" t="s">
        <v>55</v>
      </c>
      <c r="O736" s="26"/>
      <c r="P736" s="26" t="s">
        <v>757</v>
      </c>
      <c r="Q736" s="26"/>
      <c r="R736" s="5"/>
      <c r="S736" s="5"/>
      <c r="T736" s="5"/>
      <c r="U736" s="5"/>
      <c r="V736" s="5"/>
      <c r="W736" s="5"/>
      <c r="X736" s="5"/>
      <c r="Y736" s="5"/>
    </row>
    <row r="737" spans="13:25" ht="33">
      <c r="M737" s="26" t="s">
        <v>79</v>
      </c>
      <c r="N737" s="25" t="s">
        <v>55</v>
      </c>
      <c r="O737" s="26"/>
      <c r="P737" s="26" t="s">
        <v>758</v>
      </c>
      <c r="Q737" s="26"/>
      <c r="R737" s="5"/>
      <c r="S737" s="5"/>
      <c r="T737" s="5"/>
      <c r="U737" s="5"/>
      <c r="V737" s="5"/>
      <c r="W737" s="5"/>
      <c r="X737" s="5"/>
      <c r="Y737" s="5"/>
    </row>
    <row r="738" spans="13:25" ht="33">
      <c r="M738" s="26" t="s">
        <v>79</v>
      </c>
      <c r="N738" s="25" t="s">
        <v>55</v>
      </c>
      <c r="O738" s="26"/>
      <c r="P738" s="26" t="s">
        <v>759</v>
      </c>
      <c r="Q738" s="26"/>
      <c r="R738" s="5"/>
      <c r="S738" s="5"/>
      <c r="T738" s="5"/>
      <c r="U738" s="5"/>
      <c r="V738" s="5"/>
      <c r="W738" s="5"/>
      <c r="X738" s="5"/>
      <c r="Y738" s="5"/>
    </row>
    <row r="739" spans="13:25" ht="22">
      <c r="M739" s="26" t="s">
        <v>79</v>
      </c>
      <c r="N739" s="25" t="s">
        <v>51</v>
      </c>
      <c r="O739" s="26" t="s">
        <v>760</v>
      </c>
      <c r="P739" s="26"/>
      <c r="Q739" s="26"/>
      <c r="R739" s="5"/>
      <c r="S739" s="5"/>
      <c r="T739" s="5"/>
      <c r="U739" s="5"/>
      <c r="V739" s="5"/>
      <c r="W739" s="5"/>
      <c r="X739" s="5"/>
      <c r="Y739" s="5"/>
    </row>
    <row r="740" spans="13:25" ht="22">
      <c r="M740" s="26" t="s">
        <v>79</v>
      </c>
      <c r="N740" s="25" t="s">
        <v>55</v>
      </c>
      <c r="O740" s="26"/>
      <c r="P740" s="26" t="s">
        <v>761</v>
      </c>
      <c r="Q740" s="26"/>
      <c r="R740" s="5"/>
      <c r="S740" s="5"/>
      <c r="T740" s="5"/>
      <c r="U740" s="5"/>
      <c r="V740" s="5"/>
      <c r="W740" s="5"/>
      <c r="X740" s="5"/>
      <c r="Y740" s="5"/>
    </row>
    <row r="741" spans="13:25" ht="22">
      <c r="M741" s="26" t="s">
        <v>79</v>
      </c>
      <c r="N741" s="25" t="s">
        <v>55</v>
      </c>
      <c r="O741" s="26"/>
      <c r="P741" s="26" t="s">
        <v>762</v>
      </c>
      <c r="Q741" s="26"/>
      <c r="R741" s="5"/>
      <c r="S741" s="5"/>
      <c r="T741" s="5"/>
      <c r="U741" s="5"/>
      <c r="V741" s="5"/>
      <c r="W741" s="5"/>
      <c r="X741" s="5"/>
      <c r="Y741" s="5"/>
    </row>
    <row r="742" spans="13:25" ht="22">
      <c r="M742" s="26" t="s">
        <v>79</v>
      </c>
      <c r="N742" s="25" t="s">
        <v>55</v>
      </c>
      <c r="O742" s="26"/>
      <c r="P742" s="26" t="s">
        <v>763</v>
      </c>
      <c r="Q742" s="26"/>
      <c r="R742" s="5"/>
      <c r="S742" s="5"/>
      <c r="T742" s="5"/>
      <c r="U742" s="5"/>
      <c r="V742" s="5"/>
      <c r="W742" s="5"/>
      <c r="X742" s="5"/>
      <c r="Y742" s="5"/>
    </row>
    <row r="743" spans="13:25" ht="22">
      <c r="M743" s="26" t="s">
        <v>79</v>
      </c>
      <c r="N743" s="25" t="s">
        <v>55</v>
      </c>
      <c r="O743" s="26"/>
      <c r="P743" s="26" t="s">
        <v>764</v>
      </c>
      <c r="Q743" s="26"/>
      <c r="R743" s="5"/>
      <c r="S743" s="5"/>
      <c r="T743" s="5"/>
      <c r="U743" s="5"/>
      <c r="V743" s="5"/>
      <c r="W743" s="5"/>
      <c r="X743" s="5"/>
      <c r="Y743" s="5"/>
    </row>
    <row r="744" spans="13:25" ht="22">
      <c r="M744" s="26" t="s">
        <v>79</v>
      </c>
      <c r="N744" s="25" t="s">
        <v>51</v>
      </c>
      <c r="O744" s="26" t="s">
        <v>765</v>
      </c>
      <c r="P744" s="26"/>
      <c r="Q744" s="26"/>
      <c r="R744" s="5"/>
      <c r="S744" s="5"/>
      <c r="T744" s="5"/>
      <c r="U744" s="5"/>
      <c r="V744" s="5"/>
      <c r="W744" s="5"/>
      <c r="X744" s="5"/>
      <c r="Y744" s="5"/>
    </row>
    <row r="745" spans="13:25" ht="22">
      <c r="M745" s="26" t="s">
        <v>79</v>
      </c>
      <c r="N745" s="25" t="s">
        <v>51</v>
      </c>
      <c r="O745" s="26"/>
      <c r="P745" s="26" t="s">
        <v>766</v>
      </c>
      <c r="Q745" s="26"/>
      <c r="R745" s="5"/>
      <c r="S745" s="5"/>
      <c r="T745" s="5"/>
      <c r="U745" s="5"/>
      <c r="V745" s="5"/>
      <c r="W745" s="5"/>
      <c r="X745" s="5"/>
      <c r="Y745" s="5"/>
    </row>
    <row r="746" spans="13:25" ht="22">
      <c r="M746" s="26" t="s">
        <v>79</v>
      </c>
      <c r="N746" s="25" t="s">
        <v>51</v>
      </c>
      <c r="O746" s="26"/>
      <c r="P746" s="26" t="s">
        <v>767</v>
      </c>
      <c r="Q746" s="26"/>
      <c r="R746" s="5"/>
      <c r="S746" s="5"/>
      <c r="T746" s="5"/>
      <c r="U746" s="5"/>
      <c r="V746" s="5"/>
      <c r="W746" s="5"/>
      <c r="X746" s="5"/>
      <c r="Y746" s="5"/>
    </row>
    <row r="747" spans="13:25" ht="33">
      <c r="M747" s="26" t="s">
        <v>79</v>
      </c>
      <c r="N747" s="25" t="s">
        <v>51</v>
      </c>
      <c r="O747" s="26"/>
      <c r="P747" s="26" t="s">
        <v>768</v>
      </c>
      <c r="Q747" s="26"/>
      <c r="R747" s="5"/>
      <c r="S747" s="5"/>
      <c r="T747" s="5"/>
      <c r="U747" s="5"/>
      <c r="V747" s="5"/>
      <c r="W747" s="5"/>
      <c r="X747" s="5"/>
      <c r="Y747" s="5"/>
    </row>
    <row r="748" spans="13:25" ht="33">
      <c r="M748" s="26" t="s">
        <v>79</v>
      </c>
      <c r="N748" s="25" t="s">
        <v>51</v>
      </c>
      <c r="O748" s="26"/>
      <c r="P748" s="26" t="s">
        <v>769</v>
      </c>
      <c r="Q748" s="26"/>
      <c r="R748" s="5"/>
      <c r="S748" s="5"/>
      <c r="T748" s="5"/>
      <c r="U748" s="5"/>
      <c r="V748" s="5"/>
      <c r="W748" s="5"/>
      <c r="X748" s="5"/>
      <c r="Y748" s="5"/>
    </row>
    <row r="749" spans="13:25" ht="22">
      <c r="M749" s="26" t="s">
        <v>79</v>
      </c>
      <c r="N749" s="25" t="s">
        <v>51</v>
      </c>
      <c r="O749" s="26"/>
      <c r="P749" s="26" t="s">
        <v>770</v>
      </c>
      <c r="Q749" s="26"/>
      <c r="R749" s="5"/>
      <c r="S749" s="5"/>
      <c r="T749" s="5"/>
      <c r="U749" s="5"/>
      <c r="V749" s="5"/>
      <c r="W749" s="5"/>
      <c r="X749" s="5"/>
      <c r="Y749" s="5"/>
    </row>
    <row r="750" spans="13:25" ht="22">
      <c r="M750" s="26" t="s">
        <v>79</v>
      </c>
      <c r="N750" s="25" t="s">
        <v>51</v>
      </c>
      <c r="O750" s="26"/>
      <c r="P750" s="26" t="s">
        <v>771</v>
      </c>
      <c r="Q750" s="26"/>
      <c r="R750" s="5"/>
      <c r="S750" s="5"/>
      <c r="T750" s="5"/>
      <c r="U750" s="5"/>
      <c r="V750" s="5"/>
      <c r="W750" s="5"/>
      <c r="X750" s="5"/>
      <c r="Y750" s="5"/>
    </row>
    <row r="751" spans="13:25" ht="22">
      <c r="M751" s="26" t="s">
        <v>79</v>
      </c>
      <c r="N751" s="25" t="s">
        <v>51</v>
      </c>
      <c r="O751" s="26" t="s">
        <v>772</v>
      </c>
      <c r="P751" s="26"/>
      <c r="Q751" s="26"/>
      <c r="R751" s="5"/>
      <c r="S751" s="5"/>
      <c r="T751" s="5"/>
      <c r="U751" s="5"/>
      <c r="V751" s="5"/>
      <c r="W751" s="5"/>
      <c r="X751" s="5"/>
      <c r="Y751" s="5"/>
    </row>
    <row r="752" spans="13:25" ht="22">
      <c r="M752" s="26" t="s">
        <v>79</v>
      </c>
      <c r="N752" s="25" t="s">
        <v>55</v>
      </c>
      <c r="O752" s="26"/>
      <c r="P752" s="26" t="s">
        <v>773</v>
      </c>
      <c r="Q752" s="26"/>
      <c r="R752" s="5"/>
      <c r="S752" s="5"/>
      <c r="T752" s="5"/>
      <c r="U752" s="5"/>
      <c r="V752" s="5"/>
      <c r="W752" s="5"/>
      <c r="X752" s="5"/>
      <c r="Y752" s="5"/>
    </row>
    <row r="753" spans="13:25" ht="33">
      <c r="M753" s="26" t="s">
        <v>79</v>
      </c>
      <c r="N753" s="25" t="s">
        <v>55</v>
      </c>
      <c r="O753" s="26"/>
      <c r="P753" s="26" t="s">
        <v>774</v>
      </c>
      <c r="Q753" s="26"/>
      <c r="R753" s="5"/>
      <c r="S753" s="5"/>
      <c r="T753" s="5"/>
      <c r="U753" s="5"/>
      <c r="V753" s="5"/>
      <c r="W753" s="5"/>
      <c r="X753" s="5"/>
      <c r="Y753" s="5"/>
    </row>
    <row r="754" spans="13:25" ht="44">
      <c r="M754" s="26" t="s">
        <v>79</v>
      </c>
      <c r="N754" s="25" t="s">
        <v>55</v>
      </c>
      <c r="O754" s="26"/>
      <c r="P754" s="26" t="s">
        <v>775</v>
      </c>
      <c r="Q754" s="26"/>
      <c r="R754" s="5"/>
      <c r="S754" s="5"/>
      <c r="T754" s="5"/>
      <c r="U754" s="5"/>
      <c r="V754" s="5"/>
      <c r="W754" s="5"/>
      <c r="X754" s="5"/>
      <c r="Y754" s="5"/>
    </row>
    <row r="755" spans="13:25" ht="22">
      <c r="M755" s="26" t="s">
        <v>79</v>
      </c>
      <c r="N755" s="25" t="s">
        <v>55</v>
      </c>
      <c r="O755" s="26"/>
      <c r="P755" s="26" t="s">
        <v>776</v>
      </c>
      <c r="Q755" s="26"/>
      <c r="R755" s="5"/>
      <c r="S755" s="5"/>
      <c r="T755" s="5"/>
      <c r="U755" s="5"/>
      <c r="V755" s="5"/>
      <c r="W755" s="5"/>
      <c r="X755" s="5"/>
      <c r="Y755" s="5"/>
    </row>
    <row r="756" spans="13:25" ht="22">
      <c r="M756" s="26" t="s">
        <v>79</v>
      </c>
      <c r="N756" s="25" t="s">
        <v>55</v>
      </c>
      <c r="O756" s="26"/>
      <c r="P756" s="26" t="s">
        <v>777</v>
      </c>
      <c r="Q756" s="26"/>
      <c r="R756" s="5"/>
      <c r="S756" s="5"/>
      <c r="T756" s="5"/>
      <c r="U756" s="5"/>
      <c r="V756" s="5"/>
      <c r="W756" s="5"/>
      <c r="X756" s="5"/>
      <c r="Y756" s="5"/>
    </row>
    <row r="757" spans="13:25" ht="33">
      <c r="M757" s="26" t="s">
        <v>79</v>
      </c>
      <c r="N757" s="25" t="s">
        <v>55</v>
      </c>
      <c r="O757" s="26"/>
      <c r="P757" s="26" t="s">
        <v>143</v>
      </c>
      <c r="Q757" s="26"/>
      <c r="R757" s="5"/>
      <c r="S757" s="5"/>
      <c r="T757" s="5"/>
      <c r="U757" s="5"/>
      <c r="V757" s="5"/>
      <c r="W757" s="5"/>
      <c r="X757" s="5"/>
      <c r="Y757" s="5"/>
    </row>
    <row r="758" spans="13:25" ht="33">
      <c r="M758" s="26" t="s">
        <v>79</v>
      </c>
      <c r="N758" s="25" t="s">
        <v>55</v>
      </c>
      <c r="O758" s="26"/>
      <c r="P758" s="26" t="s">
        <v>144</v>
      </c>
      <c r="Q758" s="26"/>
      <c r="R758" s="5"/>
      <c r="S758" s="5"/>
      <c r="T758" s="5"/>
      <c r="U758" s="5"/>
      <c r="V758" s="5"/>
      <c r="W758" s="5"/>
      <c r="X758" s="5"/>
      <c r="Y758" s="5"/>
    </row>
    <row r="759" spans="13:25" ht="33">
      <c r="M759" s="26" t="s">
        <v>79</v>
      </c>
      <c r="N759" s="25" t="s">
        <v>55</v>
      </c>
      <c r="O759" s="26"/>
      <c r="P759" s="26" t="s">
        <v>778</v>
      </c>
      <c r="Q759" s="26"/>
      <c r="R759" s="5"/>
      <c r="S759" s="5"/>
      <c r="T759" s="5"/>
      <c r="U759" s="5"/>
      <c r="V759" s="5"/>
      <c r="W759" s="5"/>
      <c r="X759" s="5"/>
      <c r="Y759" s="5"/>
    </row>
    <row r="760" spans="13:25" ht="22">
      <c r="M760" s="26" t="s">
        <v>79</v>
      </c>
      <c r="N760" s="25" t="s">
        <v>55</v>
      </c>
      <c r="O760" s="26"/>
      <c r="P760" s="26" t="s">
        <v>779</v>
      </c>
      <c r="Q760" s="26"/>
      <c r="R760" s="5"/>
      <c r="S760" s="5"/>
      <c r="T760" s="5"/>
      <c r="U760" s="5"/>
      <c r="V760" s="5"/>
      <c r="W760" s="5"/>
      <c r="X760" s="5"/>
      <c r="Y760" s="5"/>
    </row>
    <row r="761" spans="13:25" ht="22">
      <c r="M761" s="26" t="s">
        <v>79</v>
      </c>
      <c r="N761" s="25" t="s">
        <v>55</v>
      </c>
      <c r="O761" s="26"/>
      <c r="P761" s="26" t="s">
        <v>779</v>
      </c>
      <c r="Q761" s="26"/>
      <c r="R761" s="5"/>
      <c r="S761" s="5"/>
      <c r="T761" s="5"/>
      <c r="U761" s="5"/>
      <c r="V761" s="5"/>
      <c r="W761" s="5"/>
      <c r="X761" s="5"/>
      <c r="Y761" s="5"/>
    </row>
    <row r="762" spans="13:25" ht="33">
      <c r="M762" s="26" t="s">
        <v>79</v>
      </c>
      <c r="N762" s="25" t="s">
        <v>55</v>
      </c>
      <c r="O762" s="26"/>
      <c r="P762" s="26" t="s">
        <v>780</v>
      </c>
      <c r="Q762" s="26"/>
      <c r="R762" s="5"/>
      <c r="S762" s="5"/>
      <c r="T762" s="5"/>
      <c r="U762" s="5"/>
      <c r="V762" s="5"/>
      <c r="W762" s="5"/>
      <c r="X762" s="5"/>
      <c r="Y762" s="5"/>
    </row>
    <row r="763" spans="13:25" ht="22">
      <c r="M763" s="26" t="s">
        <v>79</v>
      </c>
      <c r="N763" s="25" t="s">
        <v>55</v>
      </c>
      <c r="O763" s="26"/>
      <c r="P763" s="26" t="s">
        <v>781</v>
      </c>
      <c r="Q763" s="26"/>
      <c r="R763" s="5"/>
      <c r="S763" s="5"/>
      <c r="T763" s="5"/>
      <c r="U763" s="5"/>
      <c r="V763" s="5"/>
      <c r="W763" s="5"/>
      <c r="X763" s="5"/>
      <c r="Y763" s="5"/>
    </row>
    <row r="764" spans="13:25" ht="22">
      <c r="M764" s="26" t="s">
        <v>79</v>
      </c>
      <c r="N764" s="25" t="s">
        <v>51</v>
      </c>
      <c r="O764" s="26" t="s">
        <v>782</v>
      </c>
      <c r="P764" s="26"/>
      <c r="Q764" s="26"/>
      <c r="R764" s="5"/>
      <c r="S764" s="5"/>
      <c r="T764" s="5"/>
      <c r="U764" s="5"/>
      <c r="V764" s="5"/>
      <c r="W764" s="5"/>
      <c r="X764" s="5"/>
      <c r="Y764" s="5"/>
    </row>
    <row r="765" spans="13:25" ht="22">
      <c r="M765" s="26" t="s">
        <v>79</v>
      </c>
      <c r="N765" s="25" t="s">
        <v>70</v>
      </c>
      <c r="O765" s="26"/>
      <c r="P765" s="26" t="s">
        <v>783</v>
      </c>
      <c r="Q765" s="26"/>
      <c r="R765" s="5"/>
      <c r="S765" s="5"/>
      <c r="T765" s="5"/>
      <c r="U765" s="5"/>
      <c r="V765" s="5"/>
      <c r="W765" s="5"/>
      <c r="X765" s="5"/>
      <c r="Y765" s="5"/>
    </row>
    <row r="766" spans="13:25" ht="55">
      <c r="M766" s="26" t="s">
        <v>79</v>
      </c>
      <c r="N766" s="25" t="s">
        <v>70</v>
      </c>
      <c r="O766" s="26"/>
      <c r="P766" s="26" t="s">
        <v>784</v>
      </c>
      <c r="Q766" s="26"/>
      <c r="R766" s="5"/>
      <c r="S766" s="5"/>
      <c r="T766" s="5"/>
      <c r="U766" s="5"/>
      <c r="V766" s="5"/>
      <c r="W766" s="5"/>
      <c r="X766" s="5"/>
      <c r="Y766" s="5"/>
    </row>
    <row r="767" spans="13:25" ht="55">
      <c r="M767" s="26" t="s">
        <v>79</v>
      </c>
      <c r="N767" s="25" t="s">
        <v>55</v>
      </c>
      <c r="O767" s="26"/>
      <c r="P767" s="26" t="s">
        <v>785</v>
      </c>
      <c r="Q767" s="26"/>
      <c r="R767" s="5"/>
      <c r="S767" s="5"/>
      <c r="T767" s="5"/>
      <c r="U767" s="5"/>
      <c r="V767" s="5"/>
      <c r="W767" s="5"/>
      <c r="X767" s="5"/>
      <c r="Y767" s="5"/>
    </row>
    <row r="768" spans="13:25" ht="33">
      <c r="M768" s="26" t="s">
        <v>79</v>
      </c>
      <c r="N768" s="25" t="s">
        <v>70</v>
      </c>
      <c r="O768" s="26"/>
      <c r="P768" s="26" t="s">
        <v>786</v>
      </c>
      <c r="Q768" s="26"/>
      <c r="R768" s="5"/>
      <c r="S768" s="5"/>
      <c r="T768" s="5"/>
      <c r="U768" s="5"/>
      <c r="V768" s="5"/>
      <c r="W768" s="5"/>
      <c r="X768" s="5"/>
      <c r="Y768" s="5"/>
    </row>
    <row r="769" spans="13:25" ht="33">
      <c r="M769" s="26" t="s">
        <v>79</v>
      </c>
      <c r="N769" s="25" t="s">
        <v>51</v>
      </c>
      <c r="O769" s="26"/>
      <c r="P769" s="26" t="s">
        <v>787</v>
      </c>
      <c r="Q769" s="26"/>
      <c r="R769" s="5"/>
      <c r="S769" s="5"/>
      <c r="T769" s="5"/>
      <c r="U769" s="5"/>
      <c r="V769" s="5"/>
      <c r="W769" s="5"/>
      <c r="X769" s="5"/>
      <c r="Y769" s="5"/>
    </row>
    <row r="770" spans="13:25" ht="33">
      <c r="M770" s="26" t="s">
        <v>79</v>
      </c>
      <c r="N770" s="25" t="s">
        <v>51</v>
      </c>
      <c r="O770" s="26"/>
      <c r="P770" s="26" t="s">
        <v>788</v>
      </c>
      <c r="Q770" s="26"/>
      <c r="R770" s="5"/>
      <c r="S770" s="5"/>
      <c r="T770" s="5"/>
      <c r="U770" s="5"/>
      <c r="V770" s="5"/>
      <c r="W770" s="5"/>
      <c r="X770" s="5"/>
      <c r="Y770" s="5"/>
    </row>
    <row r="771" spans="13:25" ht="33">
      <c r="M771" s="26" t="s">
        <v>79</v>
      </c>
      <c r="N771" s="25" t="s">
        <v>70</v>
      </c>
      <c r="O771" s="26"/>
      <c r="P771" s="26" t="s">
        <v>789</v>
      </c>
      <c r="Q771" s="26"/>
      <c r="R771" s="5"/>
      <c r="S771" s="5"/>
      <c r="T771" s="5"/>
      <c r="U771" s="5"/>
      <c r="V771" s="5"/>
      <c r="W771" s="5"/>
      <c r="X771" s="5"/>
      <c r="Y771" s="5"/>
    </row>
    <row r="772" spans="13:25" ht="33">
      <c r="M772" s="26" t="s">
        <v>79</v>
      </c>
      <c r="N772" s="25" t="s">
        <v>70</v>
      </c>
      <c r="O772" s="26"/>
      <c r="P772" s="26" t="s">
        <v>790</v>
      </c>
      <c r="Q772" s="26"/>
      <c r="R772" s="5"/>
      <c r="S772" s="5"/>
      <c r="T772" s="5"/>
      <c r="U772" s="5"/>
      <c r="V772" s="5"/>
      <c r="W772" s="5"/>
      <c r="X772" s="5"/>
      <c r="Y772" s="5"/>
    </row>
    <row r="773" spans="13:25" ht="44">
      <c r="M773" s="26" t="s">
        <v>79</v>
      </c>
      <c r="N773" s="25" t="s">
        <v>70</v>
      </c>
      <c r="O773" s="26"/>
      <c r="P773" s="26" t="s">
        <v>723</v>
      </c>
      <c r="Q773" s="26"/>
      <c r="R773" s="5"/>
      <c r="S773" s="5"/>
      <c r="T773" s="5"/>
      <c r="U773" s="5"/>
      <c r="V773" s="5"/>
      <c r="W773" s="5"/>
      <c r="X773" s="5"/>
      <c r="Y773" s="5"/>
    </row>
    <row r="774" spans="13:25" ht="44">
      <c r="M774" s="26" t="s">
        <v>79</v>
      </c>
      <c r="N774" s="25" t="s">
        <v>70</v>
      </c>
      <c r="O774" s="26"/>
      <c r="P774" s="26" t="s">
        <v>723</v>
      </c>
      <c r="Q774" s="26"/>
      <c r="R774" s="5"/>
      <c r="S774" s="5"/>
      <c r="T774" s="5"/>
      <c r="U774" s="5"/>
      <c r="V774" s="5"/>
      <c r="W774" s="5"/>
      <c r="X774" s="5"/>
      <c r="Y774" s="5"/>
    </row>
    <row r="775" spans="13:25" ht="22">
      <c r="M775" s="26" t="s">
        <v>79</v>
      </c>
      <c r="N775" s="25" t="s">
        <v>70</v>
      </c>
      <c r="O775" s="26"/>
      <c r="P775" s="26" t="s">
        <v>791</v>
      </c>
      <c r="Q775" s="26"/>
      <c r="R775" s="5"/>
      <c r="S775" s="5"/>
      <c r="T775" s="5"/>
      <c r="U775" s="5"/>
      <c r="V775" s="5"/>
      <c r="W775" s="5"/>
      <c r="X775" s="5"/>
      <c r="Y775" s="5"/>
    </row>
    <row r="776" spans="13:25" ht="22">
      <c r="M776" s="26" t="s">
        <v>79</v>
      </c>
      <c r="N776" s="25" t="s">
        <v>57</v>
      </c>
      <c r="O776" s="26" t="s">
        <v>792</v>
      </c>
      <c r="P776" s="26"/>
      <c r="Q776" s="26"/>
      <c r="R776" s="5"/>
      <c r="S776" s="5"/>
      <c r="T776" s="5"/>
      <c r="U776" s="5"/>
      <c r="V776" s="5"/>
      <c r="W776" s="5"/>
      <c r="X776" s="5"/>
      <c r="Y776" s="5"/>
    </row>
    <row r="777" spans="13:25" ht="22">
      <c r="M777" s="26" t="s">
        <v>79</v>
      </c>
      <c r="N777" s="25" t="s">
        <v>51</v>
      </c>
      <c r="O777" s="26" t="s">
        <v>793</v>
      </c>
      <c r="P777" s="26"/>
      <c r="Q777" s="26"/>
      <c r="R777" s="5"/>
      <c r="S777" s="5"/>
      <c r="T777" s="5"/>
      <c r="U777" s="5"/>
      <c r="V777" s="5"/>
      <c r="W777" s="5"/>
      <c r="X777" s="5"/>
      <c r="Y777" s="5"/>
    </row>
    <row r="778" spans="13:25" ht="33">
      <c r="M778" s="26" t="s">
        <v>79</v>
      </c>
      <c r="N778" s="25" t="s">
        <v>70</v>
      </c>
      <c r="O778" s="26"/>
      <c r="P778" s="26" t="s">
        <v>794</v>
      </c>
      <c r="Q778" s="26"/>
      <c r="R778" s="5"/>
      <c r="S778" s="5"/>
      <c r="T778" s="5"/>
      <c r="U778" s="5"/>
      <c r="V778" s="5"/>
      <c r="W778" s="5"/>
      <c r="X778" s="5"/>
      <c r="Y778" s="5"/>
    </row>
    <row r="779" spans="13:25" ht="44">
      <c r="M779" s="26" t="s">
        <v>79</v>
      </c>
      <c r="N779" s="25" t="s">
        <v>70</v>
      </c>
      <c r="O779" s="26"/>
      <c r="P779" s="26" t="s">
        <v>723</v>
      </c>
      <c r="Q779" s="26"/>
      <c r="R779" s="5"/>
      <c r="S779" s="5"/>
      <c r="T779" s="5"/>
      <c r="U779" s="5"/>
      <c r="V779" s="5"/>
      <c r="W779" s="5"/>
      <c r="X779" s="5"/>
      <c r="Y779" s="5"/>
    </row>
    <row r="780" spans="13:25" ht="44">
      <c r="M780" s="26" t="s">
        <v>79</v>
      </c>
      <c r="N780" s="25" t="s">
        <v>70</v>
      </c>
      <c r="O780" s="26"/>
      <c r="P780" s="26" t="s">
        <v>723</v>
      </c>
      <c r="Q780" s="26"/>
      <c r="R780" s="5"/>
      <c r="S780" s="5"/>
      <c r="T780" s="5"/>
      <c r="U780" s="5"/>
      <c r="V780" s="5"/>
      <c r="W780" s="5"/>
      <c r="X780" s="5"/>
      <c r="Y780" s="5"/>
    </row>
    <row r="781" spans="13:25" ht="22">
      <c r="M781" s="26" t="s">
        <v>79</v>
      </c>
      <c r="N781" s="25" t="s">
        <v>70</v>
      </c>
      <c r="O781" s="26"/>
      <c r="P781" s="26" t="s">
        <v>795</v>
      </c>
      <c r="Q781" s="26"/>
      <c r="R781" s="5"/>
      <c r="S781" s="5"/>
      <c r="T781" s="5"/>
      <c r="U781" s="5"/>
      <c r="V781" s="5"/>
      <c r="W781" s="5"/>
      <c r="X781" s="5"/>
      <c r="Y781" s="5"/>
    </row>
    <row r="782" spans="13:25" ht="22">
      <c r="M782" s="26" t="s">
        <v>79</v>
      </c>
      <c r="N782" s="25" t="s">
        <v>70</v>
      </c>
      <c r="O782" s="26"/>
      <c r="P782" s="26" t="s">
        <v>796</v>
      </c>
      <c r="Q782" s="26"/>
      <c r="R782" s="5"/>
      <c r="S782" s="5"/>
      <c r="T782" s="5"/>
      <c r="U782" s="5"/>
      <c r="V782" s="5"/>
      <c r="W782" s="5"/>
      <c r="X782" s="5"/>
      <c r="Y782" s="5"/>
    </row>
    <row r="783" spans="13:25" ht="22">
      <c r="M783" s="26" t="s">
        <v>79</v>
      </c>
      <c r="N783" s="25" t="s">
        <v>70</v>
      </c>
      <c r="O783" s="26"/>
      <c r="P783" s="26" t="s">
        <v>797</v>
      </c>
      <c r="Q783" s="26"/>
      <c r="R783" s="5"/>
      <c r="S783" s="5"/>
      <c r="T783" s="5"/>
      <c r="U783" s="5"/>
      <c r="V783" s="5"/>
      <c r="W783" s="5"/>
      <c r="X783" s="5"/>
      <c r="Y783" s="5"/>
    </row>
    <row r="784" spans="13:25" ht="22">
      <c r="M784" s="26" t="s">
        <v>79</v>
      </c>
      <c r="N784" s="25" t="s">
        <v>70</v>
      </c>
      <c r="O784" s="26"/>
      <c r="P784" s="26" t="s">
        <v>798</v>
      </c>
      <c r="Q784" s="26"/>
      <c r="R784" s="5"/>
      <c r="S784" s="5"/>
      <c r="T784" s="5"/>
      <c r="U784" s="5"/>
      <c r="V784" s="5"/>
      <c r="W784" s="5"/>
      <c r="X784" s="5"/>
      <c r="Y784" s="5"/>
    </row>
    <row r="785" spans="13:25" ht="22">
      <c r="M785" s="26" t="s">
        <v>79</v>
      </c>
      <c r="N785" s="25" t="s">
        <v>57</v>
      </c>
      <c r="O785" s="26" t="s">
        <v>799</v>
      </c>
      <c r="P785" s="26"/>
      <c r="Q785" s="26"/>
      <c r="R785" s="5"/>
      <c r="S785" s="5"/>
      <c r="T785" s="5"/>
      <c r="U785" s="5"/>
      <c r="V785" s="5"/>
      <c r="W785" s="5"/>
      <c r="X785" s="5"/>
      <c r="Y785" s="5"/>
    </row>
    <row r="786" spans="13:25" ht="22">
      <c r="M786" s="26" t="s">
        <v>79</v>
      </c>
      <c r="N786" s="25" t="s">
        <v>57</v>
      </c>
      <c r="O786" s="26" t="s">
        <v>800</v>
      </c>
      <c r="P786" s="26"/>
      <c r="Q786" s="26"/>
      <c r="R786" s="5"/>
      <c r="S786" s="5"/>
      <c r="T786" s="5"/>
      <c r="U786" s="5"/>
      <c r="V786" s="5"/>
      <c r="W786" s="5"/>
      <c r="X786" s="5"/>
      <c r="Y786" s="5"/>
    </row>
    <row r="787" spans="13:25" ht="22">
      <c r="M787" s="26" t="s">
        <v>79</v>
      </c>
      <c r="N787" s="25" t="s">
        <v>57</v>
      </c>
      <c r="O787" s="26" t="s">
        <v>801</v>
      </c>
      <c r="P787" s="26"/>
      <c r="Q787" s="26"/>
      <c r="R787" s="5"/>
      <c r="S787" s="5"/>
      <c r="T787" s="5"/>
      <c r="U787" s="5"/>
      <c r="V787" s="5"/>
      <c r="W787" s="5"/>
      <c r="X787" s="5"/>
      <c r="Y787" s="5"/>
    </row>
    <row r="788" spans="13:25" ht="22">
      <c r="M788" s="26" t="s">
        <v>79</v>
      </c>
      <c r="N788" s="25" t="s">
        <v>66</v>
      </c>
      <c r="O788" s="26" t="s">
        <v>802</v>
      </c>
      <c r="P788" s="26"/>
      <c r="Q788" s="26"/>
      <c r="R788" s="5"/>
      <c r="S788" s="5"/>
      <c r="T788" s="5"/>
      <c r="U788" s="5"/>
      <c r="V788" s="5"/>
      <c r="W788" s="5"/>
      <c r="X788" s="5"/>
      <c r="Y788" s="5"/>
    </row>
    <row r="789" spans="13:25" ht="22">
      <c r="M789" s="26" t="s">
        <v>79</v>
      </c>
      <c r="N789" s="25" t="s">
        <v>66</v>
      </c>
      <c r="O789" s="26" t="s">
        <v>802</v>
      </c>
      <c r="P789" s="26"/>
      <c r="Q789" s="26"/>
      <c r="R789" s="5"/>
      <c r="S789" s="5"/>
      <c r="T789" s="5"/>
      <c r="U789" s="5"/>
      <c r="V789" s="5"/>
      <c r="W789" s="5"/>
      <c r="X789" s="5"/>
      <c r="Y789" s="5"/>
    </row>
    <row r="790" spans="13:25" ht="22">
      <c r="M790" s="26" t="s">
        <v>79</v>
      </c>
      <c r="N790" s="25" t="s">
        <v>66</v>
      </c>
      <c r="O790" s="26" t="s">
        <v>803</v>
      </c>
      <c r="P790" s="26"/>
      <c r="Q790" s="26"/>
      <c r="R790" s="5"/>
      <c r="S790" s="5"/>
      <c r="T790" s="5"/>
      <c r="U790" s="5"/>
      <c r="V790" s="5"/>
      <c r="W790" s="5"/>
      <c r="X790" s="5"/>
      <c r="Y790" s="5"/>
    </row>
    <row r="791" spans="13:25" ht="22">
      <c r="M791" s="26" t="s">
        <v>79</v>
      </c>
      <c r="N791" s="25" t="s">
        <v>66</v>
      </c>
      <c r="O791" s="26" t="s">
        <v>804</v>
      </c>
      <c r="P791" s="26"/>
      <c r="Q791" s="26"/>
      <c r="R791" s="5"/>
      <c r="S791" s="5"/>
      <c r="T791" s="5"/>
      <c r="U791" s="5"/>
      <c r="V791" s="5"/>
      <c r="W791" s="5"/>
      <c r="X791" s="5"/>
      <c r="Y791" s="5"/>
    </row>
    <row r="792" spans="13:25" ht="22">
      <c r="M792" s="26" t="s">
        <v>79</v>
      </c>
      <c r="N792" s="25" t="s">
        <v>66</v>
      </c>
      <c r="O792" s="26" t="s">
        <v>804</v>
      </c>
      <c r="P792" s="26"/>
      <c r="Q792" s="26"/>
      <c r="R792" s="5"/>
      <c r="S792" s="5"/>
      <c r="T792" s="5"/>
      <c r="U792" s="5"/>
      <c r="V792" s="5"/>
      <c r="W792" s="5"/>
      <c r="X792" s="5"/>
      <c r="Y792" s="5"/>
    </row>
    <row r="793" spans="13:25" ht="22">
      <c r="M793" s="26" t="s">
        <v>79</v>
      </c>
      <c r="N793" s="25" t="s">
        <v>55</v>
      </c>
      <c r="O793" s="26" t="s">
        <v>805</v>
      </c>
      <c r="P793" s="26"/>
      <c r="Q793" s="26"/>
      <c r="R793" s="5"/>
      <c r="S793" s="5"/>
      <c r="T793" s="5"/>
      <c r="U793" s="5"/>
      <c r="V793" s="5"/>
      <c r="W793" s="5"/>
      <c r="X793" s="5"/>
      <c r="Y793" s="5"/>
    </row>
    <row r="794" spans="13:25" ht="22">
      <c r="M794" s="26" t="s">
        <v>79</v>
      </c>
      <c r="N794" s="25" t="s">
        <v>55</v>
      </c>
      <c r="O794" s="26" t="s">
        <v>806</v>
      </c>
      <c r="P794" s="26"/>
      <c r="Q794" s="26"/>
      <c r="R794" s="5"/>
      <c r="S794" s="5"/>
      <c r="T794" s="5"/>
      <c r="U794" s="5"/>
      <c r="V794" s="5"/>
      <c r="W794" s="5"/>
      <c r="X794" s="5"/>
      <c r="Y794" s="5"/>
    </row>
    <row r="795" spans="13:25" ht="22">
      <c r="M795" s="26" t="s">
        <v>79</v>
      </c>
      <c r="N795" s="25" t="s">
        <v>51</v>
      </c>
      <c r="O795" s="26" t="s">
        <v>807</v>
      </c>
      <c r="P795" s="26"/>
      <c r="Q795" s="26"/>
      <c r="R795" s="5"/>
      <c r="S795" s="5"/>
      <c r="T795" s="5"/>
      <c r="U795" s="5"/>
      <c r="V795" s="5"/>
      <c r="W795" s="5"/>
      <c r="X795" s="5"/>
      <c r="Y795" s="5"/>
    </row>
    <row r="796" spans="13:25" ht="22">
      <c r="M796" s="26" t="s">
        <v>79</v>
      </c>
      <c r="N796" s="25" t="s">
        <v>57</v>
      </c>
      <c r="O796" s="26" t="s">
        <v>808</v>
      </c>
      <c r="P796" s="26"/>
      <c r="Q796" s="26"/>
      <c r="R796" s="5"/>
      <c r="S796" s="5"/>
      <c r="T796" s="5"/>
      <c r="U796" s="5"/>
      <c r="V796" s="5"/>
      <c r="W796" s="5"/>
      <c r="X796" s="5"/>
      <c r="Y796" s="5"/>
    </row>
    <row r="797" spans="13:25" ht="22">
      <c r="M797" s="26" t="s">
        <v>79</v>
      </c>
      <c r="N797" s="25" t="s">
        <v>57</v>
      </c>
      <c r="O797" s="26" t="s">
        <v>809</v>
      </c>
      <c r="P797" s="26"/>
      <c r="Q797" s="26"/>
      <c r="R797" s="5"/>
      <c r="S797" s="5"/>
      <c r="T797" s="5"/>
      <c r="U797" s="5"/>
      <c r="V797" s="5"/>
      <c r="W797" s="5"/>
      <c r="X797" s="5"/>
      <c r="Y797" s="5"/>
    </row>
    <row r="798" spans="13:25" ht="22">
      <c r="M798" s="26" t="s">
        <v>79</v>
      </c>
      <c r="N798" s="25" t="s">
        <v>51</v>
      </c>
      <c r="O798" s="26" t="s">
        <v>810</v>
      </c>
      <c r="P798" s="26"/>
      <c r="Q798" s="26"/>
      <c r="R798" s="5"/>
      <c r="S798" s="5"/>
      <c r="T798" s="5"/>
      <c r="U798" s="5"/>
      <c r="V798" s="5"/>
      <c r="W798" s="5"/>
      <c r="X798" s="5"/>
      <c r="Y798" s="5"/>
    </row>
    <row r="799" spans="13:25" ht="33">
      <c r="M799" s="26" t="s">
        <v>79</v>
      </c>
      <c r="N799" s="25" t="s">
        <v>55</v>
      </c>
      <c r="O799" s="26"/>
      <c r="P799" s="26" t="s">
        <v>811</v>
      </c>
      <c r="Q799" s="26"/>
      <c r="R799" s="5"/>
      <c r="S799" s="5"/>
      <c r="T799" s="5"/>
      <c r="U799" s="5"/>
      <c r="V799" s="5"/>
      <c r="W799" s="5"/>
      <c r="X799" s="5"/>
      <c r="Y799" s="5"/>
    </row>
    <row r="800" spans="13:25" ht="33">
      <c r="M800" s="26" t="s">
        <v>79</v>
      </c>
      <c r="N800" s="25" t="s">
        <v>70</v>
      </c>
      <c r="O800" s="26" t="s">
        <v>570</v>
      </c>
      <c r="P800" s="26"/>
      <c r="Q800" s="26"/>
      <c r="R800" s="5"/>
      <c r="S800" s="5"/>
      <c r="T800" s="5"/>
      <c r="U800" s="5"/>
      <c r="V800" s="5"/>
      <c r="W800" s="5"/>
      <c r="X800" s="5"/>
      <c r="Y800" s="5"/>
    </row>
    <row r="801" spans="13:25" ht="22">
      <c r="M801" s="26" t="s">
        <v>79</v>
      </c>
      <c r="N801" s="25" t="s">
        <v>51</v>
      </c>
      <c r="O801" s="26" t="s">
        <v>812</v>
      </c>
      <c r="P801" s="26"/>
      <c r="Q801" s="26"/>
      <c r="R801" s="5"/>
      <c r="S801" s="5"/>
      <c r="T801" s="5"/>
      <c r="U801" s="5"/>
      <c r="V801" s="5"/>
      <c r="W801" s="5"/>
      <c r="X801" s="5"/>
      <c r="Y801" s="5"/>
    </row>
    <row r="802" spans="13:25" ht="33">
      <c r="M802" s="26" t="s">
        <v>79</v>
      </c>
      <c r="N802" s="25" t="s">
        <v>70</v>
      </c>
      <c r="O802" s="26"/>
      <c r="P802" s="26" t="s">
        <v>713</v>
      </c>
      <c r="Q802" s="26"/>
      <c r="R802" s="5"/>
      <c r="S802" s="5"/>
      <c r="T802" s="5"/>
      <c r="U802" s="5"/>
      <c r="V802" s="5"/>
      <c r="W802" s="5"/>
      <c r="X802" s="5"/>
      <c r="Y802" s="5"/>
    </row>
    <row r="803" spans="13:25" ht="33">
      <c r="M803" s="26" t="s">
        <v>79</v>
      </c>
      <c r="N803" s="25" t="s">
        <v>70</v>
      </c>
      <c r="O803" s="26"/>
      <c r="P803" s="26" t="s">
        <v>813</v>
      </c>
      <c r="Q803" s="26"/>
      <c r="R803" s="5"/>
      <c r="S803" s="5"/>
      <c r="T803" s="5"/>
      <c r="U803" s="5"/>
      <c r="V803" s="5"/>
      <c r="W803" s="5"/>
      <c r="X803" s="5"/>
      <c r="Y803" s="5"/>
    </row>
    <row r="804" spans="13:25" ht="22">
      <c r="M804" s="26" t="s">
        <v>79</v>
      </c>
      <c r="N804" s="25" t="s">
        <v>57</v>
      </c>
      <c r="O804" s="26" t="s">
        <v>814</v>
      </c>
      <c r="P804" s="26"/>
      <c r="Q804" s="26"/>
      <c r="R804" s="5"/>
      <c r="S804" s="5"/>
      <c r="T804" s="5"/>
      <c r="U804" s="5"/>
      <c r="V804" s="5"/>
      <c r="W804" s="5"/>
      <c r="X804" s="5"/>
      <c r="Y804" s="5"/>
    </row>
    <row r="805" spans="13:25" ht="22">
      <c r="M805" s="26" t="s">
        <v>79</v>
      </c>
      <c r="N805" s="25" t="s">
        <v>55</v>
      </c>
      <c r="O805" s="26" t="s">
        <v>815</v>
      </c>
      <c r="P805" s="26"/>
      <c r="Q805" s="26"/>
      <c r="R805" s="5"/>
      <c r="S805" s="5"/>
      <c r="T805" s="5"/>
      <c r="U805" s="5"/>
      <c r="V805" s="5"/>
      <c r="W805" s="5"/>
      <c r="X805" s="5"/>
      <c r="Y805" s="5"/>
    </row>
    <row r="806" spans="13:25" ht="22">
      <c r="M806" s="26" t="s">
        <v>79</v>
      </c>
      <c r="N806" s="25" t="s">
        <v>57</v>
      </c>
      <c r="O806" s="26" t="s">
        <v>816</v>
      </c>
      <c r="P806" s="26"/>
      <c r="Q806" s="26"/>
      <c r="R806" s="5"/>
      <c r="S806" s="5"/>
      <c r="T806" s="5"/>
      <c r="U806" s="5"/>
      <c r="V806" s="5"/>
      <c r="W806" s="5"/>
      <c r="X806" s="5"/>
      <c r="Y806" s="5"/>
    </row>
    <row r="807" spans="13:25" ht="22">
      <c r="M807" s="26" t="s">
        <v>79</v>
      </c>
      <c r="N807" s="25" t="s">
        <v>57</v>
      </c>
      <c r="O807" s="26" t="s">
        <v>817</v>
      </c>
      <c r="P807" s="26"/>
      <c r="Q807" s="26"/>
      <c r="R807" s="5"/>
      <c r="S807" s="5"/>
      <c r="T807" s="5"/>
      <c r="U807" s="5"/>
      <c r="V807" s="5"/>
      <c r="W807" s="5"/>
      <c r="X807" s="5"/>
      <c r="Y807" s="5"/>
    </row>
    <row r="808" spans="13:25" ht="22">
      <c r="M808" s="26" t="s">
        <v>79</v>
      </c>
      <c r="N808" s="25" t="s">
        <v>57</v>
      </c>
      <c r="O808" s="26" t="s">
        <v>818</v>
      </c>
      <c r="P808" s="26"/>
      <c r="Q808" s="26"/>
      <c r="R808" s="5"/>
      <c r="S808" s="5"/>
      <c r="T808" s="5"/>
      <c r="U808" s="5"/>
      <c r="V808" s="5"/>
      <c r="W808" s="5"/>
      <c r="X808" s="5"/>
      <c r="Y808" s="5"/>
    </row>
    <row r="809" spans="13:25" ht="22">
      <c r="M809" s="26" t="s">
        <v>79</v>
      </c>
      <c r="N809" s="25" t="s">
        <v>57</v>
      </c>
      <c r="O809" s="26" t="s">
        <v>819</v>
      </c>
      <c r="P809" s="26"/>
      <c r="Q809" s="26"/>
      <c r="R809" s="5"/>
      <c r="S809" s="5"/>
      <c r="T809" s="5"/>
      <c r="U809" s="5"/>
      <c r="V809" s="5"/>
      <c r="W809" s="5"/>
      <c r="X809" s="5"/>
      <c r="Y809" s="5"/>
    </row>
    <row r="810" spans="13:25" ht="22">
      <c r="M810" s="26" t="s">
        <v>79</v>
      </c>
      <c r="N810" s="25" t="s">
        <v>51</v>
      </c>
      <c r="O810" s="26" t="s">
        <v>820</v>
      </c>
      <c r="P810" s="26"/>
      <c r="Q810" s="26"/>
      <c r="R810" s="5"/>
      <c r="S810" s="5"/>
      <c r="T810" s="5"/>
      <c r="U810" s="5"/>
      <c r="V810" s="5"/>
      <c r="W810" s="5"/>
      <c r="X810" s="5"/>
      <c r="Y810" s="5"/>
    </row>
    <row r="811" spans="13:25" ht="22">
      <c r="M811" s="26" t="s">
        <v>79</v>
      </c>
      <c r="N811" s="25" t="s">
        <v>55</v>
      </c>
      <c r="O811" s="26" t="s">
        <v>821</v>
      </c>
      <c r="P811" s="26"/>
      <c r="Q811" s="26"/>
      <c r="R811" s="5"/>
      <c r="S811" s="5"/>
      <c r="T811" s="5"/>
      <c r="U811" s="5"/>
      <c r="V811" s="5"/>
      <c r="W811" s="5"/>
      <c r="X811" s="5"/>
      <c r="Y811" s="5"/>
    </row>
    <row r="812" spans="13:25" ht="22">
      <c r="M812" s="26" t="s">
        <v>79</v>
      </c>
      <c r="N812" s="25" t="s">
        <v>51</v>
      </c>
      <c r="O812" s="26" t="s">
        <v>822</v>
      </c>
      <c r="P812" s="26"/>
      <c r="Q812" s="26"/>
      <c r="R812" s="5"/>
      <c r="S812" s="5"/>
      <c r="T812" s="5"/>
      <c r="U812" s="5"/>
      <c r="V812" s="5"/>
      <c r="W812" s="5"/>
      <c r="X812" s="5"/>
      <c r="Y812" s="5"/>
    </row>
    <row r="813" spans="13:25" ht="22">
      <c r="M813" s="26" t="s">
        <v>79</v>
      </c>
      <c r="N813" s="25" t="s">
        <v>70</v>
      </c>
      <c r="O813" s="26"/>
      <c r="P813" s="26" t="s">
        <v>823</v>
      </c>
      <c r="Q813" s="26"/>
      <c r="R813" s="5"/>
      <c r="S813" s="5"/>
      <c r="T813" s="5"/>
      <c r="U813" s="5"/>
      <c r="V813" s="5"/>
      <c r="W813" s="5"/>
      <c r="X813" s="5"/>
      <c r="Y813" s="5"/>
    </row>
    <row r="814" spans="13:25" ht="22">
      <c r="M814" s="26" t="s">
        <v>79</v>
      </c>
      <c r="N814" s="25" t="s">
        <v>51</v>
      </c>
      <c r="O814" s="26" t="s">
        <v>824</v>
      </c>
      <c r="P814" s="26"/>
      <c r="Q814" s="26"/>
      <c r="R814" s="5"/>
      <c r="S814" s="5"/>
      <c r="T814" s="5"/>
      <c r="U814" s="5"/>
      <c r="V814" s="5"/>
      <c r="W814" s="5"/>
      <c r="X814" s="5"/>
      <c r="Y814" s="5"/>
    </row>
    <row r="815" spans="13:25" ht="22">
      <c r="M815" s="26" t="s">
        <v>79</v>
      </c>
      <c r="N815" s="25" t="s">
        <v>70</v>
      </c>
      <c r="O815" s="26"/>
      <c r="P815" s="26" t="s">
        <v>825</v>
      </c>
      <c r="Q815" s="26"/>
      <c r="R815" s="5"/>
      <c r="S815" s="5"/>
      <c r="T815" s="5"/>
      <c r="U815" s="5"/>
      <c r="V815" s="5"/>
      <c r="W815" s="5"/>
      <c r="X815" s="5"/>
      <c r="Y815" s="5"/>
    </row>
    <row r="816" spans="13:25" ht="44">
      <c r="M816" s="26" t="s">
        <v>79</v>
      </c>
      <c r="N816" s="25" t="s">
        <v>70</v>
      </c>
      <c r="O816" s="26"/>
      <c r="P816" s="26" t="s">
        <v>826</v>
      </c>
      <c r="Q816" s="26"/>
      <c r="R816" s="5"/>
      <c r="S816" s="5"/>
      <c r="T816" s="5"/>
      <c r="U816" s="5"/>
      <c r="V816" s="5"/>
      <c r="W816" s="5"/>
      <c r="X816" s="5"/>
      <c r="Y816" s="5"/>
    </row>
    <row r="817" spans="13:25" ht="22">
      <c r="M817" s="26" t="s">
        <v>79</v>
      </c>
      <c r="N817" s="25" t="s">
        <v>51</v>
      </c>
      <c r="O817" s="26" t="s">
        <v>827</v>
      </c>
      <c r="P817" s="26"/>
      <c r="Q817" s="26"/>
      <c r="R817" s="5"/>
      <c r="S817" s="5"/>
      <c r="T817" s="5"/>
      <c r="U817" s="5"/>
      <c r="V817" s="5"/>
      <c r="W817" s="5"/>
      <c r="X817" s="5"/>
      <c r="Y817" s="5"/>
    </row>
    <row r="818" spans="13:25" ht="22">
      <c r="M818" s="26" t="s">
        <v>79</v>
      </c>
      <c r="N818" s="25" t="s">
        <v>70</v>
      </c>
      <c r="O818" s="26"/>
      <c r="P818" s="26" t="s">
        <v>828</v>
      </c>
      <c r="Q818" s="26"/>
      <c r="R818" s="5"/>
      <c r="S818" s="5"/>
      <c r="T818" s="5"/>
      <c r="U818" s="5"/>
      <c r="V818" s="5"/>
      <c r="W818" s="5"/>
      <c r="X818" s="5"/>
      <c r="Y818" s="5"/>
    </row>
    <row r="819" spans="13:25" ht="22">
      <c r="M819" s="26" t="s">
        <v>79</v>
      </c>
      <c r="N819" s="25" t="s">
        <v>70</v>
      </c>
      <c r="O819" s="26"/>
      <c r="P819" s="26" t="s">
        <v>829</v>
      </c>
      <c r="Q819" s="26"/>
      <c r="R819" s="5"/>
      <c r="S819" s="5"/>
      <c r="T819" s="5"/>
      <c r="U819" s="5"/>
      <c r="V819" s="5"/>
      <c r="W819" s="5"/>
      <c r="X819" s="5"/>
      <c r="Y819" s="5"/>
    </row>
    <row r="820" spans="13:25" ht="22">
      <c r="M820" s="26" t="s">
        <v>79</v>
      </c>
      <c r="N820" s="25" t="s">
        <v>55</v>
      </c>
      <c r="O820" s="26" t="s">
        <v>830</v>
      </c>
      <c r="P820" s="26"/>
      <c r="Q820" s="26"/>
      <c r="R820" s="5"/>
      <c r="S820" s="5"/>
      <c r="T820" s="5"/>
      <c r="U820" s="5"/>
      <c r="V820" s="5"/>
      <c r="W820" s="5"/>
      <c r="X820" s="5"/>
      <c r="Y820" s="5"/>
    </row>
    <row r="821" spans="13:25" ht="22">
      <c r="M821" s="26" t="s">
        <v>79</v>
      </c>
      <c r="N821" s="25" t="s">
        <v>57</v>
      </c>
      <c r="O821" s="26" t="s">
        <v>831</v>
      </c>
      <c r="P821" s="26"/>
      <c r="Q821" s="26"/>
      <c r="R821" s="5"/>
      <c r="S821" s="5"/>
      <c r="T821" s="5"/>
      <c r="U821" s="5"/>
      <c r="V821" s="5"/>
      <c r="W821" s="5"/>
      <c r="X821" s="5"/>
      <c r="Y821" s="5"/>
    </row>
    <row r="822" spans="13:25" ht="33">
      <c r="M822" s="26" t="s">
        <v>79</v>
      </c>
      <c r="N822" s="25" t="s">
        <v>70</v>
      </c>
      <c r="O822" s="26" t="s">
        <v>617</v>
      </c>
      <c r="P822" s="26"/>
      <c r="Q822" s="26"/>
      <c r="R822" s="5"/>
      <c r="S822" s="5"/>
      <c r="T822" s="5"/>
      <c r="U822" s="5"/>
      <c r="V822" s="5"/>
      <c r="W822" s="5"/>
      <c r="X822" s="5"/>
      <c r="Y822" s="5"/>
    </row>
    <row r="823" spans="13:25" ht="33">
      <c r="M823" s="26" t="s">
        <v>79</v>
      </c>
      <c r="N823" s="25" t="s">
        <v>70</v>
      </c>
      <c r="O823" s="26" t="s">
        <v>832</v>
      </c>
      <c r="P823" s="26"/>
      <c r="Q823" s="26"/>
      <c r="R823" s="5"/>
      <c r="S823" s="5"/>
      <c r="T823" s="5"/>
      <c r="U823" s="5"/>
      <c r="V823" s="5"/>
      <c r="W823" s="5"/>
      <c r="X823" s="5"/>
      <c r="Y823" s="5"/>
    </row>
    <row r="824" spans="13:25" ht="22">
      <c r="M824" s="26" t="s">
        <v>79</v>
      </c>
      <c r="N824" s="25" t="s">
        <v>51</v>
      </c>
      <c r="O824" s="26" t="s">
        <v>833</v>
      </c>
      <c r="P824" s="26"/>
      <c r="Q824" s="26"/>
      <c r="R824" s="5"/>
      <c r="S824" s="5"/>
      <c r="T824" s="5"/>
      <c r="U824" s="5"/>
      <c r="V824" s="5"/>
      <c r="W824" s="5"/>
      <c r="X824" s="5"/>
      <c r="Y824" s="5"/>
    </row>
    <row r="825" spans="13:25" ht="22">
      <c r="M825" s="26" t="s">
        <v>79</v>
      </c>
      <c r="N825" s="25" t="s">
        <v>70</v>
      </c>
      <c r="O825" s="26"/>
      <c r="P825" s="26" t="s">
        <v>834</v>
      </c>
      <c r="Q825" s="26"/>
      <c r="R825" s="5"/>
      <c r="S825" s="5"/>
      <c r="T825" s="5"/>
      <c r="U825" s="5"/>
      <c r="V825" s="5"/>
      <c r="W825" s="5"/>
      <c r="X825" s="5"/>
      <c r="Y825" s="5"/>
    </row>
    <row r="826" spans="13:25" ht="33">
      <c r="M826" s="26" t="s">
        <v>79</v>
      </c>
      <c r="N826" s="25" t="s">
        <v>70</v>
      </c>
      <c r="O826" s="26"/>
      <c r="P826" s="26" t="s">
        <v>835</v>
      </c>
      <c r="Q826" s="26"/>
      <c r="R826" s="5"/>
      <c r="S826" s="5"/>
      <c r="T826" s="5"/>
      <c r="U826" s="5"/>
      <c r="V826" s="5"/>
      <c r="W826" s="5"/>
      <c r="X826" s="5"/>
      <c r="Y826" s="5"/>
    </row>
    <row r="827" spans="13:25" ht="55">
      <c r="M827" s="26" t="s">
        <v>79</v>
      </c>
      <c r="N827" s="25" t="s">
        <v>55</v>
      </c>
      <c r="O827" s="26"/>
      <c r="P827" s="26" t="s">
        <v>785</v>
      </c>
      <c r="Q827" s="26"/>
      <c r="R827" s="5"/>
      <c r="S827" s="5"/>
      <c r="T827" s="5"/>
      <c r="U827" s="5"/>
      <c r="V827" s="5"/>
      <c r="W827" s="5"/>
      <c r="X827" s="5"/>
      <c r="Y827" s="5"/>
    </row>
    <row r="828" spans="13:25" ht="22">
      <c r="M828" s="26" t="s">
        <v>79</v>
      </c>
      <c r="N828" s="25" t="s">
        <v>55</v>
      </c>
      <c r="O828" s="26" t="s">
        <v>836</v>
      </c>
      <c r="P828" s="26"/>
      <c r="Q828" s="26"/>
      <c r="R828" s="5"/>
      <c r="S828" s="5"/>
      <c r="T828" s="5"/>
      <c r="U828" s="5"/>
      <c r="V828" s="5"/>
      <c r="W828" s="5"/>
      <c r="X828" s="5"/>
      <c r="Y828" s="5"/>
    </row>
    <row r="829" spans="13:25" ht="22">
      <c r="M829" s="26" t="s">
        <v>79</v>
      </c>
      <c r="N829" s="25" t="s">
        <v>57</v>
      </c>
      <c r="O829" s="26" t="s">
        <v>837</v>
      </c>
      <c r="P829" s="26"/>
      <c r="Q829" s="26"/>
      <c r="R829" s="5"/>
      <c r="S829" s="5"/>
      <c r="T829" s="5"/>
      <c r="U829" s="5"/>
      <c r="V829" s="5"/>
      <c r="W829" s="5"/>
      <c r="X829" s="5"/>
      <c r="Y829" s="5"/>
    </row>
    <row r="830" spans="13:25" ht="22">
      <c r="M830" s="26" t="s">
        <v>79</v>
      </c>
      <c r="N830" s="25" t="s">
        <v>51</v>
      </c>
      <c r="O830" s="26" t="s">
        <v>838</v>
      </c>
      <c r="P830" s="26"/>
      <c r="Q830" s="26"/>
      <c r="R830" s="5"/>
      <c r="S830" s="5"/>
      <c r="T830" s="5"/>
      <c r="U830" s="5"/>
      <c r="V830" s="5"/>
      <c r="W830" s="5"/>
      <c r="X830" s="5"/>
      <c r="Y830" s="5"/>
    </row>
    <row r="831" spans="13:25" ht="44">
      <c r="M831" s="26" t="s">
        <v>79</v>
      </c>
      <c r="N831" s="25" t="s">
        <v>70</v>
      </c>
      <c r="O831" s="26"/>
      <c r="P831" s="26" t="s">
        <v>839</v>
      </c>
      <c r="Q831" s="26"/>
      <c r="R831" s="5"/>
      <c r="S831" s="5"/>
      <c r="T831" s="5"/>
      <c r="U831" s="5"/>
      <c r="V831" s="5"/>
      <c r="W831" s="5"/>
      <c r="X831" s="5"/>
      <c r="Y831" s="5"/>
    </row>
    <row r="832" spans="13:25" ht="33">
      <c r="M832" s="26" t="s">
        <v>79</v>
      </c>
      <c r="N832" s="25" t="s">
        <v>70</v>
      </c>
      <c r="O832" s="26" t="s">
        <v>840</v>
      </c>
      <c r="P832" s="26"/>
      <c r="Q832" s="26"/>
      <c r="R832" s="5"/>
      <c r="S832" s="5"/>
      <c r="T832" s="5"/>
      <c r="U832" s="5"/>
      <c r="V832" s="5"/>
      <c r="W832" s="5"/>
      <c r="X832" s="5"/>
      <c r="Y832" s="5"/>
    </row>
    <row r="833" spans="13:25" ht="22">
      <c r="M833" s="26" t="s">
        <v>79</v>
      </c>
      <c r="N833" s="25" t="s">
        <v>51</v>
      </c>
      <c r="O833" s="26" t="s">
        <v>841</v>
      </c>
      <c r="P833" s="26"/>
      <c r="Q833" s="26"/>
      <c r="R833" s="5"/>
      <c r="S833" s="5"/>
      <c r="T833" s="5"/>
      <c r="U833" s="5"/>
      <c r="V833" s="5"/>
      <c r="W833" s="5"/>
      <c r="X833" s="5"/>
      <c r="Y833" s="5"/>
    </row>
    <row r="834" spans="13:25" ht="22">
      <c r="M834" s="26" t="s">
        <v>79</v>
      </c>
      <c r="N834" s="25" t="s">
        <v>70</v>
      </c>
      <c r="O834" s="26"/>
      <c r="P834" s="26" t="s">
        <v>842</v>
      </c>
      <c r="Q834" s="26"/>
      <c r="R834" s="5"/>
      <c r="S834" s="5"/>
      <c r="T834" s="5"/>
      <c r="U834" s="5"/>
      <c r="V834" s="5"/>
      <c r="W834" s="5"/>
      <c r="X834" s="5"/>
      <c r="Y834" s="5"/>
    </row>
    <row r="835" spans="13:25" ht="22">
      <c r="M835" s="26" t="s">
        <v>79</v>
      </c>
      <c r="N835" s="25" t="s">
        <v>55</v>
      </c>
      <c r="O835" s="26" t="s">
        <v>843</v>
      </c>
      <c r="P835" s="26"/>
      <c r="Q835" s="26"/>
      <c r="R835" s="5"/>
      <c r="S835" s="5"/>
      <c r="T835" s="5"/>
      <c r="U835" s="5"/>
      <c r="V835" s="5"/>
      <c r="W835" s="5"/>
      <c r="X835" s="5"/>
      <c r="Y835" s="5"/>
    </row>
    <row r="836" spans="13:25" ht="33">
      <c r="M836" s="26" t="s">
        <v>79</v>
      </c>
      <c r="N836" s="25" t="s">
        <v>55</v>
      </c>
      <c r="O836" s="26" t="s">
        <v>811</v>
      </c>
      <c r="P836" s="26"/>
      <c r="Q836" s="26"/>
      <c r="R836" s="5"/>
      <c r="S836" s="5"/>
      <c r="T836" s="5"/>
      <c r="U836" s="5"/>
      <c r="V836" s="5"/>
      <c r="W836" s="5"/>
      <c r="X836" s="5"/>
      <c r="Y836" s="5"/>
    </row>
    <row r="837" spans="13:25" ht="33">
      <c r="M837" s="26" t="s">
        <v>79</v>
      </c>
      <c r="N837" s="25" t="s">
        <v>55</v>
      </c>
      <c r="O837" s="26" t="s">
        <v>844</v>
      </c>
      <c r="P837" s="26"/>
      <c r="Q837" s="26"/>
      <c r="R837" s="5"/>
      <c r="S837" s="5"/>
      <c r="T837" s="5"/>
      <c r="U837" s="5"/>
      <c r="V837" s="5"/>
      <c r="W837" s="5"/>
      <c r="X837" s="5"/>
      <c r="Y837" s="5"/>
    </row>
    <row r="838" spans="13:25" ht="33">
      <c r="M838" s="26" t="s">
        <v>79</v>
      </c>
      <c r="N838" s="25" t="s">
        <v>55</v>
      </c>
      <c r="O838" s="26" t="s">
        <v>811</v>
      </c>
      <c r="P838" s="26"/>
      <c r="Q838" s="26"/>
      <c r="R838" s="5"/>
      <c r="S838" s="5"/>
      <c r="T838" s="5"/>
      <c r="U838" s="5"/>
      <c r="V838" s="5"/>
      <c r="W838" s="5"/>
      <c r="X838" s="5"/>
      <c r="Y838" s="5"/>
    </row>
    <row r="839" spans="13:25" ht="33">
      <c r="M839" s="26" t="s">
        <v>79</v>
      </c>
      <c r="N839" s="25" t="s">
        <v>55</v>
      </c>
      <c r="O839" s="26" t="s">
        <v>845</v>
      </c>
      <c r="P839" s="26"/>
      <c r="Q839" s="26"/>
      <c r="R839" s="5"/>
      <c r="S839" s="5"/>
      <c r="T839" s="5"/>
      <c r="U839" s="5"/>
      <c r="V839" s="5"/>
      <c r="W839" s="5"/>
      <c r="X839" s="5"/>
      <c r="Y839" s="5"/>
    </row>
    <row r="840" spans="13:25" ht="33">
      <c r="M840" s="26" t="s">
        <v>79</v>
      </c>
      <c r="N840" s="25" t="s">
        <v>55</v>
      </c>
      <c r="O840" s="26" t="s">
        <v>846</v>
      </c>
      <c r="P840" s="26"/>
      <c r="Q840" s="26"/>
      <c r="R840" s="5"/>
      <c r="S840" s="5"/>
      <c r="T840" s="5"/>
      <c r="U840" s="5"/>
      <c r="V840" s="5"/>
      <c r="W840" s="5"/>
      <c r="X840" s="5"/>
      <c r="Y840" s="5"/>
    </row>
    <row r="841" spans="13:25" ht="33">
      <c r="M841" s="26" t="s">
        <v>79</v>
      </c>
      <c r="N841" s="25" t="s">
        <v>55</v>
      </c>
      <c r="O841" s="26" t="s">
        <v>847</v>
      </c>
      <c r="P841" s="26"/>
      <c r="Q841" s="26"/>
      <c r="R841" s="5"/>
      <c r="S841" s="5"/>
      <c r="T841" s="5"/>
      <c r="U841" s="5"/>
      <c r="V841" s="5"/>
      <c r="W841" s="5"/>
      <c r="X841" s="5"/>
      <c r="Y841" s="5"/>
    </row>
    <row r="842" spans="13:25" ht="44">
      <c r="M842" s="26" t="s">
        <v>79</v>
      </c>
      <c r="N842" s="25" t="s">
        <v>55</v>
      </c>
      <c r="O842" s="26" t="s">
        <v>680</v>
      </c>
      <c r="P842" s="26"/>
      <c r="Q842" s="26"/>
      <c r="R842" s="5"/>
      <c r="S842" s="5"/>
      <c r="T842" s="5"/>
      <c r="U842" s="5"/>
      <c r="V842" s="5"/>
      <c r="W842" s="5"/>
      <c r="X842" s="5"/>
      <c r="Y842" s="5"/>
    </row>
    <row r="843" spans="13:25" ht="44">
      <c r="M843" s="26" t="s">
        <v>79</v>
      </c>
      <c r="N843" s="25" t="s">
        <v>55</v>
      </c>
      <c r="O843" s="26" t="s">
        <v>848</v>
      </c>
      <c r="P843" s="26"/>
      <c r="Q843" s="26"/>
      <c r="R843" s="5"/>
      <c r="S843" s="5"/>
      <c r="T843" s="5"/>
      <c r="U843" s="5"/>
      <c r="V843" s="5"/>
      <c r="W843" s="5"/>
      <c r="X843" s="5"/>
      <c r="Y843" s="5"/>
    </row>
    <row r="844" spans="13:25" ht="22">
      <c r="M844" s="26" t="s">
        <v>79</v>
      </c>
      <c r="N844" s="25" t="s">
        <v>51</v>
      </c>
      <c r="O844" s="26" t="s">
        <v>849</v>
      </c>
      <c r="P844" s="26"/>
      <c r="Q844" s="26"/>
      <c r="R844" s="5"/>
      <c r="S844" s="5"/>
      <c r="T844" s="5"/>
      <c r="U844" s="5"/>
      <c r="V844" s="5"/>
      <c r="W844" s="5"/>
      <c r="X844" s="5"/>
      <c r="Y844" s="5"/>
    </row>
    <row r="845" spans="13:25" ht="22">
      <c r="M845" s="26" t="s">
        <v>79</v>
      </c>
      <c r="N845" s="25" t="s">
        <v>70</v>
      </c>
      <c r="O845" s="26"/>
      <c r="P845" s="26" t="s">
        <v>850</v>
      </c>
      <c r="Q845" s="26"/>
      <c r="R845" s="5"/>
      <c r="S845" s="5"/>
      <c r="T845" s="5"/>
      <c r="U845" s="5"/>
      <c r="V845" s="5"/>
      <c r="W845" s="5"/>
      <c r="X845" s="5"/>
      <c r="Y845" s="5"/>
    </row>
    <row r="846" spans="13:25" ht="22">
      <c r="M846" s="26" t="s">
        <v>79</v>
      </c>
      <c r="N846" s="25" t="s">
        <v>70</v>
      </c>
      <c r="O846" s="26" t="s">
        <v>851</v>
      </c>
      <c r="P846" s="26"/>
      <c r="Q846" s="26"/>
      <c r="R846" s="5"/>
      <c r="S846" s="5"/>
      <c r="T846" s="5"/>
      <c r="U846" s="5"/>
      <c r="V846" s="5"/>
      <c r="W846" s="5"/>
      <c r="X846" s="5"/>
      <c r="Y846" s="5"/>
    </row>
    <row r="847" spans="13:25" ht="22">
      <c r="M847" s="26" t="s">
        <v>79</v>
      </c>
      <c r="N847" s="25" t="s">
        <v>51</v>
      </c>
      <c r="O847" s="26" t="s">
        <v>852</v>
      </c>
      <c r="P847" s="26"/>
      <c r="Q847" s="26"/>
      <c r="R847" s="5"/>
      <c r="S847" s="5"/>
      <c r="T847" s="5"/>
      <c r="U847" s="5"/>
      <c r="V847" s="5"/>
      <c r="W847" s="5"/>
      <c r="X847" s="5"/>
      <c r="Y847" s="5"/>
    </row>
    <row r="848" spans="13:25" ht="22">
      <c r="M848" s="26" t="s">
        <v>79</v>
      </c>
      <c r="N848" s="25" t="s">
        <v>70</v>
      </c>
      <c r="O848" s="26"/>
      <c r="P848" s="26" t="s">
        <v>853</v>
      </c>
      <c r="Q848" s="26"/>
      <c r="R848" s="5"/>
      <c r="S848" s="5"/>
      <c r="T848" s="5"/>
      <c r="U848" s="5"/>
      <c r="V848" s="5"/>
      <c r="W848" s="5"/>
      <c r="X848" s="5"/>
      <c r="Y848" s="5"/>
    </row>
    <row r="849" spans="13:25" ht="44">
      <c r="M849" s="26" t="s">
        <v>79</v>
      </c>
      <c r="N849" s="25" t="s">
        <v>70</v>
      </c>
      <c r="O849" s="26" t="s">
        <v>854</v>
      </c>
      <c r="P849" s="26"/>
      <c r="Q849" s="26"/>
      <c r="R849" s="5"/>
      <c r="S849" s="5"/>
      <c r="T849" s="5"/>
      <c r="U849" s="5"/>
      <c r="V849" s="5"/>
      <c r="W849" s="5"/>
      <c r="X849" s="5"/>
      <c r="Y849" s="5"/>
    </row>
    <row r="850" spans="13:25" ht="33">
      <c r="M850" s="26" t="s">
        <v>79</v>
      </c>
      <c r="N850" s="25" t="s">
        <v>70</v>
      </c>
      <c r="O850" s="26" t="s">
        <v>855</v>
      </c>
      <c r="P850" s="26"/>
      <c r="Q850" s="26"/>
      <c r="R850" s="5"/>
      <c r="S850" s="5"/>
      <c r="T850" s="5"/>
      <c r="U850" s="5"/>
      <c r="V850" s="5"/>
      <c r="W850" s="5"/>
      <c r="X850" s="5"/>
      <c r="Y850" s="5"/>
    </row>
    <row r="851" spans="13:25" ht="22">
      <c r="M851" s="26" t="s">
        <v>79</v>
      </c>
      <c r="N851" s="25" t="s">
        <v>51</v>
      </c>
      <c r="O851" s="26" t="s">
        <v>856</v>
      </c>
      <c r="P851" s="26"/>
      <c r="Q851" s="26"/>
      <c r="R851" s="5"/>
      <c r="S851" s="5"/>
      <c r="T851" s="5"/>
      <c r="U851" s="5"/>
      <c r="V851" s="5"/>
      <c r="W851" s="5"/>
      <c r="X851" s="5"/>
      <c r="Y851" s="5"/>
    </row>
    <row r="852" spans="13:25" ht="44">
      <c r="M852" s="26" t="s">
        <v>79</v>
      </c>
      <c r="N852" s="25" t="s">
        <v>55</v>
      </c>
      <c r="O852" s="26"/>
      <c r="P852" s="26" t="s">
        <v>857</v>
      </c>
      <c r="Q852" s="26"/>
      <c r="R852" s="5"/>
      <c r="S852" s="5"/>
      <c r="T852" s="5"/>
      <c r="U852" s="5"/>
      <c r="V852" s="5"/>
      <c r="W852" s="5"/>
      <c r="X852" s="5"/>
      <c r="Y852" s="5"/>
    </row>
    <row r="853" spans="13:25" ht="33">
      <c r="M853" s="26" t="s">
        <v>79</v>
      </c>
      <c r="N853" s="25" t="s">
        <v>66</v>
      </c>
      <c r="O853" s="26" t="s">
        <v>858</v>
      </c>
      <c r="P853" s="26"/>
      <c r="Q853" s="26"/>
      <c r="R853" s="5"/>
      <c r="S853" s="5"/>
      <c r="T853" s="5"/>
      <c r="U853" s="5"/>
      <c r="V853" s="5"/>
      <c r="W853" s="5"/>
      <c r="X853" s="5"/>
      <c r="Y853" s="5"/>
    </row>
    <row r="854" spans="13:25" ht="22">
      <c r="M854" s="26" t="s">
        <v>60</v>
      </c>
      <c r="N854" s="25" t="s">
        <v>51</v>
      </c>
      <c r="O854" s="26" t="s">
        <v>859</v>
      </c>
      <c r="P854" s="26"/>
      <c r="Q854" s="26"/>
      <c r="R854" s="5"/>
      <c r="S854" s="5"/>
      <c r="T854" s="5"/>
      <c r="U854" s="5"/>
      <c r="V854" s="5"/>
      <c r="W854" s="5"/>
      <c r="X854" s="5"/>
      <c r="Y854" s="5"/>
    </row>
    <row r="855" spans="13:25" ht="22">
      <c r="M855" s="26" t="s">
        <v>60</v>
      </c>
      <c r="N855" s="25" t="s">
        <v>51</v>
      </c>
      <c r="O855" s="26"/>
      <c r="P855" s="26" t="s">
        <v>860</v>
      </c>
      <c r="Q855" s="26"/>
      <c r="R855" s="5"/>
      <c r="S855" s="5"/>
      <c r="T855" s="5"/>
      <c r="U855" s="5"/>
      <c r="V855" s="5"/>
      <c r="W855" s="5"/>
      <c r="X855" s="5"/>
      <c r="Y855" s="5"/>
    </row>
    <row r="856" spans="13:25" ht="22">
      <c r="M856" s="26" t="s">
        <v>60</v>
      </c>
      <c r="N856" s="25" t="s">
        <v>57</v>
      </c>
      <c r="O856" s="26"/>
      <c r="P856" s="26" t="s">
        <v>861</v>
      </c>
      <c r="Q856" s="26"/>
      <c r="R856" s="5"/>
      <c r="S856" s="5"/>
      <c r="T856" s="5"/>
      <c r="U856" s="5"/>
      <c r="V856" s="5"/>
      <c r="W856" s="5"/>
      <c r="X856" s="5"/>
      <c r="Y856" s="5"/>
    </row>
    <row r="857" spans="13:25" ht="22">
      <c r="M857" s="26" t="s">
        <v>60</v>
      </c>
      <c r="N857" s="25" t="s">
        <v>51</v>
      </c>
      <c r="O857" s="26" t="s">
        <v>862</v>
      </c>
      <c r="P857" s="26"/>
      <c r="Q857" s="26"/>
      <c r="R857" s="5"/>
      <c r="S857" s="5"/>
      <c r="T857" s="5"/>
      <c r="U857" s="5"/>
      <c r="V857" s="5"/>
      <c r="W857" s="5"/>
      <c r="X857" s="5"/>
      <c r="Y857" s="5"/>
    </row>
    <row r="858" spans="13:25" ht="22">
      <c r="M858" s="26" t="s">
        <v>60</v>
      </c>
      <c r="N858" s="25" t="s">
        <v>51</v>
      </c>
      <c r="O858" s="26"/>
      <c r="P858" s="26" t="s">
        <v>863</v>
      </c>
      <c r="Q858" s="26"/>
      <c r="R858" s="5"/>
      <c r="S858" s="5"/>
      <c r="T858" s="5"/>
      <c r="U858" s="5"/>
      <c r="V858" s="5"/>
      <c r="W858" s="5"/>
      <c r="X858" s="5"/>
      <c r="Y858" s="5"/>
    </row>
    <row r="859" spans="13:25" ht="22">
      <c r="M859" s="26" t="s">
        <v>60</v>
      </c>
      <c r="N859" s="25" t="s">
        <v>51</v>
      </c>
      <c r="O859" s="26"/>
      <c r="P859" s="26" t="s">
        <v>864</v>
      </c>
      <c r="Q859" s="26"/>
      <c r="R859" s="5"/>
      <c r="S859" s="5"/>
      <c r="T859" s="5"/>
      <c r="U859" s="5"/>
      <c r="V859" s="5"/>
      <c r="W859" s="5"/>
      <c r="X859" s="5"/>
      <c r="Y859" s="5"/>
    </row>
    <row r="860" spans="13:25" ht="22">
      <c r="M860" s="26" t="s">
        <v>60</v>
      </c>
      <c r="N860" s="25" t="s">
        <v>57</v>
      </c>
      <c r="O860" s="26"/>
      <c r="P860" s="26" t="s">
        <v>865</v>
      </c>
      <c r="Q860" s="26"/>
      <c r="R860" s="5"/>
      <c r="S860" s="5"/>
      <c r="T860" s="5"/>
      <c r="U860" s="5"/>
      <c r="V860" s="5"/>
      <c r="W860" s="5"/>
      <c r="X860" s="5"/>
      <c r="Y860" s="5"/>
    </row>
    <row r="861" spans="13:25" ht="22">
      <c r="M861" s="26" t="s">
        <v>60</v>
      </c>
      <c r="N861" s="25" t="s">
        <v>51</v>
      </c>
      <c r="O861" s="26" t="s">
        <v>866</v>
      </c>
      <c r="P861" s="26"/>
      <c r="Q861" s="26"/>
      <c r="R861" s="5"/>
      <c r="S861" s="5"/>
      <c r="T861" s="5"/>
      <c r="U861" s="5"/>
      <c r="V861" s="5"/>
      <c r="W861" s="5"/>
      <c r="X861" s="5"/>
      <c r="Y861" s="5"/>
    </row>
    <row r="862" spans="13:25" ht="22">
      <c r="M862" s="26" t="s">
        <v>60</v>
      </c>
      <c r="N862" s="25" t="s">
        <v>51</v>
      </c>
      <c r="O862" s="26"/>
      <c r="P862" s="26" t="s">
        <v>867</v>
      </c>
      <c r="Q862" s="26"/>
      <c r="R862" s="5"/>
      <c r="S862" s="5"/>
      <c r="T862" s="5"/>
      <c r="U862" s="5"/>
      <c r="V862" s="5"/>
      <c r="W862" s="5"/>
      <c r="X862" s="5"/>
      <c r="Y862" s="5"/>
    </row>
    <row r="863" spans="13:25" ht="22">
      <c r="M863" s="26" t="s">
        <v>60</v>
      </c>
      <c r="N863" s="25" t="s">
        <v>51</v>
      </c>
      <c r="O863" s="26"/>
      <c r="P863" s="26" t="s">
        <v>868</v>
      </c>
      <c r="Q863" s="26"/>
      <c r="R863" s="5"/>
      <c r="S863" s="5"/>
      <c r="T863" s="5"/>
      <c r="U863" s="5"/>
      <c r="V863" s="5"/>
      <c r="W863" s="5"/>
      <c r="X863" s="5"/>
      <c r="Y863" s="5"/>
    </row>
    <row r="864" spans="13:25" ht="66">
      <c r="M864" s="26" t="s">
        <v>60</v>
      </c>
      <c r="N864" s="25" t="s">
        <v>51</v>
      </c>
      <c r="O864" s="26"/>
      <c r="P864" s="26" t="s">
        <v>869</v>
      </c>
      <c r="Q864" s="26"/>
      <c r="R864" s="5"/>
      <c r="S864" s="5"/>
      <c r="T864" s="5"/>
      <c r="U864" s="5"/>
      <c r="V864" s="5"/>
      <c r="W864" s="5"/>
      <c r="X864" s="5"/>
      <c r="Y864" s="5"/>
    </row>
    <row r="865" spans="13:25" ht="22">
      <c r="M865" s="26" t="s">
        <v>60</v>
      </c>
      <c r="N865" s="25" t="s">
        <v>51</v>
      </c>
      <c r="O865" s="26"/>
      <c r="P865" s="26" t="s">
        <v>870</v>
      </c>
      <c r="Q865" s="26"/>
      <c r="R865" s="5"/>
      <c r="S865" s="5"/>
      <c r="T865" s="5"/>
      <c r="U865" s="5"/>
      <c r="V865" s="5"/>
      <c r="W865" s="5"/>
      <c r="X865" s="5"/>
      <c r="Y865" s="5"/>
    </row>
    <row r="866" spans="13:25" ht="33">
      <c r="M866" s="26" t="s">
        <v>60</v>
      </c>
      <c r="N866" s="25" t="s">
        <v>57</v>
      </c>
      <c r="O866" s="26"/>
      <c r="P866" s="26" t="s">
        <v>871</v>
      </c>
      <c r="Q866" s="26"/>
      <c r="R866" s="5"/>
      <c r="S866" s="5"/>
      <c r="T866" s="5"/>
      <c r="U866" s="5"/>
      <c r="V866" s="5"/>
      <c r="W866" s="5"/>
      <c r="X866" s="5"/>
      <c r="Y866" s="5"/>
    </row>
    <row r="867" spans="13:25" ht="33">
      <c r="M867" s="26" t="s">
        <v>60</v>
      </c>
      <c r="N867" s="25" t="s">
        <v>57</v>
      </c>
      <c r="O867" s="26"/>
      <c r="P867" s="26" t="s">
        <v>871</v>
      </c>
      <c r="Q867" s="26"/>
      <c r="R867" s="5"/>
      <c r="S867" s="5"/>
      <c r="T867" s="5"/>
      <c r="U867" s="5"/>
      <c r="V867" s="5"/>
      <c r="W867" s="5"/>
      <c r="X867" s="5"/>
      <c r="Y867" s="5"/>
    </row>
    <row r="868" spans="13:25" ht="55">
      <c r="M868" s="26" t="s">
        <v>60</v>
      </c>
      <c r="N868" s="25" t="s">
        <v>51</v>
      </c>
      <c r="O868" s="26"/>
      <c r="P868" s="26" t="s">
        <v>872</v>
      </c>
      <c r="Q868" s="26"/>
      <c r="R868" s="5"/>
      <c r="S868" s="5"/>
      <c r="T868" s="5"/>
      <c r="U868" s="5"/>
      <c r="V868" s="5"/>
      <c r="W868" s="5"/>
      <c r="X868" s="5"/>
      <c r="Y868" s="5"/>
    </row>
    <row r="869" spans="13:25" ht="55">
      <c r="M869" s="26" t="s">
        <v>60</v>
      </c>
      <c r="N869" s="25" t="s">
        <v>51</v>
      </c>
      <c r="O869" s="26"/>
      <c r="P869" s="26" t="s">
        <v>873</v>
      </c>
      <c r="Q869" s="26"/>
      <c r="R869" s="5"/>
      <c r="S869" s="5"/>
      <c r="T869" s="5"/>
      <c r="U869" s="5"/>
      <c r="V869" s="5"/>
      <c r="W869" s="5"/>
      <c r="X869" s="5"/>
      <c r="Y869" s="5"/>
    </row>
    <row r="870" spans="13:25" ht="66">
      <c r="M870" s="26" t="s">
        <v>60</v>
      </c>
      <c r="N870" s="25" t="s">
        <v>51</v>
      </c>
      <c r="O870" s="26"/>
      <c r="P870" s="26" t="s">
        <v>874</v>
      </c>
      <c r="Q870" s="26"/>
      <c r="R870" s="5"/>
      <c r="S870" s="5"/>
      <c r="T870" s="5"/>
      <c r="U870" s="5"/>
      <c r="V870" s="5"/>
      <c r="W870" s="5"/>
      <c r="X870" s="5"/>
      <c r="Y870" s="5"/>
    </row>
    <row r="871" spans="13:25" ht="22">
      <c r="M871" s="26" t="s">
        <v>60</v>
      </c>
      <c r="N871" s="25" t="s">
        <v>57</v>
      </c>
      <c r="O871" s="26" t="s">
        <v>875</v>
      </c>
      <c r="P871" s="26"/>
      <c r="Q871" s="26"/>
      <c r="R871" s="5"/>
      <c r="S871" s="5"/>
      <c r="T871" s="5"/>
      <c r="U871" s="5"/>
      <c r="V871" s="5"/>
      <c r="W871" s="5"/>
      <c r="X871" s="5"/>
      <c r="Y871" s="5"/>
    </row>
    <row r="872" spans="13:25" ht="22">
      <c r="M872" s="26" t="s">
        <v>60</v>
      </c>
      <c r="N872" s="25" t="s">
        <v>57</v>
      </c>
      <c r="O872" s="26" t="s">
        <v>876</v>
      </c>
      <c r="P872" s="26"/>
      <c r="Q872" s="26"/>
      <c r="R872" s="5"/>
      <c r="S872" s="5"/>
      <c r="T872" s="5"/>
      <c r="U872" s="5"/>
      <c r="V872" s="5"/>
      <c r="W872" s="5"/>
      <c r="X872" s="5"/>
      <c r="Y872" s="5"/>
    </row>
    <row r="873" spans="13:25" ht="22">
      <c r="M873" s="26" t="s">
        <v>60</v>
      </c>
      <c r="N873" s="25" t="s">
        <v>57</v>
      </c>
      <c r="O873" s="26" t="s">
        <v>877</v>
      </c>
      <c r="P873" s="26"/>
      <c r="Q873" s="26"/>
      <c r="R873" s="5"/>
      <c r="S873" s="5"/>
      <c r="T873" s="5"/>
      <c r="U873" s="5"/>
      <c r="V873" s="5"/>
      <c r="W873" s="5"/>
      <c r="X873" s="5"/>
      <c r="Y873" s="5"/>
    </row>
    <row r="874" spans="13:25" ht="22">
      <c r="M874" s="26" t="s">
        <v>60</v>
      </c>
      <c r="N874" s="25" t="s">
        <v>51</v>
      </c>
      <c r="O874" s="26" t="s">
        <v>878</v>
      </c>
      <c r="P874" s="26"/>
      <c r="Q874" s="26"/>
      <c r="R874" s="5"/>
      <c r="S874" s="5"/>
      <c r="T874" s="5"/>
      <c r="U874" s="5"/>
      <c r="V874" s="5"/>
      <c r="W874" s="5"/>
      <c r="X874" s="5"/>
      <c r="Y874" s="5"/>
    </row>
    <row r="875" spans="13:25" ht="22">
      <c r="M875" s="26" t="s">
        <v>60</v>
      </c>
      <c r="N875" s="25" t="s">
        <v>51</v>
      </c>
      <c r="O875" s="26" t="s">
        <v>879</v>
      </c>
      <c r="P875" s="26"/>
      <c r="Q875" s="26"/>
      <c r="R875" s="5"/>
      <c r="S875" s="5"/>
      <c r="T875" s="5"/>
      <c r="U875" s="5"/>
      <c r="V875" s="5"/>
      <c r="W875" s="5"/>
      <c r="X875" s="5"/>
      <c r="Y875" s="5"/>
    </row>
    <row r="876" spans="13:25" ht="66">
      <c r="M876" s="26" t="s">
        <v>60</v>
      </c>
      <c r="N876" s="25" t="s">
        <v>51</v>
      </c>
      <c r="O876" s="26"/>
      <c r="P876" s="26" t="s">
        <v>880</v>
      </c>
      <c r="Q876" s="26"/>
      <c r="R876" s="5"/>
      <c r="S876" s="5"/>
      <c r="T876" s="5"/>
      <c r="U876" s="5"/>
      <c r="V876" s="5"/>
      <c r="W876" s="5"/>
      <c r="X876" s="5"/>
      <c r="Y876" s="5"/>
    </row>
    <row r="877" spans="13:25" ht="22">
      <c r="M877" s="26" t="s">
        <v>60</v>
      </c>
      <c r="N877" s="25" t="s">
        <v>57</v>
      </c>
      <c r="O877" s="26"/>
      <c r="P877" s="26" t="s">
        <v>881</v>
      </c>
      <c r="Q877" s="26"/>
      <c r="R877" s="5"/>
      <c r="S877" s="5"/>
      <c r="T877" s="5"/>
      <c r="U877" s="5"/>
      <c r="V877" s="5"/>
      <c r="W877" s="5"/>
      <c r="X877" s="5"/>
      <c r="Y877" s="5"/>
    </row>
    <row r="878" spans="13:25" ht="55">
      <c r="M878" s="26" t="s">
        <v>60</v>
      </c>
      <c r="N878" s="25" t="s">
        <v>51</v>
      </c>
      <c r="O878" s="26"/>
      <c r="P878" s="26" t="s">
        <v>882</v>
      </c>
      <c r="Q878" s="26"/>
      <c r="R878" s="5"/>
      <c r="S878" s="5"/>
      <c r="T878" s="5"/>
      <c r="U878" s="5"/>
      <c r="V878" s="5"/>
      <c r="W878" s="5"/>
      <c r="X878" s="5"/>
      <c r="Y878" s="5"/>
    </row>
    <row r="879" spans="13:25" ht="66">
      <c r="M879" s="26" t="s">
        <v>60</v>
      </c>
      <c r="N879" s="25" t="s">
        <v>51</v>
      </c>
      <c r="O879" s="26"/>
      <c r="P879" s="26" t="s">
        <v>883</v>
      </c>
      <c r="Q879" s="26"/>
      <c r="R879" s="5"/>
      <c r="S879" s="5"/>
      <c r="T879" s="5"/>
      <c r="U879" s="5"/>
      <c r="V879" s="5"/>
      <c r="W879" s="5"/>
      <c r="X879" s="5"/>
      <c r="Y879" s="5"/>
    </row>
    <row r="880" spans="13:25" ht="55">
      <c r="M880" s="26" t="s">
        <v>60</v>
      </c>
      <c r="N880" s="25" t="s">
        <v>51</v>
      </c>
      <c r="O880" s="26"/>
      <c r="P880" s="26" t="s">
        <v>884</v>
      </c>
      <c r="Q880" s="26"/>
      <c r="R880" s="5"/>
      <c r="S880" s="5"/>
      <c r="T880" s="5"/>
      <c r="U880" s="5"/>
      <c r="V880" s="5"/>
      <c r="W880" s="5"/>
      <c r="X880" s="5"/>
      <c r="Y880" s="5"/>
    </row>
    <row r="881" spans="13:25" ht="22">
      <c r="M881" s="26" t="s">
        <v>60</v>
      </c>
      <c r="N881" s="25" t="s">
        <v>51</v>
      </c>
      <c r="O881" s="26" t="s">
        <v>885</v>
      </c>
      <c r="P881" s="26"/>
      <c r="Q881" s="26"/>
      <c r="R881" s="5"/>
      <c r="S881" s="5"/>
      <c r="T881" s="5"/>
      <c r="U881" s="5"/>
      <c r="V881" s="5"/>
      <c r="W881" s="5"/>
      <c r="X881" s="5"/>
      <c r="Y881" s="5"/>
    </row>
    <row r="882" spans="13:25" ht="66">
      <c r="M882" s="26" t="s">
        <v>60</v>
      </c>
      <c r="N882" s="25" t="s">
        <v>51</v>
      </c>
      <c r="O882" s="26"/>
      <c r="P882" s="26" t="s">
        <v>886</v>
      </c>
      <c r="Q882" s="26"/>
      <c r="R882" s="5"/>
      <c r="S882" s="5"/>
      <c r="T882" s="5"/>
      <c r="U882" s="5"/>
      <c r="V882" s="5"/>
      <c r="W882" s="5"/>
      <c r="X882" s="5"/>
      <c r="Y882" s="5"/>
    </row>
    <row r="883" spans="13:25" ht="22">
      <c r="M883" s="26" t="s">
        <v>60</v>
      </c>
      <c r="N883" s="25" t="s">
        <v>57</v>
      </c>
      <c r="O883" s="26"/>
      <c r="P883" s="26" t="s">
        <v>887</v>
      </c>
      <c r="Q883" s="26"/>
      <c r="R883" s="5"/>
      <c r="S883" s="5"/>
      <c r="T883" s="5"/>
      <c r="U883" s="5"/>
      <c r="V883" s="5"/>
      <c r="W883" s="5"/>
      <c r="X883" s="5"/>
      <c r="Y883" s="5"/>
    </row>
    <row r="884" spans="13:25" ht="55">
      <c r="M884" s="26" t="s">
        <v>60</v>
      </c>
      <c r="N884" s="25" t="s">
        <v>51</v>
      </c>
      <c r="O884" s="26"/>
      <c r="P884" s="26" t="s">
        <v>888</v>
      </c>
      <c r="Q884" s="26"/>
      <c r="R884" s="5"/>
      <c r="S884" s="5"/>
      <c r="T884" s="5"/>
      <c r="U884" s="5"/>
      <c r="V884" s="5"/>
      <c r="W884" s="5"/>
      <c r="X884" s="5"/>
      <c r="Y884" s="5"/>
    </row>
    <row r="885" spans="13:25" ht="55">
      <c r="M885" s="26" t="s">
        <v>60</v>
      </c>
      <c r="N885" s="25" t="s">
        <v>51</v>
      </c>
      <c r="O885" s="26"/>
      <c r="P885" s="26" t="s">
        <v>889</v>
      </c>
      <c r="Q885" s="26"/>
      <c r="R885" s="5"/>
      <c r="S885" s="5"/>
      <c r="T885" s="5"/>
      <c r="U885" s="5"/>
      <c r="V885" s="5"/>
      <c r="W885" s="5"/>
      <c r="X885" s="5"/>
      <c r="Y885" s="5"/>
    </row>
    <row r="886" spans="13:25" ht="66">
      <c r="M886" s="26" t="s">
        <v>60</v>
      </c>
      <c r="N886" s="25" t="s">
        <v>51</v>
      </c>
      <c r="O886" s="26"/>
      <c r="P886" s="26" t="s">
        <v>890</v>
      </c>
      <c r="Q886" s="26"/>
      <c r="R886" s="5"/>
      <c r="S886" s="5"/>
      <c r="T886" s="5"/>
      <c r="U886" s="5"/>
      <c r="V886" s="5"/>
      <c r="W886" s="5"/>
      <c r="X886" s="5"/>
      <c r="Y886" s="5"/>
    </row>
    <row r="887" spans="13:25" ht="33">
      <c r="M887" s="26" t="s">
        <v>60</v>
      </c>
      <c r="N887" s="25" t="s">
        <v>57</v>
      </c>
      <c r="O887" s="26" t="s">
        <v>891</v>
      </c>
      <c r="P887" s="26"/>
      <c r="Q887" s="26"/>
      <c r="R887" s="5"/>
      <c r="S887" s="5"/>
      <c r="T887" s="5"/>
      <c r="U887" s="5"/>
      <c r="V887" s="5"/>
      <c r="W887" s="5"/>
      <c r="X887" s="5"/>
      <c r="Y887" s="5"/>
    </row>
    <row r="888" spans="13:25" ht="33">
      <c r="M888" s="26" t="s">
        <v>60</v>
      </c>
      <c r="N888" s="25" t="s">
        <v>57</v>
      </c>
      <c r="O888" s="26" t="s">
        <v>892</v>
      </c>
      <c r="P888" s="26"/>
      <c r="Q888" s="26"/>
      <c r="R888" s="5"/>
      <c r="S888" s="5"/>
      <c r="T888" s="5"/>
      <c r="U888" s="5"/>
      <c r="V888" s="5"/>
      <c r="W888" s="5"/>
      <c r="X888" s="5"/>
      <c r="Y888" s="5"/>
    </row>
    <row r="889" spans="13:25" ht="22">
      <c r="M889" s="26" t="s">
        <v>60</v>
      </c>
      <c r="N889" s="25" t="s">
        <v>51</v>
      </c>
      <c r="O889" s="26" t="s">
        <v>893</v>
      </c>
      <c r="P889" s="26"/>
      <c r="Q889" s="26"/>
      <c r="R889" s="5"/>
      <c r="S889" s="5"/>
      <c r="T889" s="5"/>
      <c r="U889" s="5"/>
      <c r="V889" s="5"/>
      <c r="W889" s="5"/>
      <c r="X889" s="5"/>
      <c r="Y889" s="5"/>
    </row>
    <row r="890" spans="13:25" ht="33">
      <c r="M890" s="26" t="s">
        <v>60</v>
      </c>
      <c r="N890" s="25" t="s">
        <v>51</v>
      </c>
      <c r="O890" s="26"/>
      <c r="P890" s="26" t="s">
        <v>894</v>
      </c>
      <c r="Q890" s="26"/>
      <c r="R890" s="5"/>
      <c r="S890" s="5"/>
      <c r="T890" s="5"/>
      <c r="U890" s="5"/>
      <c r="V890" s="5"/>
      <c r="W890" s="5"/>
      <c r="X890" s="5"/>
      <c r="Y890" s="5"/>
    </row>
    <row r="891" spans="13:25" ht="22">
      <c r="M891" s="26" t="s">
        <v>60</v>
      </c>
      <c r="N891" s="25" t="s">
        <v>57</v>
      </c>
      <c r="O891" s="26"/>
      <c r="P891" s="26" t="s">
        <v>895</v>
      </c>
      <c r="Q891" s="26"/>
      <c r="R891" s="5"/>
      <c r="S891" s="5"/>
      <c r="T891" s="5"/>
      <c r="U891" s="5"/>
      <c r="V891" s="5"/>
      <c r="W891" s="5"/>
      <c r="X891" s="5"/>
      <c r="Y891" s="5"/>
    </row>
    <row r="892" spans="13:25" ht="22">
      <c r="M892" s="26" t="s">
        <v>60</v>
      </c>
      <c r="N892" s="25" t="s">
        <v>51</v>
      </c>
      <c r="O892" s="26" t="s">
        <v>896</v>
      </c>
      <c r="P892" s="26"/>
      <c r="Q892" s="26"/>
      <c r="R892" s="5"/>
      <c r="S892" s="5"/>
      <c r="T892" s="5"/>
      <c r="U892" s="5"/>
      <c r="V892" s="5"/>
      <c r="W892" s="5"/>
      <c r="X892" s="5"/>
      <c r="Y892" s="5"/>
    </row>
    <row r="893" spans="13:25" ht="33">
      <c r="M893" s="26" t="s">
        <v>60</v>
      </c>
      <c r="N893" s="25" t="s">
        <v>51</v>
      </c>
      <c r="O893" s="26"/>
      <c r="P893" s="26" t="s">
        <v>897</v>
      </c>
      <c r="Q893" s="26"/>
      <c r="R893" s="5"/>
      <c r="S893" s="5"/>
      <c r="T893" s="5"/>
      <c r="U893" s="5"/>
      <c r="V893" s="5"/>
      <c r="W893" s="5"/>
      <c r="X893" s="5"/>
      <c r="Y893" s="5"/>
    </row>
    <row r="894" spans="13:25" ht="22">
      <c r="M894" s="26" t="s">
        <v>60</v>
      </c>
      <c r="N894" s="25" t="s">
        <v>57</v>
      </c>
      <c r="O894" s="26"/>
      <c r="P894" s="26" t="s">
        <v>898</v>
      </c>
      <c r="Q894" s="26"/>
      <c r="R894" s="5"/>
      <c r="S894" s="5"/>
      <c r="T894" s="5"/>
      <c r="U894" s="5"/>
      <c r="V894" s="5"/>
      <c r="W894" s="5"/>
      <c r="X894" s="5"/>
      <c r="Y894" s="5"/>
    </row>
    <row r="895" spans="13:25" ht="22">
      <c r="M895" s="26" t="s">
        <v>60</v>
      </c>
      <c r="N895" s="25" t="s">
        <v>51</v>
      </c>
      <c r="O895" s="26" t="s">
        <v>899</v>
      </c>
      <c r="P895" s="26"/>
      <c r="Q895" s="26"/>
      <c r="R895" s="5"/>
      <c r="S895" s="5"/>
      <c r="T895" s="5"/>
      <c r="U895" s="5"/>
      <c r="V895" s="5"/>
      <c r="W895" s="5"/>
      <c r="X895" s="5"/>
      <c r="Y895" s="5"/>
    </row>
    <row r="896" spans="13:25" ht="22">
      <c r="M896" s="26" t="s">
        <v>60</v>
      </c>
      <c r="N896" s="25" t="s">
        <v>51</v>
      </c>
      <c r="O896" s="26" t="s">
        <v>900</v>
      </c>
      <c r="P896" s="26"/>
      <c r="Q896" s="26"/>
      <c r="R896" s="5"/>
      <c r="S896" s="5"/>
      <c r="T896" s="5"/>
      <c r="U896" s="5"/>
      <c r="V896" s="5"/>
      <c r="W896" s="5"/>
      <c r="X896" s="5"/>
      <c r="Y896" s="5"/>
    </row>
    <row r="897" spans="13:25" ht="22">
      <c r="M897" s="26" t="s">
        <v>60</v>
      </c>
      <c r="N897" s="25" t="s">
        <v>51</v>
      </c>
      <c r="O897" s="26" t="s">
        <v>901</v>
      </c>
      <c r="P897" s="26"/>
      <c r="Q897" s="26"/>
      <c r="R897" s="5"/>
      <c r="S897" s="5"/>
      <c r="T897" s="5"/>
      <c r="U897" s="5"/>
      <c r="V897" s="5"/>
      <c r="W897" s="5"/>
      <c r="X897" s="5"/>
      <c r="Y897" s="5"/>
    </row>
    <row r="898" spans="13:25" ht="22">
      <c r="M898" s="26" t="s">
        <v>60</v>
      </c>
      <c r="N898" s="25" t="s">
        <v>57</v>
      </c>
      <c r="O898" s="26" t="s">
        <v>902</v>
      </c>
      <c r="P898" s="26"/>
      <c r="Q898" s="26"/>
      <c r="R898" s="5"/>
      <c r="S898" s="5"/>
      <c r="T898" s="5"/>
      <c r="U898" s="5"/>
      <c r="V898" s="5"/>
      <c r="W898" s="5"/>
      <c r="X898" s="5"/>
      <c r="Y898" s="5"/>
    </row>
    <row r="899" spans="13:25" ht="22">
      <c r="M899" s="26" t="s">
        <v>60</v>
      </c>
      <c r="N899" s="25" t="s">
        <v>57</v>
      </c>
      <c r="O899" s="26" t="s">
        <v>903</v>
      </c>
      <c r="P899" s="26"/>
      <c r="Q899" s="26"/>
      <c r="R899" s="5"/>
      <c r="S899" s="5"/>
      <c r="T899" s="5"/>
      <c r="U899" s="5"/>
      <c r="V899" s="5"/>
      <c r="W899" s="5"/>
      <c r="X899" s="5"/>
      <c r="Y899" s="5"/>
    </row>
    <row r="900" spans="13:25" ht="22">
      <c r="M900" s="26" t="s">
        <v>60</v>
      </c>
      <c r="N900" s="25" t="s">
        <v>57</v>
      </c>
      <c r="O900" s="26" t="s">
        <v>904</v>
      </c>
      <c r="P900" s="26"/>
      <c r="Q900" s="26"/>
      <c r="R900" s="5"/>
      <c r="S900" s="5"/>
      <c r="T900" s="5"/>
      <c r="U900" s="5"/>
      <c r="V900" s="5"/>
      <c r="W900" s="5"/>
      <c r="X900" s="5"/>
      <c r="Y900" s="5"/>
    </row>
    <row r="901" spans="13:25" ht="22">
      <c r="M901" s="26" t="s">
        <v>60</v>
      </c>
      <c r="N901" s="25" t="s">
        <v>57</v>
      </c>
      <c r="O901" s="26" t="s">
        <v>905</v>
      </c>
      <c r="P901" s="26"/>
      <c r="Q901" s="26"/>
      <c r="R901" s="5"/>
      <c r="S901" s="5"/>
      <c r="T901" s="5"/>
      <c r="U901" s="5"/>
      <c r="V901" s="5"/>
      <c r="W901" s="5"/>
      <c r="X901" s="5"/>
      <c r="Y901" s="5"/>
    </row>
    <row r="902" spans="13:25" ht="22">
      <c r="M902" s="26" t="s">
        <v>60</v>
      </c>
      <c r="N902" s="25" t="s">
        <v>57</v>
      </c>
      <c r="O902" s="26" t="s">
        <v>906</v>
      </c>
      <c r="P902" s="26"/>
      <c r="Q902" s="26"/>
      <c r="R902" s="5"/>
      <c r="S902" s="5"/>
      <c r="T902" s="5"/>
      <c r="U902" s="5"/>
      <c r="V902" s="5"/>
      <c r="W902" s="5"/>
      <c r="X902" s="5"/>
      <c r="Y902" s="5"/>
    </row>
    <row r="903" spans="13:25" ht="22">
      <c r="M903" s="26" t="s">
        <v>60</v>
      </c>
      <c r="N903" s="25" t="s">
        <v>57</v>
      </c>
      <c r="O903" s="26" t="s">
        <v>907</v>
      </c>
      <c r="P903" s="26"/>
      <c r="Q903" s="26"/>
      <c r="R903" s="5"/>
      <c r="S903" s="5"/>
      <c r="T903" s="5"/>
      <c r="U903" s="5"/>
      <c r="V903" s="5"/>
      <c r="W903" s="5"/>
      <c r="X903" s="5"/>
      <c r="Y903" s="5"/>
    </row>
    <row r="904" spans="13:25" ht="22">
      <c r="M904" s="26" t="s">
        <v>60</v>
      </c>
      <c r="N904" s="25" t="s">
        <v>51</v>
      </c>
      <c r="O904" s="26" t="s">
        <v>908</v>
      </c>
      <c r="P904" s="26"/>
      <c r="Q904" s="26"/>
      <c r="R904" s="5"/>
      <c r="S904" s="5"/>
      <c r="T904" s="5"/>
      <c r="U904" s="5"/>
      <c r="V904" s="5"/>
      <c r="W904" s="5"/>
      <c r="X904" s="5"/>
      <c r="Y904" s="5"/>
    </row>
    <row r="905" spans="13:25" ht="22">
      <c r="M905" s="26" t="s">
        <v>60</v>
      </c>
      <c r="N905" s="25" t="s">
        <v>57</v>
      </c>
      <c r="O905" s="26"/>
      <c r="P905" s="26" t="s">
        <v>909</v>
      </c>
      <c r="Q905" s="26"/>
      <c r="R905" s="5"/>
      <c r="S905" s="5"/>
      <c r="T905" s="5"/>
      <c r="U905" s="5"/>
      <c r="V905" s="5"/>
      <c r="W905" s="5"/>
      <c r="X905" s="5"/>
      <c r="Y905" s="5"/>
    </row>
    <row r="906" spans="13:25" ht="22">
      <c r="M906" s="26" t="s">
        <v>60</v>
      </c>
      <c r="N906" s="25" t="s">
        <v>51</v>
      </c>
      <c r="O906" s="26" t="s">
        <v>910</v>
      </c>
      <c r="P906" s="26"/>
      <c r="Q906" s="26"/>
      <c r="R906" s="5"/>
      <c r="S906" s="5"/>
      <c r="T906" s="5"/>
      <c r="U906" s="5"/>
      <c r="V906" s="5"/>
      <c r="W906" s="5"/>
      <c r="X906" s="5"/>
      <c r="Y906" s="5"/>
    </row>
    <row r="907" spans="13:25" ht="33">
      <c r="M907" s="26" t="s">
        <v>60</v>
      </c>
      <c r="N907" s="25" t="s">
        <v>51</v>
      </c>
      <c r="O907" s="26"/>
      <c r="P907" s="26" t="s">
        <v>911</v>
      </c>
      <c r="Q907" s="26"/>
      <c r="R907" s="5"/>
      <c r="S907" s="5"/>
      <c r="T907" s="5"/>
      <c r="U907" s="5"/>
      <c r="V907" s="5"/>
      <c r="W907" s="5"/>
      <c r="X907" s="5"/>
      <c r="Y907" s="5"/>
    </row>
    <row r="908" spans="13:25" ht="22">
      <c r="M908" s="26" t="s">
        <v>60</v>
      </c>
      <c r="N908" s="25" t="s">
        <v>51</v>
      </c>
      <c r="O908" s="26"/>
      <c r="P908" s="26" t="s">
        <v>912</v>
      </c>
      <c r="Q908" s="26"/>
      <c r="R908" s="5"/>
      <c r="S908" s="5"/>
      <c r="T908" s="5"/>
      <c r="U908" s="5"/>
      <c r="V908" s="5"/>
      <c r="W908" s="5"/>
      <c r="X908" s="5"/>
      <c r="Y908" s="5"/>
    </row>
    <row r="909" spans="13:25" ht="22">
      <c r="M909" s="26" t="s">
        <v>60</v>
      </c>
      <c r="N909" s="25" t="s">
        <v>51</v>
      </c>
      <c r="O909" s="26"/>
      <c r="P909" s="26" t="s">
        <v>913</v>
      </c>
      <c r="Q909" s="26"/>
      <c r="R909" s="5"/>
      <c r="S909" s="5"/>
      <c r="T909" s="5"/>
      <c r="U909" s="5"/>
      <c r="V909" s="5"/>
      <c r="W909" s="5"/>
      <c r="X909" s="5"/>
      <c r="Y909" s="5"/>
    </row>
    <row r="910" spans="13:25" ht="22">
      <c r="M910" s="26" t="s">
        <v>60</v>
      </c>
      <c r="N910" s="25" t="s">
        <v>51</v>
      </c>
      <c r="O910" s="26"/>
      <c r="P910" s="26" t="s">
        <v>914</v>
      </c>
      <c r="Q910" s="26"/>
      <c r="R910" s="5"/>
      <c r="S910" s="5"/>
      <c r="T910" s="5"/>
      <c r="U910" s="5"/>
      <c r="V910" s="5"/>
      <c r="W910" s="5"/>
      <c r="X910" s="5"/>
      <c r="Y910" s="5"/>
    </row>
    <row r="911" spans="13:25" ht="22">
      <c r="M911" s="26" t="s">
        <v>60</v>
      </c>
      <c r="N911" s="25" t="s">
        <v>51</v>
      </c>
      <c r="O911" s="26"/>
      <c r="P911" s="26" t="s">
        <v>915</v>
      </c>
      <c r="Q911" s="26"/>
      <c r="R911" s="5"/>
      <c r="S911" s="5"/>
      <c r="T911" s="5"/>
      <c r="U911" s="5"/>
      <c r="V911" s="5"/>
      <c r="W911" s="5"/>
      <c r="X911" s="5"/>
      <c r="Y911" s="5"/>
    </row>
    <row r="912" spans="13:25" ht="22">
      <c r="M912" s="26" t="s">
        <v>60</v>
      </c>
      <c r="N912" s="25" t="s">
        <v>51</v>
      </c>
      <c r="O912" s="26"/>
      <c r="P912" s="26" t="s">
        <v>916</v>
      </c>
      <c r="Q912" s="26"/>
      <c r="R912" s="5"/>
      <c r="S912" s="5"/>
      <c r="T912" s="5"/>
      <c r="U912" s="5"/>
      <c r="V912" s="5"/>
      <c r="W912" s="5"/>
      <c r="X912" s="5"/>
      <c r="Y912" s="5"/>
    </row>
    <row r="913" spans="13:25" ht="22">
      <c r="M913" s="26" t="s">
        <v>60</v>
      </c>
      <c r="N913" s="25" t="s">
        <v>51</v>
      </c>
      <c r="O913" s="26"/>
      <c r="P913" s="26" t="s">
        <v>917</v>
      </c>
      <c r="Q913" s="26"/>
      <c r="R913" s="5"/>
      <c r="S913" s="5"/>
      <c r="T913" s="5"/>
      <c r="U913" s="5"/>
      <c r="V913" s="5"/>
      <c r="W913" s="5"/>
      <c r="X913" s="5"/>
      <c r="Y913" s="5"/>
    </row>
    <row r="914" spans="13:25" ht="22">
      <c r="M914" s="26" t="s">
        <v>60</v>
      </c>
      <c r="N914" s="25" t="s">
        <v>57</v>
      </c>
      <c r="O914" s="26"/>
      <c r="P914" s="26" t="s">
        <v>918</v>
      </c>
      <c r="Q914" s="26"/>
      <c r="R914" s="5"/>
      <c r="S914" s="5"/>
      <c r="T914" s="5"/>
      <c r="U914" s="5"/>
      <c r="V914" s="5"/>
      <c r="W914" s="5"/>
      <c r="X914" s="5"/>
      <c r="Y914" s="5"/>
    </row>
    <row r="915" spans="13:25" ht="22">
      <c r="M915" s="26" t="s">
        <v>60</v>
      </c>
      <c r="N915" s="25" t="s">
        <v>51</v>
      </c>
      <c r="O915" s="26"/>
      <c r="P915" s="26" t="s">
        <v>919</v>
      </c>
      <c r="Q915" s="26"/>
      <c r="R915" s="5"/>
      <c r="S915" s="5"/>
      <c r="T915" s="5"/>
      <c r="U915" s="5"/>
      <c r="V915" s="5"/>
      <c r="W915" s="5"/>
      <c r="X915" s="5"/>
      <c r="Y915" s="5"/>
    </row>
    <row r="916" spans="13:25" ht="22">
      <c r="M916" s="26" t="s">
        <v>60</v>
      </c>
      <c r="N916" s="25" t="s">
        <v>51</v>
      </c>
      <c r="O916" s="26" t="s">
        <v>920</v>
      </c>
      <c r="P916" s="26"/>
      <c r="Q916" s="26"/>
      <c r="R916" s="5"/>
      <c r="S916" s="5"/>
      <c r="T916" s="5"/>
      <c r="U916" s="5"/>
      <c r="V916" s="5"/>
      <c r="W916" s="5"/>
      <c r="X916" s="5"/>
      <c r="Y916" s="5"/>
    </row>
    <row r="917" spans="13:25" ht="22">
      <c r="M917" s="26" t="s">
        <v>60</v>
      </c>
      <c r="N917" s="25" t="s">
        <v>55</v>
      </c>
      <c r="O917" s="26"/>
      <c r="P917" s="26" t="s">
        <v>921</v>
      </c>
      <c r="Q917" s="26"/>
      <c r="R917" s="5"/>
      <c r="S917" s="5"/>
      <c r="T917" s="5"/>
      <c r="U917" s="5"/>
      <c r="V917" s="5"/>
      <c r="W917" s="5"/>
      <c r="X917" s="5"/>
      <c r="Y917" s="5"/>
    </row>
    <row r="918" spans="13:25" ht="44">
      <c r="M918" s="26" t="s">
        <v>60</v>
      </c>
      <c r="N918" s="25" t="s">
        <v>55</v>
      </c>
      <c r="O918" s="26"/>
      <c r="P918" s="26" t="s">
        <v>922</v>
      </c>
      <c r="Q918" s="26"/>
      <c r="R918" s="5"/>
      <c r="S918" s="5"/>
      <c r="T918" s="5"/>
      <c r="U918" s="5"/>
      <c r="V918" s="5"/>
      <c r="W918" s="5"/>
      <c r="X918" s="5"/>
      <c r="Y918" s="5"/>
    </row>
    <row r="919" spans="13:25" ht="44">
      <c r="M919" s="26" t="s">
        <v>60</v>
      </c>
      <c r="N919" s="25" t="s">
        <v>55</v>
      </c>
      <c r="O919" s="26"/>
      <c r="P919" s="26" t="s">
        <v>923</v>
      </c>
      <c r="Q919" s="26"/>
      <c r="R919" s="5"/>
      <c r="S919" s="5"/>
      <c r="T919" s="5"/>
      <c r="U919" s="5"/>
      <c r="V919" s="5"/>
      <c r="W919" s="5"/>
      <c r="X919" s="5"/>
      <c r="Y919" s="5"/>
    </row>
    <row r="920" spans="13:25" ht="22">
      <c r="M920" s="26" t="s">
        <v>60</v>
      </c>
      <c r="N920" s="25" t="s">
        <v>57</v>
      </c>
      <c r="O920" s="26"/>
      <c r="P920" s="26" t="s">
        <v>924</v>
      </c>
      <c r="Q920" s="26"/>
      <c r="R920" s="5"/>
      <c r="S920" s="5"/>
      <c r="T920" s="5"/>
      <c r="U920" s="5"/>
      <c r="V920" s="5"/>
      <c r="W920" s="5"/>
      <c r="X920" s="5"/>
      <c r="Y920" s="5"/>
    </row>
    <row r="921" spans="13:25" ht="22">
      <c r="M921" s="26" t="s">
        <v>60</v>
      </c>
      <c r="N921" s="25" t="s">
        <v>57</v>
      </c>
      <c r="O921" s="26"/>
      <c r="P921" s="26" t="s">
        <v>925</v>
      </c>
      <c r="Q921" s="26"/>
      <c r="R921" s="5"/>
      <c r="S921" s="5"/>
      <c r="T921" s="5"/>
      <c r="U921" s="5"/>
      <c r="V921" s="5"/>
      <c r="W921" s="5"/>
      <c r="X921" s="5"/>
      <c r="Y921" s="5"/>
    </row>
    <row r="922" spans="13:25" ht="22">
      <c r="M922" s="26" t="s">
        <v>60</v>
      </c>
      <c r="N922" s="25" t="s">
        <v>51</v>
      </c>
      <c r="O922" s="26" t="s">
        <v>926</v>
      </c>
      <c r="P922" s="26"/>
      <c r="Q922" s="26"/>
      <c r="R922" s="5"/>
      <c r="S922" s="5"/>
      <c r="T922" s="5"/>
      <c r="U922" s="5"/>
      <c r="V922" s="5"/>
      <c r="W922" s="5"/>
      <c r="X922" s="5"/>
      <c r="Y922" s="5"/>
    </row>
    <row r="923" spans="13:25" ht="22">
      <c r="M923" s="26" t="s">
        <v>60</v>
      </c>
      <c r="N923" s="25" t="s">
        <v>57</v>
      </c>
      <c r="O923" s="26"/>
      <c r="P923" s="26" t="s">
        <v>927</v>
      </c>
      <c r="Q923" s="26"/>
      <c r="R923" s="5"/>
      <c r="S923" s="5"/>
      <c r="T923" s="5"/>
      <c r="U923" s="5"/>
      <c r="V923" s="5"/>
      <c r="W923" s="5"/>
      <c r="X923" s="5"/>
      <c r="Y923" s="5"/>
    </row>
    <row r="924" spans="13:25" ht="22">
      <c r="M924" s="26" t="s">
        <v>60</v>
      </c>
      <c r="N924" s="25" t="s">
        <v>51</v>
      </c>
      <c r="O924" s="26"/>
      <c r="P924" s="26" t="s">
        <v>928</v>
      </c>
      <c r="Q924" s="26"/>
      <c r="R924" s="5"/>
      <c r="S924" s="5"/>
      <c r="T924" s="5"/>
      <c r="U924" s="5"/>
      <c r="V924" s="5"/>
      <c r="W924" s="5"/>
      <c r="X924" s="5"/>
      <c r="Y924" s="5"/>
    </row>
    <row r="925" spans="13:25" ht="22">
      <c r="M925" s="26" t="s">
        <v>60</v>
      </c>
      <c r="N925" s="25" t="s">
        <v>51</v>
      </c>
      <c r="O925" s="26"/>
      <c r="P925" s="26" t="s">
        <v>929</v>
      </c>
      <c r="Q925" s="26"/>
      <c r="R925" s="5"/>
      <c r="S925" s="5"/>
      <c r="T925" s="5"/>
      <c r="U925" s="5"/>
      <c r="V925" s="5"/>
      <c r="W925" s="5"/>
      <c r="X925" s="5"/>
      <c r="Y925" s="5"/>
    </row>
    <row r="926" spans="13:25" ht="22">
      <c r="M926" s="26" t="s">
        <v>60</v>
      </c>
      <c r="N926" s="25" t="s">
        <v>57</v>
      </c>
      <c r="O926" s="26" t="s">
        <v>930</v>
      </c>
      <c r="P926" s="26"/>
      <c r="Q926" s="26"/>
      <c r="R926" s="5"/>
      <c r="S926" s="5"/>
      <c r="T926" s="5"/>
      <c r="U926" s="5"/>
      <c r="V926" s="5"/>
      <c r="W926" s="5"/>
      <c r="X926" s="5"/>
      <c r="Y926" s="5"/>
    </row>
    <row r="927" spans="13:25" ht="22">
      <c r="M927" s="26" t="s">
        <v>60</v>
      </c>
      <c r="N927" s="25" t="s">
        <v>57</v>
      </c>
      <c r="O927" s="26" t="s">
        <v>931</v>
      </c>
      <c r="P927" s="26"/>
      <c r="Q927" s="26"/>
      <c r="R927" s="5"/>
      <c r="S927" s="5"/>
      <c r="T927" s="5"/>
      <c r="U927" s="5"/>
      <c r="V927" s="5"/>
      <c r="W927" s="5"/>
      <c r="X927" s="5"/>
      <c r="Y927" s="5"/>
    </row>
    <row r="928" spans="13:25" ht="22">
      <c r="M928" s="26" t="s">
        <v>60</v>
      </c>
      <c r="N928" s="25" t="s">
        <v>51</v>
      </c>
      <c r="O928" s="26" t="s">
        <v>932</v>
      </c>
      <c r="P928" s="26"/>
      <c r="Q928" s="26"/>
      <c r="R928" s="5"/>
      <c r="S928" s="5"/>
      <c r="T928" s="5"/>
      <c r="U928" s="5"/>
      <c r="V928" s="5"/>
      <c r="W928" s="5"/>
      <c r="X928" s="5"/>
      <c r="Y928" s="5"/>
    </row>
    <row r="929" spans="13:25" ht="55">
      <c r="M929" s="26" t="s">
        <v>60</v>
      </c>
      <c r="N929" s="25" t="s">
        <v>55</v>
      </c>
      <c r="O929" s="26"/>
      <c r="P929" s="26" t="s">
        <v>933</v>
      </c>
      <c r="Q929" s="26"/>
      <c r="R929" s="5"/>
      <c r="S929" s="5"/>
      <c r="T929" s="5"/>
      <c r="U929" s="5"/>
      <c r="V929" s="5"/>
      <c r="W929" s="5"/>
      <c r="X929" s="5"/>
      <c r="Y929" s="5"/>
    </row>
    <row r="930" spans="13:25" ht="66">
      <c r="M930" s="26" t="s">
        <v>60</v>
      </c>
      <c r="N930" s="25" t="s">
        <v>55</v>
      </c>
      <c r="O930" s="26"/>
      <c r="P930" s="26" t="s">
        <v>934</v>
      </c>
      <c r="Q930" s="26"/>
      <c r="R930" s="5"/>
      <c r="S930" s="5"/>
      <c r="T930" s="5"/>
      <c r="U930" s="5"/>
      <c r="V930" s="5"/>
      <c r="W930" s="5"/>
      <c r="X930" s="5"/>
      <c r="Y930" s="5"/>
    </row>
    <row r="931" spans="13:25" ht="22">
      <c r="M931" s="26" t="s">
        <v>60</v>
      </c>
      <c r="N931" s="25" t="s">
        <v>57</v>
      </c>
      <c r="O931" s="26"/>
      <c r="P931" s="26" t="s">
        <v>935</v>
      </c>
      <c r="Q931" s="26"/>
      <c r="R931" s="5"/>
      <c r="S931" s="5"/>
      <c r="T931" s="5"/>
      <c r="U931" s="5"/>
      <c r="V931" s="5"/>
      <c r="W931" s="5"/>
      <c r="X931" s="5"/>
      <c r="Y931" s="5"/>
    </row>
    <row r="932" spans="13:25" ht="22">
      <c r="M932" s="26" t="s">
        <v>60</v>
      </c>
      <c r="N932" s="25" t="s">
        <v>57</v>
      </c>
      <c r="O932" s="26"/>
      <c r="P932" s="26" t="s">
        <v>936</v>
      </c>
      <c r="Q932" s="26"/>
      <c r="R932" s="5"/>
      <c r="S932" s="5"/>
      <c r="T932" s="5"/>
      <c r="U932" s="5"/>
      <c r="V932" s="5"/>
      <c r="W932" s="5"/>
      <c r="X932" s="5"/>
      <c r="Y932" s="5"/>
    </row>
    <row r="933" spans="13:25" ht="22">
      <c r="M933" s="26" t="s">
        <v>60</v>
      </c>
      <c r="N933" s="25" t="s">
        <v>51</v>
      </c>
      <c r="O933" s="26" t="s">
        <v>937</v>
      </c>
      <c r="P933" s="26"/>
      <c r="Q933" s="26"/>
      <c r="R933" s="5"/>
      <c r="S933" s="5"/>
      <c r="T933" s="5"/>
      <c r="U933" s="5"/>
      <c r="V933" s="5"/>
      <c r="W933" s="5"/>
      <c r="X933" s="5"/>
      <c r="Y933" s="5"/>
    </row>
    <row r="934" spans="13:25" ht="55">
      <c r="M934" s="26" t="s">
        <v>60</v>
      </c>
      <c r="N934" s="25" t="s">
        <v>55</v>
      </c>
      <c r="O934" s="26"/>
      <c r="P934" s="26" t="s">
        <v>938</v>
      </c>
      <c r="Q934" s="26"/>
      <c r="R934" s="5"/>
      <c r="S934" s="5"/>
      <c r="T934" s="5"/>
      <c r="U934" s="5"/>
      <c r="V934" s="5"/>
      <c r="W934" s="5"/>
      <c r="X934" s="5"/>
      <c r="Y934" s="5"/>
    </row>
    <row r="935" spans="13:25" ht="66">
      <c r="M935" s="26" t="s">
        <v>60</v>
      </c>
      <c r="N935" s="25" t="s">
        <v>55</v>
      </c>
      <c r="O935" s="26"/>
      <c r="P935" s="26" t="s">
        <v>939</v>
      </c>
      <c r="Q935" s="26"/>
      <c r="R935" s="5"/>
      <c r="S935" s="5"/>
      <c r="T935" s="5"/>
      <c r="U935" s="5"/>
      <c r="V935" s="5"/>
      <c r="W935" s="5"/>
      <c r="X935" s="5"/>
      <c r="Y935" s="5"/>
    </row>
    <row r="936" spans="13:25" ht="22">
      <c r="M936" s="26" t="s">
        <v>60</v>
      </c>
      <c r="N936" s="25" t="s">
        <v>57</v>
      </c>
      <c r="O936" s="26"/>
      <c r="P936" s="26" t="s">
        <v>940</v>
      </c>
      <c r="Q936" s="26"/>
      <c r="R936" s="5"/>
      <c r="S936" s="5"/>
      <c r="T936" s="5"/>
      <c r="U936" s="5"/>
      <c r="V936" s="5"/>
      <c r="W936" s="5"/>
      <c r="X936" s="5"/>
      <c r="Y936" s="5"/>
    </row>
    <row r="937" spans="13:25" ht="22">
      <c r="M937" s="26" t="s">
        <v>60</v>
      </c>
      <c r="N937" s="25" t="s">
        <v>57</v>
      </c>
      <c r="O937" s="26"/>
      <c r="P937" s="26" t="s">
        <v>941</v>
      </c>
      <c r="Q937" s="26"/>
      <c r="R937" s="5"/>
      <c r="S937" s="5"/>
      <c r="T937" s="5"/>
      <c r="U937" s="5"/>
      <c r="V937" s="5"/>
      <c r="W937" s="5"/>
      <c r="X937" s="5"/>
      <c r="Y937" s="5"/>
    </row>
    <row r="938" spans="13:25" ht="22">
      <c r="M938" s="26" t="s">
        <v>60</v>
      </c>
      <c r="N938" s="25" t="s">
        <v>51</v>
      </c>
      <c r="O938" s="26" t="s">
        <v>942</v>
      </c>
      <c r="P938" s="26"/>
      <c r="Q938" s="26"/>
      <c r="R938" s="5"/>
      <c r="S938" s="5"/>
      <c r="T938" s="5"/>
      <c r="U938" s="5"/>
      <c r="V938" s="5"/>
      <c r="W938" s="5"/>
      <c r="X938" s="5"/>
      <c r="Y938" s="5"/>
    </row>
    <row r="939" spans="13:25" ht="55">
      <c r="M939" s="26" t="s">
        <v>60</v>
      </c>
      <c r="N939" s="25" t="s">
        <v>55</v>
      </c>
      <c r="O939" s="26"/>
      <c r="P939" s="26" t="s">
        <v>943</v>
      </c>
      <c r="Q939" s="26"/>
      <c r="R939" s="5"/>
      <c r="S939" s="5"/>
      <c r="T939" s="5"/>
      <c r="U939" s="5"/>
      <c r="V939" s="5"/>
      <c r="W939" s="5"/>
      <c r="X939" s="5"/>
      <c r="Y939" s="5"/>
    </row>
    <row r="940" spans="13:25" ht="66">
      <c r="M940" s="26" t="s">
        <v>60</v>
      </c>
      <c r="N940" s="25" t="s">
        <v>55</v>
      </c>
      <c r="O940" s="26"/>
      <c r="P940" s="26" t="s">
        <v>944</v>
      </c>
      <c r="Q940" s="26"/>
      <c r="R940" s="5"/>
      <c r="S940" s="5"/>
      <c r="T940" s="5"/>
      <c r="U940" s="5"/>
      <c r="V940" s="5"/>
      <c r="W940" s="5"/>
      <c r="X940" s="5"/>
      <c r="Y940" s="5"/>
    </row>
    <row r="941" spans="13:25" ht="22">
      <c r="M941" s="26" t="s">
        <v>60</v>
      </c>
      <c r="N941" s="25" t="s">
        <v>57</v>
      </c>
      <c r="O941" s="26"/>
      <c r="P941" s="26" t="s">
        <v>945</v>
      </c>
      <c r="Q941" s="26"/>
      <c r="R941" s="5"/>
      <c r="S941" s="5"/>
      <c r="T941" s="5"/>
      <c r="U941" s="5"/>
      <c r="V941" s="5"/>
      <c r="W941" s="5"/>
      <c r="X941" s="5"/>
      <c r="Y941" s="5"/>
    </row>
    <row r="942" spans="13:25" ht="22">
      <c r="M942" s="26" t="s">
        <v>60</v>
      </c>
      <c r="N942" s="25" t="s">
        <v>57</v>
      </c>
      <c r="O942" s="26"/>
      <c r="P942" s="26" t="s">
        <v>946</v>
      </c>
      <c r="Q942" s="26"/>
      <c r="R942" s="5"/>
      <c r="S942" s="5"/>
      <c r="T942" s="5"/>
      <c r="U942" s="5"/>
      <c r="V942" s="5"/>
      <c r="W942" s="5"/>
      <c r="X942" s="5"/>
      <c r="Y942" s="5"/>
    </row>
    <row r="943" spans="13:25" ht="22">
      <c r="M943" s="26" t="s">
        <v>60</v>
      </c>
      <c r="N943" s="25" t="s">
        <v>51</v>
      </c>
      <c r="O943" s="26" t="s">
        <v>947</v>
      </c>
      <c r="P943" s="26"/>
      <c r="Q943" s="26"/>
      <c r="R943" s="5"/>
      <c r="S943" s="5"/>
      <c r="T943" s="5"/>
      <c r="U943" s="5"/>
      <c r="V943" s="5"/>
      <c r="W943" s="5"/>
      <c r="X943" s="5"/>
      <c r="Y943" s="5"/>
    </row>
    <row r="944" spans="13:25" ht="33">
      <c r="M944" s="26" t="s">
        <v>60</v>
      </c>
      <c r="N944" s="25" t="s">
        <v>51</v>
      </c>
      <c r="O944" s="26"/>
      <c r="P944" s="26" t="s">
        <v>948</v>
      </c>
      <c r="Q944" s="26"/>
      <c r="R944" s="5"/>
      <c r="S944" s="5"/>
      <c r="T944" s="5"/>
      <c r="U944" s="5"/>
      <c r="V944" s="5"/>
      <c r="W944" s="5"/>
      <c r="X944" s="5"/>
      <c r="Y944" s="5"/>
    </row>
    <row r="945" spans="13:25" ht="44">
      <c r="M945" s="26" t="s">
        <v>60</v>
      </c>
      <c r="N945" s="25" t="s">
        <v>51</v>
      </c>
      <c r="O945" s="26"/>
      <c r="P945" s="26" t="s">
        <v>949</v>
      </c>
      <c r="Q945" s="26"/>
      <c r="R945" s="5"/>
      <c r="S945" s="5"/>
      <c r="T945" s="5"/>
      <c r="U945" s="5"/>
      <c r="V945" s="5"/>
      <c r="W945" s="5"/>
      <c r="X945" s="5"/>
      <c r="Y945" s="5"/>
    </row>
    <row r="946" spans="13:25" ht="22">
      <c r="M946" s="26" t="s">
        <v>60</v>
      </c>
      <c r="N946" s="25" t="s">
        <v>57</v>
      </c>
      <c r="O946" s="26"/>
      <c r="P946" s="26" t="s">
        <v>950</v>
      </c>
      <c r="Q946" s="26"/>
      <c r="R946" s="5"/>
      <c r="S946" s="5"/>
      <c r="T946" s="5"/>
      <c r="U946" s="5"/>
      <c r="V946" s="5"/>
      <c r="W946" s="5"/>
      <c r="X946" s="5"/>
      <c r="Y946" s="5"/>
    </row>
    <row r="947" spans="13:25" ht="22">
      <c r="M947" s="26" t="s">
        <v>60</v>
      </c>
      <c r="N947" s="25" t="s">
        <v>51</v>
      </c>
      <c r="O947" s="26" t="s">
        <v>951</v>
      </c>
      <c r="P947" s="26"/>
      <c r="Q947" s="26"/>
      <c r="R947" s="5"/>
      <c r="S947" s="5"/>
      <c r="T947" s="5"/>
      <c r="U947" s="5"/>
      <c r="V947" s="5"/>
      <c r="W947" s="5"/>
      <c r="X947" s="5"/>
      <c r="Y947" s="5"/>
    </row>
    <row r="948" spans="13:25" ht="22">
      <c r="M948" s="26" t="s">
        <v>60</v>
      </c>
      <c r="N948" s="25" t="s">
        <v>51</v>
      </c>
      <c r="O948" s="26"/>
      <c r="P948" s="26" t="s">
        <v>952</v>
      </c>
      <c r="Q948" s="26"/>
      <c r="R948" s="5"/>
      <c r="S948" s="5"/>
      <c r="T948" s="5"/>
      <c r="U948" s="5"/>
      <c r="V948" s="5"/>
      <c r="W948" s="5"/>
      <c r="X948" s="5"/>
      <c r="Y948" s="5"/>
    </row>
    <row r="949" spans="13:25" ht="22">
      <c r="M949" s="26" t="s">
        <v>60</v>
      </c>
      <c r="N949" s="25" t="s">
        <v>51</v>
      </c>
      <c r="O949" s="26"/>
      <c r="P949" s="26" t="s">
        <v>953</v>
      </c>
      <c r="Q949" s="26"/>
      <c r="R949" s="5"/>
      <c r="S949" s="5"/>
      <c r="T949" s="5"/>
      <c r="U949" s="5"/>
      <c r="V949" s="5"/>
      <c r="W949" s="5"/>
      <c r="X949" s="5"/>
      <c r="Y949" s="5"/>
    </row>
    <row r="950" spans="13:25" ht="22">
      <c r="M950" s="26" t="s">
        <v>60</v>
      </c>
      <c r="N950" s="25" t="s">
        <v>57</v>
      </c>
      <c r="O950" s="26" t="s">
        <v>954</v>
      </c>
      <c r="P950" s="26"/>
      <c r="Q950" s="26"/>
      <c r="R950" s="5"/>
      <c r="S950" s="5"/>
      <c r="T950" s="5"/>
      <c r="U950" s="5"/>
      <c r="V950" s="5"/>
      <c r="W950" s="5"/>
      <c r="X950" s="5"/>
      <c r="Y950" s="5"/>
    </row>
    <row r="951" spans="13:25" ht="22">
      <c r="M951" s="26" t="s">
        <v>60</v>
      </c>
      <c r="N951" s="25" t="s">
        <v>57</v>
      </c>
      <c r="O951" s="26" t="s">
        <v>955</v>
      </c>
      <c r="P951" s="26"/>
      <c r="Q951" s="26"/>
      <c r="R951" s="5"/>
      <c r="S951" s="5"/>
      <c r="T951" s="5"/>
      <c r="U951" s="5"/>
      <c r="V951" s="5"/>
      <c r="W951" s="5"/>
      <c r="X951" s="5"/>
      <c r="Y951" s="5"/>
    </row>
    <row r="952" spans="13:25" ht="22">
      <c r="M952" s="26" t="s">
        <v>60</v>
      </c>
      <c r="N952" s="25" t="s">
        <v>57</v>
      </c>
      <c r="O952" s="26" t="s">
        <v>956</v>
      </c>
      <c r="P952" s="26"/>
      <c r="Q952" s="26"/>
      <c r="R952" s="5"/>
      <c r="S952" s="5"/>
      <c r="T952" s="5"/>
      <c r="U952" s="5"/>
      <c r="V952" s="5"/>
      <c r="W952" s="5"/>
      <c r="X952" s="5"/>
      <c r="Y952" s="5"/>
    </row>
    <row r="953" spans="13:25" ht="22">
      <c r="M953" s="26" t="s">
        <v>60</v>
      </c>
      <c r="N953" s="25" t="s">
        <v>57</v>
      </c>
      <c r="O953" s="26" t="s">
        <v>957</v>
      </c>
      <c r="P953" s="26"/>
      <c r="Q953" s="26"/>
      <c r="R953" s="5"/>
      <c r="S953" s="5"/>
      <c r="T953" s="5"/>
      <c r="U953" s="5"/>
      <c r="V953" s="5"/>
      <c r="W953" s="5"/>
      <c r="X953" s="5"/>
      <c r="Y953" s="5"/>
    </row>
    <row r="954" spans="13:25" ht="22">
      <c r="M954" s="26" t="s">
        <v>60</v>
      </c>
      <c r="N954" s="25" t="s">
        <v>51</v>
      </c>
      <c r="O954" s="26" t="s">
        <v>958</v>
      </c>
      <c r="P954" s="26"/>
      <c r="Q954" s="26"/>
      <c r="R954" s="5"/>
      <c r="S954" s="5"/>
      <c r="T954" s="5"/>
      <c r="U954" s="5"/>
      <c r="V954" s="5"/>
      <c r="W954" s="5"/>
      <c r="X954" s="5"/>
      <c r="Y954" s="5"/>
    </row>
    <row r="955" spans="13:25" ht="33">
      <c r="M955" s="26" t="s">
        <v>60</v>
      </c>
      <c r="N955" s="25" t="s">
        <v>51</v>
      </c>
      <c r="O955" s="26"/>
      <c r="P955" s="26" t="s">
        <v>959</v>
      </c>
      <c r="Q955" s="26"/>
      <c r="R955" s="5"/>
      <c r="S955" s="5"/>
      <c r="T955" s="5"/>
      <c r="U955" s="5"/>
      <c r="V955" s="5"/>
      <c r="W955" s="5"/>
      <c r="X955" s="5"/>
      <c r="Y955" s="5"/>
    </row>
    <row r="956" spans="13:25" ht="33">
      <c r="M956" s="26" t="s">
        <v>60</v>
      </c>
      <c r="N956" s="25" t="s">
        <v>51</v>
      </c>
      <c r="O956" s="26"/>
      <c r="P956" s="26" t="s">
        <v>960</v>
      </c>
      <c r="Q956" s="26"/>
      <c r="R956" s="5"/>
      <c r="S956" s="5"/>
      <c r="T956" s="5"/>
      <c r="U956" s="5"/>
      <c r="V956" s="5"/>
      <c r="W956" s="5"/>
      <c r="X956" s="5"/>
      <c r="Y956" s="5"/>
    </row>
    <row r="957" spans="13:25" ht="33">
      <c r="M957" s="26" t="s">
        <v>60</v>
      </c>
      <c r="N957" s="25" t="s">
        <v>51</v>
      </c>
      <c r="O957" s="26"/>
      <c r="P957" s="26" t="s">
        <v>961</v>
      </c>
      <c r="Q957" s="26"/>
      <c r="R957" s="5"/>
      <c r="S957" s="5"/>
      <c r="T957" s="5"/>
      <c r="U957" s="5"/>
      <c r="V957" s="5"/>
      <c r="W957" s="5"/>
      <c r="X957" s="5"/>
      <c r="Y957" s="5"/>
    </row>
    <row r="958" spans="13:25" ht="22">
      <c r="M958" s="26" t="s">
        <v>60</v>
      </c>
      <c r="N958" s="25" t="s">
        <v>57</v>
      </c>
      <c r="O958" s="26" t="s">
        <v>962</v>
      </c>
      <c r="P958" s="26"/>
      <c r="Q958" s="26"/>
      <c r="R958" s="5"/>
      <c r="S958" s="5"/>
      <c r="T958" s="5"/>
      <c r="U958" s="5"/>
      <c r="V958" s="5"/>
      <c r="W958" s="5"/>
      <c r="X958" s="5"/>
      <c r="Y958" s="5"/>
    </row>
    <row r="959" spans="13:25" ht="22">
      <c r="M959" s="26" t="s">
        <v>60</v>
      </c>
      <c r="N959" s="25" t="s">
        <v>57</v>
      </c>
      <c r="O959" s="26" t="s">
        <v>963</v>
      </c>
      <c r="P959" s="26"/>
      <c r="Q959" s="26"/>
      <c r="R959" s="5"/>
      <c r="S959" s="5"/>
      <c r="T959" s="5"/>
      <c r="U959" s="5"/>
      <c r="V959" s="5"/>
      <c r="W959" s="5"/>
      <c r="X959" s="5"/>
      <c r="Y959" s="5"/>
    </row>
    <row r="960" spans="13:25" ht="22">
      <c r="M960" s="26" t="s">
        <v>60</v>
      </c>
      <c r="N960" s="25" t="s">
        <v>57</v>
      </c>
      <c r="O960" s="26" t="s">
        <v>964</v>
      </c>
      <c r="P960" s="26"/>
      <c r="Q960" s="26"/>
      <c r="R960" s="5"/>
      <c r="S960" s="5"/>
      <c r="T960" s="5"/>
      <c r="U960" s="5"/>
      <c r="V960" s="5"/>
      <c r="W960" s="5"/>
      <c r="X960" s="5"/>
      <c r="Y960" s="5"/>
    </row>
    <row r="961" spans="13:25" ht="22">
      <c r="M961" s="26" t="s">
        <v>60</v>
      </c>
      <c r="N961" s="25" t="s">
        <v>51</v>
      </c>
      <c r="O961" s="26" t="s">
        <v>965</v>
      </c>
      <c r="P961" s="26"/>
      <c r="Q961" s="26"/>
      <c r="R961" s="5"/>
      <c r="S961" s="5"/>
      <c r="T961" s="5"/>
      <c r="U961" s="5"/>
      <c r="V961" s="5"/>
      <c r="W961" s="5"/>
      <c r="X961" s="5"/>
      <c r="Y961" s="5"/>
    </row>
    <row r="962" spans="13:25" ht="33">
      <c r="M962" s="26" t="s">
        <v>60</v>
      </c>
      <c r="N962" s="25" t="s">
        <v>51</v>
      </c>
      <c r="O962" s="26"/>
      <c r="P962" s="26" t="s">
        <v>966</v>
      </c>
      <c r="Q962" s="26"/>
      <c r="R962" s="5"/>
      <c r="S962" s="5"/>
      <c r="T962" s="5"/>
      <c r="U962" s="5"/>
      <c r="V962" s="5"/>
      <c r="W962" s="5"/>
      <c r="X962" s="5"/>
      <c r="Y962" s="5"/>
    </row>
    <row r="963" spans="13:25" ht="66">
      <c r="M963" s="26" t="s">
        <v>60</v>
      </c>
      <c r="N963" s="25" t="s">
        <v>51</v>
      </c>
      <c r="O963" s="26"/>
      <c r="P963" s="26" t="s">
        <v>967</v>
      </c>
      <c r="Q963" s="26"/>
      <c r="R963" s="5"/>
      <c r="S963" s="5"/>
      <c r="T963" s="5"/>
      <c r="U963" s="5"/>
      <c r="V963" s="5"/>
      <c r="W963" s="5"/>
      <c r="X963" s="5"/>
      <c r="Y963" s="5"/>
    </row>
    <row r="964" spans="13:25" ht="44">
      <c r="M964" s="26" t="s">
        <v>60</v>
      </c>
      <c r="N964" s="25" t="s">
        <v>51</v>
      </c>
      <c r="O964" s="26"/>
      <c r="P964" s="26" t="s">
        <v>968</v>
      </c>
      <c r="Q964" s="26"/>
      <c r="R964" s="5"/>
      <c r="S964" s="5"/>
      <c r="T964" s="5"/>
      <c r="U964" s="5"/>
      <c r="V964" s="5"/>
      <c r="W964" s="5"/>
      <c r="X964" s="5"/>
      <c r="Y964" s="5"/>
    </row>
    <row r="965" spans="13:25" ht="55">
      <c r="M965" s="26" t="s">
        <v>60</v>
      </c>
      <c r="N965" s="25" t="s">
        <v>51</v>
      </c>
      <c r="O965" s="26"/>
      <c r="P965" s="26" t="s">
        <v>969</v>
      </c>
      <c r="Q965" s="26"/>
      <c r="R965" s="5"/>
      <c r="S965" s="5"/>
      <c r="T965" s="5"/>
      <c r="U965" s="5"/>
      <c r="V965" s="5"/>
      <c r="W965" s="5"/>
      <c r="X965" s="5"/>
      <c r="Y965" s="5"/>
    </row>
    <row r="966" spans="13:25" ht="55">
      <c r="M966" s="26" t="s">
        <v>60</v>
      </c>
      <c r="N966" s="25" t="s">
        <v>51</v>
      </c>
      <c r="O966" s="26"/>
      <c r="P966" s="26" t="s">
        <v>970</v>
      </c>
      <c r="Q966" s="26"/>
      <c r="R966" s="5"/>
      <c r="S966" s="5"/>
      <c r="T966" s="5"/>
      <c r="U966" s="5"/>
      <c r="V966" s="5"/>
      <c r="W966" s="5"/>
      <c r="X966" s="5"/>
      <c r="Y966" s="5"/>
    </row>
    <row r="967" spans="13:25" ht="55">
      <c r="M967" s="26" t="s">
        <v>60</v>
      </c>
      <c r="N967" s="25" t="s">
        <v>51</v>
      </c>
      <c r="O967" s="26"/>
      <c r="P967" s="26" t="s">
        <v>971</v>
      </c>
      <c r="Q967" s="26"/>
      <c r="R967" s="5"/>
      <c r="S967" s="5"/>
      <c r="T967" s="5"/>
      <c r="U967" s="5"/>
      <c r="V967" s="5"/>
      <c r="W967" s="5"/>
      <c r="X967" s="5"/>
      <c r="Y967" s="5"/>
    </row>
    <row r="968" spans="13:25" ht="44">
      <c r="M968" s="26" t="s">
        <v>60</v>
      </c>
      <c r="N968" s="25" t="s">
        <v>51</v>
      </c>
      <c r="O968" s="26"/>
      <c r="P968" s="26" t="s">
        <v>972</v>
      </c>
      <c r="Q968" s="26"/>
      <c r="R968" s="5"/>
      <c r="S968" s="5"/>
      <c r="T968" s="5"/>
      <c r="U968" s="5"/>
      <c r="V968" s="5"/>
      <c r="W968" s="5"/>
      <c r="X968" s="5"/>
      <c r="Y968" s="5"/>
    </row>
    <row r="969" spans="13:25" ht="22">
      <c r="M969" s="26" t="s">
        <v>60</v>
      </c>
      <c r="N969" s="25" t="s">
        <v>70</v>
      </c>
      <c r="O969" s="26"/>
      <c r="P969" s="26" t="s">
        <v>973</v>
      </c>
      <c r="Q969" s="26"/>
      <c r="R969" s="5"/>
      <c r="S969" s="5"/>
      <c r="T969" s="5"/>
      <c r="U969" s="5"/>
      <c r="V969" s="5"/>
      <c r="W969" s="5"/>
      <c r="X969" s="5"/>
      <c r="Y969" s="5"/>
    </row>
    <row r="970" spans="13:25" ht="22">
      <c r="M970" s="26" t="s">
        <v>60</v>
      </c>
      <c r="N970" s="25" t="s">
        <v>51</v>
      </c>
      <c r="O970" s="26"/>
      <c r="P970" s="26" t="s">
        <v>974</v>
      </c>
      <c r="Q970" s="26"/>
      <c r="R970" s="5"/>
      <c r="S970" s="5"/>
      <c r="T970" s="5"/>
      <c r="U970" s="5"/>
      <c r="V970" s="5"/>
      <c r="W970" s="5"/>
      <c r="X970" s="5"/>
      <c r="Y970" s="5"/>
    </row>
    <row r="971" spans="13:25" ht="22">
      <c r="M971" s="26" t="s">
        <v>60</v>
      </c>
      <c r="N971" s="25" t="s">
        <v>51</v>
      </c>
      <c r="O971" s="26"/>
      <c r="P971" s="26" t="s">
        <v>975</v>
      </c>
      <c r="Q971" s="26"/>
      <c r="R971" s="5"/>
      <c r="S971" s="5"/>
      <c r="T971" s="5"/>
      <c r="U971" s="5"/>
      <c r="V971" s="5"/>
      <c r="W971" s="5"/>
      <c r="X971" s="5"/>
      <c r="Y971" s="5"/>
    </row>
    <row r="972" spans="13:25" ht="22">
      <c r="M972" s="26" t="s">
        <v>60</v>
      </c>
      <c r="N972" s="25" t="s">
        <v>57</v>
      </c>
      <c r="O972" s="26"/>
      <c r="P972" s="26" t="s">
        <v>976</v>
      </c>
      <c r="Q972" s="26"/>
      <c r="R972" s="5"/>
      <c r="S972" s="5"/>
      <c r="T972" s="5"/>
      <c r="U972" s="5"/>
      <c r="V972" s="5"/>
      <c r="W972" s="5"/>
      <c r="X972" s="5"/>
      <c r="Y972" s="5"/>
    </row>
    <row r="973" spans="13:25" ht="22">
      <c r="M973" s="26" t="s">
        <v>60</v>
      </c>
      <c r="N973" s="25" t="s">
        <v>57</v>
      </c>
      <c r="O973" s="26" t="s">
        <v>977</v>
      </c>
      <c r="P973" s="26"/>
      <c r="Q973" s="26"/>
      <c r="R973" s="5"/>
      <c r="S973" s="5"/>
      <c r="T973" s="5"/>
      <c r="U973" s="5"/>
      <c r="V973" s="5"/>
      <c r="W973" s="5"/>
      <c r="X973" s="5"/>
      <c r="Y973" s="5"/>
    </row>
    <row r="974" spans="13:25" ht="22">
      <c r="M974" s="26" t="s">
        <v>60</v>
      </c>
      <c r="N974" s="25" t="s">
        <v>57</v>
      </c>
      <c r="O974" s="26" t="s">
        <v>978</v>
      </c>
      <c r="P974" s="26"/>
      <c r="Q974" s="26"/>
      <c r="R974" s="5"/>
      <c r="S974" s="5"/>
      <c r="T974" s="5"/>
      <c r="U974" s="5"/>
      <c r="V974" s="5"/>
      <c r="W974" s="5"/>
      <c r="X974" s="5"/>
      <c r="Y974" s="5"/>
    </row>
    <row r="975" spans="13:25" ht="22">
      <c r="M975" s="26" t="s">
        <v>60</v>
      </c>
      <c r="N975" s="25" t="s">
        <v>57</v>
      </c>
      <c r="O975" s="26" t="s">
        <v>979</v>
      </c>
      <c r="P975" s="26"/>
      <c r="Q975" s="26"/>
      <c r="R975" s="5"/>
      <c r="S975" s="5"/>
      <c r="T975" s="5"/>
      <c r="U975" s="5"/>
      <c r="V975" s="5"/>
      <c r="W975" s="5"/>
      <c r="X975" s="5"/>
      <c r="Y975" s="5"/>
    </row>
    <row r="976" spans="13:25" ht="22">
      <c r="M976" s="26" t="s">
        <v>60</v>
      </c>
      <c r="N976" s="25" t="s">
        <v>57</v>
      </c>
      <c r="O976" s="26" t="s">
        <v>980</v>
      </c>
      <c r="P976" s="26"/>
      <c r="Q976" s="26"/>
      <c r="R976" s="5"/>
      <c r="S976" s="5"/>
      <c r="T976" s="5"/>
      <c r="U976" s="5"/>
      <c r="V976" s="5"/>
      <c r="W976" s="5"/>
      <c r="X976" s="5"/>
      <c r="Y976" s="5"/>
    </row>
    <row r="977" spans="13:25" ht="22">
      <c r="M977" s="26" t="s">
        <v>60</v>
      </c>
      <c r="N977" s="25" t="s">
        <v>57</v>
      </c>
      <c r="O977" s="26" t="s">
        <v>981</v>
      </c>
      <c r="P977" s="26"/>
      <c r="Q977" s="26"/>
      <c r="R977" s="5"/>
      <c r="S977" s="5"/>
      <c r="T977" s="5"/>
      <c r="U977" s="5"/>
      <c r="V977" s="5"/>
      <c r="W977" s="5"/>
      <c r="X977" s="5"/>
      <c r="Y977" s="5"/>
    </row>
    <row r="978" spans="13:25" ht="22">
      <c r="M978" s="26" t="s">
        <v>60</v>
      </c>
      <c r="N978" s="25" t="s">
        <v>51</v>
      </c>
      <c r="O978" s="26" t="s">
        <v>982</v>
      </c>
      <c r="P978" s="26"/>
      <c r="Q978" s="26"/>
      <c r="R978" s="5"/>
      <c r="S978" s="5"/>
      <c r="T978" s="5"/>
      <c r="U978" s="5"/>
      <c r="V978" s="5"/>
      <c r="W978" s="5"/>
      <c r="X978" s="5"/>
      <c r="Y978" s="5"/>
    </row>
    <row r="979" spans="13:25" ht="33">
      <c r="M979" s="26" t="s">
        <v>60</v>
      </c>
      <c r="N979" s="25" t="s">
        <v>51</v>
      </c>
      <c r="O979" s="26"/>
      <c r="P979" s="26" t="s">
        <v>983</v>
      </c>
      <c r="Q979" s="26"/>
      <c r="R979" s="5"/>
      <c r="S979" s="5"/>
      <c r="T979" s="5"/>
      <c r="U979" s="5"/>
      <c r="V979" s="5"/>
      <c r="W979" s="5"/>
      <c r="X979" s="5"/>
      <c r="Y979" s="5"/>
    </row>
    <row r="980" spans="13:25" ht="22">
      <c r="M980" s="26" t="s">
        <v>60</v>
      </c>
      <c r="N980" s="25" t="s">
        <v>57</v>
      </c>
      <c r="O980" s="26"/>
      <c r="P980" s="26" t="s">
        <v>984</v>
      </c>
      <c r="Q980" s="26"/>
      <c r="R980" s="5"/>
      <c r="S980" s="5"/>
      <c r="T980" s="5"/>
      <c r="U980" s="5"/>
      <c r="V980" s="5"/>
      <c r="W980" s="5"/>
      <c r="X980" s="5"/>
      <c r="Y980" s="5"/>
    </row>
    <row r="981" spans="13:25" ht="22">
      <c r="M981" s="26" t="s">
        <v>60</v>
      </c>
      <c r="N981" s="25" t="s">
        <v>51</v>
      </c>
      <c r="O981" s="26" t="s">
        <v>985</v>
      </c>
      <c r="P981" s="26"/>
      <c r="Q981" s="26"/>
      <c r="R981" s="5"/>
      <c r="S981" s="5"/>
      <c r="T981" s="5"/>
      <c r="U981" s="5"/>
      <c r="V981" s="5"/>
      <c r="W981" s="5"/>
      <c r="X981" s="5"/>
      <c r="Y981" s="5"/>
    </row>
    <row r="982" spans="13:25" ht="66">
      <c r="M982" s="26" t="s">
        <v>60</v>
      </c>
      <c r="N982" s="25" t="s">
        <v>51</v>
      </c>
      <c r="O982" s="26"/>
      <c r="P982" s="26" t="s">
        <v>986</v>
      </c>
      <c r="Q982" s="26"/>
      <c r="R982" s="5"/>
      <c r="S982" s="5"/>
      <c r="T982" s="5"/>
      <c r="U982" s="5"/>
      <c r="V982" s="5"/>
      <c r="W982" s="5"/>
      <c r="X982" s="5"/>
      <c r="Y982" s="5"/>
    </row>
    <row r="983" spans="13:25" ht="22">
      <c r="M983" s="26" t="s">
        <v>60</v>
      </c>
      <c r="N983" s="25" t="s">
        <v>57</v>
      </c>
      <c r="O983" s="26"/>
      <c r="P983" s="26" t="s">
        <v>987</v>
      </c>
      <c r="Q983" s="26"/>
      <c r="R983" s="5"/>
      <c r="S983" s="5"/>
      <c r="T983" s="5"/>
      <c r="U983" s="5"/>
      <c r="V983" s="5"/>
      <c r="W983" s="5"/>
      <c r="X983" s="5"/>
      <c r="Y983" s="5"/>
    </row>
    <row r="984" spans="13:25" ht="22">
      <c r="M984" s="26" t="s">
        <v>60</v>
      </c>
      <c r="N984" s="25" t="s">
        <v>51</v>
      </c>
      <c r="O984" s="26" t="s">
        <v>988</v>
      </c>
      <c r="P984" s="26"/>
      <c r="Q984" s="26"/>
      <c r="R984" s="5"/>
      <c r="S984" s="5"/>
      <c r="T984" s="5"/>
      <c r="U984" s="5"/>
      <c r="V984" s="5"/>
      <c r="W984" s="5"/>
      <c r="X984" s="5"/>
      <c r="Y984" s="5"/>
    </row>
    <row r="985" spans="13:25" ht="66">
      <c r="M985" s="26" t="s">
        <v>60</v>
      </c>
      <c r="N985" s="25" t="s">
        <v>51</v>
      </c>
      <c r="O985" s="26"/>
      <c r="P985" s="26" t="s">
        <v>986</v>
      </c>
      <c r="Q985" s="26"/>
      <c r="R985" s="5"/>
      <c r="S985" s="5"/>
      <c r="T985" s="5"/>
      <c r="U985" s="5"/>
      <c r="V985" s="5"/>
      <c r="W985" s="5"/>
      <c r="X985" s="5"/>
      <c r="Y985" s="5"/>
    </row>
    <row r="986" spans="13:25" ht="33">
      <c r="M986" s="26" t="s">
        <v>60</v>
      </c>
      <c r="N986" s="25" t="s">
        <v>51</v>
      </c>
      <c r="O986" s="26"/>
      <c r="P986" s="26" t="s">
        <v>989</v>
      </c>
      <c r="Q986" s="26"/>
      <c r="R986" s="5"/>
      <c r="S986" s="5"/>
      <c r="T986" s="5"/>
      <c r="U986" s="5"/>
      <c r="V986" s="5"/>
      <c r="W986" s="5"/>
      <c r="X986" s="5"/>
      <c r="Y986" s="5"/>
    </row>
    <row r="987" spans="13:25" ht="22">
      <c r="M987" s="26" t="s">
        <v>60</v>
      </c>
      <c r="N987" s="25" t="s">
        <v>57</v>
      </c>
      <c r="O987" s="26"/>
      <c r="P987" s="26" t="s">
        <v>990</v>
      </c>
      <c r="Q987" s="26"/>
      <c r="R987" s="5"/>
      <c r="S987" s="5"/>
      <c r="T987" s="5"/>
      <c r="U987" s="5"/>
      <c r="V987" s="5"/>
      <c r="W987" s="5"/>
      <c r="X987" s="5"/>
      <c r="Y987" s="5"/>
    </row>
    <row r="988" spans="13:25" ht="22">
      <c r="M988" s="26" t="s">
        <v>60</v>
      </c>
      <c r="N988" s="25" t="s">
        <v>57</v>
      </c>
      <c r="O988" s="26" t="s">
        <v>991</v>
      </c>
      <c r="P988" s="26"/>
      <c r="Q988" s="26"/>
      <c r="R988" s="5"/>
      <c r="S988" s="5"/>
      <c r="T988" s="5"/>
      <c r="U988" s="5"/>
      <c r="V988" s="5"/>
      <c r="W988" s="5"/>
      <c r="X988" s="5"/>
      <c r="Y988" s="5"/>
    </row>
    <row r="989" spans="13:25" ht="22">
      <c r="M989" s="26" t="s">
        <v>60</v>
      </c>
      <c r="N989" s="25" t="s">
        <v>51</v>
      </c>
      <c r="O989" s="26" t="s">
        <v>992</v>
      </c>
      <c r="P989" s="26"/>
      <c r="Q989" s="26"/>
      <c r="R989" s="5"/>
      <c r="S989" s="5"/>
      <c r="T989" s="5"/>
      <c r="U989" s="5"/>
      <c r="V989" s="5"/>
      <c r="W989" s="5"/>
      <c r="X989" s="5"/>
      <c r="Y989" s="5"/>
    </row>
    <row r="990" spans="13:25" ht="22">
      <c r="M990" s="26" t="s">
        <v>60</v>
      </c>
      <c r="N990" s="25" t="s">
        <v>51</v>
      </c>
      <c r="O990" s="26"/>
      <c r="P990" s="26" t="s">
        <v>993</v>
      </c>
      <c r="Q990" s="26"/>
      <c r="R990" s="5"/>
      <c r="S990" s="5"/>
      <c r="T990" s="5"/>
      <c r="U990" s="5"/>
      <c r="V990" s="5"/>
      <c r="W990" s="5"/>
      <c r="X990" s="5"/>
      <c r="Y990" s="5"/>
    </row>
    <row r="991" spans="13:25" ht="22">
      <c r="M991" s="26" t="s">
        <v>60</v>
      </c>
      <c r="N991" s="25" t="s">
        <v>51</v>
      </c>
      <c r="O991" s="26"/>
      <c r="P991" s="26" t="s">
        <v>994</v>
      </c>
      <c r="Q991" s="26"/>
      <c r="R991" s="5"/>
      <c r="S991" s="5"/>
      <c r="T991" s="5"/>
      <c r="U991" s="5"/>
      <c r="V991" s="5"/>
      <c r="W991" s="5"/>
      <c r="X991" s="5"/>
      <c r="Y991" s="5"/>
    </row>
    <row r="992" spans="13:25" ht="66">
      <c r="M992" s="26" t="s">
        <v>60</v>
      </c>
      <c r="N992" s="25" t="s">
        <v>51</v>
      </c>
      <c r="O992" s="26"/>
      <c r="P992" s="26" t="s">
        <v>995</v>
      </c>
      <c r="Q992" s="26"/>
      <c r="R992" s="5"/>
      <c r="S992" s="5"/>
      <c r="T992" s="5"/>
      <c r="U992" s="5"/>
      <c r="V992" s="5"/>
      <c r="W992" s="5"/>
      <c r="X992" s="5"/>
      <c r="Y992" s="5"/>
    </row>
    <row r="993" spans="13:25" ht="33">
      <c r="M993" s="26" t="s">
        <v>60</v>
      </c>
      <c r="N993" s="25" t="s">
        <v>55</v>
      </c>
      <c r="O993" s="26"/>
      <c r="P993" s="26" t="s">
        <v>996</v>
      </c>
      <c r="Q993" s="26"/>
      <c r="R993" s="5"/>
      <c r="S993" s="5"/>
      <c r="T993" s="5"/>
      <c r="U993" s="5"/>
      <c r="V993" s="5"/>
      <c r="W993" s="5"/>
      <c r="X993" s="5"/>
      <c r="Y993" s="5"/>
    </row>
    <row r="994" spans="13:25" ht="22">
      <c r="M994" s="26" t="s">
        <v>60</v>
      </c>
      <c r="N994" s="25" t="s">
        <v>51</v>
      </c>
      <c r="O994" s="26"/>
      <c r="P994" s="26" t="s">
        <v>997</v>
      </c>
      <c r="Q994" s="26"/>
      <c r="R994" s="5"/>
      <c r="S994" s="5"/>
      <c r="T994" s="5"/>
      <c r="U994" s="5"/>
      <c r="V994" s="5"/>
      <c r="W994" s="5"/>
      <c r="X994" s="5"/>
      <c r="Y994" s="5"/>
    </row>
    <row r="995" spans="13:25" ht="44">
      <c r="M995" s="26" t="s">
        <v>60</v>
      </c>
      <c r="N995" s="25" t="s">
        <v>55</v>
      </c>
      <c r="O995" s="26"/>
      <c r="P995" s="26" t="s">
        <v>998</v>
      </c>
      <c r="Q995" s="26"/>
      <c r="R995" s="5"/>
      <c r="S995" s="5"/>
      <c r="T995" s="5"/>
      <c r="U995" s="5"/>
      <c r="V995" s="5"/>
      <c r="W995" s="5"/>
      <c r="X995" s="5"/>
      <c r="Y995" s="5"/>
    </row>
    <row r="996" spans="13:25" ht="44">
      <c r="M996" s="26" t="s">
        <v>60</v>
      </c>
      <c r="N996" s="25" t="s">
        <v>55</v>
      </c>
      <c r="O996" s="26"/>
      <c r="P996" s="26" t="s">
        <v>999</v>
      </c>
      <c r="Q996" s="26"/>
      <c r="R996" s="5"/>
      <c r="S996" s="5"/>
      <c r="T996" s="5"/>
      <c r="U996" s="5"/>
      <c r="V996" s="5"/>
      <c r="W996" s="5"/>
      <c r="X996" s="5"/>
      <c r="Y996" s="5"/>
    </row>
    <row r="997" spans="13:25" ht="22">
      <c r="M997" s="26" t="s">
        <v>60</v>
      </c>
      <c r="N997" s="25" t="s">
        <v>51</v>
      </c>
      <c r="O997" s="26"/>
      <c r="P997" s="26" t="s">
        <v>1000</v>
      </c>
      <c r="Q997" s="26"/>
      <c r="R997" s="5"/>
      <c r="S997" s="5"/>
      <c r="T997" s="5"/>
      <c r="U997" s="5"/>
      <c r="V997" s="5"/>
      <c r="W997" s="5"/>
      <c r="X997" s="5"/>
      <c r="Y997" s="5"/>
    </row>
    <row r="998" spans="13:25" ht="22">
      <c r="M998" s="26" t="s">
        <v>60</v>
      </c>
      <c r="N998" s="25" t="s">
        <v>51</v>
      </c>
      <c r="O998" s="26"/>
      <c r="P998" s="26" t="s">
        <v>1001</v>
      </c>
      <c r="Q998" s="26"/>
      <c r="R998" s="5"/>
      <c r="S998" s="5"/>
      <c r="T998" s="5"/>
      <c r="U998" s="5"/>
      <c r="V998" s="5"/>
      <c r="W998" s="5"/>
      <c r="X998" s="5"/>
      <c r="Y998" s="5"/>
    </row>
    <row r="999" spans="13:25" ht="22">
      <c r="M999" s="26" t="s">
        <v>60</v>
      </c>
      <c r="N999" s="25" t="s">
        <v>51</v>
      </c>
      <c r="O999" s="26"/>
      <c r="P999" s="26" t="s">
        <v>1002</v>
      </c>
      <c r="Q999" s="26"/>
      <c r="R999" s="5"/>
      <c r="S999" s="5"/>
      <c r="T999" s="5"/>
      <c r="U999" s="5"/>
      <c r="V999" s="5"/>
      <c r="W999" s="5"/>
      <c r="X999" s="5"/>
      <c r="Y999" s="5"/>
    </row>
    <row r="1000" spans="13:25" ht="22">
      <c r="M1000" s="26" t="s">
        <v>60</v>
      </c>
      <c r="N1000" s="25" t="s">
        <v>51</v>
      </c>
      <c r="O1000" s="26"/>
      <c r="P1000" s="26" t="s">
        <v>1003</v>
      </c>
      <c r="Q1000" s="26"/>
      <c r="R1000" s="5"/>
      <c r="S1000" s="5"/>
      <c r="T1000" s="5"/>
      <c r="U1000" s="5"/>
      <c r="V1000" s="5"/>
      <c r="W1000" s="5"/>
      <c r="X1000" s="5"/>
      <c r="Y1000" s="5"/>
    </row>
    <row r="1001" spans="13:25" ht="22">
      <c r="M1001" s="26" t="s">
        <v>60</v>
      </c>
      <c r="N1001" s="25" t="s">
        <v>51</v>
      </c>
      <c r="O1001" s="26"/>
      <c r="P1001" s="26" t="s">
        <v>1004</v>
      </c>
      <c r="Q1001" s="26"/>
      <c r="R1001" s="5"/>
      <c r="S1001" s="5"/>
      <c r="T1001" s="5"/>
      <c r="U1001" s="5"/>
      <c r="V1001" s="5"/>
      <c r="W1001" s="5"/>
      <c r="X1001" s="5"/>
      <c r="Y1001" s="5"/>
    </row>
    <row r="1002" spans="13:25" ht="22">
      <c r="M1002" s="26" t="s">
        <v>60</v>
      </c>
      <c r="N1002" s="25" t="s">
        <v>51</v>
      </c>
      <c r="O1002" s="26"/>
      <c r="P1002" s="26" t="s">
        <v>1005</v>
      </c>
      <c r="Q1002" s="26"/>
      <c r="R1002" s="5"/>
      <c r="S1002" s="5"/>
      <c r="T1002" s="5"/>
      <c r="U1002" s="5"/>
      <c r="V1002" s="5"/>
      <c r="W1002" s="5"/>
      <c r="X1002" s="5"/>
      <c r="Y1002" s="5"/>
    </row>
    <row r="1003" spans="13:25" ht="33">
      <c r="M1003" s="26" t="s">
        <v>60</v>
      </c>
      <c r="N1003" s="25" t="s">
        <v>51</v>
      </c>
      <c r="O1003" s="26"/>
      <c r="P1003" s="26" t="s">
        <v>1006</v>
      </c>
      <c r="Q1003" s="26"/>
      <c r="R1003" s="5"/>
      <c r="S1003" s="5"/>
      <c r="T1003" s="5"/>
      <c r="U1003" s="5"/>
      <c r="V1003" s="5"/>
      <c r="W1003" s="5"/>
      <c r="X1003" s="5"/>
      <c r="Y1003" s="5"/>
    </row>
    <row r="1004" spans="13:25" ht="33">
      <c r="M1004" s="26" t="s">
        <v>60</v>
      </c>
      <c r="N1004" s="25" t="s">
        <v>55</v>
      </c>
      <c r="O1004" s="26"/>
      <c r="P1004" s="26" t="s">
        <v>1007</v>
      </c>
      <c r="Q1004" s="26"/>
      <c r="R1004" s="5"/>
      <c r="S1004" s="5"/>
      <c r="T1004" s="5"/>
      <c r="U1004" s="5"/>
      <c r="V1004" s="5"/>
      <c r="W1004" s="5"/>
      <c r="X1004" s="5"/>
      <c r="Y1004" s="5"/>
    </row>
    <row r="1005" spans="13:25" ht="22">
      <c r="M1005" s="26" t="s">
        <v>60</v>
      </c>
      <c r="N1005" s="25" t="s">
        <v>55</v>
      </c>
      <c r="O1005" s="26"/>
      <c r="P1005" s="26" t="s">
        <v>1008</v>
      </c>
      <c r="Q1005" s="26"/>
      <c r="R1005" s="5"/>
      <c r="S1005" s="5"/>
      <c r="T1005" s="5"/>
      <c r="U1005" s="5"/>
      <c r="V1005" s="5"/>
      <c r="W1005" s="5"/>
      <c r="X1005" s="5"/>
      <c r="Y1005" s="5"/>
    </row>
    <row r="1006" spans="13:25" ht="22">
      <c r="M1006" s="26" t="s">
        <v>60</v>
      </c>
      <c r="N1006" s="25" t="s">
        <v>51</v>
      </c>
      <c r="O1006" s="26"/>
      <c r="P1006" s="26" t="s">
        <v>1009</v>
      </c>
      <c r="Q1006" s="26"/>
      <c r="R1006" s="5"/>
      <c r="S1006" s="5"/>
      <c r="T1006" s="5"/>
      <c r="U1006" s="5"/>
      <c r="V1006" s="5"/>
      <c r="W1006" s="5"/>
      <c r="X1006" s="5"/>
      <c r="Y1006" s="5"/>
    </row>
    <row r="1007" spans="13:25" ht="22">
      <c r="M1007" s="26" t="s">
        <v>60</v>
      </c>
      <c r="N1007" s="25" t="s">
        <v>51</v>
      </c>
      <c r="O1007" s="26"/>
      <c r="P1007" s="26" t="s">
        <v>1010</v>
      </c>
      <c r="Q1007" s="26"/>
      <c r="R1007" s="5"/>
      <c r="S1007" s="5"/>
      <c r="T1007" s="5"/>
      <c r="U1007" s="5"/>
      <c r="V1007" s="5"/>
      <c r="W1007" s="5"/>
      <c r="X1007" s="5"/>
      <c r="Y1007" s="5"/>
    </row>
    <row r="1008" spans="13:25" ht="22">
      <c r="M1008" s="26" t="s">
        <v>60</v>
      </c>
      <c r="N1008" s="25" t="s">
        <v>57</v>
      </c>
      <c r="O1008" s="26"/>
      <c r="P1008" s="26" t="s">
        <v>1011</v>
      </c>
      <c r="Q1008" s="26"/>
      <c r="R1008" s="5"/>
      <c r="S1008" s="5"/>
      <c r="T1008" s="5"/>
      <c r="U1008" s="5"/>
      <c r="V1008" s="5"/>
      <c r="W1008" s="5"/>
      <c r="X1008" s="5"/>
      <c r="Y1008" s="5"/>
    </row>
    <row r="1009" spans="13:25" ht="22">
      <c r="M1009" s="26" t="s">
        <v>60</v>
      </c>
      <c r="N1009" s="25" t="s">
        <v>51</v>
      </c>
      <c r="O1009" s="26"/>
      <c r="P1009" s="26" t="s">
        <v>1012</v>
      </c>
      <c r="Q1009" s="26"/>
      <c r="R1009" s="5"/>
      <c r="S1009" s="5"/>
      <c r="T1009" s="5"/>
      <c r="U1009" s="5"/>
      <c r="V1009" s="5"/>
      <c r="W1009" s="5"/>
      <c r="X1009" s="5"/>
      <c r="Y1009" s="5"/>
    </row>
    <row r="1010" spans="13:25" ht="66">
      <c r="M1010" s="26" t="s">
        <v>60</v>
      </c>
      <c r="N1010" s="25" t="s">
        <v>51</v>
      </c>
      <c r="O1010" s="26"/>
      <c r="P1010" s="26" t="s">
        <v>1013</v>
      </c>
      <c r="Q1010" s="26"/>
      <c r="R1010" s="5"/>
      <c r="S1010" s="5"/>
      <c r="T1010" s="5"/>
      <c r="U1010" s="5"/>
      <c r="V1010" s="5"/>
      <c r="W1010" s="5"/>
      <c r="X1010" s="5"/>
      <c r="Y1010" s="5"/>
    </row>
    <row r="1011" spans="13:25" ht="55">
      <c r="M1011" s="26" t="s">
        <v>60</v>
      </c>
      <c r="N1011" s="25" t="s">
        <v>51</v>
      </c>
      <c r="O1011" s="26"/>
      <c r="P1011" s="26" t="s">
        <v>1014</v>
      </c>
      <c r="Q1011" s="26"/>
      <c r="R1011" s="5"/>
      <c r="S1011" s="5"/>
      <c r="T1011" s="5"/>
      <c r="U1011" s="5"/>
      <c r="V1011" s="5"/>
      <c r="W1011" s="5"/>
      <c r="X1011" s="5"/>
      <c r="Y1011" s="5"/>
    </row>
    <row r="1012" spans="13:25" ht="66">
      <c r="M1012" s="26" t="s">
        <v>60</v>
      </c>
      <c r="N1012" s="25" t="s">
        <v>51</v>
      </c>
      <c r="O1012" s="26"/>
      <c r="P1012" s="26" t="s">
        <v>1015</v>
      </c>
      <c r="Q1012" s="26"/>
      <c r="R1012" s="5"/>
      <c r="S1012" s="5"/>
      <c r="T1012" s="5"/>
      <c r="U1012" s="5"/>
      <c r="V1012" s="5"/>
      <c r="W1012" s="5"/>
      <c r="X1012" s="5"/>
      <c r="Y1012" s="5"/>
    </row>
    <row r="1013" spans="13:25" ht="55">
      <c r="M1013" s="26" t="s">
        <v>60</v>
      </c>
      <c r="N1013" s="25" t="s">
        <v>51</v>
      </c>
      <c r="O1013" s="26"/>
      <c r="P1013" s="26" t="s">
        <v>1016</v>
      </c>
      <c r="Q1013" s="26"/>
      <c r="R1013" s="5"/>
      <c r="S1013" s="5"/>
      <c r="T1013" s="5"/>
      <c r="U1013" s="5"/>
      <c r="V1013" s="5"/>
      <c r="W1013" s="5"/>
      <c r="X1013" s="5"/>
      <c r="Y1013" s="5"/>
    </row>
    <row r="1014" spans="13:25" ht="22">
      <c r="M1014" s="26" t="s">
        <v>60</v>
      </c>
      <c r="N1014" s="25" t="s">
        <v>51</v>
      </c>
      <c r="O1014" s="26" t="s">
        <v>1017</v>
      </c>
      <c r="P1014" s="26"/>
      <c r="Q1014" s="26"/>
      <c r="R1014" s="5"/>
      <c r="S1014" s="5"/>
      <c r="T1014" s="5"/>
      <c r="U1014" s="5"/>
      <c r="V1014" s="5"/>
      <c r="W1014" s="5"/>
      <c r="X1014" s="5"/>
      <c r="Y1014" s="5"/>
    </row>
    <row r="1015" spans="13:25" ht="44">
      <c r="M1015" s="26" t="s">
        <v>60</v>
      </c>
      <c r="N1015" s="25" t="s">
        <v>55</v>
      </c>
      <c r="O1015" s="26"/>
      <c r="P1015" s="26" t="s">
        <v>1018</v>
      </c>
      <c r="Q1015" s="26"/>
      <c r="R1015" s="5"/>
      <c r="S1015" s="5"/>
      <c r="T1015" s="5"/>
      <c r="U1015" s="5"/>
      <c r="V1015" s="5"/>
      <c r="W1015" s="5"/>
      <c r="X1015" s="5"/>
      <c r="Y1015" s="5"/>
    </row>
    <row r="1016" spans="13:25" ht="44">
      <c r="M1016" s="26" t="s">
        <v>60</v>
      </c>
      <c r="N1016" s="25" t="s">
        <v>55</v>
      </c>
      <c r="O1016" s="26"/>
      <c r="P1016" s="26" t="s">
        <v>1019</v>
      </c>
      <c r="Q1016" s="26"/>
      <c r="R1016" s="5"/>
      <c r="S1016" s="5"/>
      <c r="T1016" s="5"/>
      <c r="U1016" s="5"/>
      <c r="V1016" s="5"/>
      <c r="W1016" s="5"/>
      <c r="X1016" s="5"/>
      <c r="Y1016" s="5"/>
    </row>
    <row r="1017" spans="13:25" ht="33">
      <c r="M1017" s="26" t="s">
        <v>60</v>
      </c>
      <c r="N1017" s="25" t="s">
        <v>55</v>
      </c>
      <c r="O1017" s="26"/>
      <c r="P1017" s="26" t="s">
        <v>1007</v>
      </c>
      <c r="Q1017" s="26"/>
      <c r="R1017" s="5"/>
      <c r="S1017" s="5"/>
      <c r="T1017" s="5"/>
      <c r="U1017" s="5"/>
      <c r="V1017" s="5"/>
      <c r="W1017" s="5"/>
      <c r="X1017" s="5"/>
      <c r="Y1017" s="5"/>
    </row>
    <row r="1018" spans="13:25" ht="33">
      <c r="M1018" s="26" t="s">
        <v>60</v>
      </c>
      <c r="N1018" s="25" t="s">
        <v>55</v>
      </c>
      <c r="O1018" s="26"/>
      <c r="P1018" s="26" t="s">
        <v>1007</v>
      </c>
      <c r="Q1018" s="26"/>
      <c r="R1018" s="5"/>
      <c r="S1018" s="5"/>
      <c r="T1018" s="5"/>
      <c r="U1018" s="5"/>
      <c r="V1018" s="5"/>
      <c r="W1018" s="5"/>
      <c r="X1018" s="5"/>
      <c r="Y1018" s="5"/>
    </row>
    <row r="1019" spans="13:25" ht="22">
      <c r="M1019" s="26" t="s">
        <v>60</v>
      </c>
      <c r="N1019" s="25" t="s">
        <v>57</v>
      </c>
      <c r="O1019" s="26" t="s">
        <v>1020</v>
      </c>
      <c r="P1019" s="26"/>
      <c r="Q1019" s="26"/>
      <c r="R1019" s="5"/>
      <c r="S1019" s="5"/>
      <c r="T1019" s="5"/>
      <c r="U1019" s="5"/>
      <c r="V1019" s="5"/>
      <c r="W1019" s="5"/>
      <c r="X1019" s="5"/>
      <c r="Y1019" s="5"/>
    </row>
    <row r="1020" spans="13:25" ht="22">
      <c r="M1020" s="26" t="s">
        <v>60</v>
      </c>
      <c r="N1020" s="25" t="s">
        <v>57</v>
      </c>
      <c r="O1020" s="26" t="s">
        <v>1021</v>
      </c>
      <c r="P1020" s="26"/>
      <c r="Q1020" s="26"/>
      <c r="R1020" s="5"/>
      <c r="S1020" s="5"/>
      <c r="T1020" s="5"/>
      <c r="U1020" s="5"/>
      <c r="V1020" s="5"/>
      <c r="W1020" s="5"/>
      <c r="X1020" s="5"/>
      <c r="Y1020" s="5"/>
    </row>
    <row r="1021" spans="13:25" ht="22">
      <c r="M1021" s="26" t="s">
        <v>60</v>
      </c>
      <c r="N1021" s="25" t="s">
        <v>51</v>
      </c>
      <c r="O1021" s="26" t="s">
        <v>1022</v>
      </c>
      <c r="P1021" s="26"/>
      <c r="Q1021" s="26"/>
      <c r="R1021" s="5"/>
      <c r="S1021" s="5"/>
      <c r="T1021" s="5"/>
      <c r="U1021" s="5"/>
      <c r="V1021" s="5"/>
      <c r="W1021" s="5"/>
      <c r="X1021" s="5"/>
      <c r="Y1021" s="5"/>
    </row>
    <row r="1022" spans="13:25" ht="22">
      <c r="M1022" s="26" t="s">
        <v>60</v>
      </c>
      <c r="N1022" s="25" t="s">
        <v>51</v>
      </c>
      <c r="O1022" s="26" t="s">
        <v>1023</v>
      </c>
      <c r="P1022" s="26"/>
      <c r="Q1022" s="26"/>
      <c r="R1022" s="5"/>
      <c r="S1022" s="5"/>
      <c r="T1022" s="5"/>
      <c r="U1022" s="5"/>
      <c r="V1022" s="5"/>
      <c r="W1022" s="5"/>
      <c r="X1022" s="5"/>
      <c r="Y1022" s="5"/>
    </row>
    <row r="1023" spans="13:25" ht="33">
      <c r="M1023" s="26" t="s">
        <v>60</v>
      </c>
      <c r="N1023" s="25" t="s">
        <v>51</v>
      </c>
      <c r="O1023" s="26"/>
      <c r="P1023" s="26" t="s">
        <v>959</v>
      </c>
      <c r="Q1023" s="26"/>
      <c r="R1023" s="5"/>
      <c r="S1023" s="5"/>
      <c r="T1023" s="5"/>
      <c r="U1023" s="5"/>
      <c r="V1023" s="5"/>
      <c r="W1023" s="5"/>
      <c r="X1023" s="5"/>
      <c r="Y1023" s="5"/>
    </row>
    <row r="1024" spans="13:25" ht="33">
      <c r="M1024" s="26" t="s">
        <v>60</v>
      </c>
      <c r="N1024" s="25" t="s">
        <v>51</v>
      </c>
      <c r="O1024" s="26"/>
      <c r="P1024" s="26" t="s">
        <v>1024</v>
      </c>
      <c r="Q1024" s="26"/>
      <c r="R1024" s="5"/>
      <c r="S1024" s="5"/>
      <c r="T1024" s="5"/>
      <c r="U1024" s="5"/>
      <c r="V1024" s="5"/>
      <c r="W1024" s="5"/>
      <c r="X1024" s="5"/>
      <c r="Y1024" s="5"/>
    </row>
    <row r="1025" spans="13:25" ht="33">
      <c r="M1025" s="26" t="s">
        <v>60</v>
      </c>
      <c r="N1025" s="25" t="s">
        <v>51</v>
      </c>
      <c r="O1025" s="26"/>
      <c r="P1025" s="26" t="s">
        <v>960</v>
      </c>
      <c r="Q1025" s="26"/>
      <c r="R1025" s="5"/>
      <c r="S1025" s="5"/>
      <c r="T1025" s="5"/>
      <c r="U1025" s="5"/>
      <c r="V1025" s="5"/>
      <c r="W1025" s="5"/>
      <c r="X1025" s="5"/>
      <c r="Y1025" s="5"/>
    </row>
    <row r="1026" spans="13:25" ht="33">
      <c r="M1026" s="26" t="s">
        <v>60</v>
      </c>
      <c r="N1026" s="25" t="s">
        <v>51</v>
      </c>
      <c r="O1026" s="26"/>
      <c r="P1026" s="26" t="s">
        <v>1025</v>
      </c>
      <c r="Q1026" s="26"/>
      <c r="R1026" s="5"/>
      <c r="S1026" s="5"/>
      <c r="T1026" s="5"/>
      <c r="U1026" s="5"/>
      <c r="V1026" s="5"/>
      <c r="W1026" s="5"/>
      <c r="X1026" s="5"/>
      <c r="Y1026" s="5"/>
    </row>
    <row r="1027" spans="13:25" ht="33">
      <c r="M1027" s="26" t="s">
        <v>60</v>
      </c>
      <c r="N1027" s="25" t="s">
        <v>51</v>
      </c>
      <c r="O1027" s="26"/>
      <c r="P1027" s="26" t="s">
        <v>961</v>
      </c>
      <c r="Q1027" s="26"/>
      <c r="R1027" s="5"/>
      <c r="S1027" s="5"/>
      <c r="T1027" s="5"/>
      <c r="U1027" s="5"/>
      <c r="V1027" s="5"/>
      <c r="W1027" s="5"/>
      <c r="X1027" s="5"/>
      <c r="Y1027" s="5"/>
    </row>
    <row r="1028" spans="13:25" ht="33">
      <c r="M1028" s="26" t="s">
        <v>60</v>
      </c>
      <c r="N1028" s="25" t="s">
        <v>51</v>
      </c>
      <c r="O1028" s="26"/>
      <c r="P1028" s="26" t="s">
        <v>1026</v>
      </c>
      <c r="Q1028" s="26"/>
      <c r="R1028" s="5"/>
      <c r="S1028" s="5"/>
      <c r="T1028" s="5"/>
      <c r="U1028" s="5"/>
      <c r="V1028" s="5"/>
      <c r="W1028" s="5"/>
      <c r="X1028" s="5"/>
      <c r="Y1028" s="5"/>
    </row>
    <row r="1029" spans="13:25" ht="22">
      <c r="M1029" s="26" t="s">
        <v>60</v>
      </c>
      <c r="N1029" s="25" t="s">
        <v>57</v>
      </c>
      <c r="O1029" s="26" t="s">
        <v>1027</v>
      </c>
      <c r="P1029" s="26"/>
      <c r="Q1029" s="26"/>
      <c r="R1029" s="5"/>
      <c r="S1029" s="5"/>
      <c r="T1029" s="5"/>
      <c r="U1029" s="5"/>
      <c r="V1029" s="5"/>
      <c r="W1029" s="5"/>
      <c r="X1029" s="5"/>
      <c r="Y1029" s="5"/>
    </row>
    <row r="1030" spans="13:25" ht="22">
      <c r="M1030" s="26" t="s">
        <v>60</v>
      </c>
      <c r="N1030" s="25" t="s">
        <v>57</v>
      </c>
      <c r="O1030" s="26" t="s">
        <v>1028</v>
      </c>
      <c r="P1030" s="26"/>
      <c r="Q1030" s="26"/>
      <c r="R1030" s="5"/>
      <c r="S1030" s="5"/>
      <c r="T1030" s="5"/>
      <c r="U1030" s="5"/>
      <c r="V1030" s="5"/>
      <c r="W1030" s="5"/>
      <c r="X1030" s="5"/>
      <c r="Y1030" s="5"/>
    </row>
    <row r="1031" spans="13:25" ht="22">
      <c r="M1031" s="26" t="s">
        <v>60</v>
      </c>
      <c r="N1031" s="25" t="s">
        <v>57</v>
      </c>
      <c r="O1031" s="26" t="s">
        <v>1029</v>
      </c>
      <c r="P1031" s="26"/>
      <c r="Q1031" s="26"/>
      <c r="R1031" s="5"/>
      <c r="S1031" s="5"/>
      <c r="T1031" s="5"/>
      <c r="U1031" s="5"/>
      <c r="V1031" s="5"/>
      <c r="W1031" s="5"/>
      <c r="X1031" s="5"/>
      <c r="Y1031" s="5"/>
    </row>
    <row r="1032" spans="13:25" ht="22">
      <c r="M1032" s="26" t="s">
        <v>60</v>
      </c>
      <c r="N1032" s="25" t="s">
        <v>57</v>
      </c>
      <c r="O1032" s="26" t="s">
        <v>1030</v>
      </c>
      <c r="P1032" s="26"/>
      <c r="Q1032" s="26"/>
      <c r="R1032" s="5"/>
      <c r="S1032" s="5"/>
      <c r="T1032" s="5"/>
      <c r="U1032" s="5"/>
      <c r="V1032" s="5"/>
      <c r="W1032" s="5"/>
      <c r="X1032" s="5"/>
      <c r="Y1032" s="5"/>
    </row>
    <row r="1033" spans="13:25" ht="22">
      <c r="M1033" s="26" t="s">
        <v>60</v>
      </c>
      <c r="N1033" s="25" t="s">
        <v>57</v>
      </c>
      <c r="O1033" s="26" t="s">
        <v>1031</v>
      </c>
      <c r="P1033" s="26"/>
      <c r="Q1033" s="26"/>
      <c r="R1033" s="5"/>
      <c r="S1033" s="5"/>
      <c r="T1033" s="5"/>
      <c r="U1033" s="5"/>
      <c r="V1033" s="5"/>
      <c r="W1033" s="5"/>
      <c r="X1033" s="5"/>
      <c r="Y1033" s="5"/>
    </row>
    <row r="1034" spans="13:25" ht="22">
      <c r="M1034" s="26" t="s">
        <v>60</v>
      </c>
      <c r="N1034" s="25" t="s">
        <v>57</v>
      </c>
      <c r="O1034" s="26" t="s">
        <v>1032</v>
      </c>
      <c r="P1034" s="26"/>
      <c r="Q1034" s="26"/>
      <c r="R1034" s="5"/>
      <c r="S1034" s="5"/>
      <c r="T1034" s="5"/>
      <c r="U1034" s="5"/>
      <c r="V1034" s="5"/>
      <c r="W1034" s="5"/>
      <c r="X1034" s="5"/>
      <c r="Y1034" s="5"/>
    </row>
    <row r="1035" spans="13:25" ht="22">
      <c r="M1035" s="26" t="s">
        <v>60</v>
      </c>
      <c r="N1035" s="25" t="s">
        <v>57</v>
      </c>
      <c r="O1035" s="26" t="s">
        <v>1033</v>
      </c>
      <c r="P1035" s="26"/>
      <c r="Q1035" s="26"/>
      <c r="R1035" s="5"/>
      <c r="S1035" s="5"/>
      <c r="T1035" s="5"/>
      <c r="U1035" s="5"/>
      <c r="V1035" s="5"/>
      <c r="W1035" s="5"/>
      <c r="X1035" s="5"/>
      <c r="Y1035" s="5"/>
    </row>
    <row r="1036" spans="13:25" ht="22">
      <c r="M1036" s="26" t="s">
        <v>60</v>
      </c>
      <c r="N1036" s="25" t="s">
        <v>51</v>
      </c>
      <c r="O1036" s="26" t="s">
        <v>1034</v>
      </c>
      <c r="P1036" s="26"/>
      <c r="Q1036" s="26"/>
      <c r="R1036" s="5"/>
      <c r="S1036" s="5"/>
      <c r="T1036" s="5"/>
      <c r="U1036" s="5"/>
      <c r="V1036" s="5"/>
      <c r="W1036" s="5"/>
      <c r="X1036" s="5"/>
      <c r="Y1036" s="5"/>
    </row>
    <row r="1037" spans="13:25" ht="22">
      <c r="M1037" s="26" t="s">
        <v>60</v>
      </c>
      <c r="N1037" s="25" t="s">
        <v>51</v>
      </c>
      <c r="O1037" s="26"/>
      <c r="P1037" s="26" t="s">
        <v>1035</v>
      </c>
      <c r="Q1037" s="26"/>
      <c r="R1037" s="5"/>
      <c r="S1037" s="5"/>
      <c r="T1037" s="5"/>
      <c r="U1037" s="5"/>
      <c r="V1037" s="5"/>
      <c r="W1037" s="5"/>
      <c r="X1037" s="5"/>
      <c r="Y1037" s="5"/>
    </row>
    <row r="1038" spans="13:25" ht="22">
      <c r="M1038" s="26" t="s">
        <v>60</v>
      </c>
      <c r="N1038" s="25" t="s">
        <v>51</v>
      </c>
      <c r="O1038" s="26"/>
      <c r="P1038" s="26" t="s">
        <v>1036</v>
      </c>
      <c r="Q1038" s="26"/>
      <c r="R1038" s="5"/>
      <c r="S1038" s="5"/>
      <c r="T1038" s="5"/>
      <c r="U1038" s="5"/>
      <c r="V1038" s="5"/>
      <c r="W1038" s="5"/>
      <c r="X1038" s="5"/>
      <c r="Y1038" s="5"/>
    </row>
    <row r="1039" spans="13:25" ht="33">
      <c r="M1039" s="26" t="s">
        <v>60</v>
      </c>
      <c r="N1039" s="25" t="s">
        <v>51</v>
      </c>
      <c r="O1039" s="26"/>
      <c r="P1039" s="26" t="s">
        <v>966</v>
      </c>
      <c r="Q1039" s="26"/>
      <c r="R1039" s="5"/>
      <c r="S1039" s="5"/>
      <c r="T1039" s="5"/>
      <c r="U1039" s="5"/>
      <c r="V1039" s="5"/>
      <c r="W1039" s="5"/>
      <c r="X1039" s="5"/>
      <c r="Y1039" s="5"/>
    </row>
    <row r="1040" spans="13:25" ht="33">
      <c r="M1040" s="26" t="s">
        <v>60</v>
      </c>
      <c r="N1040" s="25" t="s">
        <v>51</v>
      </c>
      <c r="O1040" s="26"/>
      <c r="P1040" s="26" t="s">
        <v>1037</v>
      </c>
      <c r="Q1040" s="26"/>
      <c r="R1040" s="5"/>
      <c r="S1040" s="5"/>
      <c r="T1040" s="5"/>
      <c r="U1040" s="5"/>
      <c r="V1040" s="5"/>
      <c r="W1040" s="5"/>
      <c r="X1040" s="5"/>
      <c r="Y1040" s="5"/>
    </row>
    <row r="1041" spans="13:25" ht="22">
      <c r="M1041" s="26" t="s">
        <v>60</v>
      </c>
      <c r="N1041" s="25" t="s">
        <v>51</v>
      </c>
      <c r="O1041" s="26"/>
      <c r="P1041" s="26" t="s">
        <v>1038</v>
      </c>
      <c r="Q1041" s="26"/>
      <c r="R1041" s="5"/>
      <c r="S1041" s="5"/>
      <c r="T1041" s="5"/>
      <c r="U1041" s="5"/>
      <c r="V1041" s="5"/>
      <c r="W1041" s="5"/>
      <c r="X1041" s="5"/>
      <c r="Y1041" s="5"/>
    </row>
    <row r="1042" spans="13:25" ht="22">
      <c r="M1042" s="26" t="s">
        <v>60</v>
      </c>
      <c r="N1042" s="25" t="s">
        <v>51</v>
      </c>
      <c r="O1042" s="26"/>
      <c r="P1042" s="26" t="s">
        <v>1039</v>
      </c>
      <c r="Q1042" s="26"/>
      <c r="R1042" s="5"/>
      <c r="S1042" s="5"/>
      <c r="T1042" s="5"/>
      <c r="U1042" s="5"/>
      <c r="V1042" s="5"/>
      <c r="W1042" s="5"/>
      <c r="X1042" s="5"/>
      <c r="Y1042" s="5"/>
    </row>
    <row r="1043" spans="13:25" ht="44">
      <c r="M1043" s="26" t="s">
        <v>60</v>
      </c>
      <c r="N1043" s="25" t="s">
        <v>51</v>
      </c>
      <c r="O1043" s="26"/>
      <c r="P1043" s="26" t="s">
        <v>1040</v>
      </c>
      <c r="Q1043" s="26"/>
      <c r="R1043" s="5"/>
      <c r="S1043" s="5"/>
      <c r="T1043" s="5"/>
      <c r="U1043" s="5"/>
      <c r="V1043" s="5"/>
      <c r="W1043" s="5"/>
      <c r="X1043" s="5"/>
      <c r="Y1043" s="5"/>
    </row>
    <row r="1044" spans="13:25" ht="22">
      <c r="M1044" s="26" t="s">
        <v>60</v>
      </c>
      <c r="N1044" s="25" t="s">
        <v>51</v>
      </c>
      <c r="O1044" s="26"/>
      <c r="P1044" s="26" t="s">
        <v>1041</v>
      </c>
      <c r="Q1044" s="26"/>
      <c r="R1044" s="5"/>
      <c r="S1044" s="5"/>
      <c r="T1044" s="5"/>
      <c r="U1044" s="5"/>
      <c r="V1044" s="5"/>
      <c r="W1044" s="5"/>
      <c r="X1044" s="5"/>
      <c r="Y1044" s="5"/>
    </row>
    <row r="1045" spans="13:25" ht="22">
      <c r="M1045" s="26" t="s">
        <v>60</v>
      </c>
      <c r="N1045" s="25" t="s">
        <v>57</v>
      </c>
      <c r="O1045" s="26"/>
      <c r="P1045" s="26" t="s">
        <v>1042</v>
      </c>
      <c r="Q1045" s="26"/>
      <c r="R1045" s="5"/>
      <c r="S1045" s="5"/>
      <c r="T1045" s="5"/>
      <c r="U1045" s="5"/>
      <c r="V1045" s="5"/>
      <c r="W1045" s="5"/>
      <c r="X1045" s="5"/>
      <c r="Y1045" s="5"/>
    </row>
    <row r="1046" spans="13:25" ht="22">
      <c r="M1046" s="26" t="s">
        <v>60</v>
      </c>
      <c r="N1046" s="25" t="s">
        <v>51</v>
      </c>
      <c r="O1046" s="26" t="s">
        <v>1043</v>
      </c>
      <c r="P1046" s="26"/>
      <c r="Q1046" s="26"/>
      <c r="R1046" s="5"/>
      <c r="S1046" s="5"/>
      <c r="T1046" s="5"/>
      <c r="U1046" s="5"/>
      <c r="V1046" s="5"/>
      <c r="W1046" s="5"/>
      <c r="X1046" s="5"/>
      <c r="Y1046" s="5"/>
    </row>
    <row r="1047" spans="13:25" ht="22">
      <c r="M1047" s="26" t="s">
        <v>60</v>
      </c>
      <c r="N1047" s="25" t="s">
        <v>57</v>
      </c>
      <c r="O1047" s="26" t="s">
        <v>1044</v>
      </c>
      <c r="P1047" s="26"/>
      <c r="Q1047" s="26"/>
      <c r="R1047" s="5"/>
      <c r="S1047" s="5"/>
      <c r="T1047" s="5"/>
      <c r="U1047" s="5"/>
      <c r="V1047" s="5"/>
      <c r="W1047" s="5"/>
      <c r="X1047" s="5"/>
      <c r="Y1047" s="5"/>
    </row>
    <row r="1048" spans="13:25" ht="22">
      <c r="M1048" s="26" t="s">
        <v>60</v>
      </c>
      <c r="N1048" s="25" t="s">
        <v>57</v>
      </c>
      <c r="O1048" s="26" t="s">
        <v>1045</v>
      </c>
      <c r="P1048" s="26"/>
      <c r="Q1048" s="26"/>
      <c r="R1048" s="5"/>
      <c r="S1048" s="5"/>
      <c r="T1048" s="5"/>
      <c r="U1048" s="5"/>
      <c r="V1048" s="5"/>
      <c r="W1048" s="5"/>
      <c r="X1048" s="5"/>
      <c r="Y1048" s="5"/>
    </row>
    <row r="1049" spans="13:25" ht="22">
      <c r="M1049" s="26" t="s">
        <v>60</v>
      </c>
      <c r="N1049" s="25" t="s">
        <v>57</v>
      </c>
      <c r="O1049" s="26" t="s">
        <v>1046</v>
      </c>
      <c r="P1049" s="26"/>
      <c r="Q1049" s="26"/>
      <c r="R1049" s="5"/>
      <c r="S1049" s="5"/>
      <c r="T1049" s="5"/>
      <c r="U1049" s="5"/>
      <c r="V1049" s="5"/>
      <c r="W1049" s="5"/>
      <c r="X1049" s="5"/>
      <c r="Y1049" s="5"/>
    </row>
    <row r="1050" spans="13:25" ht="22">
      <c r="M1050" s="26" t="s">
        <v>59</v>
      </c>
      <c r="N1050" s="25" t="s">
        <v>51</v>
      </c>
      <c r="O1050" s="26" t="s">
        <v>1047</v>
      </c>
      <c r="P1050" s="26"/>
      <c r="Q1050" s="26"/>
      <c r="R1050" s="5"/>
      <c r="S1050" s="5"/>
      <c r="T1050" s="5"/>
      <c r="U1050" s="5"/>
      <c r="V1050" s="5"/>
      <c r="W1050" s="5"/>
      <c r="X1050" s="5"/>
      <c r="Y1050" s="5"/>
    </row>
    <row r="1051" spans="13:25" ht="154">
      <c r="M1051" s="26" t="s">
        <v>59</v>
      </c>
      <c r="N1051" s="25" t="s">
        <v>51</v>
      </c>
      <c r="O1051" s="26"/>
      <c r="P1051" s="26" t="s">
        <v>1048</v>
      </c>
      <c r="Q1051" s="26"/>
      <c r="R1051" s="5"/>
      <c r="S1051" s="5"/>
      <c r="T1051" s="5"/>
      <c r="U1051" s="5"/>
      <c r="V1051" s="5"/>
      <c r="W1051" s="5"/>
      <c r="X1051" s="5"/>
      <c r="Y1051" s="5"/>
    </row>
    <row r="1052" spans="13:25" ht="66">
      <c r="M1052" s="26" t="s">
        <v>59</v>
      </c>
      <c r="N1052" s="25" t="s">
        <v>51</v>
      </c>
      <c r="O1052" s="26"/>
      <c r="P1052" s="26" t="s">
        <v>1049</v>
      </c>
      <c r="Q1052" s="26"/>
      <c r="R1052" s="5"/>
      <c r="S1052" s="5"/>
      <c r="T1052" s="5"/>
      <c r="U1052" s="5"/>
      <c r="V1052" s="5"/>
      <c r="W1052" s="5"/>
      <c r="X1052" s="5"/>
      <c r="Y1052" s="5"/>
    </row>
    <row r="1053" spans="13:25" ht="66">
      <c r="M1053" s="26" t="s">
        <v>59</v>
      </c>
      <c r="N1053" s="25" t="s">
        <v>51</v>
      </c>
      <c r="O1053" s="26"/>
      <c r="P1053" s="26" t="s">
        <v>967</v>
      </c>
      <c r="Q1053" s="26"/>
      <c r="R1053" s="5"/>
      <c r="S1053" s="5"/>
      <c r="T1053" s="5"/>
      <c r="U1053" s="5"/>
      <c r="V1053" s="5"/>
      <c r="W1053" s="5"/>
      <c r="X1053" s="5"/>
      <c r="Y1053" s="5"/>
    </row>
    <row r="1054" spans="13:25" ht="22">
      <c r="M1054" s="26" t="s">
        <v>59</v>
      </c>
      <c r="N1054" s="25" t="s">
        <v>51</v>
      </c>
      <c r="O1054" s="26"/>
      <c r="P1054" s="26" t="s">
        <v>1050</v>
      </c>
      <c r="Q1054" s="26"/>
      <c r="R1054" s="5"/>
      <c r="S1054" s="5"/>
      <c r="T1054" s="5"/>
      <c r="U1054" s="5"/>
      <c r="V1054" s="5"/>
      <c r="W1054" s="5"/>
      <c r="X1054" s="5"/>
      <c r="Y1054" s="5"/>
    </row>
    <row r="1055" spans="13:25" ht="33">
      <c r="M1055" s="26" t="s">
        <v>59</v>
      </c>
      <c r="N1055" s="25" t="s">
        <v>51</v>
      </c>
      <c r="O1055" s="26"/>
      <c r="P1055" s="26" t="s">
        <v>1051</v>
      </c>
      <c r="Q1055" s="26"/>
      <c r="R1055" s="5"/>
      <c r="S1055" s="5"/>
      <c r="T1055" s="5"/>
      <c r="U1055" s="5"/>
      <c r="V1055" s="5"/>
      <c r="W1055" s="5"/>
      <c r="X1055" s="5"/>
      <c r="Y1055" s="5"/>
    </row>
    <row r="1056" spans="13:25" ht="33">
      <c r="M1056" s="26" t="s">
        <v>59</v>
      </c>
      <c r="N1056" s="25" t="s">
        <v>51</v>
      </c>
      <c r="O1056" s="26"/>
      <c r="P1056" s="26" t="s">
        <v>1052</v>
      </c>
      <c r="Q1056" s="26"/>
      <c r="R1056" s="5"/>
      <c r="S1056" s="5"/>
      <c r="T1056" s="5"/>
      <c r="U1056" s="5"/>
      <c r="V1056" s="5"/>
      <c r="W1056" s="5"/>
      <c r="X1056" s="5"/>
      <c r="Y1056" s="5"/>
    </row>
    <row r="1057" spans="13:25" ht="33">
      <c r="M1057" s="26" t="s">
        <v>59</v>
      </c>
      <c r="N1057" s="25" t="s">
        <v>51</v>
      </c>
      <c r="O1057" s="26"/>
      <c r="P1057" s="26" t="s">
        <v>1053</v>
      </c>
      <c r="Q1057" s="26"/>
      <c r="R1057" s="5"/>
      <c r="S1057" s="5"/>
      <c r="T1057" s="5"/>
      <c r="U1057" s="5"/>
      <c r="V1057" s="5"/>
      <c r="W1057" s="5"/>
      <c r="X1057" s="5"/>
      <c r="Y1057" s="5"/>
    </row>
    <row r="1058" spans="13:25" ht="33">
      <c r="M1058" s="26" t="s">
        <v>59</v>
      </c>
      <c r="N1058" s="25" t="s">
        <v>51</v>
      </c>
      <c r="O1058" s="26"/>
      <c r="P1058" s="26" t="s">
        <v>1054</v>
      </c>
      <c r="Q1058" s="26"/>
      <c r="R1058" s="5"/>
      <c r="S1058" s="5"/>
      <c r="T1058" s="5"/>
      <c r="U1058" s="5"/>
      <c r="V1058" s="5"/>
      <c r="W1058" s="5"/>
      <c r="X1058" s="5"/>
      <c r="Y1058" s="5"/>
    </row>
    <row r="1059" spans="13:25" ht="33">
      <c r="M1059" s="26" t="s">
        <v>59</v>
      </c>
      <c r="N1059" s="25" t="s">
        <v>51</v>
      </c>
      <c r="O1059" s="26"/>
      <c r="P1059" s="26" t="s">
        <v>1055</v>
      </c>
      <c r="Q1059" s="26"/>
      <c r="R1059" s="5"/>
      <c r="S1059" s="5"/>
      <c r="T1059" s="5"/>
      <c r="U1059" s="5"/>
      <c r="V1059" s="5"/>
      <c r="W1059" s="5"/>
      <c r="X1059" s="5"/>
      <c r="Y1059" s="5"/>
    </row>
    <row r="1060" spans="13:25" ht="44">
      <c r="M1060" s="26" t="s">
        <v>59</v>
      </c>
      <c r="N1060" s="25" t="s">
        <v>51</v>
      </c>
      <c r="O1060" s="26"/>
      <c r="P1060" s="26" t="s">
        <v>1056</v>
      </c>
      <c r="Q1060" s="26"/>
      <c r="R1060" s="5"/>
      <c r="S1060" s="5"/>
      <c r="T1060" s="5"/>
      <c r="U1060" s="5"/>
      <c r="V1060" s="5"/>
      <c r="W1060" s="5"/>
      <c r="X1060" s="5"/>
      <c r="Y1060" s="5"/>
    </row>
    <row r="1061" spans="13:25" ht="44">
      <c r="M1061" s="26" t="s">
        <v>59</v>
      </c>
      <c r="N1061" s="25" t="s">
        <v>51</v>
      </c>
      <c r="O1061" s="26"/>
      <c r="P1061" s="26" t="s">
        <v>1057</v>
      </c>
      <c r="Q1061" s="26"/>
      <c r="R1061" s="5"/>
      <c r="S1061" s="5"/>
      <c r="T1061" s="5"/>
      <c r="U1061" s="5"/>
      <c r="V1061" s="5"/>
      <c r="W1061" s="5"/>
      <c r="X1061" s="5"/>
      <c r="Y1061" s="5"/>
    </row>
    <row r="1062" spans="13:25" ht="55">
      <c r="M1062" s="26" t="s">
        <v>59</v>
      </c>
      <c r="N1062" s="25" t="s">
        <v>51</v>
      </c>
      <c r="O1062" s="26"/>
      <c r="P1062" s="26" t="s">
        <v>1058</v>
      </c>
      <c r="Q1062" s="26"/>
      <c r="R1062" s="5"/>
      <c r="S1062" s="5"/>
      <c r="T1062" s="5"/>
      <c r="U1062" s="5"/>
      <c r="V1062" s="5"/>
      <c r="W1062" s="5"/>
      <c r="X1062" s="5"/>
      <c r="Y1062" s="5"/>
    </row>
    <row r="1063" spans="13:25" ht="44">
      <c r="M1063" s="26" t="s">
        <v>59</v>
      </c>
      <c r="N1063" s="25" t="s">
        <v>51</v>
      </c>
      <c r="O1063" s="26"/>
      <c r="P1063" s="26" t="s">
        <v>968</v>
      </c>
      <c r="Q1063" s="26"/>
      <c r="R1063" s="5"/>
      <c r="S1063" s="5"/>
      <c r="T1063" s="5"/>
      <c r="U1063" s="5"/>
      <c r="V1063" s="5"/>
      <c r="W1063" s="5"/>
      <c r="X1063" s="5"/>
      <c r="Y1063" s="5"/>
    </row>
    <row r="1064" spans="13:25" ht="55">
      <c r="M1064" s="26" t="s">
        <v>59</v>
      </c>
      <c r="N1064" s="25" t="s">
        <v>51</v>
      </c>
      <c r="O1064" s="26"/>
      <c r="P1064" s="26" t="s">
        <v>969</v>
      </c>
      <c r="Q1064" s="26"/>
      <c r="R1064" s="5"/>
      <c r="S1064" s="5"/>
      <c r="T1064" s="5"/>
      <c r="U1064" s="5"/>
      <c r="V1064" s="5"/>
      <c r="W1064" s="5"/>
      <c r="X1064" s="5"/>
      <c r="Y1064" s="5"/>
    </row>
    <row r="1065" spans="13:25" ht="55">
      <c r="M1065" s="26" t="s">
        <v>59</v>
      </c>
      <c r="N1065" s="25" t="s">
        <v>51</v>
      </c>
      <c r="O1065" s="26"/>
      <c r="P1065" s="26" t="s">
        <v>1059</v>
      </c>
      <c r="Q1065" s="26"/>
      <c r="R1065" s="5"/>
      <c r="S1065" s="5"/>
      <c r="T1065" s="5"/>
      <c r="U1065" s="5"/>
      <c r="V1065" s="5"/>
      <c r="W1065" s="5"/>
      <c r="X1065" s="5"/>
      <c r="Y1065" s="5"/>
    </row>
    <row r="1066" spans="13:25" ht="88">
      <c r="M1066" s="26" t="s">
        <v>59</v>
      </c>
      <c r="N1066" s="25" t="s">
        <v>51</v>
      </c>
      <c r="O1066" s="26"/>
      <c r="P1066" s="26" t="s">
        <v>1060</v>
      </c>
      <c r="Q1066" s="26"/>
      <c r="R1066" s="5"/>
      <c r="S1066" s="5"/>
      <c r="T1066" s="5"/>
      <c r="U1066" s="5"/>
      <c r="V1066" s="5"/>
      <c r="W1066" s="5"/>
      <c r="X1066" s="5"/>
      <c r="Y1066" s="5"/>
    </row>
    <row r="1067" spans="13:25" ht="55">
      <c r="M1067" s="26" t="s">
        <v>59</v>
      </c>
      <c r="N1067" s="25" t="s">
        <v>51</v>
      </c>
      <c r="O1067" s="26"/>
      <c r="P1067" s="26" t="s">
        <v>1061</v>
      </c>
      <c r="Q1067" s="26"/>
      <c r="R1067" s="5"/>
      <c r="S1067" s="5"/>
      <c r="T1067" s="5"/>
      <c r="U1067" s="5"/>
      <c r="V1067" s="5"/>
      <c r="W1067" s="5"/>
      <c r="X1067" s="5"/>
      <c r="Y1067" s="5"/>
    </row>
    <row r="1068" spans="13:25" ht="44">
      <c r="M1068" s="26" t="s">
        <v>59</v>
      </c>
      <c r="N1068" s="25" t="s">
        <v>51</v>
      </c>
      <c r="O1068" s="26"/>
      <c r="P1068" s="26" t="s">
        <v>1062</v>
      </c>
      <c r="Q1068" s="26"/>
      <c r="R1068" s="5"/>
      <c r="S1068" s="5"/>
      <c r="T1068" s="5"/>
      <c r="U1068" s="5"/>
      <c r="V1068" s="5"/>
      <c r="W1068" s="5"/>
      <c r="X1068" s="5"/>
      <c r="Y1068" s="5"/>
    </row>
    <row r="1069" spans="13:25" ht="22">
      <c r="M1069" s="26" t="s">
        <v>59</v>
      </c>
      <c r="N1069" s="25" t="s">
        <v>51</v>
      </c>
      <c r="O1069" s="26"/>
      <c r="P1069" s="26" t="s">
        <v>1063</v>
      </c>
      <c r="Q1069" s="26"/>
      <c r="R1069" s="5"/>
      <c r="S1069" s="5"/>
      <c r="T1069" s="5"/>
      <c r="U1069" s="5"/>
      <c r="V1069" s="5"/>
      <c r="W1069" s="5"/>
      <c r="X1069" s="5"/>
      <c r="Y1069" s="5"/>
    </row>
    <row r="1070" spans="13:25" ht="22">
      <c r="M1070" s="26" t="s">
        <v>59</v>
      </c>
      <c r="N1070" s="25" t="s">
        <v>57</v>
      </c>
      <c r="O1070" s="26"/>
      <c r="P1070" s="26" t="s">
        <v>1064</v>
      </c>
      <c r="Q1070" s="26"/>
      <c r="R1070" s="5"/>
      <c r="S1070" s="5"/>
      <c r="T1070" s="5"/>
      <c r="U1070" s="5"/>
      <c r="V1070" s="5"/>
      <c r="W1070" s="5"/>
      <c r="X1070" s="5"/>
      <c r="Y1070" s="5"/>
    </row>
    <row r="1071" spans="13:25" ht="22">
      <c r="M1071" s="26" t="s">
        <v>59</v>
      </c>
      <c r="N1071" s="25" t="s">
        <v>51</v>
      </c>
      <c r="O1071" s="26"/>
      <c r="P1071" s="26" t="s">
        <v>1065</v>
      </c>
      <c r="Q1071" s="26"/>
      <c r="R1071" s="5"/>
      <c r="S1071" s="5"/>
      <c r="T1071" s="5"/>
      <c r="U1071" s="5"/>
      <c r="V1071" s="5"/>
      <c r="W1071" s="5"/>
      <c r="X1071" s="5"/>
      <c r="Y1071" s="5"/>
    </row>
    <row r="1072" spans="13:25" ht="22">
      <c r="M1072" s="26" t="s">
        <v>59</v>
      </c>
      <c r="N1072" s="25" t="s">
        <v>57</v>
      </c>
      <c r="O1072" s="26" t="s">
        <v>1066</v>
      </c>
      <c r="P1072" s="26"/>
      <c r="Q1072" s="26"/>
      <c r="R1072" s="5"/>
      <c r="S1072" s="5"/>
      <c r="T1072" s="5"/>
      <c r="U1072" s="5"/>
      <c r="V1072" s="5"/>
      <c r="W1072" s="5"/>
      <c r="X1072" s="5"/>
      <c r="Y1072" s="5"/>
    </row>
    <row r="1073" spans="13:25" ht="22">
      <c r="M1073" s="26" t="s">
        <v>59</v>
      </c>
      <c r="N1073" s="25" t="s">
        <v>51</v>
      </c>
      <c r="O1073" s="26" t="s">
        <v>1067</v>
      </c>
      <c r="P1073" s="26"/>
      <c r="Q1073" s="26"/>
      <c r="R1073" s="5"/>
      <c r="S1073" s="5"/>
      <c r="T1073" s="5"/>
      <c r="U1073" s="5"/>
      <c r="V1073" s="5"/>
      <c r="W1073" s="5"/>
      <c r="X1073" s="5"/>
      <c r="Y1073" s="5"/>
    </row>
    <row r="1074" spans="13:25" ht="154">
      <c r="M1074" s="26" t="s">
        <v>59</v>
      </c>
      <c r="N1074" s="25" t="s">
        <v>51</v>
      </c>
      <c r="O1074" s="26"/>
      <c r="P1074" s="26" t="s">
        <v>1048</v>
      </c>
      <c r="Q1074" s="26"/>
      <c r="R1074" s="5"/>
      <c r="S1074" s="5"/>
      <c r="T1074" s="5"/>
      <c r="U1074" s="5"/>
      <c r="V1074" s="5"/>
      <c r="W1074" s="5"/>
      <c r="X1074" s="5"/>
      <c r="Y1074" s="5"/>
    </row>
    <row r="1075" spans="13:25" ht="22">
      <c r="M1075" s="26" t="s">
        <v>59</v>
      </c>
      <c r="N1075" s="25" t="s">
        <v>51</v>
      </c>
      <c r="O1075" s="26"/>
      <c r="P1075" s="26" t="s">
        <v>1068</v>
      </c>
      <c r="Q1075" s="26"/>
      <c r="R1075" s="5"/>
      <c r="S1075" s="5"/>
      <c r="T1075" s="5"/>
      <c r="U1075" s="5"/>
      <c r="V1075" s="5"/>
      <c r="W1075" s="5"/>
      <c r="X1075" s="5"/>
      <c r="Y1075" s="5"/>
    </row>
    <row r="1076" spans="13:25" ht="33">
      <c r="M1076" s="26" t="s">
        <v>59</v>
      </c>
      <c r="N1076" s="25" t="s">
        <v>51</v>
      </c>
      <c r="O1076" s="26"/>
      <c r="P1076" s="26" t="s">
        <v>1069</v>
      </c>
      <c r="Q1076" s="26"/>
      <c r="R1076" s="5"/>
      <c r="S1076" s="5"/>
      <c r="T1076" s="5"/>
      <c r="U1076" s="5"/>
      <c r="V1076" s="5"/>
      <c r="W1076" s="5"/>
      <c r="X1076" s="5"/>
      <c r="Y1076" s="5"/>
    </row>
    <row r="1077" spans="13:25" ht="66">
      <c r="M1077" s="26" t="s">
        <v>59</v>
      </c>
      <c r="N1077" s="25" t="s">
        <v>51</v>
      </c>
      <c r="O1077" s="26"/>
      <c r="P1077" s="26" t="s">
        <v>1070</v>
      </c>
      <c r="Q1077" s="26"/>
      <c r="R1077" s="5"/>
      <c r="S1077" s="5"/>
      <c r="T1077" s="5"/>
      <c r="U1077" s="5"/>
      <c r="V1077" s="5"/>
      <c r="W1077" s="5"/>
      <c r="X1077" s="5"/>
      <c r="Y1077" s="5"/>
    </row>
    <row r="1078" spans="13:25" ht="33">
      <c r="M1078" s="26" t="s">
        <v>59</v>
      </c>
      <c r="N1078" s="25" t="s">
        <v>51</v>
      </c>
      <c r="O1078" s="26"/>
      <c r="P1078" s="26" t="s">
        <v>1051</v>
      </c>
      <c r="Q1078" s="26"/>
      <c r="R1078" s="5"/>
      <c r="S1078" s="5"/>
      <c r="T1078" s="5"/>
      <c r="U1078" s="5"/>
      <c r="V1078" s="5"/>
      <c r="W1078" s="5"/>
      <c r="X1078" s="5"/>
      <c r="Y1078" s="5"/>
    </row>
    <row r="1079" spans="13:25" ht="33">
      <c r="M1079" s="26" t="s">
        <v>59</v>
      </c>
      <c r="N1079" s="25" t="s">
        <v>51</v>
      </c>
      <c r="O1079" s="26"/>
      <c r="P1079" s="26" t="s">
        <v>1052</v>
      </c>
      <c r="Q1079" s="26"/>
      <c r="R1079" s="5"/>
      <c r="S1079" s="5"/>
      <c r="T1079" s="5"/>
      <c r="U1079" s="5"/>
      <c r="V1079" s="5"/>
      <c r="W1079" s="5"/>
      <c r="X1079" s="5"/>
      <c r="Y1079" s="5"/>
    </row>
    <row r="1080" spans="13:25" ht="33">
      <c r="M1080" s="26" t="s">
        <v>59</v>
      </c>
      <c r="N1080" s="25" t="s">
        <v>51</v>
      </c>
      <c r="O1080" s="26"/>
      <c r="P1080" s="26" t="s">
        <v>1071</v>
      </c>
      <c r="Q1080" s="26"/>
      <c r="R1080" s="5"/>
      <c r="S1080" s="5"/>
      <c r="T1080" s="5"/>
      <c r="U1080" s="5"/>
      <c r="V1080" s="5"/>
      <c r="W1080" s="5"/>
      <c r="X1080" s="5"/>
      <c r="Y1080" s="5"/>
    </row>
    <row r="1081" spans="13:25" ht="33">
      <c r="M1081" s="26" t="s">
        <v>59</v>
      </c>
      <c r="N1081" s="25" t="s">
        <v>51</v>
      </c>
      <c r="O1081" s="26"/>
      <c r="P1081" s="26" t="s">
        <v>1072</v>
      </c>
      <c r="Q1081" s="26"/>
      <c r="R1081" s="5"/>
      <c r="S1081" s="5"/>
      <c r="T1081" s="5"/>
      <c r="U1081" s="5"/>
      <c r="V1081" s="5"/>
      <c r="W1081" s="5"/>
      <c r="X1081" s="5"/>
      <c r="Y1081" s="5"/>
    </row>
    <row r="1082" spans="13:25" ht="33">
      <c r="M1082" s="26" t="s">
        <v>59</v>
      </c>
      <c r="N1082" s="25" t="s">
        <v>51</v>
      </c>
      <c r="O1082" s="26"/>
      <c r="P1082" s="26" t="s">
        <v>1073</v>
      </c>
      <c r="Q1082" s="26"/>
      <c r="R1082" s="5"/>
      <c r="S1082" s="5"/>
      <c r="T1082" s="5"/>
      <c r="U1082" s="5"/>
      <c r="V1082" s="5"/>
      <c r="W1082" s="5"/>
      <c r="X1082" s="5"/>
      <c r="Y1082" s="5"/>
    </row>
    <row r="1083" spans="13:25" ht="44">
      <c r="M1083" s="26" t="s">
        <v>59</v>
      </c>
      <c r="N1083" s="25" t="s">
        <v>51</v>
      </c>
      <c r="O1083" s="26"/>
      <c r="P1083" s="26" t="s">
        <v>1074</v>
      </c>
      <c r="Q1083" s="26"/>
      <c r="R1083" s="5"/>
      <c r="S1083" s="5"/>
      <c r="T1083" s="5"/>
      <c r="U1083" s="5"/>
      <c r="V1083" s="5"/>
      <c r="W1083" s="5"/>
      <c r="X1083" s="5"/>
      <c r="Y1083" s="5"/>
    </row>
    <row r="1084" spans="13:25" ht="44">
      <c r="M1084" s="26" t="s">
        <v>59</v>
      </c>
      <c r="N1084" s="25" t="s">
        <v>51</v>
      </c>
      <c r="O1084" s="26"/>
      <c r="P1084" s="26" t="s">
        <v>1057</v>
      </c>
      <c r="Q1084" s="26"/>
      <c r="R1084" s="5"/>
      <c r="S1084" s="5"/>
      <c r="T1084" s="5"/>
      <c r="U1084" s="5"/>
      <c r="V1084" s="5"/>
      <c r="W1084" s="5"/>
      <c r="X1084" s="5"/>
      <c r="Y1084" s="5"/>
    </row>
    <row r="1085" spans="13:25" ht="55">
      <c r="M1085" s="26" t="s">
        <v>59</v>
      </c>
      <c r="N1085" s="25" t="s">
        <v>51</v>
      </c>
      <c r="O1085" s="26"/>
      <c r="P1085" s="26" t="s">
        <v>1075</v>
      </c>
      <c r="Q1085" s="26"/>
      <c r="R1085" s="5"/>
      <c r="S1085" s="5"/>
      <c r="T1085" s="5"/>
      <c r="U1085" s="5"/>
      <c r="V1085" s="5"/>
      <c r="W1085" s="5"/>
      <c r="X1085" s="5"/>
      <c r="Y1085" s="5"/>
    </row>
    <row r="1086" spans="13:25" ht="55">
      <c r="M1086" s="26" t="s">
        <v>59</v>
      </c>
      <c r="N1086" s="25" t="s">
        <v>51</v>
      </c>
      <c r="O1086" s="26"/>
      <c r="P1086" s="26" t="s">
        <v>1058</v>
      </c>
      <c r="Q1086" s="26"/>
      <c r="R1086" s="5"/>
      <c r="S1086" s="5"/>
      <c r="T1086" s="5"/>
      <c r="U1086" s="5"/>
      <c r="V1086" s="5"/>
      <c r="W1086" s="5"/>
      <c r="X1086" s="5"/>
      <c r="Y1086" s="5"/>
    </row>
    <row r="1087" spans="13:25" ht="55">
      <c r="M1087" s="26" t="s">
        <v>59</v>
      </c>
      <c r="N1087" s="25" t="s">
        <v>51</v>
      </c>
      <c r="O1087" s="26"/>
      <c r="P1087" s="26" t="s">
        <v>1076</v>
      </c>
      <c r="Q1087" s="26"/>
      <c r="R1087" s="5"/>
      <c r="S1087" s="5"/>
      <c r="T1087" s="5"/>
      <c r="U1087" s="5"/>
      <c r="V1087" s="5"/>
      <c r="W1087" s="5"/>
      <c r="X1087" s="5"/>
      <c r="Y1087" s="5"/>
    </row>
    <row r="1088" spans="13:25" ht="88">
      <c r="M1088" s="26" t="s">
        <v>59</v>
      </c>
      <c r="N1088" s="25" t="s">
        <v>51</v>
      </c>
      <c r="O1088" s="26"/>
      <c r="P1088" s="26" t="s">
        <v>1077</v>
      </c>
      <c r="Q1088" s="26"/>
      <c r="R1088" s="5"/>
      <c r="S1088" s="5"/>
      <c r="T1088" s="5"/>
      <c r="U1088" s="5"/>
      <c r="V1088" s="5"/>
      <c r="W1088" s="5"/>
      <c r="X1088" s="5"/>
      <c r="Y1088" s="5"/>
    </row>
    <row r="1089" spans="13:25" ht="55">
      <c r="M1089" s="26" t="s">
        <v>59</v>
      </c>
      <c r="N1089" s="25" t="s">
        <v>51</v>
      </c>
      <c r="O1089" s="26"/>
      <c r="P1089" s="26" t="s">
        <v>1061</v>
      </c>
      <c r="Q1089" s="26"/>
      <c r="R1089" s="5"/>
      <c r="S1089" s="5"/>
      <c r="T1089" s="5"/>
      <c r="U1089" s="5"/>
      <c r="V1089" s="5"/>
      <c r="W1089" s="5"/>
      <c r="X1089" s="5"/>
      <c r="Y1089" s="5"/>
    </row>
    <row r="1090" spans="13:25" ht="44">
      <c r="M1090" s="26" t="s">
        <v>59</v>
      </c>
      <c r="N1090" s="25" t="s">
        <v>51</v>
      </c>
      <c r="O1090" s="26"/>
      <c r="P1090" s="26" t="s">
        <v>1062</v>
      </c>
      <c r="Q1090" s="26"/>
      <c r="R1090" s="5"/>
      <c r="S1090" s="5"/>
      <c r="T1090" s="5"/>
      <c r="U1090" s="5"/>
      <c r="V1090" s="5"/>
      <c r="W1090" s="5"/>
      <c r="X1090" s="5"/>
      <c r="Y1090" s="5"/>
    </row>
    <row r="1091" spans="13:25" ht="44">
      <c r="M1091" s="26" t="s">
        <v>59</v>
      </c>
      <c r="N1091" s="25" t="s">
        <v>51</v>
      </c>
      <c r="O1091" s="26"/>
      <c r="P1091" s="26" t="s">
        <v>1078</v>
      </c>
      <c r="Q1091" s="26"/>
      <c r="R1091" s="5"/>
      <c r="S1091" s="5"/>
      <c r="T1091" s="5"/>
      <c r="U1091" s="5"/>
      <c r="V1091" s="5"/>
      <c r="W1091" s="5"/>
      <c r="X1091" s="5"/>
      <c r="Y1091" s="5"/>
    </row>
    <row r="1092" spans="13:25" ht="33">
      <c r="M1092" s="26" t="s">
        <v>59</v>
      </c>
      <c r="N1092" s="25" t="s">
        <v>51</v>
      </c>
      <c r="O1092" s="26"/>
      <c r="P1092" s="26" t="s">
        <v>1079</v>
      </c>
      <c r="Q1092" s="26"/>
      <c r="R1092" s="5"/>
      <c r="S1092" s="5"/>
      <c r="T1092" s="5"/>
      <c r="U1092" s="5"/>
      <c r="V1092" s="5"/>
      <c r="W1092" s="5"/>
      <c r="X1092" s="5"/>
      <c r="Y1092" s="5"/>
    </row>
    <row r="1093" spans="13:25" ht="33">
      <c r="M1093" s="26" t="s">
        <v>59</v>
      </c>
      <c r="N1093" s="25" t="s">
        <v>51</v>
      </c>
      <c r="O1093" s="26"/>
      <c r="P1093" s="26" t="s">
        <v>1080</v>
      </c>
      <c r="Q1093" s="26"/>
      <c r="R1093" s="5"/>
      <c r="S1093" s="5"/>
      <c r="T1093" s="5"/>
      <c r="U1093" s="5"/>
      <c r="V1093" s="5"/>
      <c r="W1093" s="5"/>
      <c r="X1093" s="5"/>
      <c r="Y1093" s="5"/>
    </row>
    <row r="1094" spans="13:25" ht="22">
      <c r="M1094" s="26" t="s">
        <v>59</v>
      </c>
      <c r="N1094" s="25" t="s">
        <v>57</v>
      </c>
      <c r="O1094" s="26"/>
      <c r="P1094" s="26" t="s">
        <v>1081</v>
      </c>
      <c r="Q1094" s="26"/>
      <c r="R1094" s="5"/>
      <c r="S1094" s="5"/>
      <c r="T1094" s="5"/>
      <c r="U1094" s="5"/>
      <c r="V1094" s="5"/>
      <c r="W1094" s="5"/>
      <c r="X1094" s="5"/>
      <c r="Y1094" s="5"/>
    </row>
    <row r="1095" spans="13:25" ht="66">
      <c r="M1095" s="26" t="s">
        <v>59</v>
      </c>
      <c r="N1095" s="25" t="s">
        <v>51</v>
      </c>
      <c r="O1095" s="26"/>
      <c r="P1095" s="26" t="s">
        <v>1082</v>
      </c>
      <c r="Q1095" s="26"/>
      <c r="R1095" s="5"/>
      <c r="S1095" s="5"/>
      <c r="T1095" s="5"/>
      <c r="U1095" s="5"/>
      <c r="V1095" s="5"/>
      <c r="W1095" s="5"/>
      <c r="X1095" s="5"/>
      <c r="Y1095" s="5"/>
    </row>
    <row r="1096" spans="13:25" ht="66">
      <c r="M1096" s="26" t="s">
        <v>59</v>
      </c>
      <c r="N1096" s="25" t="s">
        <v>51</v>
      </c>
      <c r="O1096" s="26"/>
      <c r="P1096" s="26" t="s">
        <v>1082</v>
      </c>
      <c r="Q1096" s="26"/>
      <c r="R1096" s="5"/>
      <c r="S1096" s="5"/>
      <c r="T1096" s="5"/>
      <c r="U1096" s="5"/>
      <c r="V1096" s="5"/>
      <c r="W1096" s="5"/>
      <c r="X1096" s="5"/>
      <c r="Y1096" s="5"/>
    </row>
    <row r="1097" spans="13:25" ht="66">
      <c r="M1097" s="26" t="s">
        <v>59</v>
      </c>
      <c r="N1097" s="25" t="s">
        <v>51</v>
      </c>
      <c r="O1097" s="26"/>
      <c r="P1097" s="26" t="s">
        <v>1082</v>
      </c>
      <c r="Q1097" s="26"/>
      <c r="R1097" s="5"/>
      <c r="S1097" s="5"/>
      <c r="T1097" s="5"/>
      <c r="U1097" s="5"/>
      <c r="V1097" s="5"/>
      <c r="W1097" s="5"/>
      <c r="X1097" s="5"/>
      <c r="Y1097" s="5"/>
    </row>
    <row r="1098" spans="13:25" ht="66">
      <c r="M1098" s="26" t="s">
        <v>59</v>
      </c>
      <c r="N1098" s="25" t="s">
        <v>51</v>
      </c>
      <c r="O1098" s="26"/>
      <c r="P1098" s="26" t="s">
        <v>1082</v>
      </c>
      <c r="Q1098" s="26"/>
      <c r="R1098" s="5"/>
      <c r="S1098" s="5"/>
      <c r="T1098" s="5"/>
      <c r="U1098" s="5"/>
      <c r="V1098" s="5"/>
      <c r="W1098" s="5"/>
      <c r="X1098" s="5"/>
      <c r="Y1098" s="5"/>
    </row>
    <row r="1099" spans="13:25" ht="66">
      <c r="M1099" s="26" t="s">
        <v>59</v>
      </c>
      <c r="N1099" s="25" t="s">
        <v>51</v>
      </c>
      <c r="O1099" s="26"/>
      <c r="P1099" s="26" t="s">
        <v>1083</v>
      </c>
      <c r="Q1099" s="26"/>
      <c r="R1099" s="5"/>
      <c r="S1099" s="5"/>
      <c r="T1099" s="5"/>
      <c r="U1099" s="5"/>
      <c r="V1099" s="5"/>
      <c r="W1099" s="5"/>
      <c r="X1099" s="5"/>
      <c r="Y1099" s="5"/>
    </row>
    <row r="1100" spans="13:25" ht="22">
      <c r="M1100" s="26" t="s">
        <v>59</v>
      </c>
      <c r="N1100" s="25" t="s">
        <v>51</v>
      </c>
      <c r="O1100" s="26"/>
      <c r="P1100" s="26" t="s">
        <v>1084</v>
      </c>
      <c r="Q1100" s="26"/>
      <c r="R1100" s="5"/>
      <c r="S1100" s="5"/>
      <c r="T1100" s="5"/>
      <c r="U1100" s="5"/>
      <c r="V1100" s="5"/>
      <c r="W1100" s="5"/>
      <c r="X1100" s="5"/>
      <c r="Y1100" s="5"/>
    </row>
    <row r="1101" spans="13:25" ht="22">
      <c r="M1101" s="26" t="s">
        <v>59</v>
      </c>
      <c r="N1101" s="25" t="s">
        <v>51</v>
      </c>
      <c r="O1101" s="26"/>
      <c r="P1101" s="26" t="s">
        <v>1085</v>
      </c>
      <c r="Q1101" s="26"/>
      <c r="R1101" s="5"/>
      <c r="S1101" s="5"/>
      <c r="T1101" s="5"/>
      <c r="U1101" s="5"/>
      <c r="V1101" s="5"/>
      <c r="W1101" s="5"/>
      <c r="X1101" s="5"/>
      <c r="Y1101" s="5"/>
    </row>
    <row r="1102" spans="13:25" ht="22">
      <c r="M1102" s="26" t="s">
        <v>59</v>
      </c>
      <c r="N1102" s="25" t="s">
        <v>51</v>
      </c>
      <c r="O1102" s="26"/>
      <c r="P1102" s="26" t="s">
        <v>1086</v>
      </c>
      <c r="Q1102" s="26"/>
      <c r="R1102" s="5"/>
      <c r="S1102" s="5"/>
      <c r="T1102" s="5"/>
      <c r="U1102" s="5"/>
      <c r="V1102" s="5"/>
      <c r="W1102" s="5"/>
      <c r="X1102" s="5"/>
      <c r="Y1102" s="5"/>
    </row>
    <row r="1103" spans="13:25" ht="33">
      <c r="M1103" s="26" t="s">
        <v>59</v>
      </c>
      <c r="N1103" s="25" t="s">
        <v>51</v>
      </c>
      <c r="O1103" s="26"/>
      <c r="P1103" s="26" t="s">
        <v>1087</v>
      </c>
      <c r="Q1103" s="26"/>
      <c r="R1103" s="5"/>
      <c r="S1103" s="5"/>
      <c r="T1103" s="5"/>
      <c r="U1103" s="5"/>
      <c r="V1103" s="5"/>
      <c r="W1103" s="5"/>
      <c r="X1103" s="5"/>
      <c r="Y1103" s="5"/>
    </row>
    <row r="1104" spans="13:25" ht="22">
      <c r="M1104" s="26" t="s">
        <v>59</v>
      </c>
      <c r="N1104" s="25" t="s">
        <v>51</v>
      </c>
      <c r="O1104" s="26" t="s">
        <v>1088</v>
      </c>
      <c r="P1104" s="26"/>
      <c r="Q1104" s="26"/>
      <c r="R1104" s="5"/>
      <c r="S1104" s="5"/>
      <c r="T1104" s="5"/>
      <c r="U1104" s="5"/>
      <c r="V1104" s="5"/>
      <c r="W1104" s="5"/>
      <c r="X1104" s="5"/>
      <c r="Y1104" s="5"/>
    </row>
    <row r="1105" spans="13:25" ht="154">
      <c r="M1105" s="26" t="s">
        <v>59</v>
      </c>
      <c r="N1105" s="25" t="s">
        <v>51</v>
      </c>
      <c r="O1105" s="26"/>
      <c r="P1105" s="26" t="s">
        <v>1048</v>
      </c>
      <c r="Q1105" s="26"/>
      <c r="R1105" s="5"/>
      <c r="S1105" s="5"/>
      <c r="T1105" s="5"/>
      <c r="U1105" s="5"/>
      <c r="V1105" s="5"/>
      <c r="W1105" s="5"/>
      <c r="X1105" s="5"/>
      <c r="Y1105" s="5"/>
    </row>
    <row r="1106" spans="13:25" ht="55">
      <c r="M1106" s="26" t="s">
        <v>59</v>
      </c>
      <c r="N1106" s="25" t="s">
        <v>51</v>
      </c>
      <c r="O1106" s="26"/>
      <c r="P1106" s="26" t="s">
        <v>1089</v>
      </c>
      <c r="Q1106" s="26"/>
      <c r="R1106" s="5"/>
      <c r="S1106" s="5"/>
      <c r="T1106" s="5"/>
      <c r="U1106" s="5"/>
      <c r="V1106" s="5"/>
      <c r="W1106" s="5"/>
      <c r="X1106" s="5"/>
      <c r="Y1106" s="5"/>
    </row>
    <row r="1107" spans="13:25" ht="66">
      <c r="M1107" s="26" t="s">
        <v>59</v>
      </c>
      <c r="N1107" s="25" t="s">
        <v>51</v>
      </c>
      <c r="O1107" s="26"/>
      <c r="P1107" s="26" t="s">
        <v>1082</v>
      </c>
      <c r="Q1107" s="26"/>
      <c r="R1107" s="5"/>
      <c r="S1107" s="5"/>
      <c r="T1107" s="5"/>
      <c r="U1107" s="5"/>
      <c r="V1107" s="5"/>
      <c r="W1107" s="5"/>
      <c r="X1107" s="5"/>
      <c r="Y1107" s="5"/>
    </row>
    <row r="1108" spans="13:25" ht="33">
      <c r="M1108" s="26" t="s">
        <v>59</v>
      </c>
      <c r="N1108" s="25" t="s">
        <v>51</v>
      </c>
      <c r="O1108" s="26"/>
      <c r="P1108" s="26" t="s">
        <v>1090</v>
      </c>
      <c r="Q1108" s="26"/>
      <c r="R1108" s="5"/>
      <c r="S1108" s="5"/>
      <c r="T1108" s="5"/>
      <c r="U1108" s="5"/>
      <c r="V1108" s="5"/>
      <c r="W1108" s="5"/>
      <c r="X1108" s="5"/>
      <c r="Y1108" s="5"/>
    </row>
    <row r="1109" spans="13:25" ht="66">
      <c r="M1109" s="26" t="s">
        <v>59</v>
      </c>
      <c r="N1109" s="25" t="s">
        <v>51</v>
      </c>
      <c r="O1109" s="26"/>
      <c r="P1109" s="26" t="s">
        <v>1091</v>
      </c>
      <c r="Q1109" s="26"/>
      <c r="R1109" s="5"/>
      <c r="S1109" s="5"/>
      <c r="T1109" s="5"/>
      <c r="U1109" s="5"/>
      <c r="V1109" s="5"/>
      <c r="W1109" s="5"/>
      <c r="X1109" s="5"/>
      <c r="Y1109" s="5"/>
    </row>
    <row r="1110" spans="13:25" ht="66">
      <c r="M1110" s="26" t="s">
        <v>59</v>
      </c>
      <c r="N1110" s="25" t="s">
        <v>51</v>
      </c>
      <c r="O1110" s="26"/>
      <c r="P1110" s="26" t="s">
        <v>1092</v>
      </c>
      <c r="Q1110" s="26"/>
      <c r="R1110" s="5"/>
      <c r="S1110" s="5"/>
      <c r="T1110" s="5"/>
      <c r="U1110" s="5"/>
      <c r="V1110" s="5"/>
      <c r="W1110" s="5"/>
      <c r="X1110" s="5"/>
      <c r="Y1110" s="5"/>
    </row>
    <row r="1111" spans="13:25" ht="66">
      <c r="M1111" s="26" t="s">
        <v>59</v>
      </c>
      <c r="N1111" s="25" t="s">
        <v>51</v>
      </c>
      <c r="O1111" s="26"/>
      <c r="P1111" s="26" t="s">
        <v>967</v>
      </c>
      <c r="Q1111" s="26"/>
      <c r="R1111" s="5"/>
      <c r="S1111" s="5"/>
      <c r="T1111" s="5"/>
      <c r="U1111" s="5"/>
      <c r="V1111" s="5"/>
      <c r="W1111" s="5"/>
      <c r="X1111" s="5"/>
      <c r="Y1111" s="5"/>
    </row>
    <row r="1112" spans="13:25" ht="33">
      <c r="M1112" s="26" t="s">
        <v>59</v>
      </c>
      <c r="N1112" s="25" t="s">
        <v>51</v>
      </c>
      <c r="O1112" s="26"/>
      <c r="P1112" s="26" t="s">
        <v>1051</v>
      </c>
      <c r="Q1112" s="26"/>
      <c r="R1112" s="5"/>
      <c r="S1112" s="5"/>
      <c r="T1112" s="5"/>
      <c r="U1112" s="5"/>
      <c r="V1112" s="5"/>
      <c r="W1112" s="5"/>
      <c r="X1112" s="5"/>
      <c r="Y1112" s="5"/>
    </row>
    <row r="1113" spans="13:25" ht="33">
      <c r="M1113" s="26" t="s">
        <v>59</v>
      </c>
      <c r="N1113" s="25" t="s">
        <v>51</v>
      </c>
      <c r="O1113" s="26"/>
      <c r="P1113" s="26" t="s">
        <v>1093</v>
      </c>
      <c r="Q1113" s="26"/>
      <c r="R1113" s="5"/>
      <c r="S1113" s="5"/>
      <c r="T1113" s="5"/>
      <c r="U1113" s="5"/>
      <c r="V1113" s="5"/>
      <c r="W1113" s="5"/>
      <c r="X1113" s="5"/>
      <c r="Y1113" s="5"/>
    </row>
    <row r="1114" spans="13:25" ht="44">
      <c r="M1114" s="26" t="s">
        <v>59</v>
      </c>
      <c r="N1114" s="25" t="s">
        <v>51</v>
      </c>
      <c r="O1114" s="26"/>
      <c r="P1114" s="26" t="s">
        <v>1094</v>
      </c>
      <c r="Q1114" s="26"/>
      <c r="R1114" s="5"/>
      <c r="S1114" s="5"/>
      <c r="T1114" s="5"/>
      <c r="U1114" s="5"/>
      <c r="V1114" s="5"/>
      <c r="W1114" s="5"/>
      <c r="X1114" s="5"/>
      <c r="Y1114" s="5"/>
    </row>
    <row r="1115" spans="13:25" ht="55">
      <c r="M1115" s="26" t="s">
        <v>59</v>
      </c>
      <c r="N1115" s="25" t="s">
        <v>51</v>
      </c>
      <c r="O1115" s="26"/>
      <c r="P1115" s="26" t="s">
        <v>1075</v>
      </c>
      <c r="Q1115" s="26"/>
      <c r="R1115" s="5"/>
      <c r="S1115" s="5"/>
      <c r="T1115" s="5"/>
      <c r="U1115" s="5"/>
      <c r="V1115" s="5"/>
      <c r="W1115" s="5"/>
      <c r="X1115" s="5"/>
      <c r="Y1115" s="5"/>
    </row>
    <row r="1116" spans="13:25" ht="55">
      <c r="M1116" s="26" t="s">
        <v>59</v>
      </c>
      <c r="N1116" s="25" t="s">
        <v>51</v>
      </c>
      <c r="O1116" s="26"/>
      <c r="P1116" s="26" t="s">
        <v>1095</v>
      </c>
      <c r="Q1116" s="26"/>
      <c r="R1116" s="5"/>
      <c r="S1116" s="5"/>
      <c r="T1116" s="5"/>
      <c r="U1116" s="5"/>
      <c r="V1116" s="5"/>
      <c r="W1116" s="5"/>
      <c r="X1116" s="5"/>
      <c r="Y1116" s="5"/>
    </row>
    <row r="1117" spans="13:25" ht="55">
      <c r="M1117" s="26" t="s">
        <v>59</v>
      </c>
      <c r="N1117" s="25" t="s">
        <v>51</v>
      </c>
      <c r="O1117" s="26"/>
      <c r="P1117" s="26" t="s">
        <v>1096</v>
      </c>
      <c r="Q1117" s="26"/>
      <c r="R1117" s="5"/>
      <c r="S1117" s="5"/>
      <c r="T1117" s="5"/>
      <c r="U1117" s="5"/>
      <c r="V1117" s="5"/>
      <c r="W1117" s="5"/>
      <c r="X1117" s="5"/>
      <c r="Y1117" s="5"/>
    </row>
    <row r="1118" spans="13:25" ht="88">
      <c r="M1118" s="26" t="s">
        <v>59</v>
      </c>
      <c r="N1118" s="25" t="s">
        <v>51</v>
      </c>
      <c r="O1118" s="26"/>
      <c r="P1118" s="26" t="s">
        <v>1097</v>
      </c>
      <c r="Q1118" s="26"/>
      <c r="R1118" s="5"/>
      <c r="S1118" s="5"/>
      <c r="T1118" s="5"/>
      <c r="U1118" s="5"/>
      <c r="V1118" s="5"/>
      <c r="W1118" s="5"/>
      <c r="X1118" s="5"/>
      <c r="Y1118" s="5"/>
    </row>
    <row r="1119" spans="13:25" ht="44">
      <c r="M1119" s="26" t="s">
        <v>59</v>
      </c>
      <c r="N1119" s="25" t="s">
        <v>51</v>
      </c>
      <c r="O1119" s="26"/>
      <c r="P1119" s="26" t="s">
        <v>1098</v>
      </c>
      <c r="Q1119" s="26"/>
      <c r="R1119" s="5"/>
      <c r="S1119" s="5"/>
      <c r="T1119" s="5"/>
      <c r="U1119" s="5"/>
      <c r="V1119" s="5"/>
      <c r="W1119" s="5"/>
      <c r="X1119" s="5"/>
      <c r="Y1119" s="5"/>
    </row>
    <row r="1120" spans="13:25" ht="22">
      <c r="M1120" s="26" t="s">
        <v>59</v>
      </c>
      <c r="N1120" s="25" t="s">
        <v>51</v>
      </c>
      <c r="O1120" s="26"/>
      <c r="P1120" s="26" t="s">
        <v>1099</v>
      </c>
      <c r="Q1120" s="26"/>
      <c r="R1120" s="5"/>
      <c r="S1120" s="5"/>
      <c r="T1120" s="5"/>
      <c r="U1120" s="5"/>
      <c r="V1120" s="5"/>
      <c r="W1120" s="5"/>
      <c r="X1120" s="5"/>
      <c r="Y1120" s="5"/>
    </row>
    <row r="1121" spans="13:25" ht="99">
      <c r="M1121" s="26" t="s">
        <v>59</v>
      </c>
      <c r="N1121" s="25" t="s">
        <v>51</v>
      </c>
      <c r="O1121" s="26"/>
      <c r="P1121" s="26" t="s">
        <v>1100</v>
      </c>
      <c r="Q1121" s="26"/>
      <c r="R1121" s="5"/>
      <c r="S1121" s="5"/>
      <c r="T1121" s="5"/>
      <c r="U1121" s="5"/>
      <c r="V1121" s="5"/>
      <c r="W1121" s="5"/>
      <c r="X1121" s="5"/>
      <c r="Y1121" s="5"/>
    </row>
    <row r="1122" spans="13:25" ht="22">
      <c r="M1122" s="26" t="s">
        <v>59</v>
      </c>
      <c r="N1122" s="25" t="s">
        <v>51</v>
      </c>
      <c r="O1122" s="26"/>
      <c r="P1122" s="26" t="s">
        <v>1101</v>
      </c>
      <c r="Q1122" s="26"/>
      <c r="R1122" s="5"/>
      <c r="S1122" s="5"/>
      <c r="T1122" s="5"/>
      <c r="U1122" s="5"/>
      <c r="V1122" s="5"/>
      <c r="W1122" s="5"/>
      <c r="X1122" s="5"/>
      <c r="Y1122" s="5"/>
    </row>
    <row r="1123" spans="13:25" ht="22">
      <c r="M1123" s="26" t="s">
        <v>59</v>
      </c>
      <c r="N1123" s="25" t="s">
        <v>51</v>
      </c>
      <c r="O1123" s="26"/>
      <c r="P1123" s="26" t="s">
        <v>1102</v>
      </c>
      <c r="Q1123" s="26"/>
      <c r="R1123" s="5"/>
      <c r="S1123" s="5"/>
      <c r="T1123" s="5"/>
      <c r="U1123" s="5"/>
      <c r="V1123" s="5"/>
      <c r="W1123" s="5"/>
      <c r="X1123" s="5"/>
      <c r="Y1123" s="5"/>
    </row>
    <row r="1124" spans="13:25" ht="22">
      <c r="M1124" s="26" t="s">
        <v>59</v>
      </c>
      <c r="N1124" s="25" t="s">
        <v>57</v>
      </c>
      <c r="O1124" s="26"/>
      <c r="P1124" s="26" t="s">
        <v>1103</v>
      </c>
      <c r="Q1124" s="26"/>
      <c r="R1124" s="5"/>
      <c r="S1124" s="5"/>
      <c r="T1124" s="5"/>
      <c r="U1124" s="5"/>
      <c r="V1124" s="5"/>
      <c r="W1124" s="5"/>
      <c r="X1124" s="5"/>
      <c r="Y1124" s="5"/>
    </row>
    <row r="1125" spans="13:25" ht="22">
      <c r="M1125" s="26" t="s">
        <v>59</v>
      </c>
      <c r="N1125" s="25" t="s">
        <v>51</v>
      </c>
      <c r="O1125" s="26"/>
      <c r="P1125" s="26" t="s">
        <v>1065</v>
      </c>
      <c r="Q1125" s="26"/>
      <c r="R1125" s="5"/>
      <c r="S1125" s="5"/>
      <c r="T1125" s="5"/>
      <c r="U1125" s="5"/>
      <c r="V1125" s="5"/>
      <c r="W1125" s="5"/>
      <c r="X1125" s="5"/>
      <c r="Y1125" s="5"/>
    </row>
    <row r="1126" spans="13:25" ht="33">
      <c r="M1126" s="26" t="s">
        <v>59</v>
      </c>
      <c r="N1126" s="25" t="s">
        <v>51</v>
      </c>
      <c r="O1126" s="26"/>
      <c r="P1126" s="26" t="s">
        <v>1104</v>
      </c>
      <c r="Q1126" s="26"/>
      <c r="R1126" s="5"/>
      <c r="S1126" s="5"/>
      <c r="T1126" s="5"/>
      <c r="U1126" s="5"/>
      <c r="V1126" s="5"/>
      <c r="W1126" s="5"/>
      <c r="X1126" s="5"/>
      <c r="Y1126" s="5"/>
    </row>
    <row r="1127" spans="13:25" ht="22">
      <c r="M1127" s="26" t="s">
        <v>59</v>
      </c>
      <c r="N1127" s="25" t="s">
        <v>51</v>
      </c>
      <c r="O1127" s="26"/>
      <c r="P1127" s="26" t="s">
        <v>1105</v>
      </c>
      <c r="Q1127" s="26"/>
      <c r="R1127" s="5"/>
      <c r="S1127" s="5"/>
      <c r="T1127" s="5"/>
      <c r="U1127" s="5"/>
      <c r="V1127" s="5"/>
      <c r="W1127" s="5"/>
      <c r="X1127" s="5"/>
      <c r="Y1127" s="5"/>
    </row>
    <row r="1128" spans="13:25" ht="22">
      <c r="M1128" s="26" t="s">
        <v>59</v>
      </c>
      <c r="N1128" s="25" t="s">
        <v>51</v>
      </c>
      <c r="O1128" s="26"/>
      <c r="P1128" s="26" t="s">
        <v>1105</v>
      </c>
      <c r="Q1128" s="26"/>
      <c r="R1128" s="5"/>
      <c r="S1128" s="5"/>
      <c r="T1128" s="5"/>
      <c r="U1128" s="5"/>
      <c r="V1128" s="5"/>
      <c r="W1128" s="5"/>
      <c r="X1128" s="5"/>
      <c r="Y1128" s="5"/>
    </row>
    <row r="1129" spans="13:25" ht="22">
      <c r="M1129" s="26" t="s">
        <v>59</v>
      </c>
      <c r="N1129" s="25" t="s">
        <v>51</v>
      </c>
      <c r="O1129" s="26"/>
      <c r="P1129" s="26" t="s">
        <v>1106</v>
      </c>
      <c r="Q1129" s="26"/>
      <c r="R1129" s="5"/>
      <c r="S1129" s="5"/>
      <c r="T1129" s="5"/>
      <c r="U1129" s="5"/>
      <c r="V1129" s="5"/>
      <c r="W1129" s="5"/>
      <c r="X1129" s="5"/>
      <c r="Y1129" s="5"/>
    </row>
    <row r="1130" spans="13:25" ht="33">
      <c r="M1130" s="26" t="s">
        <v>59</v>
      </c>
      <c r="N1130" s="25" t="s">
        <v>51</v>
      </c>
      <c r="O1130" s="26"/>
      <c r="P1130" s="26" t="s">
        <v>1107</v>
      </c>
      <c r="Q1130" s="26"/>
      <c r="R1130" s="5"/>
      <c r="S1130" s="5"/>
      <c r="T1130" s="5"/>
      <c r="U1130" s="5"/>
      <c r="V1130" s="5"/>
      <c r="W1130" s="5"/>
      <c r="X1130" s="5"/>
      <c r="Y1130" s="5"/>
    </row>
    <row r="1131" spans="13:25" ht="77">
      <c r="M1131" s="26" t="s">
        <v>59</v>
      </c>
      <c r="N1131" s="25" t="s">
        <v>51</v>
      </c>
      <c r="O1131" s="26"/>
      <c r="P1131" s="26" t="s">
        <v>1108</v>
      </c>
      <c r="Q1131" s="26"/>
      <c r="R1131" s="5"/>
      <c r="S1131" s="5"/>
      <c r="T1131" s="5"/>
      <c r="U1131" s="5"/>
      <c r="V1131" s="5"/>
      <c r="W1131" s="5"/>
      <c r="X1131" s="5"/>
      <c r="Y1131" s="5"/>
    </row>
    <row r="1132" spans="13:25" ht="77">
      <c r="M1132" s="26" t="s">
        <v>59</v>
      </c>
      <c r="N1132" s="25" t="s">
        <v>51</v>
      </c>
      <c r="O1132" s="26"/>
      <c r="P1132" s="26" t="s">
        <v>1109</v>
      </c>
      <c r="Q1132" s="26"/>
      <c r="R1132" s="5"/>
      <c r="S1132" s="5"/>
      <c r="T1132" s="5"/>
      <c r="U1132" s="5"/>
      <c r="V1132" s="5"/>
      <c r="W1132" s="5"/>
      <c r="X1132" s="5"/>
      <c r="Y1132" s="5"/>
    </row>
    <row r="1133" spans="13:25" ht="22">
      <c r="M1133" s="26" t="s">
        <v>59</v>
      </c>
      <c r="N1133" s="25" t="s">
        <v>51</v>
      </c>
      <c r="O1133" s="26" t="s">
        <v>1110</v>
      </c>
      <c r="P1133" s="26"/>
      <c r="Q1133" s="26"/>
      <c r="R1133" s="5"/>
      <c r="S1133" s="5"/>
      <c r="T1133" s="5"/>
      <c r="U1133" s="5"/>
      <c r="V1133" s="5"/>
      <c r="W1133" s="5"/>
      <c r="X1133" s="5"/>
      <c r="Y1133" s="5"/>
    </row>
    <row r="1134" spans="13:25" ht="33">
      <c r="M1134" s="26" t="s">
        <v>59</v>
      </c>
      <c r="N1134" s="25" t="s">
        <v>51</v>
      </c>
      <c r="O1134" s="26"/>
      <c r="P1134" s="26" t="s">
        <v>966</v>
      </c>
      <c r="Q1134" s="26"/>
      <c r="R1134" s="5"/>
      <c r="S1134" s="5"/>
      <c r="T1134" s="5"/>
      <c r="U1134" s="5"/>
      <c r="V1134" s="5"/>
      <c r="W1134" s="5"/>
      <c r="X1134" s="5"/>
      <c r="Y1134" s="5"/>
    </row>
    <row r="1135" spans="13:25" ht="33">
      <c r="M1135" s="26" t="s">
        <v>59</v>
      </c>
      <c r="N1135" s="25" t="s">
        <v>51</v>
      </c>
      <c r="O1135" s="26"/>
      <c r="P1135" s="26" t="s">
        <v>1111</v>
      </c>
      <c r="Q1135" s="26"/>
      <c r="R1135" s="5"/>
      <c r="S1135" s="5"/>
      <c r="T1135" s="5"/>
      <c r="U1135" s="5"/>
      <c r="V1135" s="5"/>
      <c r="W1135" s="5"/>
      <c r="X1135" s="5"/>
      <c r="Y1135" s="5"/>
    </row>
    <row r="1136" spans="13:25" ht="22">
      <c r="M1136" s="26" t="s">
        <v>59</v>
      </c>
      <c r="N1136" s="25" t="s">
        <v>51</v>
      </c>
      <c r="O1136" s="26"/>
      <c r="P1136" s="26" t="s">
        <v>1112</v>
      </c>
      <c r="Q1136" s="26"/>
      <c r="R1136" s="5"/>
      <c r="S1136" s="5"/>
      <c r="T1136" s="5"/>
      <c r="U1136" s="5"/>
      <c r="V1136" s="5"/>
      <c r="W1136" s="5"/>
      <c r="X1136" s="5"/>
      <c r="Y1136" s="5"/>
    </row>
    <row r="1137" spans="13:25" ht="44">
      <c r="M1137" s="26" t="s">
        <v>59</v>
      </c>
      <c r="N1137" s="25" t="s">
        <v>51</v>
      </c>
      <c r="O1137" s="26"/>
      <c r="P1137" s="26" t="s">
        <v>1057</v>
      </c>
      <c r="Q1137" s="26"/>
      <c r="R1137" s="5"/>
      <c r="S1137" s="5"/>
      <c r="T1137" s="5"/>
      <c r="U1137" s="5"/>
      <c r="V1137" s="5"/>
      <c r="W1137" s="5"/>
      <c r="X1137" s="5"/>
      <c r="Y1137" s="5"/>
    </row>
    <row r="1138" spans="13:25" ht="44">
      <c r="M1138" s="26" t="s">
        <v>59</v>
      </c>
      <c r="N1138" s="25" t="s">
        <v>51</v>
      </c>
      <c r="O1138" s="26"/>
      <c r="P1138" s="26" t="s">
        <v>1098</v>
      </c>
      <c r="Q1138" s="26"/>
      <c r="R1138" s="5"/>
      <c r="S1138" s="5"/>
      <c r="T1138" s="5"/>
      <c r="U1138" s="5"/>
      <c r="V1138" s="5"/>
      <c r="W1138" s="5"/>
      <c r="X1138" s="5"/>
      <c r="Y1138" s="5"/>
    </row>
    <row r="1139" spans="13:25" ht="22">
      <c r="M1139" s="26" t="s">
        <v>59</v>
      </c>
      <c r="N1139" s="25" t="s">
        <v>57</v>
      </c>
      <c r="O1139" s="26"/>
      <c r="P1139" s="26" t="s">
        <v>1113</v>
      </c>
      <c r="Q1139" s="26"/>
      <c r="R1139" s="5"/>
      <c r="S1139" s="5"/>
      <c r="T1139" s="5"/>
      <c r="U1139" s="5"/>
      <c r="V1139" s="5"/>
      <c r="W1139" s="5"/>
      <c r="X1139" s="5"/>
      <c r="Y1139" s="5"/>
    </row>
    <row r="1140" spans="13:25" ht="22">
      <c r="M1140" s="26" t="s">
        <v>59</v>
      </c>
      <c r="N1140" s="25" t="s">
        <v>51</v>
      </c>
      <c r="O1140" s="26" t="s">
        <v>1114</v>
      </c>
      <c r="P1140" s="26"/>
      <c r="Q1140" s="26"/>
      <c r="R1140" s="5"/>
      <c r="S1140" s="5"/>
      <c r="T1140" s="5"/>
      <c r="U1140" s="5"/>
      <c r="V1140" s="5"/>
      <c r="W1140" s="5"/>
      <c r="X1140" s="5"/>
      <c r="Y1140" s="5"/>
    </row>
    <row r="1141" spans="13:25" ht="33">
      <c r="M1141" s="26" t="s">
        <v>59</v>
      </c>
      <c r="N1141" s="25" t="s">
        <v>51</v>
      </c>
      <c r="O1141" s="26"/>
      <c r="P1141" s="26" t="s">
        <v>983</v>
      </c>
      <c r="Q1141" s="26"/>
      <c r="R1141" s="5"/>
      <c r="S1141" s="5"/>
      <c r="T1141" s="5"/>
      <c r="U1141" s="5"/>
      <c r="V1141" s="5"/>
      <c r="W1141" s="5"/>
      <c r="X1141" s="5"/>
      <c r="Y1141" s="5"/>
    </row>
    <row r="1142" spans="13:25" ht="66">
      <c r="M1142" s="26" t="s">
        <v>59</v>
      </c>
      <c r="N1142" s="25" t="s">
        <v>51</v>
      </c>
      <c r="O1142" s="26"/>
      <c r="P1142" s="26" t="s">
        <v>1115</v>
      </c>
      <c r="Q1142" s="26"/>
      <c r="R1142" s="5"/>
      <c r="S1142" s="5"/>
      <c r="T1142" s="5"/>
      <c r="U1142" s="5"/>
      <c r="V1142" s="5"/>
      <c r="W1142" s="5"/>
      <c r="X1142" s="5"/>
      <c r="Y1142" s="5"/>
    </row>
    <row r="1143" spans="13:25" ht="66">
      <c r="M1143" s="26" t="s">
        <v>59</v>
      </c>
      <c r="N1143" s="25" t="s">
        <v>51</v>
      </c>
      <c r="O1143" s="26"/>
      <c r="P1143" s="26" t="s">
        <v>1116</v>
      </c>
      <c r="Q1143" s="26"/>
      <c r="R1143" s="5"/>
      <c r="S1143" s="5"/>
      <c r="T1143" s="5"/>
      <c r="U1143" s="5"/>
      <c r="V1143" s="5"/>
      <c r="W1143" s="5"/>
      <c r="X1143" s="5"/>
      <c r="Y1143" s="5"/>
    </row>
    <row r="1144" spans="13:25" ht="33">
      <c r="M1144" s="26" t="s">
        <v>59</v>
      </c>
      <c r="N1144" s="25" t="s">
        <v>51</v>
      </c>
      <c r="O1144" s="26"/>
      <c r="P1144" s="26" t="s">
        <v>1087</v>
      </c>
      <c r="Q1144" s="26"/>
      <c r="R1144" s="5"/>
      <c r="S1144" s="5"/>
      <c r="T1144" s="5"/>
      <c r="U1144" s="5"/>
      <c r="V1144" s="5"/>
      <c r="W1144" s="5"/>
      <c r="X1144" s="5"/>
      <c r="Y1144" s="5"/>
    </row>
    <row r="1145" spans="13:25" ht="44">
      <c r="M1145" s="26" t="s">
        <v>59</v>
      </c>
      <c r="N1145" s="25" t="s">
        <v>51</v>
      </c>
      <c r="O1145" s="26"/>
      <c r="P1145" s="26" t="s">
        <v>1094</v>
      </c>
      <c r="Q1145" s="26"/>
      <c r="R1145" s="5"/>
      <c r="S1145" s="5"/>
      <c r="T1145" s="5"/>
      <c r="U1145" s="5"/>
      <c r="V1145" s="5"/>
      <c r="W1145" s="5"/>
      <c r="X1145" s="5"/>
      <c r="Y1145" s="5"/>
    </row>
    <row r="1146" spans="13:25" ht="55">
      <c r="M1146" s="26" t="s">
        <v>59</v>
      </c>
      <c r="N1146" s="25" t="s">
        <v>51</v>
      </c>
      <c r="O1146" s="26"/>
      <c r="P1146" s="26" t="s">
        <v>1075</v>
      </c>
      <c r="Q1146" s="26"/>
      <c r="R1146" s="5"/>
      <c r="S1146" s="5"/>
      <c r="T1146" s="5"/>
      <c r="U1146" s="5"/>
      <c r="V1146" s="5"/>
      <c r="W1146" s="5"/>
      <c r="X1146" s="5"/>
      <c r="Y1146" s="5"/>
    </row>
    <row r="1147" spans="13:25" ht="44">
      <c r="M1147" s="26" t="s">
        <v>59</v>
      </c>
      <c r="N1147" s="25" t="s">
        <v>51</v>
      </c>
      <c r="O1147" s="26"/>
      <c r="P1147" s="26" t="s">
        <v>1117</v>
      </c>
      <c r="Q1147" s="26"/>
      <c r="R1147" s="5"/>
      <c r="S1147" s="5"/>
      <c r="T1147" s="5"/>
      <c r="U1147" s="5"/>
      <c r="V1147" s="5"/>
      <c r="W1147" s="5"/>
      <c r="X1147" s="5"/>
      <c r="Y1147" s="5"/>
    </row>
    <row r="1148" spans="13:25" ht="22">
      <c r="M1148" s="26" t="s">
        <v>59</v>
      </c>
      <c r="N1148" s="25" t="s">
        <v>57</v>
      </c>
      <c r="O1148" s="26"/>
      <c r="P1148" s="26" t="s">
        <v>1118</v>
      </c>
      <c r="Q1148" s="26"/>
      <c r="R1148" s="5"/>
      <c r="S1148" s="5"/>
      <c r="T1148" s="5"/>
      <c r="U1148" s="5"/>
      <c r="V1148" s="5"/>
      <c r="W1148" s="5"/>
      <c r="X1148" s="5"/>
      <c r="Y1148" s="5"/>
    </row>
    <row r="1149" spans="13:25" ht="22">
      <c r="M1149" s="26" t="s">
        <v>59</v>
      </c>
      <c r="N1149" s="25" t="s">
        <v>57</v>
      </c>
      <c r="O1149" s="26"/>
      <c r="P1149" s="26" t="s">
        <v>1118</v>
      </c>
      <c r="Q1149" s="26"/>
      <c r="R1149" s="5"/>
      <c r="S1149" s="5"/>
      <c r="T1149" s="5"/>
      <c r="U1149" s="5"/>
      <c r="V1149" s="5"/>
      <c r="W1149" s="5"/>
      <c r="X1149" s="5"/>
      <c r="Y1149" s="5"/>
    </row>
    <row r="1150" spans="13:25" ht="22">
      <c r="M1150" s="26" t="s">
        <v>59</v>
      </c>
      <c r="N1150" s="25" t="s">
        <v>51</v>
      </c>
      <c r="O1150" s="26" t="s">
        <v>1119</v>
      </c>
      <c r="P1150" s="26"/>
      <c r="Q1150" s="26"/>
      <c r="R1150" s="5"/>
      <c r="S1150" s="5"/>
      <c r="T1150" s="5"/>
      <c r="U1150" s="5"/>
      <c r="V1150" s="5"/>
      <c r="W1150" s="5"/>
      <c r="X1150" s="5"/>
      <c r="Y1150" s="5"/>
    </row>
    <row r="1151" spans="13:25" ht="33">
      <c r="M1151" s="26" t="s">
        <v>59</v>
      </c>
      <c r="N1151" s="25" t="s">
        <v>51</v>
      </c>
      <c r="O1151" s="26"/>
      <c r="P1151" s="26" t="s">
        <v>966</v>
      </c>
      <c r="Q1151" s="26"/>
      <c r="R1151" s="5"/>
      <c r="S1151" s="5"/>
      <c r="T1151" s="5"/>
      <c r="U1151" s="5"/>
      <c r="V1151" s="5"/>
      <c r="W1151" s="5"/>
      <c r="X1151" s="5"/>
      <c r="Y1151" s="5"/>
    </row>
    <row r="1152" spans="13:25" ht="66">
      <c r="M1152" s="26" t="s">
        <v>59</v>
      </c>
      <c r="N1152" s="25" t="s">
        <v>51</v>
      </c>
      <c r="O1152" s="26"/>
      <c r="P1152" s="26" t="s">
        <v>1120</v>
      </c>
      <c r="Q1152" s="26"/>
      <c r="R1152" s="5"/>
      <c r="S1152" s="5"/>
      <c r="T1152" s="5"/>
      <c r="U1152" s="5"/>
      <c r="V1152" s="5"/>
      <c r="W1152" s="5"/>
      <c r="X1152" s="5"/>
      <c r="Y1152" s="5"/>
    </row>
    <row r="1153" spans="13:25" ht="33">
      <c r="M1153" s="26" t="s">
        <v>59</v>
      </c>
      <c r="N1153" s="25" t="s">
        <v>51</v>
      </c>
      <c r="O1153" s="26"/>
      <c r="P1153" s="26" t="s">
        <v>1111</v>
      </c>
      <c r="Q1153" s="26"/>
      <c r="R1153" s="5"/>
      <c r="S1153" s="5"/>
      <c r="T1153" s="5"/>
      <c r="U1153" s="5"/>
      <c r="V1153" s="5"/>
      <c r="W1153" s="5"/>
      <c r="X1153" s="5"/>
      <c r="Y1153" s="5"/>
    </row>
    <row r="1154" spans="13:25" ht="44">
      <c r="M1154" s="26" t="s">
        <v>59</v>
      </c>
      <c r="N1154" s="25" t="s">
        <v>51</v>
      </c>
      <c r="O1154" s="26"/>
      <c r="P1154" s="26" t="s">
        <v>1057</v>
      </c>
      <c r="Q1154" s="26"/>
      <c r="R1154" s="5"/>
      <c r="S1154" s="5"/>
      <c r="T1154" s="5"/>
      <c r="U1154" s="5"/>
      <c r="V1154" s="5"/>
      <c r="W1154" s="5"/>
      <c r="X1154" s="5"/>
      <c r="Y1154" s="5"/>
    </row>
    <row r="1155" spans="13:25" ht="44">
      <c r="M1155" s="26" t="s">
        <v>59</v>
      </c>
      <c r="N1155" s="25" t="s">
        <v>51</v>
      </c>
      <c r="O1155" s="26"/>
      <c r="P1155" s="26" t="s">
        <v>1121</v>
      </c>
      <c r="Q1155" s="26"/>
      <c r="R1155" s="5"/>
      <c r="S1155" s="5"/>
      <c r="T1155" s="5"/>
      <c r="U1155" s="5"/>
      <c r="V1155" s="5"/>
      <c r="W1155" s="5"/>
      <c r="X1155" s="5"/>
      <c r="Y1155" s="5"/>
    </row>
    <row r="1156" spans="13:25" ht="22">
      <c r="M1156" s="26" t="s">
        <v>59</v>
      </c>
      <c r="N1156" s="25" t="s">
        <v>57</v>
      </c>
      <c r="O1156" s="26"/>
      <c r="P1156" s="26" t="s">
        <v>1122</v>
      </c>
      <c r="Q1156" s="26"/>
      <c r="R1156" s="5"/>
      <c r="S1156" s="5"/>
      <c r="T1156" s="5"/>
      <c r="U1156" s="5"/>
      <c r="V1156" s="5"/>
      <c r="W1156" s="5"/>
      <c r="X1156" s="5"/>
      <c r="Y1156" s="5"/>
    </row>
    <row r="1157" spans="13:25" ht="44">
      <c r="M1157" s="26" t="s">
        <v>59</v>
      </c>
      <c r="N1157" s="25" t="s">
        <v>51</v>
      </c>
      <c r="O1157" s="26"/>
      <c r="P1157" s="26" t="s">
        <v>1123</v>
      </c>
      <c r="Q1157" s="26"/>
      <c r="R1157" s="5"/>
      <c r="S1157" s="5"/>
      <c r="T1157" s="5"/>
      <c r="U1157" s="5"/>
      <c r="V1157" s="5"/>
      <c r="W1157" s="5"/>
      <c r="X1157" s="5"/>
      <c r="Y1157" s="5"/>
    </row>
    <row r="1158" spans="13:25" ht="66">
      <c r="M1158" s="26" t="s">
        <v>59</v>
      </c>
      <c r="N1158" s="25" t="s">
        <v>51</v>
      </c>
      <c r="O1158" s="26"/>
      <c r="P1158" s="26" t="s">
        <v>1124</v>
      </c>
      <c r="Q1158" s="26"/>
      <c r="R1158" s="5"/>
      <c r="S1158" s="5"/>
      <c r="T1158" s="5"/>
      <c r="U1158" s="5"/>
      <c r="V1158" s="5"/>
      <c r="W1158" s="5"/>
      <c r="X1158" s="5"/>
      <c r="Y1158" s="5"/>
    </row>
    <row r="1159" spans="13:25" ht="22">
      <c r="M1159" s="26" t="s">
        <v>59</v>
      </c>
      <c r="N1159" s="25" t="s">
        <v>57</v>
      </c>
      <c r="O1159" s="26"/>
      <c r="P1159" s="26" t="s">
        <v>1125</v>
      </c>
      <c r="Q1159" s="26"/>
      <c r="R1159" s="5"/>
      <c r="S1159" s="5"/>
      <c r="T1159" s="5"/>
      <c r="U1159" s="5"/>
      <c r="V1159" s="5"/>
      <c r="W1159" s="5"/>
      <c r="X1159" s="5"/>
      <c r="Y1159" s="5"/>
    </row>
    <row r="1160" spans="13:25" ht="22">
      <c r="M1160" s="26" t="s">
        <v>59</v>
      </c>
      <c r="N1160" s="25" t="s">
        <v>51</v>
      </c>
      <c r="O1160" s="26"/>
      <c r="P1160" s="26" t="s">
        <v>1126</v>
      </c>
      <c r="Q1160" s="26"/>
      <c r="R1160" s="5"/>
      <c r="S1160" s="5"/>
      <c r="T1160" s="5"/>
      <c r="U1160" s="5"/>
      <c r="V1160" s="5"/>
      <c r="W1160" s="5"/>
      <c r="X1160" s="5"/>
      <c r="Y1160" s="5"/>
    </row>
    <row r="1161" spans="13:25" ht="22">
      <c r="M1161" s="26" t="s">
        <v>59</v>
      </c>
      <c r="N1161" s="25" t="s">
        <v>51</v>
      </c>
      <c r="O1161" s="26" t="s">
        <v>1127</v>
      </c>
      <c r="P1161" s="26"/>
      <c r="Q1161" s="26"/>
      <c r="R1161" s="5"/>
      <c r="S1161" s="5"/>
      <c r="T1161" s="5"/>
      <c r="U1161" s="5"/>
      <c r="V1161" s="5"/>
      <c r="W1161" s="5"/>
      <c r="X1161" s="5"/>
      <c r="Y1161" s="5"/>
    </row>
    <row r="1162" spans="13:25" ht="154">
      <c r="M1162" s="26" t="s">
        <v>59</v>
      </c>
      <c r="N1162" s="25" t="s">
        <v>51</v>
      </c>
      <c r="O1162" s="26"/>
      <c r="P1162" s="26" t="s">
        <v>1048</v>
      </c>
      <c r="Q1162" s="26"/>
      <c r="R1162" s="5"/>
      <c r="S1162" s="5"/>
      <c r="T1162" s="5"/>
      <c r="U1162" s="5"/>
      <c r="V1162" s="5"/>
      <c r="W1162" s="5"/>
      <c r="X1162" s="5"/>
      <c r="Y1162" s="5"/>
    </row>
    <row r="1163" spans="13:25" ht="77">
      <c r="M1163" s="26" t="s">
        <v>59</v>
      </c>
      <c r="N1163" s="25" t="s">
        <v>51</v>
      </c>
      <c r="O1163" s="26"/>
      <c r="P1163" s="26" t="s">
        <v>1128</v>
      </c>
      <c r="Q1163" s="26"/>
      <c r="R1163" s="5"/>
      <c r="S1163" s="5"/>
      <c r="T1163" s="5"/>
      <c r="U1163" s="5"/>
      <c r="V1163" s="5"/>
      <c r="W1163" s="5"/>
      <c r="X1163" s="5"/>
      <c r="Y1163" s="5"/>
    </row>
    <row r="1164" spans="13:25" ht="66">
      <c r="M1164" s="26" t="s">
        <v>59</v>
      </c>
      <c r="N1164" s="25" t="s">
        <v>51</v>
      </c>
      <c r="O1164" s="26"/>
      <c r="P1164" s="26" t="s">
        <v>1129</v>
      </c>
      <c r="Q1164" s="26"/>
      <c r="R1164" s="5"/>
      <c r="S1164" s="5"/>
      <c r="T1164" s="5"/>
      <c r="U1164" s="5"/>
      <c r="V1164" s="5"/>
      <c r="W1164" s="5"/>
      <c r="X1164" s="5"/>
      <c r="Y1164" s="5"/>
    </row>
    <row r="1165" spans="13:25" ht="33">
      <c r="M1165" s="26" t="s">
        <v>59</v>
      </c>
      <c r="N1165" s="25" t="s">
        <v>51</v>
      </c>
      <c r="O1165" s="26"/>
      <c r="P1165" s="26" t="s">
        <v>983</v>
      </c>
      <c r="Q1165" s="26"/>
      <c r="R1165" s="5"/>
      <c r="S1165" s="5"/>
      <c r="T1165" s="5"/>
      <c r="U1165" s="5"/>
      <c r="V1165" s="5"/>
      <c r="W1165" s="5"/>
      <c r="X1165" s="5"/>
      <c r="Y1165" s="5"/>
    </row>
    <row r="1166" spans="13:25" ht="66">
      <c r="M1166" s="26" t="s">
        <v>59</v>
      </c>
      <c r="N1166" s="25" t="s">
        <v>51</v>
      </c>
      <c r="O1166" s="26"/>
      <c r="P1166" s="26" t="s">
        <v>1049</v>
      </c>
      <c r="Q1166" s="26"/>
      <c r="R1166" s="5"/>
      <c r="S1166" s="5"/>
      <c r="T1166" s="5"/>
      <c r="U1166" s="5"/>
      <c r="V1166" s="5"/>
      <c r="W1166" s="5"/>
      <c r="X1166" s="5"/>
      <c r="Y1166" s="5"/>
    </row>
    <row r="1167" spans="13:25" ht="33">
      <c r="M1167" s="26" t="s">
        <v>59</v>
      </c>
      <c r="N1167" s="25" t="s">
        <v>51</v>
      </c>
      <c r="O1167" s="26"/>
      <c r="P1167" s="26" t="s">
        <v>1111</v>
      </c>
      <c r="Q1167" s="26"/>
      <c r="R1167" s="5"/>
      <c r="S1167" s="5"/>
      <c r="T1167" s="5"/>
      <c r="U1167" s="5"/>
      <c r="V1167" s="5"/>
      <c r="W1167" s="5"/>
      <c r="X1167" s="5"/>
      <c r="Y1167" s="5"/>
    </row>
    <row r="1168" spans="13:25" ht="22">
      <c r="M1168" s="26" t="s">
        <v>59</v>
      </c>
      <c r="N1168" s="25" t="s">
        <v>51</v>
      </c>
      <c r="O1168" s="26"/>
      <c r="P1168" s="26" t="s">
        <v>1130</v>
      </c>
      <c r="Q1168" s="26"/>
      <c r="R1168" s="5"/>
      <c r="S1168" s="5"/>
      <c r="T1168" s="5"/>
      <c r="U1168" s="5"/>
      <c r="V1168" s="5"/>
      <c r="W1168" s="5"/>
      <c r="X1168" s="5"/>
      <c r="Y1168" s="5"/>
    </row>
    <row r="1169" spans="13:25" ht="33">
      <c r="M1169" s="26" t="s">
        <v>59</v>
      </c>
      <c r="N1169" s="25" t="s">
        <v>51</v>
      </c>
      <c r="O1169" s="26"/>
      <c r="P1169" s="26" t="s">
        <v>1051</v>
      </c>
      <c r="Q1169" s="26"/>
      <c r="R1169" s="5"/>
      <c r="S1169" s="5"/>
      <c r="T1169" s="5"/>
      <c r="U1169" s="5"/>
      <c r="V1169" s="5"/>
      <c r="W1169" s="5"/>
      <c r="X1169" s="5"/>
      <c r="Y1169" s="5"/>
    </row>
    <row r="1170" spans="13:25" ht="33">
      <c r="M1170" s="26" t="s">
        <v>59</v>
      </c>
      <c r="N1170" s="25" t="s">
        <v>51</v>
      </c>
      <c r="O1170" s="26"/>
      <c r="P1170" s="26" t="s">
        <v>1093</v>
      </c>
      <c r="Q1170" s="26"/>
      <c r="R1170" s="5"/>
      <c r="S1170" s="5"/>
      <c r="T1170" s="5"/>
      <c r="U1170" s="5"/>
      <c r="V1170" s="5"/>
      <c r="W1170" s="5"/>
      <c r="X1170" s="5"/>
      <c r="Y1170" s="5"/>
    </row>
    <row r="1171" spans="13:25" ht="33">
      <c r="M1171" s="26" t="s">
        <v>59</v>
      </c>
      <c r="N1171" s="25" t="s">
        <v>51</v>
      </c>
      <c r="O1171" s="26"/>
      <c r="P1171" s="26" t="s">
        <v>1131</v>
      </c>
      <c r="Q1171" s="26"/>
      <c r="R1171" s="5"/>
      <c r="S1171" s="5"/>
      <c r="T1171" s="5"/>
      <c r="U1171" s="5"/>
      <c r="V1171" s="5"/>
      <c r="W1171" s="5"/>
      <c r="X1171" s="5"/>
      <c r="Y1171" s="5"/>
    </row>
    <row r="1172" spans="13:25" ht="44">
      <c r="M1172" s="26" t="s">
        <v>59</v>
      </c>
      <c r="N1172" s="25" t="s">
        <v>51</v>
      </c>
      <c r="O1172" s="26"/>
      <c r="P1172" s="26" t="s">
        <v>1132</v>
      </c>
      <c r="Q1172" s="26"/>
      <c r="R1172" s="5"/>
      <c r="S1172" s="5"/>
      <c r="T1172" s="5"/>
      <c r="U1172" s="5"/>
      <c r="V1172" s="5"/>
      <c r="W1172" s="5"/>
      <c r="X1172" s="5"/>
      <c r="Y1172" s="5"/>
    </row>
    <row r="1173" spans="13:25" ht="33">
      <c r="M1173" s="26" t="s">
        <v>59</v>
      </c>
      <c r="N1173" s="25" t="s">
        <v>51</v>
      </c>
      <c r="O1173" s="26"/>
      <c r="P1173" s="26" t="s">
        <v>1133</v>
      </c>
      <c r="Q1173" s="26"/>
      <c r="R1173" s="5"/>
      <c r="S1173" s="5"/>
      <c r="T1173" s="5"/>
      <c r="U1173" s="5"/>
      <c r="V1173" s="5"/>
      <c r="W1173" s="5"/>
      <c r="X1173" s="5"/>
      <c r="Y1173" s="5"/>
    </row>
    <row r="1174" spans="13:25" ht="44">
      <c r="M1174" s="26" t="s">
        <v>59</v>
      </c>
      <c r="N1174" s="25" t="s">
        <v>51</v>
      </c>
      <c r="O1174" s="26"/>
      <c r="P1174" s="26" t="s">
        <v>1056</v>
      </c>
      <c r="Q1174" s="26"/>
      <c r="R1174" s="5"/>
      <c r="S1174" s="5"/>
      <c r="T1174" s="5"/>
      <c r="U1174" s="5"/>
      <c r="V1174" s="5"/>
      <c r="W1174" s="5"/>
      <c r="X1174" s="5"/>
      <c r="Y1174" s="5"/>
    </row>
    <row r="1175" spans="13:25" ht="44">
      <c r="M1175" s="26" t="s">
        <v>59</v>
      </c>
      <c r="N1175" s="25" t="s">
        <v>51</v>
      </c>
      <c r="O1175" s="26"/>
      <c r="P1175" s="26" t="s">
        <v>1057</v>
      </c>
      <c r="Q1175" s="26"/>
      <c r="R1175" s="5"/>
      <c r="S1175" s="5"/>
      <c r="T1175" s="5"/>
      <c r="U1175" s="5"/>
      <c r="V1175" s="5"/>
      <c r="W1175" s="5"/>
      <c r="X1175" s="5"/>
      <c r="Y1175" s="5"/>
    </row>
    <row r="1176" spans="13:25" ht="55">
      <c r="M1176" s="26" t="s">
        <v>59</v>
      </c>
      <c r="N1176" s="25" t="s">
        <v>51</v>
      </c>
      <c r="O1176" s="26"/>
      <c r="P1176" s="26" t="s">
        <v>1075</v>
      </c>
      <c r="Q1176" s="26"/>
      <c r="R1176" s="5"/>
      <c r="S1176" s="5"/>
      <c r="T1176" s="5"/>
      <c r="U1176" s="5"/>
      <c r="V1176" s="5"/>
      <c r="W1176" s="5"/>
      <c r="X1176" s="5"/>
      <c r="Y1176" s="5"/>
    </row>
    <row r="1177" spans="13:25" ht="55">
      <c r="M1177" s="26" t="s">
        <v>59</v>
      </c>
      <c r="N1177" s="25" t="s">
        <v>51</v>
      </c>
      <c r="O1177" s="26"/>
      <c r="P1177" s="26" t="s">
        <v>1058</v>
      </c>
      <c r="Q1177" s="26"/>
      <c r="R1177" s="5"/>
      <c r="S1177" s="5"/>
      <c r="T1177" s="5"/>
      <c r="U1177" s="5"/>
      <c r="V1177" s="5"/>
      <c r="W1177" s="5"/>
      <c r="X1177" s="5"/>
      <c r="Y1177" s="5"/>
    </row>
    <row r="1178" spans="13:25" ht="55">
      <c r="M1178" s="26" t="s">
        <v>59</v>
      </c>
      <c r="N1178" s="25" t="s">
        <v>51</v>
      </c>
      <c r="O1178" s="26"/>
      <c r="P1178" s="26" t="s">
        <v>1059</v>
      </c>
      <c r="Q1178" s="26"/>
      <c r="R1178" s="5"/>
      <c r="S1178" s="5"/>
      <c r="T1178" s="5"/>
      <c r="U1178" s="5"/>
      <c r="V1178" s="5"/>
      <c r="W1178" s="5"/>
      <c r="X1178" s="5"/>
      <c r="Y1178" s="5"/>
    </row>
    <row r="1179" spans="13:25" ht="88">
      <c r="M1179" s="26" t="s">
        <v>59</v>
      </c>
      <c r="N1179" s="25" t="s">
        <v>51</v>
      </c>
      <c r="O1179" s="26"/>
      <c r="P1179" s="26" t="s">
        <v>1097</v>
      </c>
      <c r="Q1179" s="26"/>
      <c r="R1179" s="5"/>
      <c r="S1179" s="5"/>
      <c r="T1179" s="5"/>
      <c r="U1179" s="5"/>
      <c r="V1179" s="5"/>
      <c r="W1179" s="5"/>
      <c r="X1179" s="5"/>
      <c r="Y1179" s="5"/>
    </row>
    <row r="1180" spans="13:25" ht="88">
      <c r="M1180" s="26" t="s">
        <v>59</v>
      </c>
      <c r="N1180" s="25" t="s">
        <v>51</v>
      </c>
      <c r="O1180" s="26"/>
      <c r="P1180" s="26" t="s">
        <v>1134</v>
      </c>
      <c r="Q1180" s="26"/>
      <c r="R1180" s="5"/>
      <c r="S1180" s="5"/>
      <c r="T1180" s="5"/>
      <c r="U1180" s="5"/>
      <c r="V1180" s="5"/>
      <c r="W1180" s="5"/>
      <c r="X1180" s="5"/>
      <c r="Y1180" s="5"/>
    </row>
    <row r="1181" spans="13:25" ht="88">
      <c r="M1181" s="26" t="s">
        <v>59</v>
      </c>
      <c r="N1181" s="25" t="s">
        <v>51</v>
      </c>
      <c r="O1181" s="26"/>
      <c r="P1181" s="26" t="s">
        <v>1097</v>
      </c>
      <c r="Q1181" s="26"/>
      <c r="R1181" s="5"/>
      <c r="S1181" s="5"/>
      <c r="T1181" s="5"/>
      <c r="U1181" s="5"/>
      <c r="V1181" s="5"/>
      <c r="W1181" s="5"/>
      <c r="X1181" s="5"/>
      <c r="Y1181" s="5"/>
    </row>
    <row r="1182" spans="13:25" ht="88">
      <c r="M1182" s="26" t="s">
        <v>59</v>
      </c>
      <c r="N1182" s="25" t="s">
        <v>51</v>
      </c>
      <c r="O1182" s="26"/>
      <c r="P1182" s="26" t="s">
        <v>1097</v>
      </c>
      <c r="Q1182" s="26"/>
      <c r="R1182" s="5"/>
      <c r="S1182" s="5"/>
      <c r="T1182" s="5"/>
      <c r="U1182" s="5"/>
      <c r="V1182" s="5"/>
      <c r="W1182" s="5"/>
      <c r="X1182" s="5"/>
      <c r="Y1182" s="5"/>
    </row>
    <row r="1183" spans="13:25" ht="33">
      <c r="M1183" s="26" t="s">
        <v>59</v>
      </c>
      <c r="N1183" s="25" t="s">
        <v>51</v>
      </c>
      <c r="O1183" s="26"/>
      <c r="P1183" s="26" t="s">
        <v>1135</v>
      </c>
      <c r="Q1183" s="26"/>
      <c r="R1183" s="5"/>
      <c r="S1183" s="5"/>
      <c r="T1183" s="5"/>
      <c r="U1183" s="5"/>
      <c r="V1183" s="5"/>
      <c r="W1183" s="5"/>
      <c r="X1183" s="5"/>
      <c r="Y1183" s="5"/>
    </row>
    <row r="1184" spans="13:25" ht="33">
      <c r="M1184" s="26" t="s">
        <v>59</v>
      </c>
      <c r="N1184" s="25" t="s">
        <v>51</v>
      </c>
      <c r="O1184" s="26"/>
      <c r="P1184" s="26" t="s">
        <v>1136</v>
      </c>
      <c r="Q1184" s="26"/>
      <c r="R1184" s="5"/>
      <c r="S1184" s="5"/>
      <c r="T1184" s="5"/>
      <c r="U1184" s="5"/>
      <c r="V1184" s="5"/>
      <c r="W1184" s="5"/>
      <c r="X1184" s="5"/>
      <c r="Y1184" s="5"/>
    </row>
    <row r="1185" spans="13:25" ht="33">
      <c r="M1185" s="26" t="s">
        <v>59</v>
      </c>
      <c r="N1185" s="25" t="s">
        <v>51</v>
      </c>
      <c r="O1185" s="26"/>
      <c r="P1185" s="26" t="s">
        <v>1137</v>
      </c>
      <c r="Q1185" s="26"/>
      <c r="R1185" s="5"/>
      <c r="S1185" s="5"/>
      <c r="T1185" s="5"/>
      <c r="U1185" s="5"/>
      <c r="V1185" s="5"/>
      <c r="W1185" s="5"/>
      <c r="X1185" s="5"/>
      <c r="Y1185" s="5"/>
    </row>
    <row r="1186" spans="13:25" ht="33">
      <c r="M1186" s="26" t="s">
        <v>59</v>
      </c>
      <c r="N1186" s="25" t="s">
        <v>51</v>
      </c>
      <c r="O1186" s="26"/>
      <c r="P1186" s="26" t="s">
        <v>1138</v>
      </c>
      <c r="Q1186" s="26"/>
      <c r="R1186" s="5"/>
      <c r="S1186" s="5"/>
      <c r="T1186" s="5"/>
      <c r="U1186" s="5"/>
      <c r="V1186" s="5"/>
      <c r="W1186" s="5"/>
      <c r="X1186" s="5"/>
      <c r="Y1186" s="5"/>
    </row>
    <row r="1187" spans="13:25" ht="33">
      <c r="M1187" s="26" t="s">
        <v>59</v>
      </c>
      <c r="N1187" s="25" t="s">
        <v>51</v>
      </c>
      <c r="O1187" s="26"/>
      <c r="P1187" s="26" t="s">
        <v>1139</v>
      </c>
      <c r="Q1187" s="26"/>
      <c r="R1187" s="5"/>
      <c r="S1187" s="5"/>
      <c r="T1187" s="5"/>
      <c r="U1187" s="5"/>
      <c r="V1187" s="5"/>
      <c r="W1187" s="5"/>
      <c r="X1187" s="5"/>
      <c r="Y1187" s="5"/>
    </row>
    <row r="1188" spans="13:25" ht="44">
      <c r="M1188" s="26" t="s">
        <v>59</v>
      </c>
      <c r="N1188" s="25" t="s">
        <v>51</v>
      </c>
      <c r="O1188" s="26"/>
      <c r="P1188" s="26" t="s">
        <v>1140</v>
      </c>
      <c r="Q1188" s="26"/>
      <c r="R1188" s="5"/>
      <c r="S1188" s="5"/>
      <c r="T1188" s="5"/>
      <c r="U1188" s="5"/>
      <c r="V1188" s="5"/>
      <c r="W1188" s="5"/>
      <c r="X1188" s="5"/>
      <c r="Y1188" s="5"/>
    </row>
    <row r="1189" spans="13:25" ht="33">
      <c r="M1189" s="26" t="s">
        <v>59</v>
      </c>
      <c r="N1189" s="25" t="s">
        <v>51</v>
      </c>
      <c r="O1189" s="26"/>
      <c r="P1189" s="26" t="s">
        <v>1079</v>
      </c>
      <c r="Q1189" s="26"/>
      <c r="R1189" s="5"/>
      <c r="S1189" s="5"/>
      <c r="T1189" s="5"/>
      <c r="U1189" s="5"/>
      <c r="V1189" s="5"/>
      <c r="W1189" s="5"/>
      <c r="X1189" s="5"/>
      <c r="Y1189" s="5"/>
    </row>
    <row r="1190" spans="13:25" ht="33">
      <c r="M1190" s="26" t="s">
        <v>59</v>
      </c>
      <c r="N1190" s="25" t="s">
        <v>51</v>
      </c>
      <c r="O1190" s="26"/>
      <c r="P1190" s="26" t="s">
        <v>1080</v>
      </c>
      <c r="Q1190" s="26"/>
      <c r="R1190" s="5"/>
      <c r="S1190" s="5"/>
      <c r="T1190" s="5"/>
      <c r="U1190" s="5"/>
      <c r="V1190" s="5"/>
      <c r="W1190" s="5"/>
      <c r="X1190" s="5"/>
      <c r="Y1190" s="5"/>
    </row>
    <row r="1191" spans="13:25" ht="99">
      <c r="M1191" s="26" t="s">
        <v>59</v>
      </c>
      <c r="N1191" s="25" t="s">
        <v>51</v>
      </c>
      <c r="O1191" s="26"/>
      <c r="P1191" s="26" t="s">
        <v>1141</v>
      </c>
      <c r="Q1191" s="26"/>
      <c r="R1191" s="5"/>
      <c r="S1191" s="5"/>
      <c r="T1191" s="5"/>
      <c r="U1191" s="5"/>
      <c r="V1191" s="5"/>
      <c r="W1191" s="5"/>
      <c r="X1191" s="5"/>
      <c r="Y1191" s="5"/>
    </row>
    <row r="1192" spans="13:25" ht="22">
      <c r="M1192" s="26" t="s">
        <v>59</v>
      </c>
      <c r="N1192" s="25" t="s">
        <v>51</v>
      </c>
      <c r="O1192" s="26"/>
      <c r="P1192" s="26" t="s">
        <v>1142</v>
      </c>
      <c r="Q1192" s="26"/>
      <c r="R1192" s="5"/>
      <c r="S1192" s="5"/>
      <c r="T1192" s="5"/>
      <c r="U1192" s="5"/>
      <c r="V1192" s="5"/>
      <c r="W1192" s="5"/>
      <c r="X1192" s="5"/>
      <c r="Y1192" s="5"/>
    </row>
    <row r="1193" spans="13:25" ht="22">
      <c r="M1193" s="26" t="s">
        <v>59</v>
      </c>
      <c r="N1193" s="25" t="s">
        <v>51</v>
      </c>
      <c r="O1193" s="26"/>
      <c r="P1193" s="26" t="s">
        <v>1143</v>
      </c>
      <c r="Q1193" s="26"/>
      <c r="R1193" s="5"/>
      <c r="S1193" s="5"/>
      <c r="T1193" s="5"/>
      <c r="U1193" s="5"/>
      <c r="V1193" s="5"/>
      <c r="W1193" s="5"/>
      <c r="X1193" s="5"/>
      <c r="Y1193" s="5"/>
    </row>
    <row r="1194" spans="13:25" ht="66">
      <c r="M1194" s="26" t="s">
        <v>59</v>
      </c>
      <c r="N1194" s="25" t="s">
        <v>51</v>
      </c>
      <c r="O1194" s="26"/>
      <c r="P1194" s="26" t="s">
        <v>1144</v>
      </c>
      <c r="Q1194" s="26"/>
      <c r="R1194" s="5"/>
      <c r="S1194" s="5"/>
      <c r="T1194" s="5"/>
      <c r="U1194" s="5"/>
      <c r="V1194" s="5"/>
      <c r="W1194" s="5"/>
      <c r="X1194" s="5"/>
      <c r="Y1194" s="5"/>
    </row>
    <row r="1195" spans="13:25" ht="22">
      <c r="M1195" s="26" t="s">
        <v>59</v>
      </c>
      <c r="N1195" s="25" t="s">
        <v>51</v>
      </c>
      <c r="O1195" s="26"/>
      <c r="P1195" s="26" t="s">
        <v>1145</v>
      </c>
      <c r="Q1195" s="26"/>
      <c r="R1195" s="5"/>
      <c r="S1195" s="5"/>
      <c r="T1195" s="5"/>
      <c r="U1195" s="5"/>
      <c r="V1195" s="5"/>
      <c r="W1195" s="5"/>
      <c r="X1195" s="5"/>
      <c r="Y1195" s="5"/>
    </row>
    <row r="1196" spans="13:25" ht="22">
      <c r="M1196" s="26" t="s">
        <v>59</v>
      </c>
      <c r="N1196" s="25" t="s">
        <v>57</v>
      </c>
      <c r="O1196" s="26"/>
      <c r="P1196" s="26" t="s">
        <v>1146</v>
      </c>
      <c r="Q1196" s="26"/>
      <c r="R1196" s="5"/>
      <c r="S1196" s="5"/>
      <c r="T1196" s="5"/>
      <c r="U1196" s="5"/>
      <c r="V1196" s="5"/>
      <c r="W1196" s="5"/>
      <c r="X1196" s="5"/>
      <c r="Y1196" s="5"/>
    </row>
    <row r="1197" spans="13:25" ht="22">
      <c r="M1197" s="26" t="s">
        <v>59</v>
      </c>
      <c r="N1197" s="25" t="s">
        <v>57</v>
      </c>
      <c r="O1197" s="26"/>
      <c r="P1197" s="26" t="s">
        <v>1146</v>
      </c>
      <c r="Q1197" s="26"/>
      <c r="R1197" s="5"/>
      <c r="S1197" s="5"/>
      <c r="T1197" s="5"/>
      <c r="U1197" s="5"/>
      <c r="V1197" s="5"/>
      <c r="W1197" s="5"/>
      <c r="X1197" s="5"/>
      <c r="Y1197" s="5"/>
    </row>
    <row r="1198" spans="13:25" ht="22">
      <c r="M1198" s="26" t="s">
        <v>59</v>
      </c>
      <c r="N1198" s="25" t="s">
        <v>51</v>
      </c>
      <c r="O1198" s="26"/>
      <c r="P1198" s="26" t="s">
        <v>1147</v>
      </c>
      <c r="Q1198" s="26"/>
      <c r="R1198" s="5"/>
      <c r="S1198" s="5"/>
      <c r="T1198" s="5"/>
      <c r="U1198" s="5"/>
      <c r="V1198" s="5"/>
      <c r="W1198" s="5"/>
      <c r="X1198" s="5"/>
      <c r="Y1198" s="5"/>
    </row>
    <row r="1199" spans="13:25" ht="22">
      <c r="M1199" s="26" t="s">
        <v>59</v>
      </c>
      <c r="N1199" s="25" t="s">
        <v>51</v>
      </c>
      <c r="O1199" s="26"/>
      <c r="P1199" s="26" t="s">
        <v>1148</v>
      </c>
      <c r="Q1199" s="26"/>
      <c r="R1199" s="5"/>
      <c r="S1199" s="5"/>
      <c r="T1199" s="5"/>
      <c r="U1199" s="5"/>
      <c r="V1199" s="5"/>
      <c r="W1199" s="5"/>
      <c r="X1199" s="5"/>
      <c r="Y1199" s="5"/>
    </row>
    <row r="1200" spans="13:25" ht="66">
      <c r="M1200" s="26" t="s">
        <v>59</v>
      </c>
      <c r="N1200" s="25" t="s">
        <v>51</v>
      </c>
      <c r="O1200" s="26"/>
      <c r="P1200" s="26" t="s">
        <v>1144</v>
      </c>
      <c r="Q1200" s="26"/>
      <c r="R1200" s="5"/>
      <c r="S1200" s="5"/>
      <c r="T1200" s="5"/>
      <c r="U1200" s="5"/>
      <c r="V1200" s="5"/>
      <c r="W1200" s="5"/>
      <c r="X1200" s="5"/>
      <c r="Y1200" s="5"/>
    </row>
    <row r="1201" spans="13:25" ht="33">
      <c r="M1201" s="26" t="s">
        <v>59</v>
      </c>
      <c r="N1201" s="25" t="s">
        <v>51</v>
      </c>
      <c r="O1201" s="26"/>
      <c r="P1201" s="26" t="s">
        <v>1149</v>
      </c>
      <c r="Q1201" s="26"/>
      <c r="R1201" s="5"/>
      <c r="S1201" s="5"/>
      <c r="T1201" s="5"/>
      <c r="U1201" s="5"/>
      <c r="V1201" s="5"/>
      <c r="W1201" s="5"/>
      <c r="X1201" s="5"/>
      <c r="Y1201" s="5"/>
    </row>
    <row r="1202" spans="13:25" ht="33">
      <c r="M1202" s="26" t="s">
        <v>59</v>
      </c>
      <c r="N1202" s="25" t="s">
        <v>51</v>
      </c>
      <c r="O1202" s="26"/>
      <c r="P1202" s="26" t="s">
        <v>1149</v>
      </c>
      <c r="Q1202" s="26"/>
      <c r="R1202" s="5"/>
      <c r="S1202" s="5"/>
      <c r="T1202" s="5"/>
      <c r="U1202" s="5"/>
      <c r="V1202" s="5"/>
      <c r="W1202" s="5"/>
      <c r="X1202" s="5"/>
      <c r="Y1202" s="5"/>
    </row>
    <row r="1203" spans="13:25" ht="33">
      <c r="M1203" s="26" t="s">
        <v>59</v>
      </c>
      <c r="N1203" s="25" t="s">
        <v>51</v>
      </c>
      <c r="O1203" s="26"/>
      <c r="P1203" s="26" t="s">
        <v>1150</v>
      </c>
      <c r="Q1203" s="26"/>
      <c r="R1203" s="5"/>
      <c r="S1203" s="5"/>
      <c r="T1203" s="5"/>
      <c r="U1203" s="5"/>
      <c r="V1203" s="5"/>
      <c r="W1203" s="5"/>
      <c r="X1203" s="5"/>
      <c r="Y1203" s="5"/>
    </row>
    <row r="1204" spans="13:25" ht="22">
      <c r="M1204" s="26" t="s">
        <v>59</v>
      </c>
      <c r="N1204" s="25" t="s">
        <v>51</v>
      </c>
      <c r="O1204" s="26"/>
      <c r="P1204" s="26" t="s">
        <v>1151</v>
      </c>
      <c r="Q1204" s="26"/>
      <c r="R1204" s="5"/>
      <c r="S1204" s="5"/>
      <c r="T1204" s="5"/>
      <c r="U1204" s="5"/>
      <c r="V1204" s="5"/>
      <c r="W1204" s="5"/>
      <c r="X1204" s="5"/>
      <c r="Y1204" s="5"/>
    </row>
    <row r="1205" spans="13:25" ht="44">
      <c r="M1205" s="26" t="s">
        <v>59</v>
      </c>
      <c r="N1205" s="25" t="s">
        <v>51</v>
      </c>
      <c r="O1205" s="26"/>
      <c r="P1205" s="26" t="s">
        <v>1140</v>
      </c>
      <c r="Q1205" s="26"/>
      <c r="R1205" s="5"/>
      <c r="S1205" s="5"/>
      <c r="T1205" s="5"/>
      <c r="U1205" s="5"/>
      <c r="V1205" s="5"/>
      <c r="W1205" s="5"/>
      <c r="X1205" s="5"/>
      <c r="Y1205" s="5"/>
    </row>
    <row r="1206" spans="13:25" ht="22">
      <c r="M1206" s="26" t="s">
        <v>59</v>
      </c>
      <c r="N1206" s="25" t="s">
        <v>51</v>
      </c>
      <c r="O1206" s="26" t="s">
        <v>1152</v>
      </c>
      <c r="P1206" s="26"/>
      <c r="Q1206" s="26"/>
      <c r="R1206" s="5"/>
      <c r="S1206" s="5"/>
      <c r="T1206" s="5"/>
      <c r="U1206" s="5"/>
      <c r="V1206" s="5"/>
      <c r="W1206" s="5"/>
      <c r="X1206" s="5"/>
      <c r="Y1206" s="5"/>
    </row>
    <row r="1207" spans="13:25" ht="154">
      <c r="M1207" s="26" t="s">
        <v>59</v>
      </c>
      <c r="N1207" s="25" t="s">
        <v>51</v>
      </c>
      <c r="O1207" s="26"/>
      <c r="P1207" s="26" t="s">
        <v>1048</v>
      </c>
      <c r="Q1207" s="26"/>
      <c r="R1207" s="5"/>
      <c r="S1207" s="5"/>
      <c r="T1207" s="5"/>
      <c r="U1207" s="5"/>
      <c r="V1207" s="5"/>
      <c r="W1207" s="5"/>
      <c r="X1207" s="5"/>
      <c r="Y1207" s="5"/>
    </row>
    <row r="1208" spans="13:25" ht="55">
      <c r="M1208" s="26" t="s">
        <v>59</v>
      </c>
      <c r="N1208" s="25" t="s">
        <v>51</v>
      </c>
      <c r="O1208" s="26"/>
      <c r="P1208" s="26" t="s">
        <v>1089</v>
      </c>
      <c r="Q1208" s="26"/>
      <c r="R1208" s="5"/>
      <c r="S1208" s="5"/>
      <c r="T1208" s="5"/>
      <c r="U1208" s="5"/>
      <c r="V1208" s="5"/>
      <c r="W1208" s="5"/>
      <c r="X1208" s="5"/>
      <c r="Y1208" s="5"/>
    </row>
    <row r="1209" spans="13:25" ht="66">
      <c r="M1209" s="26" t="s">
        <v>59</v>
      </c>
      <c r="N1209" s="25" t="s">
        <v>51</v>
      </c>
      <c r="O1209" s="26"/>
      <c r="P1209" s="26" t="s">
        <v>1082</v>
      </c>
      <c r="Q1209" s="26"/>
      <c r="R1209" s="5"/>
      <c r="S1209" s="5"/>
      <c r="T1209" s="5"/>
      <c r="U1209" s="5"/>
      <c r="V1209" s="5"/>
      <c r="W1209" s="5"/>
      <c r="X1209" s="5"/>
      <c r="Y1209" s="5"/>
    </row>
    <row r="1210" spans="13:25" ht="22">
      <c r="M1210" s="26" t="s">
        <v>59</v>
      </c>
      <c r="N1210" s="25" t="s">
        <v>51</v>
      </c>
      <c r="O1210" s="26"/>
      <c r="P1210" s="26" t="s">
        <v>1153</v>
      </c>
      <c r="Q1210" s="26"/>
      <c r="R1210" s="5"/>
      <c r="S1210" s="5"/>
      <c r="T1210" s="5"/>
      <c r="U1210" s="5"/>
      <c r="V1210" s="5"/>
      <c r="W1210" s="5"/>
      <c r="X1210" s="5"/>
      <c r="Y1210" s="5"/>
    </row>
    <row r="1211" spans="13:25" ht="66">
      <c r="M1211" s="26" t="s">
        <v>59</v>
      </c>
      <c r="N1211" s="25" t="s">
        <v>51</v>
      </c>
      <c r="O1211" s="26"/>
      <c r="P1211" s="26" t="s">
        <v>1154</v>
      </c>
      <c r="Q1211" s="26"/>
      <c r="R1211" s="5"/>
      <c r="S1211" s="5"/>
      <c r="T1211" s="5"/>
      <c r="U1211" s="5"/>
      <c r="V1211" s="5"/>
      <c r="W1211" s="5"/>
      <c r="X1211" s="5"/>
      <c r="Y1211" s="5"/>
    </row>
    <row r="1212" spans="13:25" ht="33">
      <c r="M1212" s="26" t="s">
        <v>59</v>
      </c>
      <c r="N1212" s="25" t="s">
        <v>51</v>
      </c>
      <c r="O1212" s="26"/>
      <c r="P1212" s="26" t="s">
        <v>1155</v>
      </c>
      <c r="Q1212" s="26"/>
      <c r="R1212" s="5"/>
      <c r="S1212" s="5"/>
      <c r="T1212" s="5"/>
      <c r="U1212" s="5"/>
      <c r="V1212" s="5"/>
      <c r="W1212" s="5"/>
      <c r="X1212" s="5"/>
      <c r="Y1212" s="5"/>
    </row>
    <row r="1213" spans="13:25" ht="66">
      <c r="M1213" s="26" t="s">
        <v>59</v>
      </c>
      <c r="N1213" s="25" t="s">
        <v>51</v>
      </c>
      <c r="O1213" s="26"/>
      <c r="P1213" s="26" t="s">
        <v>1091</v>
      </c>
      <c r="Q1213" s="26"/>
      <c r="R1213" s="5"/>
      <c r="S1213" s="5"/>
      <c r="T1213" s="5"/>
      <c r="U1213" s="5"/>
      <c r="V1213" s="5"/>
      <c r="W1213" s="5"/>
      <c r="X1213" s="5"/>
      <c r="Y1213" s="5"/>
    </row>
    <row r="1214" spans="13:25" ht="66">
      <c r="M1214" s="26" t="s">
        <v>59</v>
      </c>
      <c r="N1214" s="25" t="s">
        <v>51</v>
      </c>
      <c r="O1214" s="26"/>
      <c r="P1214" s="26" t="s">
        <v>1070</v>
      </c>
      <c r="Q1214" s="26"/>
      <c r="R1214" s="5"/>
      <c r="S1214" s="5"/>
      <c r="T1214" s="5"/>
      <c r="U1214" s="5"/>
      <c r="V1214" s="5"/>
      <c r="W1214" s="5"/>
      <c r="X1214" s="5"/>
      <c r="Y1214" s="5"/>
    </row>
    <row r="1215" spans="13:25" ht="66">
      <c r="M1215" s="26" t="s">
        <v>59</v>
      </c>
      <c r="N1215" s="25" t="s">
        <v>51</v>
      </c>
      <c r="O1215" s="26"/>
      <c r="P1215" s="26" t="s">
        <v>967</v>
      </c>
      <c r="Q1215" s="26"/>
      <c r="R1215" s="5"/>
      <c r="S1215" s="5"/>
      <c r="T1215" s="5"/>
      <c r="U1215" s="5"/>
      <c r="V1215" s="5"/>
      <c r="W1215" s="5"/>
      <c r="X1215" s="5"/>
      <c r="Y1215" s="5"/>
    </row>
    <row r="1216" spans="13:25" ht="33">
      <c r="M1216" s="26" t="s">
        <v>59</v>
      </c>
      <c r="N1216" s="25" t="s">
        <v>51</v>
      </c>
      <c r="O1216" s="26"/>
      <c r="P1216" s="26" t="s">
        <v>1087</v>
      </c>
      <c r="Q1216" s="26"/>
      <c r="R1216" s="5"/>
      <c r="S1216" s="5"/>
      <c r="T1216" s="5"/>
      <c r="U1216" s="5"/>
      <c r="V1216" s="5"/>
      <c r="W1216" s="5"/>
      <c r="X1216" s="5"/>
      <c r="Y1216" s="5"/>
    </row>
    <row r="1217" spans="13:25" ht="33">
      <c r="M1217" s="26" t="s">
        <v>59</v>
      </c>
      <c r="N1217" s="25" t="s">
        <v>51</v>
      </c>
      <c r="O1217" s="26"/>
      <c r="P1217" s="26" t="s">
        <v>1051</v>
      </c>
      <c r="Q1217" s="26"/>
      <c r="R1217" s="5"/>
      <c r="S1217" s="5"/>
      <c r="T1217" s="5"/>
      <c r="U1217" s="5"/>
      <c r="V1217" s="5"/>
      <c r="W1217" s="5"/>
      <c r="X1217" s="5"/>
      <c r="Y1217" s="5"/>
    </row>
    <row r="1218" spans="13:25" ht="33">
      <c r="M1218" s="26" t="s">
        <v>59</v>
      </c>
      <c r="N1218" s="25" t="s">
        <v>51</v>
      </c>
      <c r="O1218" s="26"/>
      <c r="P1218" s="26" t="s">
        <v>1051</v>
      </c>
      <c r="Q1218" s="26"/>
      <c r="R1218" s="5"/>
      <c r="S1218" s="5"/>
      <c r="T1218" s="5"/>
      <c r="U1218" s="5"/>
      <c r="V1218" s="5"/>
      <c r="W1218" s="5"/>
      <c r="X1218" s="5"/>
      <c r="Y1218" s="5"/>
    </row>
    <row r="1219" spans="13:25" ht="44">
      <c r="M1219" s="26" t="s">
        <v>59</v>
      </c>
      <c r="N1219" s="25" t="s">
        <v>51</v>
      </c>
      <c r="O1219" s="26"/>
      <c r="P1219" s="26" t="s">
        <v>1156</v>
      </c>
      <c r="Q1219" s="26"/>
      <c r="R1219" s="5"/>
      <c r="S1219" s="5"/>
      <c r="T1219" s="5"/>
      <c r="U1219" s="5"/>
      <c r="V1219" s="5"/>
      <c r="W1219" s="5"/>
      <c r="X1219" s="5"/>
      <c r="Y1219" s="5"/>
    </row>
    <row r="1220" spans="13:25" ht="33">
      <c r="M1220" s="26" t="s">
        <v>59</v>
      </c>
      <c r="N1220" s="25" t="s">
        <v>51</v>
      </c>
      <c r="O1220" s="26"/>
      <c r="P1220" s="26" t="s">
        <v>1157</v>
      </c>
      <c r="Q1220" s="26"/>
      <c r="R1220" s="5"/>
      <c r="S1220" s="5"/>
      <c r="T1220" s="5"/>
      <c r="U1220" s="5"/>
      <c r="V1220" s="5"/>
      <c r="W1220" s="5"/>
      <c r="X1220" s="5"/>
      <c r="Y1220" s="5"/>
    </row>
    <row r="1221" spans="13:25" ht="44">
      <c r="M1221" s="26" t="s">
        <v>59</v>
      </c>
      <c r="N1221" s="25" t="s">
        <v>51</v>
      </c>
      <c r="O1221" s="26"/>
      <c r="P1221" s="26" t="s">
        <v>1132</v>
      </c>
      <c r="Q1221" s="26"/>
      <c r="R1221" s="5"/>
      <c r="S1221" s="5"/>
      <c r="T1221" s="5"/>
      <c r="U1221" s="5"/>
      <c r="V1221" s="5"/>
      <c r="W1221" s="5"/>
      <c r="X1221" s="5"/>
      <c r="Y1221" s="5"/>
    </row>
    <row r="1222" spans="13:25" ht="44">
      <c r="M1222" s="26" t="s">
        <v>59</v>
      </c>
      <c r="N1222" s="25" t="s">
        <v>51</v>
      </c>
      <c r="O1222" s="26"/>
      <c r="P1222" s="26" t="s">
        <v>1158</v>
      </c>
      <c r="Q1222" s="26"/>
      <c r="R1222" s="5"/>
      <c r="S1222" s="5"/>
      <c r="T1222" s="5"/>
      <c r="U1222" s="5"/>
      <c r="V1222" s="5"/>
      <c r="W1222" s="5"/>
      <c r="X1222" s="5"/>
      <c r="Y1222" s="5"/>
    </row>
    <row r="1223" spans="13:25" ht="55">
      <c r="M1223" s="26" t="s">
        <v>59</v>
      </c>
      <c r="N1223" s="25" t="s">
        <v>51</v>
      </c>
      <c r="O1223" s="26"/>
      <c r="P1223" s="26" t="s">
        <v>1075</v>
      </c>
      <c r="Q1223" s="26"/>
      <c r="R1223" s="5"/>
      <c r="S1223" s="5"/>
      <c r="T1223" s="5"/>
      <c r="U1223" s="5"/>
      <c r="V1223" s="5"/>
      <c r="W1223" s="5"/>
      <c r="X1223" s="5"/>
      <c r="Y1223" s="5"/>
    </row>
    <row r="1224" spans="13:25" ht="55">
      <c r="M1224" s="26" t="s">
        <v>59</v>
      </c>
      <c r="N1224" s="25" t="s">
        <v>51</v>
      </c>
      <c r="O1224" s="26"/>
      <c r="P1224" s="26" t="s">
        <v>1058</v>
      </c>
      <c r="Q1224" s="26"/>
      <c r="R1224" s="5"/>
      <c r="S1224" s="5"/>
      <c r="T1224" s="5"/>
      <c r="U1224" s="5"/>
      <c r="V1224" s="5"/>
      <c r="W1224" s="5"/>
      <c r="X1224" s="5"/>
      <c r="Y1224" s="5"/>
    </row>
    <row r="1225" spans="13:25" ht="55">
      <c r="M1225" s="26" t="s">
        <v>59</v>
      </c>
      <c r="N1225" s="25" t="s">
        <v>51</v>
      </c>
      <c r="O1225" s="26"/>
      <c r="P1225" s="26" t="s">
        <v>1159</v>
      </c>
      <c r="Q1225" s="26"/>
      <c r="R1225" s="5"/>
      <c r="S1225" s="5"/>
      <c r="T1225" s="5"/>
      <c r="U1225" s="5"/>
      <c r="V1225" s="5"/>
      <c r="W1225" s="5"/>
      <c r="X1225" s="5"/>
      <c r="Y1225" s="5"/>
    </row>
    <row r="1226" spans="13:25" ht="88">
      <c r="M1226" s="26" t="s">
        <v>59</v>
      </c>
      <c r="N1226" s="25" t="s">
        <v>51</v>
      </c>
      <c r="O1226" s="26"/>
      <c r="P1226" s="26" t="s">
        <v>1097</v>
      </c>
      <c r="Q1226" s="26"/>
      <c r="R1226" s="5"/>
      <c r="S1226" s="5"/>
      <c r="T1226" s="5"/>
      <c r="U1226" s="5"/>
      <c r="V1226" s="5"/>
      <c r="W1226" s="5"/>
      <c r="X1226" s="5"/>
      <c r="Y1226" s="5"/>
    </row>
    <row r="1227" spans="13:25" ht="88">
      <c r="M1227" s="26" t="s">
        <v>59</v>
      </c>
      <c r="N1227" s="25" t="s">
        <v>51</v>
      </c>
      <c r="O1227" s="26"/>
      <c r="P1227" s="26" t="s">
        <v>1134</v>
      </c>
      <c r="Q1227" s="26"/>
      <c r="R1227" s="5"/>
      <c r="S1227" s="5"/>
      <c r="T1227" s="5"/>
      <c r="U1227" s="5"/>
      <c r="V1227" s="5"/>
      <c r="W1227" s="5"/>
      <c r="X1227" s="5"/>
      <c r="Y1227" s="5"/>
    </row>
    <row r="1228" spans="13:25" ht="88">
      <c r="M1228" s="26" t="s">
        <v>59</v>
      </c>
      <c r="N1228" s="25" t="s">
        <v>51</v>
      </c>
      <c r="O1228" s="26"/>
      <c r="P1228" s="26" t="s">
        <v>1097</v>
      </c>
      <c r="Q1228" s="26"/>
      <c r="R1228" s="5"/>
      <c r="S1228" s="5"/>
      <c r="T1228" s="5"/>
      <c r="U1228" s="5"/>
      <c r="V1228" s="5"/>
      <c r="W1228" s="5"/>
      <c r="X1228" s="5"/>
      <c r="Y1228" s="5"/>
    </row>
    <row r="1229" spans="13:25" ht="88">
      <c r="M1229" s="26" t="s">
        <v>59</v>
      </c>
      <c r="N1229" s="25" t="s">
        <v>51</v>
      </c>
      <c r="O1229" s="26"/>
      <c r="P1229" s="26" t="s">
        <v>1097</v>
      </c>
      <c r="Q1229" s="26"/>
      <c r="R1229" s="5"/>
      <c r="S1229" s="5"/>
      <c r="T1229" s="5"/>
      <c r="U1229" s="5"/>
      <c r="V1229" s="5"/>
      <c r="W1229" s="5"/>
      <c r="X1229" s="5"/>
      <c r="Y1229" s="5"/>
    </row>
    <row r="1230" spans="13:25" ht="88">
      <c r="M1230" s="26" t="s">
        <v>59</v>
      </c>
      <c r="N1230" s="25" t="s">
        <v>51</v>
      </c>
      <c r="O1230" s="26"/>
      <c r="P1230" s="26" t="s">
        <v>1060</v>
      </c>
      <c r="Q1230" s="26"/>
      <c r="R1230" s="5"/>
      <c r="S1230" s="5"/>
      <c r="T1230" s="5"/>
      <c r="U1230" s="5"/>
      <c r="V1230" s="5"/>
      <c r="W1230" s="5"/>
      <c r="X1230" s="5"/>
      <c r="Y1230" s="5"/>
    </row>
    <row r="1231" spans="13:25" ht="44">
      <c r="M1231" s="26" t="s">
        <v>59</v>
      </c>
      <c r="N1231" s="25" t="s">
        <v>51</v>
      </c>
      <c r="O1231" s="26"/>
      <c r="P1231" s="26" t="s">
        <v>1160</v>
      </c>
      <c r="Q1231" s="26"/>
      <c r="R1231" s="5"/>
      <c r="S1231" s="5"/>
      <c r="T1231" s="5"/>
      <c r="U1231" s="5"/>
      <c r="V1231" s="5"/>
      <c r="W1231" s="5"/>
      <c r="X1231" s="5"/>
      <c r="Y1231" s="5"/>
    </row>
    <row r="1232" spans="13:25" ht="44">
      <c r="M1232" s="26" t="s">
        <v>59</v>
      </c>
      <c r="N1232" s="25" t="s">
        <v>51</v>
      </c>
      <c r="O1232" s="26"/>
      <c r="P1232" s="26" t="s">
        <v>1161</v>
      </c>
      <c r="Q1232" s="26"/>
      <c r="R1232" s="5"/>
      <c r="S1232" s="5"/>
      <c r="T1232" s="5"/>
      <c r="U1232" s="5"/>
      <c r="V1232" s="5"/>
      <c r="W1232" s="5"/>
      <c r="X1232" s="5"/>
      <c r="Y1232" s="5"/>
    </row>
    <row r="1233" spans="13:25" ht="44">
      <c r="M1233" s="26" t="s">
        <v>59</v>
      </c>
      <c r="N1233" s="25" t="s">
        <v>51</v>
      </c>
      <c r="O1233" s="26"/>
      <c r="P1233" s="26" t="s">
        <v>1162</v>
      </c>
      <c r="Q1233" s="26"/>
      <c r="R1233" s="5"/>
      <c r="S1233" s="5"/>
      <c r="T1233" s="5"/>
      <c r="U1233" s="5"/>
      <c r="V1233" s="5"/>
      <c r="W1233" s="5"/>
      <c r="X1233" s="5"/>
      <c r="Y1233" s="5"/>
    </row>
    <row r="1234" spans="13:25" ht="33">
      <c r="M1234" s="26" t="s">
        <v>59</v>
      </c>
      <c r="N1234" s="25" t="s">
        <v>51</v>
      </c>
      <c r="O1234" s="26"/>
      <c r="P1234" s="26" t="s">
        <v>1150</v>
      </c>
      <c r="Q1234" s="26"/>
      <c r="R1234" s="5"/>
      <c r="S1234" s="5"/>
      <c r="T1234" s="5"/>
      <c r="U1234" s="5"/>
      <c r="V1234" s="5"/>
      <c r="W1234" s="5"/>
      <c r="X1234" s="5"/>
      <c r="Y1234" s="5"/>
    </row>
    <row r="1235" spans="13:25" ht="22">
      <c r="M1235" s="26" t="s">
        <v>59</v>
      </c>
      <c r="N1235" s="25" t="s">
        <v>51</v>
      </c>
      <c r="O1235" s="26"/>
      <c r="P1235" s="26" t="s">
        <v>1163</v>
      </c>
      <c r="Q1235" s="26"/>
      <c r="R1235" s="5"/>
      <c r="S1235" s="5"/>
      <c r="T1235" s="5"/>
      <c r="U1235" s="5"/>
      <c r="V1235" s="5"/>
      <c r="W1235" s="5"/>
      <c r="X1235" s="5"/>
      <c r="Y1235" s="5"/>
    </row>
    <row r="1236" spans="13:25" ht="22">
      <c r="M1236" s="26" t="s">
        <v>59</v>
      </c>
      <c r="N1236" s="25" t="s">
        <v>51</v>
      </c>
      <c r="O1236" s="26"/>
      <c r="P1236" s="26" t="s">
        <v>1164</v>
      </c>
      <c r="Q1236" s="26"/>
      <c r="R1236" s="5"/>
      <c r="S1236" s="5"/>
      <c r="T1236" s="5"/>
      <c r="U1236" s="5"/>
      <c r="V1236" s="5"/>
      <c r="W1236" s="5"/>
      <c r="X1236" s="5"/>
      <c r="Y1236" s="5"/>
    </row>
    <row r="1237" spans="13:25" ht="33">
      <c r="M1237" s="26" t="s">
        <v>59</v>
      </c>
      <c r="N1237" s="25" t="s">
        <v>51</v>
      </c>
      <c r="O1237" s="26"/>
      <c r="P1237" s="26" t="s">
        <v>1079</v>
      </c>
      <c r="Q1237" s="26"/>
      <c r="R1237" s="5"/>
      <c r="S1237" s="5"/>
      <c r="T1237" s="5"/>
      <c r="U1237" s="5"/>
      <c r="V1237" s="5"/>
      <c r="W1237" s="5"/>
      <c r="X1237" s="5"/>
      <c r="Y1237" s="5"/>
    </row>
    <row r="1238" spans="13:25" ht="33">
      <c r="M1238" s="26" t="s">
        <v>59</v>
      </c>
      <c r="N1238" s="25" t="s">
        <v>51</v>
      </c>
      <c r="O1238" s="26"/>
      <c r="P1238" s="26" t="s">
        <v>1080</v>
      </c>
      <c r="Q1238" s="26"/>
      <c r="R1238" s="5"/>
      <c r="S1238" s="5"/>
      <c r="T1238" s="5"/>
      <c r="U1238" s="5"/>
      <c r="V1238" s="5"/>
      <c r="W1238" s="5"/>
      <c r="X1238" s="5"/>
      <c r="Y1238" s="5"/>
    </row>
    <row r="1239" spans="13:25" ht="99">
      <c r="M1239" s="26" t="s">
        <v>59</v>
      </c>
      <c r="N1239" s="25" t="s">
        <v>51</v>
      </c>
      <c r="O1239" s="26"/>
      <c r="P1239" s="26" t="s">
        <v>1141</v>
      </c>
      <c r="Q1239" s="26"/>
      <c r="R1239" s="5"/>
      <c r="S1239" s="5"/>
      <c r="T1239" s="5"/>
      <c r="U1239" s="5"/>
      <c r="V1239" s="5"/>
      <c r="W1239" s="5"/>
      <c r="X1239" s="5"/>
      <c r="Y1239" s="5"/>
    </row>
    <row r="1240" spans="13:25" ht="66">
      <c r="M1240" s="26" t="s">
        <v>59</v>
      </c>
      <c r="N1240" s="25" t="s">
        <v>51</v>
      </c>
      <c r="O1240" s="26"/>
      <c r="P1240" s="26" t="s">
        <v>1144</v>
      </c>
      <c r="Q1240" s="26"/>
      <c r="R1240" s="5"/>
      <c r="S1240" s="5"/>
      <c r="T1240" s="5"/>
      <c r="U1240" s="5"/>
      <c r="V1240" s="5"/>
      <c r="W1240" s="5"/>
      <c r="X1240" s="5"/>
      <c r="Y1240" s="5"/>
    </row>
    <row r="1241" spans="13:25" ht="22">
      <c r="M1241" s="26" t="s">
        <v>59</v>
      </c>
      <c r="N1241" s="25" t="s">
        <v>51</v>
      </c>
      <c r="O1241" s="26"/>
      <c r="P1241" s="26" t="s">
        <v>1165</v>
      </c>
      <c r="Q1241" s="26"/>
      <c r="R1241" s="5"/>
      <c r="S1241" s="5"/>
      <c r="T1241" s="5"/>
      <c r="U1241" s="5"/>
      <c r="V1241" s="5"/>
      <c r="W1241" s="5"/>
      <c r="X1241" s="5"/>
      <c r="Y1241" s="5"/>
    </row>
    <row r="1242" spans="13:25" ht="22">
      <c r="M1242" s="26" t="s">
        <v>59</v>
      </c>
      <c r="N1242" s="25" t="s">
        <v>51</v>
      </c>
      <c r="O1242" s="26"/>
      <c r="P1242" s="26" t="s">
        <v>1166</v>
      </c>
      <c r="Q1242" s="26"/>
      <c r="R1242" s="5"/>
      <c r="S1242" s="5"/>
      <c r="T1242" s="5"/>
      <c r="U1242" s="5"/>
      <c r="V1242" s="5"/>
      <c r="W1242" s="5"/>
      <c r="X1242" s="5"/>
      <c r="Y1242" s="5"/>
    </row>
    <row r="1243" spans="13:25" ht="33">
      <c r="M1243" s="26" t="s">
        <v>59</v>
      </c>
      <c r="N1243" s="25" t="s">
        <v>51</v>
      </c>
      <c r="O1243" s="26"/>
      <c r="P1243" s="26" t="s">
        <v>1167</v>
      </c>
      <c r="Q1243" s="26"/>
      <c r="R1243" s="5"/>
      <c r="S1243" s="5"/>
      <c r="T1243" s="5"/>
      <c r="U1243" s="5"/>
      <c r="V1243" s="5"/>
      <c r="W1243" s="5"/>
      <c r="X1243" s="5"/>
      <c r="Y1243" s="5"/>
    </row>
    <row r="1244" spans="13:25" ht="22">
      <c r="M1244" s="26" t="s">
        <v>59</v>
      </c>
      <c r="N1244" s="25" t="s">
        <v>57</v>
      </c>
      <c r="O1244" s="26"/>
      <c r="P1244" s="26" t="s">
        <v>1168</v>
      </c>
      <c r="Q1244" s="26"/>
      <c r="R1244" s="5"/>
      <c r="S1244" s="5"/>
      <c r="T1244" s="5"/>
      <c r="U1244" s="5"/>
      <c r="V1244" s="5"/>
      <c r="W1244" s="5"/>
      <c r="X1244" s="5"/>
      <c r="Y1244" s="5"/>
    </row>
    <row r="1245" spans="13:25" ht="33">
      <c r="M1245" s="26" t="s">
        <v>59</v>
      </c>
      <c r="N1245" s="25" t="s">
        <v>51</v>
      </c>
      <c r="O1245" s="26"/>
      <c r="P1245" s="26" t="s">
        <v>1104</v>
      </c>
      <c r="Q1245" s="26"/>
      <c r="R1245" s="5"/>
      <c r="S1245" s="5"/>
      <c r="T1245" s="5"/>
      <c r="U1245" s="5"/>
      <c r="V1245" s="5"/>
      <c r="W1245" s="5"/>
      <c r="X1245" s="5"/>
      <c r="Y1245" s="5"/>
    </row>
    <row r="1246" spans="13:25" ht="22">
      <c r="M1246" s="26" t="s">
        <v>59</v>
      </c>
      <c r="N1246" s="25" t="s">
        <v>51</v>
      </c>
      <c r="O1246" s="26"/>
      <c r="P1246" s="26" t="s">
        <v>1169</v>
      </c>
      <c r="Q1246" s="26"/>
      <c r="R1246" s="5"/>
      <c r="S1246" s="5"/>
      <c r="T1246" s="5"/>
      <c r="U1246" s="5"/>
      <c r="V1246" s="5"/>
      <c r="W1246" s="5"/>
      <c r="X1246" s="5"/>
      <c r="Y1246" s="5"/>
    </row>
    <row r="1247" spans="13:25" ht="33">
      <c r="M1247" s="26" t="s">
        <v>59</v>
      </c>
      <c r="N1247" s="25" t="s">
        <v>51</v>
      </c>
      <c r="O1247" s="26"/>
      <c r="P1247" s="26" t="s">
        <v>1170</v>
      </c>
      <c r="Q1247" s="26"/>
      <c r="R1247" s="5"/>
      <c r="S1247" s="5"/>
      <c r="T1247" s="5"/>
      <c r="U1247" s="5"/>
      <c r="V1247" s="5"/>
      <c r="W1247" s="5"/>
      <c r="X1247" s="5"/>
      <c r="Y1247" s="5"/>
    </row>
    <row r="1248" spans="13:25" ht="44">
      <c r="M1248" s="26" t="s">
        <v>59</v>
      </c>
      <c r="N1248" s="25" t="s">
        <v>51</v>
      </c>
      <c r="O1248" s="26"/>
      <c r="P1248" s="26" t="s">
        <v>1171</v>
      </c>
      <c r="Q1248" s="26"/>
      <c r="R1248" s="5"/>
      <c r="S1248" s="5"/>
      <c r="T1248" s="5"/>
      <c r="U1248" s="5"/>
      <c r="V1248" s="5"/>
      <c r="W1248" s="5"/>
      <c r="X1248" s="5"/>
      <c r="Y1248" s="5"/>
    </row>
    <row r="1249" spans="13:25" ht="22">
      <c r="M1249" s="26" t="s">
        <v>59</v>
      </c>
      <c r="N1249" s="25" t="s">
        <v>51</v>
      </c>
      <c r="O1249" s="26" t="s">
        <v>1172</v>
      </c>
      <c r="P1249" s="26"/>
      <c r="Q1249" s="26"/>
      <c r="R1249" s="5"/>
      <c r="S1249" s="5"/>
      <c r="T1249" s="5"/>
      <c r="U1249" s="5"/>
      <c r="V1249" s="5"/>
      <c r="W1249" s="5"/>
      <c r="X1249" s="5"/>
      <c r="Y1249" s="5"/>
    </row>
    <row r="1250" spans="13:25" ht="33">
      <c r="M1250" s="26" t="s">
        <v>59</v>
      </c>
      <c r="N1250" s="25" t="s">
        <v>51</v>
      </c>
      <c r="O1250" s="26"/>
      <c r="P1250" s="26" t="s">
        <v>1173</v>
      </c>
      <c r="Q1250" s="26"/>
      <c r="R1250" s="5"/>
      <c r="S1250" s="5"/>
      <c r="T1250" s="5"/>
      <c r="U1250" s="5"/>
      <c r="V1250" s="5"/>
      <c r="W1250" s="5"/>
      <c r="X1250" s="5"/>
      <c r="Y1250" s="5"/>
    </row>
    <row r="1251" spans="13:25" ht="66">
      <c r="M1251" s="26" t="s">
        <v>59</v>
      </c>
      <c r="N1251" s="25" t="s">
        <v>51</v>
      </c>
      <c r="O1251" s="26"/>
      <c r="P1251" s="26" t="s">
        <v>995</v>
      </c>
      <c r="Q1251" s="26"/>
      <c r="R1251" s="5"/>
      <c r="S1251" s="5"/>
      <c r="T1251" s="5"/>
      <c r="U1251" s="5"/>
      <c r="V1251" s="5"/>
      <c r="W1251" s="5"/>
      <c r="X1251" s="5"/>
      <c r="Y1251" s="5"/>
    </row>
    <row r="1252" spans="13:25" ht="33">
      <c r="M1252" s="26" t="s">
        <v>59</v>
      </c>
      <c r="N1252" s="25" t="s">
        <v>51</v>
      </c>
      <c r="O1252" s="26"/>
      <c r="P1252" s="26" t="s">
        <v>1174</v>
      </c>
      <c r="Q1252" s="26"/>
      <c r="R1252" s="5"/>
      <c r="S1252" s="5"/>
      <c r="T1252" s="5"/>
      <c r="U1252" s="5"/>
      <c r="V1252" s="5"/>
      <c r="W1252" s="5"/>
      <c r="X1252" s="5"/>
      <c r="Y1252" s="5"/>
    </row>
    <row r="1253" spans="13:25" ht="66">
      <c r="M1253" s="26" t="s">
        <v>59</v>
      </c>
      <c r="N1253" s="25" t="s">
        <v>51</v>
      </c>
      <c r="O1253" s="26"/>
      <c r="P1253" s="26" t="s">
        <v>1070</v>
      </c>
      <c r="Q1253" s="26"/>
      <c r="R1253" s="5"/>
      <c r="S1253" s="5"/>
      <c r="T1253" s="5"/>
      <c r="U1253" s="5"/>
      <c r="V1253" s="5"/>
      <c r="W1253" s="5"/>
      <c r="X1253" s="5"/>
      <c r="Y1253" s="5"/>
    </row>
    <row r="1254" spans="13:25" ht="55">
      <c r="M1254" s="26" t="s">
        <v>59</v>
      </c>
      <c r="N1254" s="25" t="s">
        <v>51</v>
      </c>
      <c r="O1254" s="26"/>
      <c r="P1254" s="26" t="s">
        <v>1058</v>
      </c>
      <c r="Q1254" s="26"/>
      <c r="R1254" s="5"/>
      <c r="S1254" s="5"/>
      <c r="T1254" s="5"/>
      <c r="U1254" s="5"/>
      <c r="V1254" s="5"/>
      <c r="W1254" s="5"/>
      <c r="X1254" s="5"/>
      <c r="Y1254" s="5"/>
    </row>
    <row r="1255" spans="13:25" ht="88">
      <c r="M1255" s="26" t="s">
        <v>59</v>
      </c>
      <c r="N1255" s="25" t="s">
        <v>51</v>
      </c>
      <c r="O1255" s="26"/>
      <c r="P1255" s="26" t="s">
        <v>1097</v>
      </c>
      <c r="Q1255" s="26"/>
      <c r="R1255" s="5"/>
      <c r="S1255" s="5"/>
      <c r="T1255" s="5"/>
      <c r="U1255" s="5"/>
      <c r="V1255" s="5"/>
      <c r="W1255" s="5"/>
      <c r="X1255" s="5"/>
      <c r="Y1255" s="5"/>
    </row>
    <row r="1256" spans="13:25" ht="55">
      <c r="M1256" s="26" t="s">
        <v>59</v>
      </c>
      <c r="N1256" s="25" t="s">
        <v>51</v>
      </c>
      <c r="O1256" s="26"/>
      <c r="P1256" s="26" t="s">
        <v>1061</v>
      </c>
      <c r="Q1256" s="26"/>
      <c r="R1256" s="5"/>
      <c r="S1256" s="5"/>
      <c r="T1256" s="5"/>
      <c r="U1256" s="5"/>
      <c r="V1256" s="5"/>
      <c r="W1256" s="5"/>
      <c r="X1256" s="5"/>
      <c r="Y1256" s="5"/>
    </row>
    <row r="1257" spans="13:25" ht="44">
      <c r="M1257" s="26" t="s">
        <v>59</v>
      </c>
      <c r="N1257" s="25" t="s">
        <v>51</v>
      </c>
      <c r="O1257" s="26"/>
      <c r="P1257" s="26" t="s">
        <v>1161</v>
      </c>
      <c r="Q1257" s="26"/>
      <c r="R1257" s="5"/>
      <c r="S1257" s="5"/>
      <c r="T1257" s="5"/>
      <c r="U1257" s="5"/>
      <c r="V1257" s="5"/>
      <c r="W1257" s="5"/>
      <c r="X1257" s="5"/>
      <c r="Y1257" s="5"/>
    </row>
    <row r="1258" spans="13:25" ht="44">
      <c r="M1258" s="26" t="s">
        <v>59</v>
      </c>
      <c r="N1258" s="25" t="s">
        <v>51</v>
      </c>
      <c r="O1258" s="26"/>
      <c r="P1258" s="26" t="s">
        <v>1162</v>
      </c>
      <c r="Q1258" s="26"/>
      <c r="R1258" s="5"/>
      <c r="S1258" s="5"/>
      <c r="T1258" s="5"/>
      <c r="U1258" s="5"/>
      <c r="V1258" s="5"/>
      <c r="W1258" s="5"/>
      <c r="X1258" s="5"/>
      <c r="Y1258" s="5"/>
    </row>
    <row r="1259" spans="13:25" ht="99">
      <c r="M1259" s="26" t="s">
        <v>59</v>
      </c>
      <c r="N1259" s="25" t="s">
        <v>51</v>
      </c>
      <c r="O1259" s="26"/>
      <c r="P1259" s="26" t="s">
        <v>1175</v>
      </c>
      <c r="Q1259" s="26"/>
      <c r="R1259" s="5"/>
      <c r="S1259" s="5"/>
      <c r="T1259" s="5"/>
      <c r="U1259" s="5"/>
      <c r="V1259" s="5"/>
      <c r="W1259" s="5"/>
      <c r="X1259" s="5"/>
      <c r="Y1259" s="5"/>
    </row>
    <row r="1260" spans="13:25" ht="33">
      <c r="M1260" s="26" t="s">
        <v>59</v>
      </c>
      <c r="N1260" s="25" t="s">
        <v>51</v>
      </c>
      <c r="O1260" s="26"/>
      <c r="P1260" s="26" t="s">
        <v>1176</v>
      </c>
      <c r="Q1260" s="26"/>
      <c r="R1260" s="5"/>
      <c r="S1260" s="5"/>
      <c r="T1260" s="5"/>
      <c r="U1260" s="5"/>
      <c r="V1260" s="5"/>
      <c r="W1260" s="5"/>
      <c r="X1260" s="5"/>
      <c r="Y1260" s="5"/>
    </row>
    <row r="1261" spans="13:25" ht="33">
      <c r="M1261" s="26" t="s">
        <v>59</v>
      </c>
      <c r="N1261" s="25" t="s">
        <v>51</v>
      </c>
      <c r="O1261" s="26"/>
      <c r="P1261" s="26" t="s">
        <v>1177</v>
      </c>
      <c r="Q1261" s="26"/>
      <c r="R1261" s="5"/>
      <c r="S1261" s="5"/>
      <c r="T1261" s="5"/>
      <c r="U1261" s="5"/>
      <c r="V1261" s="5"/>
      <c r="W1261" s="5"/>
      <c r="X1261" s="5"/>
      <c r="Y1261" s="5"/>
    </row>
    <row r="1262" spans="13:25" ht="22">
      <c r="M1262" s="26" t="s">
        <v>59</v>
      </c>
      <c r="N1262" s="25" t="s">
        <v>57</v>
      </c>
      <c r="O1262" s="26"/>
      <c r="P1262" s="26" t="s">
        <v>1178</v>
      </c>
      <c r="Q1262" s="26"/>
      <c r="R1262" s="5"/>
      <c r="S1262" s="5"/>
      <c r="T1262" s="5"/>
      <c r="U1262" s="5"/>
      <c r="V1262" s="5"/>
      <c r="W1262" s="5"/>
      <c r="X1262" s="5"/>
      <c r="Y1262" s="5"/>
    </row>
    <row r="1263" spans="13:25" ht="22">
      <c r="M1263" s="26" t="s">
        <v>59</v>
      </c>
      <c r="N1263" s="25" t="s">
        <v>51</v>
      </c>
      <c r="O1263" s="26"/>
      <c r="P1263" s="26" t="s">
        <v>1179</v>
      </c>
      <c r="Q1263" s="26"/>
      <c r="R1263" s="5"/>
      <c r="S1263" s="5"/>
      <c r="T1263" s="5"/>
      <c r="U1263" s="5"/>
      <c r="V1263" s="5"/>
      <c r="W1263" s="5"/>
      <c r="X1263" s="5"/>
      <c r="Y1263" s="5"/>
    </row>
    <row r="1264" spans="13:25" ht="55">
      <c r="M1264" s="26" t="s">
        <v>59</v>
      </c>
      <c r="N1264" s="25" t="s">
        <v>51</v>
      </c>
      <c r="O1264" s="26"/>
      <c r="P1264" s="26" t="s">
        <v>970</v>
      </c>
      <c r="Q1264" s="26"/>
      <c r="R1264" s="5"/>
      <c r="S1264" s="5"/>
      <c r="T1264" s="5"/>
      <c r="U1264" s="5"/>
      <c r="V1264" s="5"/>
      <c r="W1264" s="5"/>
      <c r="X1264" s="5"/>
      <c r="Y1264" s="5"/>
    </row>
    <row r="1265" spans="13:25" ht="22">
      <c r="M1265" s="26" t="s">
        <v>59</v>
      </c>
      <c r="N1265" s="25" t="s">
        <v>51</v>
      </c>
      <c r="O1265" s="26" t="s">
        <v>1180</v>
      </c>
      <c r="P1265" s="26"/>
      <c r="Q1265" s="26"/>
      <c r="R1265" s="5"/>
      <c r="S1265" s="5"/>
      <c r="T1265" s="5"/>
      <c r="U1265" s="5"/>
      <c r="V1265" s="5"/>
      <c r="W1265" s="5"/>
      <c r="X1265" s="5"/>
      <c r="Y1265" s="5"/>
    </row>
    <row r="1266" spans="13:25" ht="55">
      <c r="M1266" s="26" t="s">
        <v>59</v>
      </c>
      <c r="N1266" s="25" t="s">
        <v>51</v>
      </c>
      <c r="O1266" s="26"/>
      <c r="P1266" s="26" t="s">
        <v>1181</v>
      </c>
      <c r="Q1266" s="26"/>
      <c r="R1266" s="5"/>
      <c r="S1266" s="5"/>
      <c r="T1266" s="5"/>
      <c r="U1266" s="5"/>
      <c r="V1266" s="5"/>
      <c r="W1266" s="5"/>
      <c r="X1266" s="5"/>
      <c r="Y1266" s="5"/>
    </row>
    <row r="1267" spans="13:25" ht="33">
      <c r="M1267" s="26" t="s">
        <v>59</v>
      </c>
      <c r="N1267" s="25" t="s">
        <v>51</v>
      </c>
      <c r="O1267" s="26"/>
      <c r="P1267" s="26" t="s">
        <v>1182</v>
      </c>
      <c r="Q1267" s="26"/>
      <c r="R1267" s="5"/>
      <c r="S1267" s="5"/>
      <c r="T1267" s="5"/>
      <c r="U1267" s="5"/>
      <c r="V1267" s="5"/>
      <c r="W1267" s="5"/>
      <c r="X1267" s="5"/>
      <c r="Y1267" s="5"/>
    </row>
    <row r="1268" spans="13:25" ht="66">
      <c r="M1268" s="26" t="s">
        <v>59</v>
      </c>
      <c r="N1268" s="25" t="s">
        <v>51</v>
      </c>
      <c r="O1268" s="26"/>
      <c r="P1268" s="26" t="s">
        <v>1183</v>
      </c>
      <c r="Q1268" s="26"/>
      <c r="R1268" s="5"/>
      <c r="S1268" s="5"/>
      <c r="T1268" s="5"/>
      <c r="U1268" s="5"/>
      <c r="V1268" s="5"/>
      <c r="W1268" s="5"/>
      <c r="X1268" s="5"/>
      <c r="Y1268" s="5"/>
    </row>
    <row r="1269" spans="13:25" ht="22">
      <c r="M1269" s="26" t="s">
        <v>59</v>
      </c>
      <c r="N1269" s="25" t="s">
        <v>51</v>
      </c>
      <c r="O1269" s="26"/>
      <c r="P1269" s="26" t="s">
        <v>1184</v>
      </c>
      <c r="Q1269" s="26"/>
      <c r="R1269" s="5"/>
      <c r="S1269" s="5"/>
      <c r="T1269" s="5"/>
      <c r="U1269" s="5"/>
      <c r="V1269" s="5"/>
      <c r="W1269" s="5"/>
      <c r="X1269" s="5"/>
      <c r="Y1269" s="5"/>
    </row>
    <row r="1270" spans="13:25" ht="55">
      <c r="M1270" s="26" t="s">
        <v>59</v>
      </c>
      <c r="N1270" s="25" t="s">
        <v>51</v>
      </c>
      <c r="O1270" s="26"/>
      <c r="P1270" s="26" t="s">
        <v>1075</v>
      </c>
      <c r="Q1270" s="26"/>
      <c r="R1270" s="5"/>
      <c r="S1270" s="5"/>
      <c r="T1270" s="5"/>
      <c r="U1270" s="5"/>
      <c r="V1270" s="5"/>
      <c r="W1270" s="5"/>
      <c r="X1270" s="5"/>
      <c r="Y1270" s="5"/>
    </row>
    <row r="1271" spans="13:25" ht="55">
      <c r="M1271" s="26" t="s">
        <v>59</v>
      </c>
      <c r="N1271" s="25" t="s">
        <v>51</v>
      </c>
      <c r="O1271" s="26"/>
      <c r="P1271" s="26" t="s">
        <v>1185</v>
      </c>
      <c r="Q1271" s="26"/>
      <c r="R1271" s="5"/>
      <c r="S1271" s="5"/>
      <c r="T1271" s="5"/>
      <c r="U1271" s="5"/>
      <c r="V1271" s="5"/>
      <c r="W1271" s="5"/>
      <c r="X1271" s="5"/>
      <c r="Y1271" s="5"/>
    </row>
    <row r="1272" spans="13:25" ht="22">
      <c r="M1272" s="26" t="s">
        <v>59</v>
      </c>
      <c r="N1272" s="25" t="s">
        <v>57</v>
      </c>
      <c r="O1272" s="26"/>
      <c r="P1272" s="26" t="s">
        <v>1186</v>
      </c>
      <c r="Q1272" s="26"/>
      <c r="R1272" s="5"/>
      <c r="S1272" s="5"/>
      <c r="T1272" s="5"/>
      <c r="U1272" s="5"/>
      <c r="V1272" s="5"/>
      <c r="W1272" s="5"/>
      <c r="X1272" s="5"/>
      <c r="Y1272" s="5"/>
    </row>
    <row r="1273" spans="13:25" ht="22">
      <c r="M1273" s="26" t="s">
        <v>59</v>
      </c>
      <c r="N1273" s="25" t="s">
        <v>57</v>
      </c>
      <c r="O1273" s="26"/>
      <c r="P1273" s="26" t="s">
        <v>1187</v>
      </c>
      <c r="Q1273" s="26"/>
      <c r="R1273" s="5"/>
      <c r="S1273" s="5"/>
      <c r="T1273" s="5"/>
      <c r="U1273" s="5"/>
      <c r="V1273" s="5"/>
      <c r="W1273" s="5"/>
      <c r="X1273" s="5"/>
      <c r="Y1273" s="5"/>
    </row>
    <row r="1274" spans="13:25" ht="22">
      <c r="M1274" s="26" t="s">
        <v>59</v>
      </c>
      <c r="N1274" s="25" t="s">
        <v>51</v>
      </c>
      <c r="O1274" s="26"/>
      <c r="P1274" s="26" t="s">
        <v>1188</v>
      </c>
      <c r="Q1274" s="26"/>
      <c r="R1274" s="5"/>
      <c r="S1274" s="5"/>
      <c r="T1274" s="5"/>
      <c r="U1274" s="5"/>
      <c r="V1274" s="5"/>
      <c r="W1274" s="5"/>
      <c r="X1274" s="5"/>
      <c r="Y1274" s="5"/>
    </row>
    <row r="1275" spans="13:25" ht="55">
      <c r="M1275" s="26" t="s">
        <v>59</v>
      </c>
      <c r="N1275" s="25" t="s">
        <v>51</v>
      </c>
      <c r="O1275" s="26"/>
      <c r="P1275" s="26" t="s">
        <v>1189</v>
      </c>
      <c r="Q1275" s="26"/>
      <c r="R1275" s="5"/>
      <c r="S1275" s="5"/>
      <c r="T1275" s="5"/>
      <c r="U1275" s="5"/>
      <c r="V1275" s="5"/>
      <c r="W1275" s="5"/>
      <c r="X1275" s="5"/>
      <c r="Y1275" s="5"/>
    </row>
    <row r="1276" spans="13:25" ht="22">
      <c r="M1276" s="26" t="s">
        <v>59</v>
      </c>
      <c r="N1276" s="25" t="s">
        <v>57</v>
      </c>
      <c r="O1276" s="26" t="s">
        <v>1190</v>
      </c>
      <c r="P1276" s="26"/>
      <c r="Q1276" s="26"/>
      <c r="R1276" s="5"/>
      <c r="S1276" s="5"/>
      <c r="T1276" s="5"/>
      <c r="U1276" s="5"/>
      <c r="V1276" s="5"/>
      <c r="W1276" s="5"/>
      <c r="X1276" s="5"/>
      <c r="Y1276" s="5"/>
    </row>
    <row r="1277" spans="13:25" ht="22">
      <c r="M1277" s="26" t="s">
        <v>59</v>
      </c>
      <c r="N1277" s="25" t="s">
        <v>51</v>
      </c>
      <c r="O1277" s="26" t="s">
        <v>1191</v>
      </c>
      <c r="P1277" s="26"/>
      <c r="Q1277" s="26"/>
      <c r="R1277" s="5"/>
      <c r="S1277" s="5"/>
      <c r="T1277" s="5"/>
      <c r="U1277" s="5"/>
      <c r="V1277" s="5"/>
      <c r="W1277" s="5"/>
      <c r="X1277" s="5"/>
      <c r="Y1277" s="5"/>
    </row>
    <row r="1278" spans="13:25" ht="55">
      <c r="M1278" s="26" t="s">
        <v>59</v>
      </c>
      <c r="N1278" s="25" t="s">
        <v>51</v>
      </c>
      <c r="O1278" s="26"/>
      <c r="P1278" s="26" t="s">
        <v>1192</v>
      </c>
      <c r="Q1278" s="26"/>
      <c r="R1278" s="5"/>
      <c r="S1278" s="5"/>
      <c r="T1278" s="5"/>
      <c r="U1278" s="5"/>
      <c r="V1278" s="5"/>
      <c r="W1278" s="5"/>
      <c r="X1278" s="5"/>
      <c r="Y1278" s="5"/>
    </row>
    <row r="1279" spans="13:25" ht="33">
      <c r="M1279" s="26" t="s">
        <v>59</v>
      </c>
      <c r="N1279" s="25" t="s">
        <v>51</v>
      </c>
      <c r="O1279" s="26"/>
      <c r="P1279" s="26" t="s">
        <v>983</v>
      </c>
      <c r="Q1279" s="26"/>
      <c r="R1279" s="5"/>
      <c r="S1279" s="5"/>
      <c r="T1279" s="5"/>
      <c r="U1279" s="5"/>
      <c r="V1279" s="5"/>
      <c r="W1279" s="5"/>
      <c r="X1279" s="5"/>
      <c r="Y1279" s="5"/>
    </row>
    <row r="1280" spans="13:25" ht="66">
      <c r="M1280" s="26" t="s">
        <v>59</v>
      </c>
      <c r="N1280" s="25" t="s">
        <v>51</v>
      </c>
      <c r="O1280" s="26"/>
      <c r="P1280" s="26" t="s">
        <v>1070</v>
      </c>
      <c r="Q1280" s="26"/>
      <c r="R1280" s="5"/>
      <c r="S1280" s="5"/>
      <c r="T1280" s="5"/>
      <c r="U1280" s="5"/>
      <c r="V1280" s="5"/>
      <c r="W1280" s="5"/>
      <c r="X1280" s="5"/>
      <c r="Y1280" s="5"/>
    </row>
    <row r="1281" spans="13:25" ht="22">
      <c r="M1281" s="26" t="s">
        <v>59</v>
      </c>
      <c r="N1281" s="25" t="s">
        <v>51</v>
      </c>
      <c r="O1281" s="26"/>
      <c r="P1281" s="26" t="s">
        <v>1193</v>
      </c>
      <c r="Q1281" s="26"/>
      <c r="R1281" s="5"/>
      <c r="S1281" s="5"/>
      <c r="T1281" s="5"/>
      <c r="U1281" s="5"/>
      <c r="V1281" s="5"/>
      <c r="W1281" s="5"/>
      <c r="X1281" s="5"/>
      <c r="Y1281" s="5"/>
    </row>
    <row r="1282" spans="13:25" ht="55">
      <c r="M1282" s="26" t="s">
        <v>59</v>
      </c>
      <c r="N1282" s="25" t="s">
        <v>51</v>
      </c>
      <c r="O1282" s="26"/>
      <c r="P1282" s="26" t="s">
        <v>1058</v>
      </c>
      <c r="Q1282" s="26"/>
      <c r="R1282" s="5"/>
      <c r="S1282" s="5"/>
      <c r="T1282" s="5"/>
      <c r="U1282" s="5"/>
      <c r="V1282" s="5"/>
      <c r="W1282" s="5"/>
      <c r="X1282" s="5"/>
      <c r="Y1282" s="5"/>
    </row>
    <row r="1283" spans="13:25" ht="44">
      <c r="M1283" s="26" t="s">
        <v>59</v>
      </c>
      <c r="N1283" s="25" t="s">
        <v>51</v>
      </c>
      <c r="O1283" s="26"/>
      <c r="P1283" s="26" t="s">
        <v>1161</v>
      </c>
      <c r="Q1283" s="26"/>
      <c r="R1283" s="5"/>
      <c r="S1283" s="5"/>
      <c r="T1283" s="5"/>
      <c r="U1283" s="5"/>
      <c r="V1283" s="5"/>
      <c r="W1283" s="5"/>
      <c r="X1283" s="5"/>
      <c r="Y1283" s="5"/>
    </row>
    <row r="1284" spans="13:25" ht="44">
      <c r="M1284" s="26" t="s">
        <v>59</v>
      </c>
      <c r="N1284" s="25" t="s">
        <v>51</v>
      </c>
      <c r="O1284" s="26"/>
      <c r="P1284" s="26" t="s">
        <v>1162</v>
      </c>
      <c r="Q1284" s="26"/>
      <c r="R1284" s="5"/>
      <c r="S1284" s="5"/>
      <c r="T1284" s="5"/>
      <c r="U1284" s="5"/>
      <c r="V1284" s="5"/>
      <c r="W1284" s="5"/>
      <c r="X1284" s="5"/>
      <c r="Y1284" s="5"/>
    </row>
    <row r="1285" spans="13:25" ht="22">
      <c r="M1285" s="26" t="s">
        <v>59</v>
      </c>
      <c r="N1285" s="25" t="s">
        <v>57</v>
      </c>
      <c r="O1285" s="26"/>
      <c r="P1285" s="26" t="s">
        <v>1194</v>
      </c>
      <c r="Q1285" s="26"/>
      <c r="R1285" s="5"/>
      <c r="S1285" s="5"/>
      <c r="T1285" s="5"/>
      <c r="U1285" s="5"/>
      <c r="V1285" s="5"/>
      <c r="W1285" s="5"/>
      <c r="X1285" s="5"/>
      <c r="Y1285" s="5"/>
    </row>
    <row r="1286" spans="13:25" ht="22">
      <c r="M1286" s="26" t="s">
        <v>59</v>
      </c>
      <c r="N1286" s="25" t="s">
        <v>51</v>
      </c>
      <c r="O1286" s="26"/>
      <c r="P1286" s="26" t="s">
        <v>1195</v>
      </c>
      <c r="Q1286" s="26"/>
      <c r="R1286" s="5"/>
      <c r="S1286" s="5"/>
      <c r="T1286" s="5"/>
      <c r="U1286" s="5"/>
      <c r="V1286" s="5"/>
      <c r="W1286" s="5"/>
      <c r="X1286" s="5"/>
      <c r="Y1286" s="5"/>
    </row>
    <row r="1287" spans="13:25" ht="55">
      <c r="M1287" s="26" t="s">
        <v>59</v>
      </c>
      <c r="N1287" s="25" t="s">
        <v>51</v>
      </c>
      <c r="O1287" s="26"/>
      <c r="P1287" s="26" t="s">
        <v>1196</v>
      </c>
      <c r="Q1287" s="26"/>
      <c r="R1287" s="5"/>
      <c r="S1287" s="5"/>
      <c r="T1287" s="5"/>
      <c r="U1287" s="5"/>
      <c r="V1287" s="5"/>
      <c r="W1287" s="5"/>
      <c r="X1287" s="5"/>
      <c r="Y1287" s="5"/>
    </row>
    <row r="1288" spans="13:25" ht="22">
      <c r="M1288" s="26" t="s">
        <v>59</v>
      </c>
      <c r="N1288" s="25" t="s">
        <v>51</v>
      </c>
      <c r="O1288" s="26" t="s">
        <v>1197</v>
      </c>
      <c r="P1288" s="26"/>
      <c r="Q1288" s="26"/>
      <c r="R1288" s="5"/>
      <c r="S1288" s="5"/>
      <c r="T1288" s="5"/>
      <c r="U1288" s="5"/>
      <c r="V1288" s="5"/>
      <c r="W1288" s="5"/>
      <c r="X1288" s="5"/>
      <c r="Y1288" s="5"/>
    </row>
    <row r="1289" spans="13:25" ht="33">
      <c r="M1289" s="26" t="s">
        <v>59</v>
      </c>
      <c r="N1289" s="25" t="s">
        <v>51</v>
      </c>
      <c r="O1289" s="26"/>
      <c r="P1289" s="26" t="s">
        <v>966</v>
      </c>
      <c r="Q1289" s="26"/>
      <c r="R1289" s="5"/>
      <c r="S1289" s="5"/>
      <c r="T1289" s="5"/>
      <c r="U1289" s="5"/>
      <c r="V1289" s="5"/>
      <c r="W1289" s="5"/>
      <c r="X1289" s="5"/>
      <c r="Y1289" s="5"/>
    </row>
    <row r="1290" spans="13:25" ht="66">
      <c r="M1290" s="26" t="s">
        <v>59</v>
      </c>
      <c r="N1290" s="25" t="s">
        <v>51</v>
      </c>
      <c r="O1290" s="26"/>
      <c r="P1290" s="26" t="s">
        <v>1116</v>
      </c>
      <c r="Q1290" s="26"/>
      <c r="R1290" s="5"/>
      <c r="S1290" s="5"/>
      <c r="T1290" s="5"/>
      <c r="U1290" s="5"/>
      <c r="V1290" s="5"/>
      <c r="W1290" s="5"/>
      <c r="X1290" s="5"/>
      <c r="Y1290" s="5"/>
    </row>
    <row r="1291" spans="13:25" ht="33">
      <c r="M1291" s="26" t="s">
        <v>59</v>
      </c>
      <c r="N1291" s="25" t="s">
        <v>51</v>
      </c>
      <c r="O1291" s="26"/>
      <c r="P1291" s="26" t="s">
        <v>1087</v>
      </c>
      <c r="Q1291" s="26"/>
      <c r="R1291" s="5"/>
      <c r="S1291" s="5"/>
      <c r="T1291" s="5"/>
      <c r="U1291" s="5"/>
      <c r="V1291" s="5"/>
      <c r="W1291" s="5"/>
      <c r="X1291" s="5"/>
      <c r="Y1291" s="5"/>
    </row>
    <row r="1292" spans="13:25" ht="44">
      <c r="M1292" s="26" t="s">
        <v>59</v>
      </c>
      <c r="N1292" s="25" t="s">
        <v>51</v>
      </c>
      <c r="O1292" s="26"/>
      <c r="P1292" s="26" t="s">
        <v>1094</v>
      </c>
      <c r="Q1292" s="26"/>
      <c r="R1292" s="5"/>
      <c r="S1292" s="5"/>
      <c r="T1292" s="5"/>
      <c r="U1292" s="5"/>
      <c r="V1292" s="5"/>
      <c r="W1292" s="5"/>
      <c r="X1292" s="5"/>
      <c r="Y1292" s="5"/>
    </row>
    <row r="1293" spans="13:25" ht="44">
      <c r="M1293" s="26" t="s">
        <v>59</v>
      </c>
      <c r="N1293" s="25" t="s">
        <v>51</v>
      </c>
      <c r="O1293" s="26"/>
      <c r="P1293" s="26" t="s">
        <v>1117</v>
      </c>
      <c r="Q1293" s="26"/>
      <c r="R1293" s="5"/>
      <c r="S1293" s="5"/>
      <c r="T1293" s="5"/>
      <c r="U1293" s="5"/>
      <c r="V1293" s="5"/>
      <c r="W1293" s="5"/>
      <c r="X1293" s="5"/>
      <c r="Y1293" s="5"/>
    </row>
    <row r="1294" spans="13:25" ht="22">
      <c r="M1294" s="26" t="s">
        <v>59</v>
      </c>
      <c r="N1294" s="25" t="s">
        <v>57</v>
      </c>
      <c r="O1294" s="26"/>
      <c r="P1294" s="26" t="s">
        <v>1198</v>
      </c>
      <c r="Q1294" s="26"/>
      <c r="R1294" s="5"/>
      <c r="S1294" s="5"/>
      <c r="T1294" s="5"/>
      <c r="U1294" s="5"/>
      <c r="V1294" s="5"/>
      <c r="W1294" s="5"/>
      <c r="X1294" s="5"/>
      <c r="Y1294" s="5"/>
    </row>
    <row r="1295" spans="13:25" ht="22">
      <c r="M1295" s="26" t="s">
        <v>59</v>
      </c>
      <c r="N1295" s="25" t="s">
        <v>57</v>
      </c>
      <c r="O1295" s="26"/>
      <c r="P1295" s="26" t="s">
        <v>1199</v>
      </c>
      <c r="Q1295" s="26"/>
      <c r="R1295" s="5"/>
      <c r="S1295" s="5"/>
      <c r="T1295" s="5"/>
      <c r="U1295" s="5"/>
      <c r="V1295" s="5"/>
      <c r="W1295" s="5"/>
      <c r="X1295" s="5"/>
      <c r="Y1295" s="5"/>
    </row>
    <row r="1296" spans="13:25" ht="22">
      <c r="M1296" s="26" t="s">
        <v>59</v>
      </c>
      <c r="N1296" s="25" t="s">
        <v>51</v>
      </c>
      <c r="O1296" s="26" t="s">
        <v>1200</v>
      </c>
      <c r="P1296" s="26"/>
      <c r="Q1296" s="26"/>
      <c r="R1296" s="5"/>
      <c r="S1296" s="5"/>
      <c r="T1296" s="5"/>
      <c r="U1296" s="5"/>
      <c r="V1296" s="5"/>
      <c r="W1296" s="5"/>
      <c r="X1296" s="5"/>
      <c r="Y1296" s="5"/>
    </row>
    <row r="1297" spans="13:25" ht="22">
      <c r="M1297" s="26" t="s">
        <v>59</v>
      </c>
      <c r="N1297" s="25" t="s">
        <v>51</v>
      </c>
      <c r="O1297" s="26" t="s">
        <v>1201</v>
      </c>
      <c r="P1297" s="26"/>
      <c r="Q1297" s="26"/>
      <c r="R1297" s="5"/>
      <c r="S1297" s="5"/>
      <c r="T1297" s="5"/>
      <c r="U1297" s="5"/>
      <c r="V1297" s="5"/>
      <c r="W1297" s="5"/>
      <c r="X1297" s="5"/>
      <c r="Y1297" s="5"/>
    </row>
    <row r="1298" spans="13:25" ht="22">
      <c r="M1298" s="26" t="s">
        <v>59</v>
      </c>
      <c r="N1298" s="25" t="s">
        <v>51</v>
      </c>
      <c r="O1298" s="26" t="s">
        <v>1202</v>
      </c>
      <c r="P1298" s="26"/>
      <c r="Q1298" s="26"/>
      <c r="R1298" s="5"/>
      <c r="S1298" s="5"/>
      <c r="T1298" s="5"/>
      <c r="U1298" s="5"/>
      <c r="V1298" s="5"/>
      <c r="W1298" s="5"/>
      <c r="X1298" s="5"/>
      <c r="Y1298" s="5"/>
    </row>
    <row r="1299" spans="13:25" ht="66">
      <c r="M1299" s="26" t="s">
        <v>59</v>
      </c>
      <c r="N1299" s="25" t="s">
        <v>51</v>
      </c>
      <c r="O1299" s="26"/>
      <c r="P1299" s="26" t="s">
        <v>1082</v>
      </c>
      <c r="Q1299" s="26"/>
      <c r="R1299" s="5"/>
      <c r="S1299" s="5"/>
      <c r="T1299" s="5"/>
      <c r="U1299" s="5"/>
      <c r="V1299" s="5"/>
      <c r="W1299" s="5"/>
      <c r="X1299" s="5"/>
      <c r="Y1299" s="5"/>
    </row>
    <row r="1300" spans="13:25" ht="33">
      <c r="M1300" s="26" t="s">
        <v>59</v>
      </c>
      <c r="N1300" s="25" t="s">
        <v>51</v>
      </c>
      <c r="O1300" s="26"/>
      <c r="P1300" s="26" t="s">
        <v>983</v>
      </c>
      <c r="Q1300" s="26"/>
      <c r="R1300" s="5"/>
      <c r="S1300" s="5"/>
      <c r="T1300" s="5"/>
      <c r="U1300" s="5"/>
      <c r="V1300" s="5"/>
      <c r="W1300" s="5"/>
      <c r="X1300" s="5"/>
      <c r="Y1300" s="5"/>
    </row>
    <row r="1301" spans="13:25" ht="66">
      <c r="M1301" s="26" t="s">
        <v>59</v>
      </c>
      <c r="N1301" s="25" t="s">
        <v>51</v>
      </c>
      <c r="O1301" s="26"/>
      <c r="P1301" s="26" t="s">
        <v>1091</v>
      </c>
      <c r="Q1301" s="26"/>
      <c r="R1301" s="5"/>
      <c r="S1301" s="5"/>
      <c r="T1301" s="5"/>
      <c r="U1301" s="5"/>
      <c r="V1301" s="5"/>
      <c r="W1301" s="5"/>
      <c r="X1301" s="5"/>
      <c r="Y1301" s="5"/>
    </row>
    <row r="1302" spans="13:25" ht="66">
      <c r="M1302" s="26" t="s">
        <v>59</v>
      </c>
      <c r="N1302" s="25" t="s">
        <v>51</v>
      </c>
      <c r="O1302" s="26"/>
      <c r="P1302" s="26" t="s">
        <v>1115</v>
      </c>
      <c r="Q1302" s="26"/>
      <c r="R1302" s="5"/>
      <c r="S1302" s="5"/>
      <c r="T1302" s="5"/>
      <c r="U1302" s="5"/>
      <c r="V1302" s="5"/>
      <c r="W1302" s="5"/>
      <c r="X1302" s="5"/>
      <c r="Y1302" s="5"/>
    </row>
    <row r="1303" spans="13:25" ht="55">
      <c r="M1303" s="26" t="s">
        <v>59</v>
      </c>
      <c r="N1303" s="25" t="s">
        <v>51</v>
      </c>
      <c r="O1303" s="26"/>
      <c r="P1303" s="26" t="s">
        <v>1075</v>
      </c>
      <c r="Q1303" s="26"/>
      <c r="R1303" s="5"/>
      <c r="S1303" s="5"/>
      <c r="T1303" s="5"/>
      <c r="U1303" s="5"/>
      <c r="V1303" s="5"/>
      <c r="W1303" s="5"/>
      <c r="X1303" s="5"/>
      <c r="Y1303" s="5"/>
    </row>
    <row r="1304" spans="13:25" ht="55">
      <c r="M1304" s="26" t="s">
        <v>59</v>
      </c>
      <c r="N1304" s="25" t="s">
        <v>51</v>
      </c>
      <c r="O1304" s="26"/>
      <c r="P1304" s="26" t="s">
        <v>1196</v>
      </c>
      <c r="Q1304" s="26"/>
      <c r="R1304" s="5"/>
      <c r="S1304" s="5"/>
      <c r="T1304" s="5"/>
      <c r="U1304" s="5"/>
      <c r="V1304" s="5"/>
      <c r="W1304" s="5"/>
      <c r="X1304" s="5"/>
      <c r="Y1304" s="5"/>
    </row>
    <row r="1305" spans="13:25" ht="33">
      <c r="M1305" s="26" t="s">
        <v>59</v>
      </c>
      <c r="N1305" s="25" t="s">
        <v>51</v>
      </c>
      <c r="O1305" s="26"/>
      <c r="P1305" s="26" t="s">
        <v>1104</v>
      </c>
      <c r="Q1305" s="26"/>
      <c r="R1305" s="5"/>
      <c r="S1305" s="5"/>
      <c r="T1305" s="5"/>
      <c r="U1305" s="5"/>
      <c r="V1305" s="5"/>
      <c r="W1305" s="5"/>
      <c r="X1305" s="5"/>
      <c r="Y1305" s="5"/>
    </row>
    <row r="1306" spans="13:25" ht="22">
      <c r="M1306" s="26" t="s">
        <v>59</v>
      </c>
      <c r="N1306" s="25" t="s">
        <v>57</v>
      </c>
      <c r="O1306" s="26"/>
      <c r="P1306" s="26" t="s">
        <v>1203</v>
      </c>
      <c r="Q1306" s="26"/>
      <c r="R1306" s="5"/>
      <c r="S1306" s="5"/>
      <c r="T1306" s="5"/>
      <c r="U1306" s="5"/>
      <c r="V1306" s="5"/>
      <c r="W1306" s="5"/>
      <c r="X1306" s="5"/>
      <c r="Y1306" s="5"/>
    </row>
    <row r="1307" spans="13:25" ht="22">
      <c r="M1307" s="26" t="s">
        <v>59</v>
      </c>
      <c r="N1307" s="25" t="s">
        <v>51</v>
      </c>
      <c r="O1307" s="26" t="s">
        <v>1204</v>
      </c>
      <c r="P1307" s="26"/>
      <c r="Q1307" s="26"/>
      <c r="R1307" s="5"/>
      <c r="S1307" s="5"/>
      <c r="T1307" s="5"/>
      <c r="U1307" s="5"/>
      <c r="V1307" s="5"/>
      <c r="W1307" s="5"/>
      <c r="X1307" s="5"/>
      <c r="Y1307" s="5"/>
    </row>
    <row r="1308" spans="13:25" ht="22">
      <c r="M1308" s="26" t="s">
        <v>59</v>
      </c>
      <c r="N1308" s="25" t="s">
        <v>51</v>
      </c>
      <c r="O1308" s="26" t="s">
        <v>1205</v>
      </c>
      <c r="P1308" s="26"/>
      <c r="Q1308" s="26"/>
      <c r="R1308" s="5"/>
      <c r="S1308" s="5"/>
      <c r="T1308" s="5"/>
      <c r="U1308" s="5"/>
      <c r="V1308" s="5"/>
      <c r="W1308" s="5"/>
      <c r="X1308" s="5"/>
      <c r="Y1308" s="5"/>
    </row>
    <row r="1309" spans="13:25" ht="33">
      <c r="M1309" s="26" t="s">
        <v>59</v>
      </c>
      <c r="N1309" s="25" t="s">
        <v>51</v>
      </c>
      <c r="O1309" s="26" t="s">
        <v>1206</v>
      </c>
      <c r="P1309" s="26"/>
      <c r="Q1309" s="26"/>
      <c r="R1309" s="5"/>
      <c r="S1309" s="5"/>
      <c r="T1309" s="5"/>
      <c r="U1309" s="5"/>
      <c r="V1309" s="5"/>
      <c r="W1309" s="5"/>
      <c r="X1309" s="5"/>
      <c r="Y1309" s="5"/>
    </row>
    <row r="1310" spans="13:25" ht="22">
      <c r="M1310" s="26" t="s">
        <v>59</v>
      </c>
      <c r="N1310" s="25" t="s">
        <v>51</v>
      </c>
      <c r="O1310" s="26" t="s">
        <v>1207</v>
      </c>
      <c r="P1310" s="26"/>
      <c r="Q1310" s="26"/>
      <c r="R1310" s="5"/>
      <c r="S1310" s="5"/>
      <c r="T1310" s="5"/>
      <c r="U1310" s="5"/>
      <c r="V1310" s="5"/>
      <c r="W1310" s="5"/>
      <c r="X1310" s="5"/>
      <c r="Y1310" s="5"/>
    </row>
    <row r="1311" spans="13:25" ht="22">
      <c r="M1311" s="26" t="s">
        <v>59</v>
      </c>
      <c r="N1311" s="25" t="s">
        <v>51</v>
      </c>
      <c r="O1311" s="26" t="s">
        <v>1208</v>
      </c>
      <c r="P1311" s="26"/>
      <c r="Q1311" s="26"/>
      <c r="R1311" s="5"/>
      <c r="S1311" s="5"/>
      <c r="T1311" s="5"/>
      <c r="U1311" s="5"/>
      <c r="V1311" s="5"/>
      <c r="W1311" s="5"/>
      <c r="X1311" s="5"/>
      <c r="Y1311" s="5"/>
    </row>
    <row r="1312" spans="13:25" ht="55">
      <c r="M1312" s="26" t="s">
        <v>59</v>
      </c>
      <c r="N1312" s="25" t="s">
        <v>51</v>
      </c>
      <c r="O1312" s="26" t="s">
        <v>1209</v>
      </c>
      <c r="P1312" s="26"/>
      <c r="Q1312" s="26"/>
      <c r="R1312" s="5"/>
      <c r="S1312" s="5"/>
      <c r="T1312" s="5"/>
      <c r="U1312" s="5"/>
      <c r="V1312" s="5"/>
      <c r="W1312" s="5"/>
      <c r="X1312" s="5"/>
      <c r="Y1312" s="5"/>
    </row>
    <row r="1313" spans="13:25" ht="22">
      <c r="M1313" s="26" t="s">
        <v>59</v>
      </c>
      <c r="N1313" s="25" t="s">
        <v>51</v>
      </c>
      <c r="O1313" s="26" t="s">
        <v>1210</v>
      </c>
      <c r="P1313" s="26"/>
      <c r="Q1313" s="26"/>
      <c r="R1313" s="5"/>
      <c r="S1313" s="5"/>
      <c r="T1313" s="5"/>
      <c r="U1313" s="5"/>
      <c r="V1313" s="5"/>
      <c r="W1313" s="5"/>
      <c r="X1313" s="5"/>
      <c r="Y1313" s="5"/>
    </row>
    <row r="1314" spans="13:25" ht="22">
      <c r="M1314" s="26" t="s">
        <v>59</v>
      </c>
      <c r="N1314" s="25" t="s">
        <v>51</v>
      </c>
      <c r="O1314" s="26" t="s">
        <v>1211</v>
      </c>
      <c r="P1314" s="26"/>
      <c r="Q1314" s="26"/>
      <c r="R1314" s="5"/>
      <c r="S1314" s="5"/>
      <c r="T1314" s="5"/>
      <c r="U1314" s="5"/>
      <c r="V1314" s="5"/>
      <c r="W1314" s="5"/>
      <c r="X1314" s="5"/>
      <c r="Y1314" s="5"/>
    </row>
    <row r="1315" spans="13:25" ht="154">
      <c r="M1315" s="26" t="s">
        <v>59</v>
      </c>
      <c r="N1315" s="25" t="s">
        <v>51</v>
      </c>
      <c r="O1315" s="26"/>
      <c r="P1315" s="26" t="s">
        <v>1212</v>
      </c>
      <c r="Q1315" s="26"/>
      <c r="R1315" s="5"/>
      <c r="S1315" s="5"/>
      <c r="T1315" s="5"/>
      <c r="U1315" s="5"/>
      <c r="V1315" s="5"/>
      <c r="W1315" s="5"/>
      <c r="X1315" s="5"/>
      <c r="Y1315" s="5"/>
    </row>
    <row r="1316" spans="13:25" ht="22">
      <c r="M1316" s="26" t="s">
        <v>59</v>
      </c>
      <c r="N1316" s="25" t="s">
        <v>51</v>
      </c>
      <c r="O1316" s="26"/>
      <c r="P1316" s="26" t="s">
        <v>1213</v>
      </c>
      <c r="Q1316" s="26"/>
      <c r="R1316" s="5"/>
      <c r="S1316" s="5"/>
      <c r="T1316" s="5"/>
      <c r="U1316" s="5"/>
      <c r="V1316" s="5"/>
      <c r="W1316" s="5"/>
      <c r="X1316" s="5"/>
      <c r="Y1316" s="5"/>
    </row>
    <row r="1317" spans="13:25" ht="77">
      <c r="M1317" s="26" t="s">
        <v>59</v>
      </c>
      <c r="N1317" s="25" t="s">
        <v>51</v>
      </c>
      <c r="O1317" s="26"/>
      <c r="P1317" s="26" t="s">
        <v>1214</v>
      </c>
      <c r="Q1317" s="26"/>
      <c r="R1317" s="5"/>
      <c r="S1317" s="5"/>
      <c r="T1317" s="5"/>
      <c r="U1317" s="5"/>
      <c r="V1317" s="5"/>
      <c r="W1317" s="5"/>
      <c r="X1317" s="5"/>
      <c r="Y1317" s="5"/>
    </row>
    <row r="1318" spans="13:25" ht="66">
      <c r="M1318" s="26" t="s">
        <v>59</v>
      </c>
      <c r="N1318" s="25" t="s">
        <v>51</v>
      </c>
      <c r="O1318" s="26"/>
      <c r="P1318" s="26" t="s">
        <v>986</v>
      </c>
      <c r="Q1318" s="26"/>
      <c r="R1318" s="5"/>
      <c r="S1318" s="5"/>
      <c r="T1318" s="5"/>
      <c r="U1318" s="5"/>
      <c r="V1318" s="5"/>
      <c r="W1318" s="5"/>
      <c r="X1318" s="5"/>
      <c r="Y1318" s="5"/>
    </row>
    <row r="1319" spans="13:25" ht="33">
      <c r="M1319" s="26" t="s">
        <v>59</v>
      </c>
      <c r="N1319" s="25" t="s">
        <v>51</v>
      </c>
      <c r="O1319" s="26"/>
      <c r="P1319" s="26" t="s">
        <v>966</v>
      </c>
      <c r="Q1319" s="26"/>
      <c r="R1319" s="5"/>
      <c r="S1319" s="5"/>
      <c r="T1319" s="5"/>
      <c r="U1319" s="5"/>
      <c r="V1319" s="5"/>
      <c r="W1319" s="5"/>
      <c r="X1319" s="5"/>
      <c r="Y1319" s="5"/>
    </row>
    <row r="1320" spans="13:25" ht="66">
      <c r="M1320" s="26" t="s">
        <v>59</v>
      </c>
      <c r="N1320" s="25" t="s">
        <v>51</v>
      </c>
      <c r="O1320" s="26"/>
      <c r="P1320" s="26" t="s">
        <v>1091</v>
      </c>
      <c r="Q1320" s="26"/>
      <c r="R1320" s="5"/>
      <c r="S1320" s="5"/>
      <c r="T1320" s="5"/>
      <c r="U1320" s="5"/>
      <c r="V1320" s="5"/>
      <c r="W1320" s="5"/>
      <c r="X1320" s="5"/>
      <c r="Y1320" s="5"/>
    </row>
    <row r="1321" spans="13:25" ht="33">
      <c r="M1321" s="26" t="s">
        <v>59</v>
      </c>
      <c r="N1321" s="25" t="s">
        <v>51</v>
      </c>
      <c r="O1321" s="26"/>
      <c r="P1321" s="26" t="s">
        <v>1174</v>
      </c>
      <c r="Q1321" s="26"/>
      <c r="R1321" s="5"/>
      <c r="S1321" s="5"/>
      <c r="T1321" s="5"/>
      <c r="U1321" s="5"/>
      <c r="V1321" s="5"/>
      <c r="W1321" s="5"/>
      <c r="X1321" s="5"/>
      <c r="Y1321" s="5"/>
    </row>
    <row r="1322" spans="13:25" ht="33">
      <c r="M1322" s="26" t="s">
        <v>59</v>
      </c>
      <c r="N1322" s="25" t="s">
        <v>51</v>
      </c>
      <c r="O1322" s="26"/>
      <c r="P1322" s="26" t="s">
        <v>1174</v>
      </c>
      <c r="Q1322" s="26"/>
      <c r="R1322" s="5"/>
      <c r="S1322" s="5"/>
      <c r="T1322" s="5"/>
      <c r="U1322" s="5"/>
      <c r="V1322" s="5"/>
      <c r="W1322" s="5"/>
      <c r="X1322" s="5"/>
      <c r="Y1322" s="5"/>
    </row>
    <row r="1323" spans="13:25" ht="66">
      <c r="M1323" s="26" t="s">
        <v>59</v>
      </c>
      <c r="N1323" s="25" t="s">
        <v>51</v>
      </c>
      <c r="O1323" s="26"/>
      <c r="P1323" s="26" t="s">
        <v>967</v>
      </c>
      <c r="Q1323" s="26"/>
      <c r="R1323" s="5"/>
      <c r="S1323" s="5"/>
      <c r="T1323" s="5"/>
      <c r="U1323" s="5"/>
      <c r="V1323" s="5"/>
      <c r="W1323" s="5"/>
      <c r="X1323" s="5"/>
      <c r="Y1323" s="5"/>
    </row>
    <row r="1324" spans="13:25" ht="22">
      <c r="M1324" s="26" t="s">
        <v>59</v>
      </c>
      <c r="N1324" s="25" t="s">
        <v>51</v>
      </c>
      <c r="O1324" s="26"/>
      <c r="P1324" s="26" t="s">
        <v>1215</v>
      </c>
      <c r="Q1324" s="26"/>
      <c r="R1324" s="5"/>
      <c r="S1324" s="5"/>
      <c r="T1324" s="5"/>
      <c r="U1324" s="5"/>
      <c r="V1324" s="5"/>
      <c r="W1324" s="5"/>
      <c r="X1324" s="5"/>
      <c r="Y1324" s="5"/>
    </row>
    <row r="1325" spans="13:25" ht="44">
      <c r="M1325" s="26" t="s">
        <v>59</v>
      </c>
      <c r="N1325" s="25" t="s">
        <v>51</v>
      </c>
      <c r="O1325" s="26"/>
      <c r="P1325" s="26" t="s">
        <v>1216</v>
      </c>
      <c r="Q1325" s="26"/>
      <c r="R1325" s="5"/>
      <c r="S1325" s="5"/>
      <c r="T1325" s="5"/>
      <c r="U1325" s="5"/>
      <c r="V1325" s="5"/>
      <c r="W1325" s="5"/>
      <c r="X1325" s="5"/>
      <c r="Y1325" s="5"/>
    </row>
    <row r="1326" spans="13:25" ht="66">
      <c r="M1326" s="26" t="s">
        <v>59</v>
      </c>
      <c r="N1326" s="25" t="s">
        <v>51</v>
      </c>
      <c r="O1326" s="26"/>
      <c r="P1326" s="26" t="s">
        <v>1217</v>
      </c>
      <c r="Q1326" s="26"/>
      <c r="R1326" s="5"/>
      <c r="S1326" s="5"/>
      <c r="T1326" s="5"/>
      <c r="U1326" s="5"/>
      <c r="V1326" s="5"/>
      <c r="W1326" s="5"/>
      <c r="X1326" s="5"/>
      <c r="Y1326" s="5"/>
    </row>
    <row r="1327" spans="13:25" ht="44">
      <c r="M1327" s="26" t="s">
        <v>59</v>
      </c>
      <c r="N1327" s="25" t="s">
        <v>51</v>
      </c>
      <c r="O1327" s="26"/>
      <c r="P1327" s="26" t="s">
        <v>1218</v>
      </c>
      <c r="Q1327" s="26"/>
      <c r="R1327" s="5"/>
      <c r="S1327" s="5"/>
      <c r="T1327" s="5"/>
      <c r="U1327" s="5"/>
      <c r="V1327" s="5"/>
      <c r="W1327" s="5"/>
      <c r="X1327" s="5"/>
      <c r="Y1327" s="5"/>
    </row>
    <row r="1328" spans="13:25" ht="55">
      <c r="M1328" s="26" t="s">
        <v>59</v>
      </c>
      <c r="N1328" s="25" t="s">
        <v>51</v>
      </c>
      <c r="O1328" s="26"/>
      <c r="P1328" s="26" t="s">
        <v>1058</v>
      </c>
      <c r="Q1328" s="26"/>
      <c r="R1328" s="5"/>
      <c r="S1328" s="5"/>
      <c r="T1328" s="5"/>
      <c r="U1328" s="5"/>
      <c r="V1328" s="5"/>
      <c r="W1328" s="5"/>
      <c r="X1328" s="5"/>
      <c r="Y1328" s="5"/>
    </row>
    <row r="1329" spans="13:25" ht="44">
      <c r="M1329" s="26" t="s">
        <v>59</v>
      </c>
      <c r="N1329" s="25" t="s">
        <v>51</v>
      </c>
      <c r="O1329" s="26"/>
      <c r="P1329" s="26" t="s">
        <v>968</v>
      </c>
      <c r="Q1329" s="26"/>
      <c r="R1329" s="5"/>
      <c r="S1329" s="5"/>
      <c r="T1329" s="5"/>
      <c r="U1329" s="5"/>
      <c r="V1329" s="5"/>
      <c r="W1329" s="5"/>
      <c r="X1329" s="5"/>
      <c r="Y1329" s="5"/>
    </row>
    <row r="1330" spans="13:25" ht="55">
      <c r="M1330" s="26" t="s">
        <v>59</v>
      </c>
      <c r="N1330" s="25" t="s">
        <v>51</v>
      </c>
      <c r="O1330" s="26"/>
      <c r="P1330" s="26" t="s">
        <v>969</v>
      </c>
      <c r="Q1330" s="26"/>
      <c r="R1330" s="5"/>
      <c r="S1330" s="5"/>
      <c r="T1330" s="5"/>
      <c r="U1330" s="5"/>
      <c r="V1330" s="5"/>
      <c r="W1330" s="5"/>
      <c r="X1330" s="5"/>
      <c r="Y1330" s="5"/>
    </row>
    <row r="1331" spans="13:25" ht="88">
      <c r="M1331" s="26" t="s">
        <v>59</v>
      </c>
      <c r="N1331" s="25" t="s">
        <v>51</v>
      </c>
      <c r="O1331" s="26"/>
      <c r="P1331" s="26" t="s">
        <v>1219</v>
      </c>
      <c r="Q1331" s="26"/>
      <c r="R1331" s="5"/>
      <c r="S1331" s="5"/>
      <c r="T1331" s="5"/>
      <c r="U1331" s="5"/>
      <c r="V1331" s="5"/>
      <c r="W1331" s="5"/>
      <c r="X1331" s="5"/>
      <c r="Y1331" s="5"/>
    </row>
    <row r="1332" spans="13:25" ht="55">
      <c r="M1332" s="26" t="s">
        <v>59</v>
      </c>
      <c r="N1332" s="25" t="s">
        <v>51</v>
      </c>
      <c r="O1332" s="26"/>
      <c r="P1332" s="26" t="s">
        <v>1061</v>
      </c>
      <c r="Q1332" s="26"/>
      <c r="R1332" s="5"/>
      <c r="S1332" s="5"/>
      <c r="T1332" s="5"/>
      <c r="U1332" s="5"/>
      <c r="V1332" s="5"/>
      <c r="W1332" s="5"/>
      <c r="X1332" s="5"/>
      <c r="Y1332" s="5"/>
    </row>
    <row r="1333" spans="13:25" ht="44">
      <c r="M1333" s="26" t="s">
        <v>59</v>
      </c>
      <c r="N1333" s="25" t="s">
        <v>51</v>
      </c>
      <c r="O1333" s="26"/>
      <c r="P1333" s="26" t="s">
        <v>1062</v>
      </c>
      <c r="Q1333" s="26"/>
      <c r="R1333" s="5"/>
      <c r="S1333" s="5"/>
      <c r="T1333" s="5"/>
      <c r="U1333" s="5"/>
      <c r="V1333" s="5"/>
      <c r="W1333" s="5"/>
      <c r="X1333" s="5"/>
      <c r="Y1333" s="5"/>
    </row>
    <row r="1334" spans="13:25" ht="44">
      <c r="M1334" s="26" t="s">
        <v>59</v>
      </c>
      <c r="N1334" s="25" t="s">
        <v>51</v>
      </c>
      <c r="O1334" s="26"/>
      <c r="P1334" s="26" t="s">
        <v>1220</v>
      </c>
      <c r="Q1334" s="26"/>
      <c r="R1334" s="5"/>
      <c r="S1334" s="5"/>
      <c r="T1334" s="5"/>
      <c r="U1334" s="5"/>
      <c r="V1334" s="5"/>
      <c r="W1334" s="5"/>
      <c r="X1334" s="5"/>
      <c r="Y1334" s="5"/>
    </row>
    <row r="1335" spans="13:25" ht="22">
      <c r="M1335" s="26" t="s">
        <v>59</v>
      </c>
      <c r="N1335" s="25" t="s">
        <v>51</v>
      </c>
      <c r="O1335" s="26"/>
      <c r="P1335" s="26" t="s">
        <v>1221</v>
      </c>
      <c r="Q1335" s="26"/>
      <c r="R1335" s="5"/>
      <c r="S1335" s="5"/>
      <c r="T1335" s="5"/>
      <c r="U1335" s="5"/>
      <c r="V1335" s="5"/>
      <c r="W1335" s="5"/>
      <c r="X1335" s="5"/>
      <c r="Y1335" s="5"/>
    </row>
    <row r="1336" spans="13:25" ht="99">
      <c r="M1336" s="26" t="s">
        <v>59</v>
      </c>
      <c r="N1336" s="25" t="s">
        <v>51</v>
      </c>
      <c r="O1336" s="26"/>
      <c r="P1336" s="26" t="s">
        <v>1222</v>
      </c>
      <c r="Q1336" s="26"/>
      <c r="R1336" s="5"/>
      <c r="S1336" s="5"/>
      <c r="T1336" s="5"/>
      <c r="U1336" s="5"/>
      <c r="V1336" s="5"/>
      <c r="W1336" s="5"/>
      <c r="X1336" s="5"/>
      <c r="Y1336" s="5"/>
    </row>
    <row r="1337" spans="13:25" ht="66">
      <c r="M1337" s="26" t="s">
        <v>59</v>
      </c>
      <c r="N1337" s="25" t="s">
        <v>51</v>
      </c>
      <c r="O1337" s="26"/>
      <c r="P1337" s="26" t="s">
        <v>1223</v>
      </c>
      <c r="Q1337" s="26"/>
      <c r="R1337" s="5"/>
      <c r="S1337" s="5"/>
      <c r="T1337" s="5"/>
      <c r="U1337" s="5"/>
      <c r="V1337" s="5"/>
      <c r="W1337" s="5"/>
      <c r="X1337" s="5"/>
      <c r="Y1337" s="5"/>
    </row>
    <row r="1338" spans="13:25" ht="22">
      <c r="M1338" s="26" t="s">
        <v>59</v>
      </c>
      <c r="N1338" s="25" t="s">
        <v>70</v>
      </c>
      <c r="O1338" s="26"/>
      <c r="P1338" s="26" t="s">
        <v>1224</v>
      </c>
      <c r="Q1338" s="26"/>
      <c r="R1338" s="5"/>
      <c r="S1338" s="5"/>
      <c r="T1338" s="5"/>
      <c r="U1338" s="5"/>
      <c r="V1338" s="5"/>
      <c r="W1338" s="5"/>
      <c r="X1338" s="5"/>
      <c r="Y1338" s="5"/>
    </row>
    <row r="1339" spans="13:25" ht="22">
      <c r="M1339" s="26" t="s">
        <v>59</v>
      </c>
      <c r="N1339" s="25" t="s">
        <v>70</v>
      </c>
      <c r="O1339" s="26"/>
      <c r="P1339" s="26" t="s">
        <v>1225</v>
      </c>
      <c r="Q1339" s="26"/>
      <c r="R1339" s="5"/>
      <c r="S1339" s="5"/>
      <c r="T1339" s="5"/>
      <c r="U1339" s="5"/>
      <c r="V1339" s="5"/>
      <c r="W1339" s="5"/>
      <c r="X1339" s="5"/>
      <c r="Y1339" s="5"/>
    </row>
    <row r="1340" spans="13:25" ht="22">
      <c r="M1340" s="26" t="s">
        <v>59</v>
      </c>
      <c r="N1340" s="25" t="s">
        <v>51</v>
      </c>
      <c r="O1340" s="26"/>
      <c r="P1340" s="26" t="s">
        <v>1226</v>
      </c>
      <c r="Q1340" s="26"/>
      <c r="R1340" s="5"/>
      <c r="S1340" s="5"/>
      <c r="T1340" s="5"/>
      <c r="U1340" s="5"/>
      <c r="V1340" s="5"/>
      <c r="W1340" s="5"/>
      <c r="X1340" s="5"/>
      <c r="Y1340" s="5"/>
    </row>
    <row r="1341" spans="13:25" ht="22">
      <c r="M1341" s="26" t="s">
        <v>59</v>
      </c>
      <c r="N1341" s="25" t="s">
        <v>51</v>
      </c>
      <c r="O1341" s="26"/>
      <c r="P1341" s="26" t="s">
        <v>1227</v>
      </c>
      <c r="Q1341" s="26"/>
      <c r="R1341" s="5"/>
      <c r="S1341" s="5"/>
      <c r="T1341" s="5"/>
      <c r="U1341" s="5"/>
      <c r="V1341" s="5"/>
      <c r="W1341" s="5"/>
      <c r="X1341" s="5"/>
      <c r="Y1341" s="5"/>
    </row>
    <row r="1342" spans="13:25" ht="22">
      <c r="M1342" s="26" t="s">
        <v>59</v>
      </c>
      <c r="N1342" s="25" t="s">
        <v>51</v>
      </c>
      <c r="O1342" s="26"/>
      <c r="P1342" s="26" t="s">
        <v>1228</v>
      </c>
      <c r="Q1342" s="26"/>
      <c r="R1342" s="5"/>
      <c r="S1342" s="5"/>
      <c r="T1342" s="5"/>
      <c r="U1342" s="5"/>
      <c r="V1342" s="5"/>
      <c r="W1342" s="5"/>
      <c r="X1342" s="5"/>
      <c r="Y1342" s="5"/>
    </row>
    <row r="1343" spans="13:25" ht="22">
      <c r="M1343" s="26" t="s">
        <v>59</v>
      </c>
      <c r="N1343" s="25" t="s">
        <v>51</v>
      </c>
      <c r="O1343" s="26"/>
      <c r="P1343" s="26" t="s">
        <v>1229</v>
      </c>
      <c r="Q1343" s="26"/>
      <c r="R1343" s="5"/>
      <c r="S1343" s="5"/>
      <c r="T1343" s="5"/>
      <c r="U1343" s="5"/>
      <c r="V1343" s="5"/>
      <c r="W1343" s="5"/>
      <c r="X1343" s="5"/>
      <c r="Y1343" s="5"/>
    </row>
    <row r="1344" spans="13:25" ht="33">
      <c r="M1344" s="26" t="s">
        <v>59</v>
      </c>
      <c r="N1344" s="25" t="s">
        <v>51</v>
      </c>
      <c r="O1344" s="26"/>
      <c r="P1344" s="26" t="s">
        <v>1107</v>
      </c>
      <c r="Q1344" s="26"/>
      <c r="R1344" s="5"/>
      <c r="S1344" s="5"/>
      <c r="T1344" s="5"/>
      <c r="U1344" s="5"/>
      <c r="V1344" s="5"/>
      <c r="W1344" s="5"/>
      <c r="X1344" s="5"/>
      <c r="Y1344" s="5"/>
    </row>
    <row r="1345" spans="13:25" ht="33">
      <c r="M1345" s="26" t="s">
        <v>59</v>
      </c>
      <c r="N1345" s="25" t="s">
        <v>51</v>
      </c>
      <c r="O1345" s="26"/>
      <c r="P1345" s="26" t="s">
        <v>1230</v>
      </c>
      <c r="Q1345" s="26"/>
      <c r="R1345" s="5"/>
      <c r="S1345" s="5"/>
      <c r="T1345" s="5"/>
      <c r="U1345" s="5"/>
      <c r="V1345" s="5"/>
      <c r="W1345" s="5"/>
      <c r="X1345" s="5"/>
      <c r="Y1345" s="5"/>
    </row>
    <row r="1346" spans="13:25" ht="22">
      <c r="M1346" s="26" t="s">
        <v>59</v>
      </c>
      <c r="N1346" s="25" t="s">
        <v>51</v>
      </c>
      <c r="O1346" s="26"/>
      <c r="P1346" s="26" t="s">
        <v>1231</v>
      </c>
      <c r="Q1346" s="26"/>
      <c r="R1346" s="5"/>
      <c r="S1346" s="5"/>
      <c r="T1346" s="5"/>
      <c r="U1346" s="5"/>
      <c r="V1346" s="5"/>
      <c r="W1346" s="5"/>
      <c r="X1346" s="5"/>
      <c r="Y1346" s="5"/>
    </row>
    <row r="1347" spans="13:25" ht="22">
      <c r="M1347" s="26" t="s">
        <v>59</v>
      </c>
      <c r="N1347" s="25" t="s">
        <v>57</v>
      </c>
      <c r="O1347" s="26"/>
      <c r="P1347" s="26" t="s">
        <v>1232</v>
      </c>
      <c r="Q1347" s="26"/>
      <c r="R1347" s="5"/>
      <c r="S1347" s="5"/>
      <c r="T1347" s="5"/>
      <c r="U1347" s="5"/>
      <c r="V1347" s="5"/>
      <c r="W1347" s="5"/>
      <c r="X1347" s="5"/>
      <c r="Y1347" s="5"/>
    </row>
    <row r="1348" spans="13:25" ht="77">
      <c r="M1348" s="26" t="s">
        <v>59</v>
      </c>
      <c r="N1348" s="25" t="s">
        <v>51</v>
      </c>
      <c r="O1348" s="26"/>
      <c r="P1348" s="26" t="s">
        <v>1233</v>
      </c>
      <c r="Q1348" s="26"/>
      <c r="R1348" s="5"/>
      <c r="S1348" s="5"/>
      <c r="T1348" s="5"/>
      <c r="U1348" s="5"/>
      <c r="V1348" s="5"/>
      <c r="W1348" s="5"/>
      <c r="X1348" s="5"/>
      <c r="Y1348" s="5"/>
    </row>
    <row r="1349" spans="13:25" ht="33">
      <c r="M1349" s="26" t="s">
        <v>59</v>
      </c>
      <c r="N1349" s="25" t="s">
        <v>51</v>
      </c>
      <c r="O1349" s="26"/>
      <c r="P1349" s="26" t="s">
        <v>1234</v>
      </c>
      <c r="Q1349" s="26"/>
      <c r="R1349" s="5"/>
      <c r="S1349" s="5"/>
      <c r="T1349" s="5"/>
      <c r="U1349" s="5"/>
      <c r="V1349" s="5"/>
      <c r="W1349" s="5"/>
      <c r="X1349" s="5"/>
      <c r="Y1349" s="5"/>
    </row>
    <row r="1350" spans="13:25" ht="22">
      <c r="M1350" s="26" t="s">
        <v>59</v>
      </c>
      <c r="N1350" s="25" t="s">
        <v>57</v>
      </c>
      <c r="O1350" s="26"/>
      <c r="P1350" s="26" t="s">
        <v>1235</v>
      </c>
      <c r="Q1350" s="26"/>
      <c r="R1350" s="5"/>
      <c r="S1350" s="5"/>
      <c r="T1350" s="5"/>
      <c r="U1350" s="5"/>
      <c r="V1350" s="5"/>
      <c r="W1350" s="5"/>
      <c r="X1350" s="5"/>
      <c r="Y1350" s="5"/>
    </row>
    <row r="1351" spans="13:25" ht="44">
      <c r="M1351" s="26" t="s">
        <v>59</v>
      </c>
      <c r="N1351" s="25" t="s">
        <v>51</v>
      </c>
      <c r="O1351" s="26"/>
      <c r="P1351" s="26" t="s">
        <v>1040</v>
      </c>
      <c r="Q1351" s="26"/>
      <c r="R1351" s="5"/>
      <c r="S1351" s="5"/>
      <c r="T1351" s="5"/>
      <c r="U1351" s="5"/>
      <c r="V1351" s="5"/>
      <c r="W1351" s="5"/>
      <c r="X1351" s="5"/>
      <c r="Y1351" s="5"/>
    </row>
    <row r="1352" spans="13:25" ht="33">
      <c r="M1352" s="26" t="s">
        <v>59</v>
      </c>
      <c r="N1352" s="25" t="s">
        <v>51</v>
      </c>
      <c r="O1352" s="26"/>
      <c r="P1352" s="26" t="s">
        <v>948</v>
      </c>
      <c r="Q1352" s="26"/>
      <c r="R1352" s="5"/>
      <c r="S1352" s="5"/>
      <c r="T1352" s="5"/>
      <c r="U1352" s="5"/>
      <c r="V1352" s="5"/>
      <c r="W1352" s="5"/>
      <c r="X1352" s="5"/>
      <c r="Y1352" s="5"/>
    </row>
    <row r="1353" spans="13:25" ht="66">
      <c r="M1353" s="26" t="s">
        <v>59</v>
      </c>
      <c r="N1353" s="25" t="s">
        <v>51</v>
      </c>
      <c r="O1353" s="26"/>
      <c r="P1353" s="26" t="s">
        <v>1236</v>
      </c>
      <c r="Q1353" s="26"/>
      <c r="R1353" s="5"/>
      <c r="S1353" s="5"/>
      <c r="T1353" s="5"/>
      <c r="U1353" s="5"/>
      <c r="V1353" s="5"/>
      <c r="W1353" s="5"/>
      <c r="X1353" s="5"/>
      <c r="Y1353" s="5"/>
    </row>
    <row r="1354" spans="13:25" ht="66">
      <c r="M1354" s="26" t="s">
        <v>59</v>
      </c>
      <c r="N1354" s="25" t="s">
        <v>51</v>
      </c>
      <c r="O1354" s="26"/>
      <c r="P1354" s="26" t="s">
        <v>1237</v>
      </c>
      <c r="Q1354" s="26"/>
      <c r="R1354" s="5"/>
      <c r="S1354" s="5"/>
      <c r="T1354" s="5"/>
      <c r="U1354" s="5"/>
      <c r="V1354" s="5"/>
      <c r="W1354" s="5"/>
      <c r="X1354" s="5"/>
      <c r="Y1354" s="5"/>
    </row>
    <row r="1355" spans="13:25" ht="66">
      <c r="M1355" s="26" t="s">
        <v>59</v>
      </c>
      <c r="N1355" s="25" t="s">
        <v>51</v>
      </c>
      <c r="O1355" s="26"/>
      <c r="P1355" s="26" t="s">
        <v>1223</v>
      </c>
      <c r="Q1355" s="26"/>
      <c r="R1355" s="5"/>
      <c r="S1355" s="5"/>
      <c r="T1355" s="5"/>
      <c r="U1355" s="5"/>
      <c r="V1355" s="5"/>
      <c r="W1355" s="5"/>
      <c r="X1355" s="5"/>
      <c r="Y1355" s="5"/>
    </row>
    <row r="1356" spans="13:25" ht="55">
      <c r="M1356" s="26" t="s">
        <v>59</v>
      </c>
      <c r="N1356" s="25" t="s">
        <v>51</v>
      </c>
      <c r="O1356" s="26"/>
      <c r="P1356" s="26" t="s">
        <v>1058</v>
      </c>
      <c r="Q1356" s="26"/>
      <c r="R1356" s="5"/>
      <c r="S1356" s="5"/>
      <c r="T1356" s="5"/>
      <c r="U1356" s="5"/>
      <c r="V1356" s="5"/>
      <c r="W1356" s="5"/>
      <c r="X1356" s="5"/>
      <c r="Y1356" s="5"/>
    </row>
    <row r="1357" spans="13:25" ht="66">
      <c r="M1357" s="26" t="s">
        <v>59</v>
      </c>
      <c r="N1357" s="25" t="s">
        <v>51</v>
      </c>
      <c r="O1357" s="26"/>
      <c r="P1357" s="26" t="s">
        <v>1236</v>
      </c>
      <c r="Q1357" s="26"/>
      <c r="R1357" s="5"/>
      <c r="S1357" s="5"/>
      <c r="T1357" s="5"/>
      <c r="U1357" s="5"/>
      <c r="V1357" s="5"/>
      <c r="W1357" s="5"/>
      <c r="X1357" s="5"/>
      <c r="Y1357" s="5"/>
    </row>
    <row r="1358" spans="13:25" ht="66">
      <c r="M1358" s="26" t="s">
        <v>59</v>
      </c>
      <c r="N1358" s="25" t="s">
        <v>55</v>
      </c>
      <c r="O1358" s="26" t="s">
        <v>656</v>
      </c>
      <c r="P1358" s="26"/>
      <c r="Q1358" s="26"/>
      <c r="R1358" s="5"/>
      <c r="S1358" s="5"/>
      <c r="T1358" s="5"/>
      <c r="U1358" s="5"/>
      <c r="V1358" s="5"/>
      <c r="W1358" s="5"/>
      <c r="X1358" s="5"/>
      <c r="Y1358" s="5"/>
    </row>
    <row r="1359" spans="13:25" ht="22">
      <c r="M1359" s="26" t="s">
        <v>59</v>
      </c>
      <c r="N1359" s="25" t="s">
        <v>70</v>
      </c>
      <c r="O1359" s="26" t="s">
        <v>1238</v>
      </c>
      <c r="P1359" s="26"/>
      <c r="Q1359" s="26"/>
      <c r="R1359" s="5"/>
      <c r="S1359" s="5"/>
      <c r="T1359" s="5"/>
      <c r="U1359" s="5"/>
      <c r="V1359" s="5"/>
      <c r="W1359" s="5"/>
      <c r="X1359" s="5"/>
      <c r="Y1359" s="5"/>
    </row>
    <row r="1360" spans="13:25" ht="66">
      <c r="M1360" s="26" t="s">
        <v>59</v>
      </c>
      <c r="N1360" s="25" t="s">
        <v>70</v>
      </c>
      <c r="O1360" s="26" t="s">
        <v>1239</v>
      </c>
      <c r="P1360" s="26"/>
      <c r="Q1360" s="26"/>
      <c r="R1360" s="5"/>
      <c r="S1360" s="5"/>
      <c r="T1360" s="5"/>
      <c r="U1360" s="5"/>
      <c r="V1360" s="5"/>
      <c r="W1360" s="5"/>
      <c r="X1360" s="5"/>
      <c r="Y1360" s="5"/>
    </row>
    <row r="1361" spans="13:25" ht="22">
      <c r="M1361" s="26" t="s">
        <v>59</v>
      </c>
      <c r="N1361" s="25" t="s">
        <v>55</v>
      </c>
      <c r="O1361" s="26" t="s">
        <v>1240</v>
      </c>
      <c r="P1361" s="26"/>
      <c r="Q1361" s="26"/>
      <c r="R1361" s="5"/>
      <c r="S1361" s="5"/>
      <c r="T1361" s="5"/>
      <c r="U1361" s="5"/>
      <c r="V1361" s="5"/>
      <c r="W1361" s="5"/>
      <c r="X1361" s="5"/>
      <c r="Y1361" s="5"/>
    </row>
    <row r="1362" spans="13:25" ht="77">
      <c r="M1362" s="26" t="s">
        <v>59</v>
      </c>
      <c r="N1362" s="25" t="s">
        <v>55</v>
      </c>
      <c r="O1362" s="26" t="s">
        <v>486</v>
      </c>
      <c r="P1362" s="26"/>
      <c r="Q1362" s="26"/>
      <c r="R1362" s="5"/>
      <c r="S1362" s="5"/>
      <c r="T1362" s="5"/>
      <c r="U1362" s="5"/>
      <c r="V1362" s="5"/>
      <c r="W1362" s="5"/>
      <c r="X1362" s="5"/>
      <c r="Y1362" s="5"/>
    </row>
    <row r="1363" spans="13:25" ht="66">
      <c r="M1363" s="26" t="s">
        <v>59</v>
      </c>
      <c r="N1363" s="25" t="s">
        <v>55</v>
      </c>
      <c r="O1363" s="26" t="s">
        <v>1241</v>
      </c>
      <c r="P1363" s="26"/>
      <c r="Q1363" s="26"/>
      <c r="R1363" s="5"/>
      <c r="S1363" s="5"/>
      <c r="T1363" s="5"/>
      <c r="U1363" s="5"/>
      <c r="V1363" s="5"/>
      <c r="W1363" s="5"/>
      <c r="X1363" s="5"/>
      <c r="Y1363" s="5"/>
    </row>
    <row r="1364" spans="13:25" ht="22">
      <c r="M1364" s="26" t="s">
        <v>59</v>
      </c>
      <c r="N1364" s="25" t="s">
        <v>51</v>
      </c>
      <c r="O1364" s="26" t="s">
        <v>1242</v>
      </c>
      <c r="P1364" s="26"/>
      <c r="Q1364" s="26"/>
      <c r="R1364" s="5"/>
      <c r="S1364" s="5"/>
      <c r="T1364" s="5"/>
      <c r="U1364" s="5"/>
      <c r="V1364" s="5"/>
      <c r="W1364" s="5"/>
      <c r="X1364" s="5"/>
      <c r="Y1364" s="5"/>
    </row>
    <row r="1365" spans="13:25" ht="154">
      <c r="M1365" s="26" t="s">
        <v>59</v>
      </c>
      <c r="N1365" s="25" t="s">
        <v>51</v>
      </c>
      <c r="O1365" s="26"/>
      <c r="P1365" s="26" t="s">
        <v>1212</v>
      </c>
      <c r="Q1365" s="26"/>
      <c r="R1365" s="5"/>
      <c r="S1365" s="5"/>
      <c r="T1365" s="5"/>
      <c r="U1365" s="5"/>
      <c r="V1365" s="5"/>
      <c r="W1365" s="5"/>
      <c r="X1365" s="5"/>
      <c r="Y1365" s="5"/>
    </row>
    <row r="1366" spans="13:25" ht="55">
      <c r="M1366" s="26" t="s">
        <v>59</v>
      </c>
      <c r="N1366" s="25" t="s">
        <v>51</v>
      </c>
      <c r="O1366" s="26"/>
      <c r="P1366" s="26" t="s">
        <v>1243</v>
      </c>
      <c r="Q1366" s="26"/>
      <c r="R1366" s="5"/>
      <c r="S1366" s="5"/>
      <c r="T1366" s="5"/>
      <c r="U1366" s="5"/>
      <c r="V1366" s="5"/>
      <c r="W1366" s="5"/>
      <c r="X1366" s="5"/>
      <c r="Y1366" s="5"/>
    </row>
    <row r="1367" spans="13:25" ht="33">
      <c r="M1367" s="26" t="s">
        <v>59</v>
      </c>
      <c r="N1367" s="25" t="s">
        <v>51</v>
      </c>
      <c r="O1367" s="26"/>
      <c r="P1367" s="26" t="s">
        <v>1244</v>
      </c>
      <c r="Q1367" s="26"/>
      <c r="R1367" s="5"/>
      <c r="S1367" s="5"/>
      <c r="T1367" s="5"/>
      <c r="U1367" s="5"/>
      <c r="V1367" s="5"/>
      <c r="W1367" s="5"/>
      <c r="X1367" s="5"/>
      <c r="Y1367" s="5"/>
    </row>
    <row r="1368" spans="13:25" ht="33">
      <c r="M1368" s="26" t="s">
        <v>59</v>
      </c>
      <c r="N1368" s="25" t="s">
        <v>51</v>
      </c>
      <c r="O1368" s="26"/>
      <c r="P1368" s="26" t="s">
        <v>1111</v>
      </c>
      <c r="Q1368" s="26"/>
      <c r="R1368" s="5"/>
      <c r="S1368" s="5"/>
      <c r="T1368" s="5"/>
      <c r="U1368" s="5"/>
      <c r="V1368" s="5"/>
      <c r="W1368" s="5"/>
      <c r="X1368" s="5"/>
      <c r="Y1368" s="5"/>
    </row>
    <row r="1369" spans="13:25" ht="33">
      <c r="M1369" s="26" t="s">
        <v>59</v>
      </c>
      <c r="N1369" s="25" t="s">
        <v>51</v>
      </c>
      <c r="O1369" s="26"/>
      <c r="P1369" s="26" t="s">
        <v>1245</v>
      </c>
      <c r="Q1369" s="26"/>
      <c r="R1369" s="5"/>
      <c r="S1369" s="5"/>
      <c r="T1369" s="5"/>
      <c r="U1369" s="5"/>
      <c r="V1369" s="5"/>
      <c r="W1369" s="5"/>
      <c r="X1369" s="5"/>
      <c r="Y1369" s="5"/>
    </row>
    <row r="1370" spans="13:25" ht="44">
      <c r="M1370" s="26" t="s">
        <v>59</v>
      </c>
      <c r="N1370" s="25" t="s">
        <v>51</v>
      </c>
      <c r="O1370" s="26"/>
      <c r="P1370" s="26" t="s">
        <v>1218</v>
      </c>
      <c r="Q1370" s="26"/>
      <c r="R1370" s="5"/>
      <c r="S1370" s="5"/>
      <c r="T1370" s="5"/>
      <c r="U1370" s="5"/>
      <c r="V1370" s="5"/>
      <c r="W1370" s="5"/>
      <c r="X1370" s="5"/>
      <c r="Y1370" s="5"/>
    </row>
    <row r="1371" spans="13:25" ht="33">
      <c r="M1371" s="26" t="s">
        <v>59</v>
      </c>
      <c r="N1371" s="25" t="s">
        <v>51</v>
      </c>
      <c r="O1371" s="26"/>
      <c r="P1371" s="26" t="s">
        <v>1246</v>
      </c>
      <c r="Q1371" s="26"/>
      <c r="R1371" s="5"/>
      <c r="S1371" s="5"/>
      <c r="T1371" s="5"/>
      <c r="U1371" s="5"/>
      <c r="V1371" s="5"/>
      <c r="W1371" s="5"/>
      <c r="X1371" s="5"/>
      <c r="Y1371" s="5"/>
    </row>
    <row r="1372" spans="13:25" ht="33">
      <c r="M1372" s="26" t="s">
        <v>59</v>
      </c>
      <c r="N1372" s="25" t="s">
        <v>51</v>
      </c>
      <c r="O1372" s="26"/>
      <c r="P1372" s="26" t="s">
        <v>1247</v>
      </c>
      <c r="Q1372" s="26"/>
      <c r="R1372" s="5"/>
      <c r="S1372" s="5"/>
      <c r="T1372" s="5"/>
      <c r="U1372" s="5"/>
      <c r="V1372" s="5"/>
      <c r="W1372" s="5"/>
      <c r="X1372" s="5"/>
      <c r="Y1372" s="5"/>
    </row>
    <row r="1373" spans="13:25" ht="22">
      <c r="M1373" s="26" t="s">
        <v>59</v>
      </c>
      <c r="N1373" s="25" t="s">
        <v>51</v>
      </c>
      <c r="O1373" s="26"/>
      <c r="P1373" s="26" t="s">
        <v>1248</v>
      </c>
      <c r="Q1373" s="26"/>
      <c r="R1373" s="5"/>
      <c r="S1373" s="5"/>
      <c r="T1373" s="5"/>
      <c r="U1373" s="5"/>
      <c r="V1373" s="5"/>
      <c r="W1373" s="5"/>
      <c r="X1373" s="5"/>
      <c r="Y1373" s="5"/>
    </row>
    <row r="1374" spans="13:25" ht="22">
      <c r="M1374" s="26" t="s">
        <v>59</v>
      </c>
      <c r="N1374" s="25" t="s">
        <v>57</v>
      </c>
      <c r="O1374" s="26"/>
      <c r="P1374" s="26" t="s">
        <v>1249</v>
      </c>
      <c r="Q1374" s="26"/>
      <c r="R1374" s="5"/>
      <c r="S1374" s="5"/>
      <c r="T1374" s="5"/>
      <c r="U1374" s="5"/>
      <c r="V1374" s="5"/>
      <c r="W1374" s="5"/>
      <c r="X1374" s="5"/>
      <c r="Y1374" s="5"/>
    </row>
    <row r="1375" spans="13:25" ht="33">
      <c r="M1375" s="26" t="s">
        <v>59</v>
      </c>
      <c r="N1375" s="25" t="s">
        <v>70</v>
      </c>
      <c r="O1375" s="26" t="s">
        <v>1250</v>
      </c>
      <c r="P1375" s="26"/>
      <c r="Q1375" s="26"/>
      <c r="R1375" s="5"/>
      <c r="S1375" s="5"/>
      <c r="T1375" s="5"/>
      <c r="U1375" s="5"/>
      <c r="V1375" s="5"/>
      <c r="W1375" s="5"/>
      <c r="X1375" s="5"/>
      <c r="Y1375" s="5"/>
    </row>
    <row r="1376" spans="13:25" ht="22">
      <c r="M1376" s="26" t="s">
        <v>59</v>
      </c>
      <c r="N1376" s="25" t="s">
        <v>57</v>
      </c>
      <c r="O1376" s="26" t="s">
        <v>1251</v>
      </c>
      <c r="P1376" s="26"/>
      <c r="Q1376" s="26"/>
      <c r="R1376" s="5"/>
      <c r="S1376" s="5"/>
      <c r="T1376" s="5"/>
      <c r="U1376" s="5"/>
      <c r="V1376" s="5"/>
      <c r="W1376" s="5"/>
      <c r="X1376" s="5"/>
      <c r="Y1376" s="5"/>
    </row>
    <row r="1377" spans="13:25" ht="22">
      <c r="M1377" s="26" t="s">
        <v>59</v>
      </c>
      <c r="N1377" s="25" t="s">
        <v>57</v>
      </c>
      <c r="O1377" s="26" t="s">
        <v>1252</v>
      </c>
      <c r="P1377" s="26"/>
      <c r="Q1377" s="26"/>
      <c r="R1377" s="5"/>
      <c r="S1377" s="5"/>
      <c r="T1377" s="5"/>
      <c r="U1377" s="5"/>
      <c r="V1377" s="5"/>
      <c r="W1377" s="5"/>
      <c r="X1377" s="5"/>
      <c r="Y1377" s="5"/>
    </row>
    <row r="1378" spans="13:25" ht="22">
      <c r="M1378" s="26" t="s">
        <v>59</v>
      </c>
      <c r="N1378" s="25" t="s">
        <v>57</v>
      </c>
      <c r="O1378" s="26" t="s">
        <v>1253</v>
      </c>
      <c r="P1378" s="26"/>
      <c r="Q1378" s="26"/>
      <c r="R1378" s="5"/>
      <c r="S1378" s="5"/>
      <c r="T1378" s="5"/>
      <c r="U1378" s="5"/>
      <c r="V1378" s="5"/>
      <c r="W1378" s="5"/>
      <c r="X1378" s="5"/>
      <c r="Y1378" s="5"/>
    </row>
    <row r="1379" spans="13:25" ht="22">
      <c r="M1379" s="26" t="s">
        <v>59</v>
      </c>
      <c r="N1379" s="25" t="s">
        <v>51</v>
      </c>
      <c r="O1379" s="26" t="s">
        <v>1254</v>
      </c>
      <c r="P1379" s="26"/>
      <c r="Q1379" s="26"/>
      <c r="R1379" s="5"/>
      <c r="S1379" s="5"/>
      <c r="T1379" s="5"/>
      <c r="U1379" s="5"/>
      <c r="V1379" s="5"/>
      <c r="W1379" s="5"/>
      <c r="X1379" s="5"/>
      <c r="Y1379" s="5"/>
    </row>
    <row r="1380" spans="13:25" ht="154">
      <c r="M1380" s="26" t="s">
        <v>59</v>
      </c>
      <c r="N1380" s="25" t="s">
        <v>51</v>
      </c>
      <c r="O1380" s="26"/>
      <c r="P1380" s="26" t="s">
        <v>1255</v>
      </c>
      <c r="Q1380" s="26"/>
      <c r="R1380" s="5"/>
      <c r="S1380" s="5"/>
      <c r="T1380" s="5"/>
      <c r="U1380" s="5"/>
      <c r="V1380" s="5"/>
      <c r="W1380" s="5"/>
      <c r="X1380" s="5"/>
      <c r="Y1380" s="5"/>
    </row>
    <row r="1381" spans="13:25" ht="66">
      <c r="M1381" s="26" t="s">
        <v>59</v>
      </c>
      <c r="N1381" s="25" t="s">
        <v>51</v>
      </c>
      <c r="O1381" s="26"/>
      <c r="P1381" s="26" t="s">
        <v>1256</v>
      </c>
      <c r="Q1381" s="26"/>
      <c r="R1381" s="5"/>
      <c r="S1381" s="5"/>
      <c r="T1381" s="5"/>
      <c r="U1381" s="5"/>
      <c r="V1381" s="5"/>
      <c r="W1381" s="5"/>
      <c r="X1381" s="5"/>
      <c r="Y1381" s="5"/>
    </row>
    <row r="1382" spans="13:25" ht="66">
      <c r="M1382" s="26" t="s">
        <v>59</v>
      </c>
      <c r="N1382" s="25" t="s">
        <v>51</v>
      </c>
      <c r="O1382" s="26"/>
      <c r="P1382" s="26" t="s">
        <v>1237</v>
      </c>
      <c r="Q1382" s="26"/>
      <c r="R1382" s="5"/>
      <c r="S1382" s="5"/>
      <c r="T1382" s="5"/>
      <c r="U1382" s="5"/>
      <c r="V1382" s="5"/>
      <c r="W1382" s="5"/>
      <c r="X1382" s="5"/>
      <c r="Y1382" s="5"/>
    </row>
    <row r="1383" spans="13:25" ht="33">
      <c r="M1383" s="26" t="s">
        <v>59</v>
      </c>
      <c r="N1383" s="25" t="s">
        <v>51</v>
      </c>
      <c r="O1383" s="26"/>
      <c r="P1383" s="26" t="s">
        <v>1257</v>
      </c>
      <c r="Q1383" s="26"/>
      <c r="R1383" s="5"/>
      <c r="S1383" s="5"/>
      <c r="T1383" s="5"/>
      <c r="U1383" s="5"/>
      <c r="V1383" s="5"/>
      <c r="W1383" s="5"/>
      <c r="X1383" s="5"/>
      <c r="Y1383" s="5"/>
    </row>
    <row r="1384" spans="13:25" ht="66">
      <c r="M1384" s="26" t="s">
        <v>59</v>
      </c>
      <c r="N1384" s="25" t="s">
        <v>51</v>
      </c>
      <c r="O1384" s="26"/>
      <c r="P1384" s="26" t="s">
        <v>995</v>
      </c>
      <c r="Q1384" s="26"/>
      <c r="R1384" s="5"/>
      <c r="S1384" s="5"/>
      <c r="T1384" s="5"/>
      <c r="U1384" s="5"/>
      <c r="V1384" s="5"/>
      <c r="W1384" s="5"/>
      <c r="X1384" s="5"/>
      <c r="Y1384" s="5"/>
    </row>
    <row r="1385" spans="13:25" ht="22">
      <c r="M1385" s="26" t="s">
        <v>59</v>
      </c>
      <c r="N1385" s="25" t="s">
        <v>51</v>
      </c>
      <c r="O1385" s="26"/>
      <c r="P1385" s="26" t="s">
        <v>1258</v>
      </c>
      <c r="Q1385" s="26"/>
      <c r="R1385" s="5"/>
      <c r="S1385" s="5"/>
      <c r="T1385" s="5"/>
      <c r="U1385" s="5"/>
      <c r="V1385" s="5"/>
      <c r="W1385" s="5"/>
      <c r="X1385" s="5"/>
      <c r="Y1385" s="5"/>
    </row>
    <row r="1386" spans="13:25" ht="44">
      <c r="M1386" s="26" t="s">
        <v>59</v>
      </c>
      <c r="N1386" s="25" t="s">
        <v>51</v>
      </c>
      <c r="O1386" s="26"/>
      <c r="P1386" s="26"/>
      <c r="Q1386" s="26" t="s">
        <v>1056</v>
      </c>
      <c r="R1386" s="5"/>
      <c r="S1386" s="5"/>
      <c r="T1386" s="5"/>
      <c r="U1386" s="5"/>
      <c r="V1386" s="5"/>
      <c r="W1386" s="5"/>
      <c r="X1386" s="5"/>
      <c r="Y1386" s="5"/>
    </row>
    <row r="1387" spans="13:25" ht="44">
      <c r="M1387" s="26" t="s">
        <v>59</v>
      </c>
      <c r="N1387" s="25" t="s">
        <v>51</v>
      </c>
      <c r="O1387" s="26"/>
      <c r="P1387" s="26"/>
      <c r="Q1387" s="26" t="s">
        <v>1259</v>
      </c>
      <c r="R1387" s="5"/>
      <c r="S1387" s="5"/>
      <c r="T1387" s="5"/>
      <c r="U1387" s="5"/>
      <c r="V1387" s="5"/>
      <c r="W1387" s="5"/>
      <c r="X1387" s="5"/>
      <c r="Y1387" s="5"/>
    </row>
    <row r="1388" spans="13:25" ht="66">
      <c r="M1388" s="26" t="s">
        <v>59</v>
      </c>
      <c r="N1388" s="25" t="s">
        <v>51</v>
      </c>
      <c r="O1388" s="26"/>
      <c r="P1388" s="26"/>
      <c r="Q1388" s="26" t="s">
        <v>1217</v>
      </c>
      <c r="R1388" s="5"/>
      <c r="S1388" s="5"/>
      <c r="T1388" s="5"/>
      <c r="U1388" s="5"/>
      <c r="V1388" s="5"/>
      <c r="W1388" s="5"/>
      <c r="X1388" s="5"/>
      <c r="Y1388" s="5"/>
    </row>
    <row r="1389" spans="13:25" ht="33">
      <c r="M1389" s="26" t="s">
        <v>59</v>
      </c>
      <c r="N1389" s="25" t="s">
        <v>51</v>
      </c>
      <c r="O1389" s="26"/>
      <c r="P1389" s="26"/>
      <c r="Q1389" s="26" t="s">
        <v>1260</v>
      </c>
      <c r="R1389" s="5"/>
      <c r="S1389" s="5"/>
      <c r="T1389" s="5"/>
      <c r="U1389" s="5"/>
      <c r="V1389" s="5"/>
      <c r="W1389" s="5"/>
      <c r="X1389" s="5"/>
      <c r="Y1389" s="5"/>
    </row>
    <row r="1390" spans="13:25" ht="66">
      <c r="M1390" s="26" t="s">
        <v>59</v>
      </c>
      <c r="N1390" s="25" t="s">
        <v>51</v>
      </c>
      <c r="O1390" s="26"/>
      <c r="P1390" s="26"/>
      <c r="Q1390" s="26" t="s">
        <v>1256</v>
      </c>
      <c r="R1390" s="5"/>
      <c r="S1390" s="5"/>
      <c r="T1390" s="5"/>
      <c r="U1390" s="5"/>
      <c r="V1390" s="5"/>
      <c r="W1390" s="5"/>
      <c r="X1390" s="5"/>
      <c r="Y1390" s="5"/>
    </row>
    <row r="1391" spans="13:25" ht="66">
      <c r="M1391" s="26" t="s">
        <v>59</v>
      </c>
      <c r="N1391" s="25" t="s">
        <v>51</v>
      </c>
      <c r="O1391" s="26"/>
      <c r="P1391" s="26"/>
      <c r="Q1391" s="26" t="s">
        <v>995</v>
      </c>
      <c r="R1391" s="5"/>
      <c r="S1391" s="5"/>
      <c r="T1391" s="5"/>
      <c r="U1391" s="5"/>
      <c r="V1391" s="5"/>
      <c r="W1391" s="5"/>
      <c r="X1391" s="5"/>
      <c r="Y1391" s="5"/>
    </row>
    <row r="1392" spans="13:25" ht="22">
      <c r="M1392" s="26" t="s">
        <v>59</v>
      </c>
      <c r="N1392" s="25" t="s">
        <v>51</v>
      </c>
      <c r="O1392" s="26"/>
      <c r="P1392" s="26" t="s">
        <v>1261</v>
      </c>
      <c r="Q1392" s="26"/>
      <c r="R1392" s="5"/>
      <c r="S1392" s="5"/>
      <c r="T1392" s="5"/>
      <c r="U1392" s="5"/>
      <c r="V1392" s="5"/>
      <c r="W1392" s="5"/>
      <c r="X1392" s="5"/>
      <c r="Y1392" s="5"/>
    </row>
    <row r="1393" spans="13:25" ht="33">
      <c r="M1393" s="26" t="s">
        <v>59</v>
      </c>
      <c r="N1393" s="25" t="s">
        <v>51</v>
      </c>
      <c r="O1393" s="26"/>
      <c r="P1393" s="26"/>
      <c r="Q1393" s="26" t="s">
        <v>1262</v>
      </c>
      <c r="R1393" s="5"/>
      <c r="S1393" s="5"/>
      <c r="T1393" s="5"/>
      <c r="U1393" s="5"/>
      <c r="V1393" s="5"/>
      <c r="W1393" s="5"/>
      <c r="X1393" s="5"/>
      <c r="Y1393" s="5"/>
    </row>
    <row r="1394" spans="13:25" ht="66">
      <c r="M1394" s="26" t="s">
        <v>59</v>
      </c>
      <c r="N1394" s="25" t="s">
        <v>51</v>
      </c>
      <c r="O1394" s="26"/>
      <c r="P1394" s="26"/>
      <c r="Q1394" s="26" t="s">
        <v>1223</v>
      </c>
      <c r="R1394" s="5"/>
      <c r="S1394" s="5"/>
      <c r="T1394" s="5"/>
      <c r="U1394" s="5"/>
      <c r="V1394" s="5"/>
      <c r="W1394" s="5"/>
      <c r="X1394" s="5"/>
      <c r="Y1394" s="5"/>
    </row>
    <row r="1395" spans="13:25" ht="154">
      <c r="M1395" s="26" t="s">
        <v>59</v>
      </c>
      <c r="N1395" s="25" t="s">
        <v>51</v>
      </c>
      <c r="O1395" s="26"/>
      <c r="P1395" s="26"/>
      <c r="Q1395" s="26" t="s">
        <v>1212</v>
      </c>
      <c r="R1395" s="5"/>
      <c r="S1395" s="5"/>
      <c r="T1395" s="5"/>
      <c r="U1395" s="5"/>
      <c r="V1395" s="5"/>
      <c r="W1395" s="5"/>
      <c r="X1395" s="5"/>
      <c r="Y1395" s="5"/>
    </row>
    <row r="1396" spans="13:25" ht="33">
      <c r="M1396" s="26" t="s">
        <v>59</v>
      </c>
      <c r="N1396" s="25" t="s">
        <v>51</v>
      </c>
      <c r="O1396" s="26"/>
      <c r="P1396" s="26"/>
      <c r="Q1396" s="26" t="s">
        <v>1051</v>
      </c>
      <c r="R1396" s="5"/>
      <c r="S1396" s="5"/>
      <c r="T1396" s="5"/>
      <c r="U1396" s="5"/>
      <c r="V1396" s="5"/>
      <c r="W1396" s="5"/>
      <c r="X1396" s="5"/>
      <c r="Y1396" s="5"/>
    </row>
    <row r="1397" spans="13:25" ht="33">
      <c r="M1397" s="26" t="s">
        <v>59</v>
      </c>
      <c r="N1397" s="25" t="s">
        <v>51</v>
      </c>
      <c r="O1397" s="26"/>
      <c r="P1397" s="26"/>
      <c r="Q1397" s="26" t="s">
        <v>1111</v>
      </c>
      <c r="R1397" s="5"/>
      <c r="S1397" s="5"/>
      <c r="T1397" s="5"/>
      <c r="U1397" s="5"/>
      <c r="V1397" s="5"/>
      <c r="W1397" s="5"/>
      <c r="X1397" s="5"/>
      <c r="Y1397" s="5"/>
    </row>
    <row r="1398" spans="13:25" ht="33">
      <c r="M1398" s="26" t="s">
        <v>59</v>
      </c>
      <c r="N1398" s="25" t="s">
        <v>51</v>
      </c>
      <c r="O1398" s="26"/>
      <c r="P1398" s="26"/>
      <c r="Q1398" s="26" t="s">
        <v>1263</v>
      </c>
      <c r="R1398" s="5"/>
      <c r="S1398" s="5"/>
      <c r="T1398" s="5"/>
      <c r="U1398" s="5"/>
      <c r="V1398" s="5"/>
      <c r="W1398" s="5"/>
      <c r="X1398" s="5"/>
      <c r="Y1398" s="5"/>
    </row>
    <row r="1399" spans="13:25" ht="44">
      <c r="M1399" s="26" t="s">
        <v>59</v>
      </c>
      <c r="N1399" s="25" t="s">
        <v>51</v>
      </c>
      <c r="O1399" s="26"/>
      <c r="P1399" s="26"/>
      <c r="Q1399" s="26" t="s">
        <v>1264</v>
      </c>
      <c r="R1399" s="5"/>
      <c r="S1399" s="5"/>
      <c r="T1399" s="5"/>
      <c r="U1399" s="5"/>
      <c r="V1399" s="5"/>
      <c r="W1399" s="5"/>
      <c r="X1399" s="5"/>
      <c r="Y1399" s="5"/>
    </row>
    <row r="1400" spans="13:25" ht="55">
      <c r="M1400" s="26" t="s">
        <v>59</v>
      </c>
      <c r="N1400" s="25" t="s">
        <v>51</v>
      </c>
      <c r="O1400" s="26"/>
      <c r="P1400" s="26" t="s">
        <v>1265</v>
      </c>
      <c r="Q1400" s="26"/>
      <c r="R1400" s="5"/>
      <c r="S1400" s="5"/>
      <c r="T1400" s="5"/>
      <c r="U1400" s="5"/>
      <c r="V1400" s="5"/>
      <c r="W1400" s="5"/>
      <c r="X1400" s="5"/>
      <c r="Y1400" s="5"/>
    </row>
    <row r="1401" spans="13:25" ht="88">
      <c r="M1401" s="26" t="s">
        <v>59</v>
      </c>
      <c r="N1401" s="25" t="s">
        <v>51</v>
      </c>
      <c r="O1401" s="26"/>
      <c r="P1401" s="26" t="s">
        <v>1219</v>
      </c>
      <c r="Q1401" s="26"/>
      <c r="R1401" s="5"/>
      <c r="S1401" s="5"/>
      <c r="T1401" s="5"/>
      <c r="U1401" s="5"/>
      <c r="V1401" s="5"/>
      <c r="W1401" s="5"/>
      <c r="X1401" s="5"/>
      <c r="Y1401" s="5"/>
    </row>
    <row r="1402" spans="13:25" ht="33">
      <c r="M1402" s="26" t="s">
        <v>59</v>
      </c>
      <c r="N1402" s="25" t="s">
        <v>51</v>
      </c>
      <c r="O1402" s="26"/>
      <c r="P1402" s="26" t="s">
        <v>1260</v>
      </c>
      <c r="Q1402" s="26"/>
      <c r="R1402" s="5"/>
      <c r="S1402" s="5"/>
      <c r="T1402" s="5"/>
      <c r="U1402" s="5"/>
      <c r="V1402" s="5"/>
      <c r="W1402" s="5"/>
      <c r="X1402" s="5"/>
      <c r="Y1402" s="5"/>
    </row>
    <row r="1403" spans="13:25" ht="33">
      <c r="M1403" s="26" t="s">
        <v>59</v>
      </c>
      <c r="N1403" s="25" t="s">
        <v>51</v>
      </c>
      <c r="O1403" s="26"/>
      <c r="P1403" s="26" t="s">
        <v>1266</v>
      </c>
      <c r="Q1403" s="26"/>
      <c r="R1403" s="5"/>
      <c r="S1403" s="5"/>
      <c r="T1403" s="5"/>
      <c r="U1403" s="5"/>
      <c r="V1403" s="5"/>
      <c r="W1403" s="5"/>
      <c r="X1403" s="5"/>
      <c r="Y1403" s="5"/>
    </row>
    <row r="1404" spans="13:25" ht="22">
      <c r="M1404" s="26" t="s">
        <v>59</v>
      </c>
      <c r="N1404" s="25" t="s">
        <v>57</v>
      </c>
      <c r="O1404" s="26"/>
      <c r="P1404" s="26" t="s">
        <v>1267</v>
      </c>
      <c r="Q1404" s="26"/>
      <c r="R1404" s="5"/>
      <c r="S1404" s="5"/>
      <c r="T1404" s="5"/>
      <c r="U1404" s="5"/>
      <c r="V1404" s="5"/>
      <c r="W1404" s="5"/>
      <c r="X1404" s="5"/>
      <c r="Y1404" s="5"/>
    </row>
    <row r="1405" spans="13:25" ht="22">
      <c r="M1405" s="26" t="s">
        <v>59</v>
      </c>
      <c r="N1405" s="25" t="s">
        <v>51</v>
      </c>
      <c r="O1405" s="26"/>
      <c r="P1405" s="26" t="s">
        <v>1268</v>
      </c>
      <c r="Q1405" s="26"/>
      <c r="R1405" s="5"/>
      <c r="S1405" s="5"/>
      <c r="T1405" s="5"/>
      <c r="U1405" s="5"/>
      <c r="V1405" s="5"/>
      <c r="W1405" s="5"/>
      <c r="X1405" s="5"/>
      <c r="Y1405" s="5"/>
    </row>
    <row r="1406" spans="13:25" ht="44">
      <c r="M1406" s="26" t="s">
        <v>59</v>
      </c>
      <c r="N1406" s="25" t="s">
        <v>51</v>
      </c>
      <c r="O1406" s="26"/>
      <c r="P1406" s="26" t="s">
        <v>1269</v>
      </c>
      <c r="Q1406" s="26"/>
      <c r="R1406" s="5"/>
      <c r="S1406" s="5"/>
      <c r="T1406" s="5"/>
      <c r="U1406" s="5"/>
      <c r="V1406" s="5"/>
      <c r="W1406" s="5"/>
      <c r="X1406" s="5"/>
      <c r="Y1406" s="5"/>
    </row>
    <row r="1407" spans="13:25" ht="22">
      <c r="M1407" s="26" t="s">
        <v>59</v>
      </c>
      <c r="N1407" s="25" t="s">
        <v>51</v>
      </c>
      <c r="O1407" s="26"/>
      <c r="P1407" s="26" t="s">
        <v>1270</v>
      </c>
      <c r="Q1407" s="26"/>
      <c r="R1407" s="5"/>
      <c r="S1407" s="5"/>
      <c r="T1407" s="5"/>
      <c r="U1407" s="5"/>
      <c r="V1407" s="5"/>
      <c r="W1407" s="5"/>
      <c r="X1407" s="5"/>
      <c r="Y1407" s="5"/>
    </row>
    <row r="1408" spans="13:25" ht="22">
      <c r="M1408" s="26" t="s">
        <v>59</v>
      </c>
      <c r="N1408" s="25" t="s">
        <v>51</v>
      </c>
      <c r="O1408" s="26"/>
      <c r="P1408" s="26" t="s">
        <v>1271</v>
      </c>
      <c r="Q1408" s="26"/>
      <c r="R1408" s="5"/>
      <c r="S1408" s="5"/>
      <c r="T1408" s="5"/>
      <c r="U1408" s="5"/>
      <c r="V1408" s="5"/>
      <c r="W1408" s="5"/>
      <c r="X1408" s="5"/>
      <c r="Y1408" s="5"/>
    </row>
    <row r="1409" spans="13:25" ht="22">
      <c r="M1409" s="26" t="s">
        <v>59</v>
      </c>
      <c r="N1409" s="25" t="s">
        <v>51</v>
      </c>
      <c r="O1409" s="26" t="s">
        <v>1272</v>
      </c>
      <c r="P1409" s="26"/>
      <c r="Q1409" s="26"/>
      <c r="R1409" s="5"/>
      <c r="S1409" s="5"/>
      <c r="T1409" s="5"/>
      <c r="U1409" s="5"/>
      <c r="V1409" s="5"/>
      <c r="W1409" s="5"/>
      <c r="X1409" s="5"/>
      <c r="Y1409" s="5"/>
    </row>
    <row r="1410" spans="13:25" ht="55">
      <c r="M1410" s="26" t="s">
        <v>59</v>
      </c>
      <c r="N1410" s="25" t="s">
        <v>51</v>
      </c>
      <c r="O1410" s="26"/>
      <c r="P1410" s="26" t="s">
        <v>1273</v>
      </c>
      <c r="Q1410" s="26"/>
      <c r="R1410" s="5"/>
      <c r="S1410" s="5"/>
      <c r="T1410" s="5"/>
      <c r="U1410" s="5"/>
      <c r="V1410" s="5"/>
      <c r="W1410" s="5"/>
      <c r="X1410" s="5"/>
      <c r="Y1410" s="5"/>
    </row>
    <row r="1411" spans="13:25" ht="77">
      <c r="M1411" s="26" t="s">
        <v>59</v>
      </c>
      <c r="N1411" s="25" t="s">
        <v>51</v>
      </c>
      <c r="O1411" s="26"/>
      <c r="P1411" s="26" t="s">
        <v>1274</v>
      </c>
      <c r="Q1411" s="26"/>
      <c r="R1411" s="5"/>
      <c r="S1411" s="5"/>
      <c r="T1411" s="5"/>
      <c r="U1411" s="5"/>
      <c r="V1411" s="5"/>
      <c r="W1411" s="5"/>
      <c r="X1411" s="5"/>
      <c r="Y1411" s="5"/>
    </row>
    <row r="1412" spans="13:25" ht="44">
      <c r="M1412" s="26" t="s">
        <v>59</v>
      </c>
      <c r="N1412" s="25" t="s">
        <v>51</v>
      </c>
      <c r="O1412" s="26"/>
      <c r="P1412" s="26" t="s">
        <v>1275</v>
      </c>
      <c r="Q1412" s="26"/>
      <c r="R1412" s="5"/>
      <c r="S1412" s="5"/>
      <c r="T1412" s="5"/>
      <c r="U1412" s="5"/>
      <c r="V1412" s="5"/>
      <c r="W1412" s="5"/>
      <c r="X1412" s="5"/>
      <c r="Y1412" s="5"/>
    </row>
    <row r="1413" spans="13:25" ht="22">
      <c r="M1413" s="26" t="s">
        <v>59</v>
      </c>
      <c r="N1413" s="25" t="s">
        <v>51</v>
      </c>
      <c r="O1413" s="26"/>
      <c r="P1413" s="26" t="s">
        <v>1276</v>
      </c>
      <c r="Q1413" s="26"/>
      <c r="R1413" s="5"/>
      <c r="S1413" s="5"/>
      <c r="T1413" s="5"/>
      <c r="U1413" s="5"/>
      <c r="V1413" s="5"/>
      <c r="W1413" s="5"/>
      <c r="X1413" s="5"/>
      <c r="Y1413" s="5"/>
    </row>
    <row r="1414" spans="13:25" ht="66">
      <c r="M1414" s="26" t="s">
        <v>59</v>
      </c>
      <c r="N1414" s="25" t="s">
        <v>51</v>
      </c>
      <c r="O1414" s="26"/>
      <c r="P1414" s="26" t="s">
        <v>1277</v>
      </c>
      <c r="Q1414" s="26"/>
      <c r="R1414" s="5"/>
      <c r="S1414" s="5"/>
      <c r="T1414" s="5"/>
      <c r="U1414" s="5"/>
      <c r="V1414" s="5"/>
      <c r="W1414" s="5"/>
      <c r="X1414" s="5"/>
      <c r="Y1414" s="5"/>
    </row>
    <row r="1415" spans="13:25" ht="33">
      <c r="M1415" s="26" t="s">
        <v>59</v>
      </c>
      <c r="N1415" s="25" t="s">
        <v>51</v>
      </c>
      <c r="O1415" s="26"/>
      <c r="P1415" s="26" t="s">
        <v>948</v>
      </c>
      <c r="Q1415" s="26"/>
      <c r="R1415" s="5"/>
      <c r="S1415" s="5"/>
      <c r="T1415" s="5"/>
      <c r="U1415" s="5"/>
      <c r="V1415" s="5"/>
      <c r="W1415" s="5"/>
      <c r="X1415" s="5"/>
      <c r="Y1415" s="5"/>
    </row>
    <row r="1416" spans="13:25" ht="22">
      <c r="M1416" s="26" t="s">
        <v>59</v>
      </c>
      <c r="N1416" s="25" t="s">
        <v>51</v>
      </c>
      <c r="O1416" s="26"/>
      <c r="P1416" s="26" t="s">
        <v>1278</v>
      </c>
      <c r="Q1416" s="26"/>
      <c r="R1416" s="5"/>
      <c r="S1416" s="5"/>
      <c r="T1416" s="5"/>
      <c r="U1416" s="5"/>
      <c r="V1416" s="5"/>
      <c r="W1416" s="5"/>
      <c r="X1416" s="5"/>
      <c r="Y1416" s="5"/>
    </row>
    <row r="1417" spans="13:25" ht="33">
      <c r="M1417" s="26" t="s">
        <v>59</v>
      </c>
      <c r="N1417" s="25" t="s">
        <v>51</v>
      </c>
      <c r="O1417" s="26"/>
      <c r="P1417" s="26" t="s">
        <v>1131</v>
      </c>
      <c r="Q1417" s="26"/>
      <c r="R1417" s="5"/>
      <c r="S1417" s="5"/>
      <c r="T1417" s="5"/>
      <c r="U1417" s="5"/>
      <c r="V1417" s="5"/>
      <c r="W1417" s="5"/>
      <c r="X1417" s="5"/>
      <c r="Y1417" s="5"/>
    </row>
    <row r="1418" spans="13:25" ht="55">
      <c r="M1418" s="26" t="s">
        <v>59</v>
      </c>
      <c r="N1418" s="25" t="s">
        <v>51</v>
      </c>
      <c r="O1418" s="26"/>
      <c r="P1418" s="26" t="s">
        <v>1058</v>
      </c>
      <c r="Q1418" s="26"/>
      <c r="R1418" s="5"/>
      <c r="S1418" s="5"/>
      <c r="T1418" s="5"/>
      <c r="U1418" s="5"/>
      <c r="V1418" s="5"/>
      <c r="W1418" s="5"/>
      <c r="X1418" s="5"/>
      <c r="Y1418" s="5"/>
    </row>
    <row r="1419" spans="13:25" ht="55">
      <c r="M1419" s="26" t="s">
        <v>59</v>
      </c>
      <c r="N1419" s="25" t="s">
        <v>51</v>
      </c>
      <c r="O1419" s="26"/>
      <c r="P1419" s="26" t="s">
        <v>1059</v>
      </c>
      <c r="Q1419" s="26"/>
      <c r="R1419" s="5"/>
      <c r="S1419" s="5"/>
      <c r="T1419" s="5"/>
      <c r="U1419" s="5"/>
      <c r="V1419" s="5"/>
      <c r="W1419" s="5"/>
      <c r="X1419" s="5"/>
      <c r="Y1419" s="5"/>
    </row>
    <row r="1420" spans="13:25" ht="33">
      <c r="M1420" s="26" t="s">
        <v>59</v>
      </c>
      <c r="N1420" s="25" t="s">
        <v>51</v>
      </c>
      <c r="O1420" s="26"/>
      <c r="P1420" s="26" t="s">
        <v>1279</v>
      </c>
      <c r="Q1420" s="26"/>
      <c r="R1420" s="5"/>
      <c r="S1420" s="5"/>
      <c r="T1420" s="5"/>
      <c r="U1420" s="5"/>
      <c r="V1420" s="5"/>
      <c r="W1420" s="5"/>
      <c r="X1420" s="5"/>
      <c r="Y1420" s="5"/>
    </row>
    <row r="1421" spans="13:25" ht="33">
      <c r="M1421" s="26" t="s">
        <v>59</v>
      </c>
      <c r="N1421" s="25" t="s">
        <v>51</v>
      </c>
      <c r="O1421" s="26"/>
      <c r="P1421" s="26" t="s">
        <v>1280</v>
      </c>
      <c r="Q1421" s="26"/>
      <c r="R1421" s="5"/>
      <c r="S1421" s="5"/>
      <c r="T1421" s="5"/>
      <c r="U1421" s="5"/>
      <c r="V1421" s="5"/>
      <c r="W1421" s="5"/>
      <c r="X1421" s="5"/>
      <c r="Y1421" s="5"/>
    </row>
    <row r="1422" spans="13:25" ht="44">
      <c r="M1422" s="26" t="s">
        <v>59</v>
      </c>
      <c r="N1422" s="25" t="s">
        <v>51</v>
      </c>
      <c r="O1422" s="26"/>
      <c r="P1422" s="26" t="s">
        <v>1161</v>
      </c>
      <c r="Q1422" s="26"/>
      <c r="R1422" s="5"/>
      <c r="S1422" s="5"/>
      <c r="T1422" s="5"/>
      <c r="U1422" s="5"/>
      <c r="V1422" s="5"/>
      <c r="W1422" s="5"/>
      <c r="X1422" s="5"/>
      <c r="Y1422" s="5"/>
    </row>
    <row r="1423" spans="13:25" ht="44">
      <c r="M1423" s="26" t="s">
        <v>59</v>
      </c>
      <c r="N1423" s="25" t="s">
        <v>51</v>
      </c>
      <c r="O1423" s="26"/>
      <c r="P1423" s="26" t="s">
        <v>1162</v>
      </c>
      <c r="Q1423" s="26"/>
      <c r="R1423" s="5"/>
      <c r="S1423" s="5"/>
      <c r="T1423" s="5"/>
      <c r="U1423" s="5"/>
      <c r="V1423" s="5"/>
      <c r="W1423" s="5"/>
      <c r="X1423" s="5"/>
      <c r="Y1423" s="5"/>
    </row>
    <row r="1424" spans="13:25" ht="33">
      <c r="M1424" s="26" t="s">
        <v>59</v>
      </c>
      <c r="N1424" s="25" t="s">
        <v>51</v>
      </c>
      <c r="O1424" s="26"/>
      <c r="P1424" s="26" t="s">
        <v>1281</v>
      </c>
      <c r="Q1424" s="26"/>
      <c r="R1424" s="5"/>
      <c r="S1424" s="5"/>
      <c r="T1424" s="5"/>
      <c r="U1424" s="5"/>
      <c r="V1424" s="5"/>
      <c r="W1424" s="5"/>
      <c r="X1424" s="5"/>
      <c r="Y1424" s="5"/>
    </row>
    <row r="1425" spans="13:25" ht="33">
      <c r="M1425" s="26" t="s">
        <v>59</v>
      </c>
      <c r="N1425" s="25" t="s">
        <v>51</v>
      </c>
      <c r="O1425" s="26"/>
      <c r="P1425" s="26" t="s">
        <v>1138</v>
      </c>
      <c r="Q1425" s="26"/>
      <c r="R1425" s="5"/>
      <c r="S1425" s="5"/>
      <c r="T1425" s="5"/>
      <c r="U1425" s="5"/>
      <c r="V1425" s="5"/>
      <c r="W1425" s="5"/>
      <c r="X1425" s="5"/>
      <c r="Y1425" s="5"/>
    </row>
    <row r="1426" spans="13:25" ht="33">
      <c r="M1426" s="26" t="s">
        <v>59</v>
      </c>
      <c r="N1426" s="25" t="s">
        <v>51</v>
      </c>
      <c r="O1426" s="26"/>
      <c r="P1426" s="26" t="s">
        <v>1138</v>
      </c>
      <c r="Q1426" s="26"/>
      <c r="R1426" s="5"/>
      <c r="S1426" s="5"/>
      <c r="T1426" s="5"/>
      <c r="U1426" s="5"/>
      <c r="V1426" s="5"/>
      <c r="W1426" s="5"/>
      <c r="X1426" s="5"/>
      <c r="Y1426" s="5"/>
    </row>
    <row r="1427" spans="13:25" ht="33">
      <c r="M1427" s="26" t="s">
        <v>59</v>
      </c>
      <c r="N1427" s="25" t="s">
        <v>51</v>
      </c>
      <c r="O1427" s="26"/>
      <c r="P1427" s="26" t="s">
        <v>1246</v>
      </c>
      <c r="Q1427" s="26"/>
      <c r="R1427" s="5"/>
      <c r="S1427" s="5"/>
      <c r="T1427" s="5"/>
      <c r="U1427" s="5"/>
      <c r="V1427" s="5"/>
      <c r="W1427" s="5"/>
      <c r="X1427" s="5"/>
      <c r="Y1427" s="5"/>
    </row>
    <row r="1428" spans="13:25" ht="33">
      <c r="M1428" s="26" t="s">
        <v>59</v>
      </c>
      <c r="N1428" s="25" t="s">
        <v>51</v>
      </c>
      <c r="O1428" s="26"/>
      <c r="P1428" s="26" t="s">
        <v>1247</v>
      </c>
      <c r="Q1428" s="26"/>
      <c r="R1428" s="5"/>
      <c r="S1428" s="5"/>
      <c r="T1428" s="5"/>
      <c r="U1428" s="5"/>
      <c r="V1428" s="5"/>
      <c r="W1428" s="5"/>
      <c r="X1428" s="5"/>
      <c r="Y1428" s="5"/>
    </row>
    <row r="1429" spans="13:25" ht="44">
      <c r="M1429" s="26" t="s">
        <v>59</v>
      </c>
      <c r="N1429" s="25" t="s">
        <v>51</v>
      </c>
      <c r="O1429" s="26"/>
      <c r="P1429" s="26" t="s">
        <v>1282</v>
      </c>
      <c r="Q1429" s="26"/>
      <c r="R1429" s="5"/>
      <c r="S1429" s="5"/>
      <c r="T1429" s="5"/>
      <c r="U1429" s="5"/>
      <c r="V1429" s="5"/>
      <c r="W1429" s="5"/>
      <c r="X1429" s="5"/>
      <c r="Y1429" s="5"/>
    </row>
    <row r="1430" spans="13:25" ht="22">
      <c r="M1430" s="26" t="s">
        <v>59</v>
      </c>
      <c r="N1430" s="25" t="s">
        <v>51</v>
      </c>
      <c r="O1430" s="26"/>
      <c r="P1430" s="26" t="s">
        <v>1283</v>
      </c>
      <c r="Q1430" s="26"/>
      <c r="R1430" s="5"/>
      <c r="S1430" s="5"/>
      <c r="T1430" s="5"/>
      <c r="U1430" s="5"/>
      <c r="V1430" s="5"/>
      <c r="W1430" s="5"/>
      <c r="X1430" s="5"/>
      <c r="Y1430" s="5"/>
    </row>
    <row r="1431" spans="13:25" ht="22">
      <c r="M1431" s="26" t="s">
        <v>59</v>
      </c>
      <c r="N1431" s="25" t="s">
        <v>51</v>
      </c>
      <c r="O1431" s="26"/>
      <c r="P1431" s="26" t="s">
        <v>1284</v>
      </c>
      <c r="Q1431" s="26"/>
      <c r="R1431" s="5"/>
      <c r="S1431" s="5"/>
      <c r="T1431" s="5"/>
      <c r="U1431" s="5"/>
      <c r="V1431" s="5"/>
      <c r="W1431" s="5"/>
      <c r="X1431" s="5"/>
      <c r="Y1431" s="5"/>
    </row>
    <row r="1432" spans="13:25" ht="22">
      <c r="M1432" s="26" t="s">
        <v>59</v>
      </c>
      <c r="N1432" s="25" t="s">
        <v>57</v>
      </c>
      <c r="O1432" s="26"/>
      <c r="P1432" s="26" t="s">
        <v>1285</v>
      </c>
      <c r="Q1432" s="26"/>
      <c r="R1432" s="5"/>
      <c r="S1432" s="5"/>
      <c r="T1432" s="5"/>
      <c r="U1432" s="5"/>
      <c r="V1432" s="5"/>
      <c r="W1432" s="5"/>
      <c r="X1432" s="5"/>
      <c r="Y1432" s="5"/>
    </row>
    <row r="1433" spans="13:25" ht="22">
      <c r="M1433" s="26" t="s">
        <v>59</v>
      </c>
      <c r="N1433" s="25" t="s">
        <v>51</v>
      </c>
      <c r="O1433" s="26"/>
      <c r="P1433" s="26" t="s">
        <v>1286</v>
      </c>
      <c r="Q1433" s="26"/>
      <c r="R1433" s="5"/>
      <c r="S1433" s="5"/>
      <c r="T1433" s="5"/>
      <c r="U1433" s="5"/>
      <c r="V1433" s="5"/>
      <c r="W1433" s="5"/>
      <c r="X1433" s="5"/>
      <c r="Y1433" s="5"/>
    </row>
    <row r="1434" spans="13:25" ht="22">
      <c r="M1434" s="26" t="s">
        <v>59</v>
      </c>
      <c r="N1434" s="25" t="s">
        <v>51</v>
      </c>
      <c r="O1434" s="26" t="s">
        <v>1287</v>
      </c>
      <c r="P1434" s="26"/>
      <c r="Q1434" s="26"/>
      <c r="R1434" s="5"/>
      <c r="S1434" s="5"/>
      <c r="T1434" s="5"/>
      <c r="U1434" s="5"/>
      <c r="V1434" s="5"/>
      <c r="W1434" s="5"/>
      <c r="X1434" s="5"/>
      <c r="Y1434" s="5"/>
    </row>
    <row r="1435" spans="13:25" ht="154">
      <c r="M1435" s="26" t="s">
        <v>59</v>
      </c>
      <c r="N1435" s="25" t="s">
        <v>51</v>
      </c>
      <c r="O1435" s="26"/>
      <c r="P1435" s="26" t="s">
        <v>1288</v>
      </c>
      <c r="Q1435" s="26"/>
      <c r="R1435" s="5"/>
      <c r="S1435" s="5"/>
      <c r="T1435" s="5"/>
      <c r="U1435" s="5"/>
      <c r="V1435" s="5"/>
      <c r="W1435" s="5"/>
      <c r="X1435" s="5"/>
      <c r="Y1435" s="5"/>
    </row>
    <row r="1436" spans="13:25" ht="55">
      <c r="M1436" s="26" t="s">
        <v>59</v>
      </c>
      <c r="N1436" s="25" t="s">
        <v>51</v>
      </c>
      <c r="O1436" s="26"/>
      <c r="P1436" s="26" t="s">
        <v>1089</v>
      </c>
      <c r="Q1436" s="26"/>
      <c r="R1436" s="5"/>
      <c r="S1436" s="5"/>
      <c r="T1436" s="5"/>
      <c r="U1436" s="5"/>
      <c r="V1436" s="5"/>
      <c r="W1436" s="5"/>
      <c r="X1436" s="5"/>
      <c r="Y1436" s="5"/>
    </row>
    <row r="1437" spans="13:25" ht="77">
      <c r="M1437" s="26" t="s">
        <v>59</v>
      </c>
      <c r="N1437" s="25" t="s">
        <v>51</v>
      </c>
      <c r="O1437" s="26"/>
      <c r="P1437" s="26" t="s">
        <v>1128</v>
      </c>
      <c r="Q1437" s="26"/>
      <c r="R1437" s="5"/>
      <c r="S1437" s="5"/>
      <c r="T1437" s="5"/>
      <c r="U1437" s="5"/>
      <c r="V1437" s="5"/>
      <c r="W1437" s="5"/>
      <c r="X1437" s="5"/>
      <c r="Y1437" s="5"/>
    </row>
    <row r="1438" spans="13:25" ht="77">
      <c r="M1438" s="26" t="s">
        <v>59</v>
      </c>
      <c r="N1438" s="25" t="s">
        <v>51</v>
      </c>
      <c r="O1438" s="26"/>
      <c r="P1438" s="26" t="s">
        <v>1289</v>
      </c>
      <c r="Q1438" s="26"/>
      <c r="R1438" s="5"/>
      <c r="S1438" s="5"/>
      <c r="T1438" s="5"/>
      <c r="U1438" s="5"/>
      <c r="V1438" s="5"/>
      <c r="W1438" s="5"/>
      <c r="X1438" s="5"/>
      <c r="Y1438" s="5"/>
    </row>
    <row r="1439" spans="13:25" ht="77">
      <c r="M1439" s="26" t="s">
        <v>59</v>
      </c>
      <c r="N1439" s="25" t="s">
        <v>51</v>
      </c>
      <c r="O1439" s="26"/>
      <c r="P1439" s="26" t="s">
        <v>1290</v>
      </c>
      <c r="Q1439" s="26"/>
      <c r="R1439" s="5"/>
      <c r="S1439" s="5"/>
      <c r="T1439" s="5"/>
      <c r="U1439" s="5"/>
      <c r="V1439" s="5"/>
      <c r="W1439" s="5"/>
      <c r="X1439" s="5"/>
      <c r="Y1439" s="5"/>
    </row>
    <row r="1440" spans="13:25" ht="77">
      <c r="M1440" s="26" t="s">
        <v>59</v>
      </c>
      <c r="N1440" s="25" t="s">
        <v>51</v>
      </c>
      <c r="O1440" s="26"/>
      <c r="P1440" s="26" t="s">
        <v>1291</v>
      </c>
      <c r="Q1440" s="26"/>
      <c r="R1440" s="5"/>
      <c r="S1440" s="5"/>
      <c r="T1440" s="5"/>
      <c r="U1440" s="5"/>
      <c r="V1440" s="5"/>
      <c r="W1440" s="5"/>
      <c r="X1440" s="5"/>
      <c r="Y1440" s="5"/>
    </row>
    <row r="1441" spans="13:25" ht="77">
      <c r="M1441" s="26" t="s">
        <v>59</v>
      </c>
      <c r="N1441" s="25" t="s">
        <v>51</v>
      </c>
      <c r="O1441" s="26"/>
      <c r="P1441" s="26" t="s">
        <v>1292</v>
      </c>
      <c r="Q1441" s="26"/>
      <c r="R1441" s="5"/>
      <c r="S1441" s="5"/>
      <c r="T1441" s="5"/>
      <c r="U1441" s="5"/>
      <c r="V1441" s="5"/>
      <c r="W1441" s="5"/>
      <c r="X1441" s="5"/>
      <c r="Y1441" s="5"/>
    </row>
    <row r="1442" spans="13:25" ht="66">
      <c r="M1442" s="26" t="s">
        <v>59</v>
      </c>
      <c r="N1442" s="25" t="s">
        <v>51</v>
      </c>
      <c r="O1442" s="26"/>
      <c r="P1442" s="26" t="s">
        <v>1154</v>
      </c>
      <c r="Q1442" s="26"/>
      <c r="R1442" s="5"/>
      <c r="S1442" s="5"/>
      <c r="T1442" s="5"/>
      <c r="U1442" s="5"/>
      <c r="V1442" s="5"/>
      <c r="W1442" s="5"/>
      <c r="X1442" s="5"/>
      <c r="Y1442" s="5"/>
    </row>
    <row r="1443" spans="13:25" ht="33">
      <c r="M1443" s="26" t="s">
        <v>59</v>
      </c>
      <c r="N1443" s="25" t="s">
        <v>51</v>
      </c>
      <c r="O1443" s="26"/>
      <c r="P1443" s="26" t="s">
        <v>983</v>
      </c>
      <c r="Q1443" s="26"/>
      <c r="R1443" s="5"/>
      <c r="S1443" s="5"/>
      <c r="T1443" s="5"/>
      <c r="U1443" s="5"/>
      <c r="V1443" s="5"/>
      <c r="W1443" s="5"/>
      <c r="X1443" s="5"/>
      <c r="Y1443" s="5"/>
    </row>
    <row r="1444" spans="13:25" ht="66">
      <c r="M1444" s="26" t="s">
        <v>59</v>
      </c>
      <c r="N1444" s="25" t="s">
        <v>51</v>
      </c>
      <c r="O1444" s="26"/>
      <c r="P1444" s="26" t="s">
        <v>1115</v>
      </c>
      <c r="Q1444" s="26"/>
      <c r="R1444" s="5"/>
      <c r="S1444" s="5"/>
      <c r="T1444" s="5"/>
      <c r="U1444" s="5"/>
      <c r="V1444" s="5"/>
      <c r="W1444" s="5"/>
      <c r="X1444" s="5"/>
      <c r="Y1444" s="5"/>
    </row>
    <row r="1445" spans="13:25" ht="33">
      <c r="M1445" s="26" t="s">
        <v>59</v>
      </c>
      <c r="N1445" s="25" t="s">
        <v>51</v>
      </c>
      <c r="O1445" s="26"/>
      <c r="P1445" s="26" t="s">
        <v>1293</v>
      </c>
      <c r="Q1445" s="26"/>
      <c r="R1445" s="5"/>
      <c r="S1445" s="5"/>
      <c r="T1445" s="5"/>
      <c r="U1445" s="5"/>
      <c r="V1445" s="5"/>
      <c r="W1445" s="5"/>
      <c r="X1445" s="5"/>
      <c r="Y1445" s="5"/>
    </row>
    <row r="1446" spans="13:25" ht="22">
      <c r="M1446" s="26" t="s">
        <v>59</v>
      </c>
      <c r="N1446" s="25" t="s">
        <v>51</v>
      </c>
      <c r="O1446" s="26"/>
      <c r="P1446" s="26" t="s">
        <v>1294</v>
      </c>
      <c r="Q1446" s="26"/>
      <c r="R1446" s="5"/>
      <c r="S1446" s="5"/>
      <c r="T1446" s="5"/>
      <c r="U1446" s="5"/>
      <c r="V1446" s="5"/>
      <c r="W1446" s="5"/>
      <c r="X1446" s="5"/>
      <c r="Y1446" s="5"/>
    </row>
    <row r="1447" spans="13:25" ht="66">
      <c r="M1447" s="26" t="s">
        <v>59</v>
      </c>
      <c r="N1447" s="25" t="s">
        <v>51</v>
      </c>
      <c r="O1447" s="26"/>
      <c r="P1447" s="26" t="s">
        <v>1217</v>
      </c>
      <c r="Q1447" s="26"/>
      <c r="R1447" s="5"/>
      <c r="S1447" s="5"/>
      <c r="T1447" s="5"/>
      <c r="U1447" s="5"/>
      <c r="V1447" s="5"/>
      <c r="W1447" s="5"/>
      <c r="X1447" s="5"/>
      <c r="Y1447" s="5"/>
    </row>
    <row r="1448" spans="13:25" ht="66">
      <c r="M1448" s="26" t="s">
        <v>59</v>
      </c>
      <c r="N1448" s="25" t="s">
        <v>51</v>
      </c>
      <c r="O1448" s="26"/>
      <c r="P1448" s="26" t="s">
        <v>1217</v>
      </c>
      <c r="Q1448" s="26"/>
      <c r="R1448" s="5"/>
      <c r="S1448" s="5"/>
      <c r="T1448" s="5"/>
      <c r="U1448" s="5"/>
      <c r="V1448" s="5"/>
      <c r="W1448" s="5"/>
      <c r="X1448" s="5"/>
      <c r="Y1448" s="5"/>
    </row>
    <row r="1449" spans="13:25" ht="66">
      <c r="M1449" s="26" t="s">
        <v>59</v>
      </c>
      <c r="N1449" s="25" t="s">
        <v>51</v>
      </c>
      <c r="O1449" s="26"/>
      <c r="P1449" s="26" t="s">
        <v>1236</v>
      </c>
      <c r="Q1449" s="26"/>
      <c r="R1449" s="5"/>
      <c r="S1449" s="5"/>
      <c r="T1449" s="5"/>
      <c r="U1449" s="5"/>
      <c r="V1449" s="5"/>
      <c r="W1449" s="5"/>
      <c r="X1449" s="5"/>
      <c r="Y1449" s="5"/>
    </row>
    <row r="1450" spans="13:25" ht="66">
      <c r="M1450" s="26" t="s">
        <v>59</v>
      </c>
      <c r="N1450" s="25" t="s">
        <v>51</v>
      </c>
      <c r="O1450" s="26"/>
      <c r="P1450" s="26" t="s">
        <v>1295</v>
      </c>
      <c r="Q1450" s="26"/>
      <c r="R1450" s="5"/>
      <c r="S1450" s="5"/>
      <c r="T1450" s="5"/>
      <c r="U1450" s="5"/>
      <c r="V1450" s="5"/>
      <c r="W1450" s="5"/>
      <c r="X1450" s="5"/>
      <c r="Y1450" s="5"/>
    </row>
    <row r="1451" spans="13:25" ht="33">
      <c r="M1451" s="26" t="s">
        <v>59</v>
      </c>
      <c r="N1451" s="25" t="s">
        <v>51</v>
      </c>
      <c r="O1451" s="26"/>
      <c r="P1451" s="26" t="s">
        <v>1157</v>
      </c>
      <c r="Q1451" s="26"/>
      <c r="R1451" s="5"/>
      <c r="S1451" s="5"/>
      <c r="T1451" s="5"/>
      <c r="U1451" s="5"/>
      <c r="V1451" s="5"/>
      <c r="W1451" s="5"/>
      <c r="X1451" s="5"/>
      <c r="Y1451" s="5"/>
    </row>
    <row r="1452" spans="13:25" ht="44">
      <c r="M1452" s="26" t="s">
        <v>59</v>
      </c>
      <c r="N1452" s="25" t="s">
        <v>51</v>
      </c>
      <c r="O1452" s="26"/>
      <c r="P1452" s="26" t="s">
        <v>1158</v>
      </c>
      <c r="Q1452" s="26"/>
      <c r="R1452" s="5"/>
      <c r="S1452" s="5"/>
      <c r="T1452" s="5"/>
      <c r="U1452" s="5"/>
      <c r="V1452" s="5"/>
      <c r="W1452" s="5"/>
      <c r="X1452" s="5"/>
      <c r="Y1452" s="5"/>
    </row>
    <row r="1453" spans="13:25" ht="55">
      <c r="M1453" s="26" t="s">
        <v>59</v>
      </c>
      <c r="N1453" s="25" t="s">
        <v>51</v>
      </c>
      <c r="O1453" s="26"/>
      <c r="P1453" s="26" t="s">
        <v>1075</v>
      </c>
      <c r="Q1453" s="26"/>
      <c r="R1453" s="5"/>
      <c r="S1453" s="5"/>
      <c r="T1453" s="5"/>
      <c r="U1453" s="5"/>
      <c r="V1453" s="5"/>
      <c r="W1453" s="5"/>
      <c r="X1453" s="5"/>
      <c r="Y1453" s="5"/>
    </row>
    <row r="1454" spans="13:25" ht="55">
      <c r="M1454" s="26" t="s">
        <v>59</v>
      </c>
      <c r="N1454" s="25" t="s">
        <v>51</v>
      </c>
      <c r="O1454" s="26"/>
      <c r="P1454" s="26" t="s">
        <v>1095</v>
      </c>
      <c r="Q1454" s="26"/>
      <c r="R1454" s="5"/>
      <c r="S1454" s="5"/>
      <c r="T1454" s="5"/>
      <c r="U1454" s="5"/>
      <c r="V1454" s="5"/>
      <c r="W1454" s="5"/>
      <c r="X1454" s="5"/>
      <c r="Y1454" s="5"/>
    </row>
    <row r="1455" spans="13:25" ht="55">
      <c r="M1455" s="26" t="s">
        <v>59</v>
      </c>
      <c r="N1455" s="25" t="s">
        <v>51</v>
      </c>
      <c r="O1455" s="26"/>
      <c r="P1455" s="26" t="s">
        <v>1296</v>
      </c>
      <c r="Q1455" s="26"/>
      <c r="R1455" s="5"/>
      <c r="S1455" s="5"/>
      <c r="T1455" s="5"/>
      <c r="U1455" s="5"/>
      <c r="V1455" s="5"/>
      <c r="W1455" s="5"/>
      <c r="X1455" s="5"/>
      <c r="Y1455" s="5"/>
    </row>
    <row r="1456" spans="13:25" ht="88">
      <c r="M1456" s="26" t="s">
        <v>59</v>
      </c>
      <c r="N1456" s="25" t="s">
        <v>51</v>
      </c>
      <c r="O1456" s="26"/>
      <c r="P1456" s="26" t="s">
        <v>1097</v>
      </c>
      <c r="Q1456" s="26"/>
      <c r="R1456" s="5"/>
      <c r="S1456" s="5"/>
      <c r="T1456" s="5"/>
      <c r="U1456" s="5"/>
      <c r="V1456" s="5"/>
      <c r="W1456" s="5"/>
      <c r="X1456" s="5"/>
      <c r="Y1456" s="5"/>
    </row>
    <row r="1457" spans="13:25" ht="88">
      <c r="M1457" s="26" t="s">
        <v>59</v>
      </c>
      <c r="N1457" s="25" t="s">
        <v>51</v>
      </c>
      <c r="O1457" s="26"/>
      <c r="P1457" s="26" t="s">
        <v>1134</v>
      </c>
      <c r="Q1457" s="26"/>
      <c r="R1457" s="5"/>
      <c r="S1457" s="5"/>
      <c r="T1457" s="5"/>
      <c r="U1457" s="5"/>
      <c r="V1457" s="5"/>
      <c r="W1457" s="5"/>
      <c r="X1457" s="5"/>
      <c r="Y1457" s="5"/>
    </row>
    <row r="1458" spans="13:25" ht="88">
      <c r="M1458" s="26" t="s">
        <v>59</v>
      </c>
      <c r="N1458" s="25" t="s">
        <v>51</v>
      </c>
      <c r="O1458" s="26"/>
      <c r="P1458" s="26" t="s">
        <v>1097</v>
      </c>
      <c r="Q1458" s="26"/>
      <c r="R1458" s="5"/>
      <c r="S1458" s="5"/>
      <c r="T1458" s="5"/>
      <c r="U1458" s="5"/>
      <c r="V1458" s="5"/>
      <c r="W1458" s="5"/>
      <c r="X1458" s="5"/>
      <c r="Y1458" s="5"/>
    </row>
    <row r="1459" spans="13:25" ht="88">
      <c r="M1459" s="26" t="s">
        <v>59</v>
      </c>
      <c r="N1459" s="25" t="s">
        <v>51</v>
      </c>
      <c r="O1459" s="26"/>
      <c r="P1459" s="26" t="s">
        <v>1097</v>
      </c>
      <c r="Q1459" s="26"/>
      <c r="R1459" s="5"/>
      <c r="S1459" s="5"/>
      <c r="T1459" s="5"/>
      <c r="U1459" s="5"/>
      <c r="V1459" s="5"/>
      <c r="W1459" s="5"/>
      <c r="X1459" s="5"/>
      <c r="Y1459" s="5"/>
    </row>
    <row r="1460" spans="13:25" ht="88">
      <c r="M1460" s="26" t="s">
        <v>59</v>
      </c>
      <c r="N1460" s="25" t="s">
        <v>51</v>
      </c>
      <c r="O1460" s="26"/>
      <c r="P1460" s="26" t="s">
        <v>1297</v>
      </c>
      <c r="Q1460" s="26"/>
      <c r="R1460" s="5"/>
      <c r="S1460" s="5"/>
      <c r="T1460" s="5"/>
      <c r="U1460" s="5"/>
      <c r="V1460" s="5"/>
      <c r="W1460" s="5"/>
      <c r="X1460" s="5"/>
      <c r="Y1460" s="5"/>
    </row>
    <row r="1461" spans="13:25" ht="22">
      <c r="M1461" s="26" t="s">
        <v>59</v>
      </c>
      <c r="N1461" s="25" t="s">
        <v>51</v>
      </c>
      <c r="O1461" s="26"/>
      <c r="P1461" s="26" t="s">
        <v>1163</v>
      </c>
      <c r="Q1461" s="26"/>
      <c r="R1461" s="5"/>
      <c r="S1461" s="5"/>
      <c r="T1461" s="5"/>
      <c r="U1461" s="5"/>
      <c r="V1461" s="5"/>
      <c r="W1461" s="5"/>
      <c r="X1461" s="5"/>
      <c r="Y1461" s="5"/>
    </row>
    <row r="1462" spans="13:25" ht="22">
      <c r="M1462" s="26" t="s">
        <v>59</v>
      </c>
      <c r="N1462" s="25" t="s">
        <v>51</v>
      </c>
      <c r="O1462" s="26"/>
      <c r="P1462" s="26" t="s">
        <v>1164</v>
      </c>
      <c r="Q1462" s="26"/>
      <c r="R1462" s="5"/>
      <c r="S1462" s="5"/>
      <c r="T1462" s="5"/>
      <c r="U1462" s="5"/>
      <c r="V1462" s="5"/>
      <c r="W1462" s="5"/>
      <c r="X1462" s="5"/>
      <c r="Y1462" s="5"/>
    </row>
    <row r="1463" spans="13:25" ht="33">
      <c r="M1463" s="26" t="s">
        <v>59</v>
      </c>
      <c r="N1463" s="25" t="s">
        <v>51</v>
      </c>
      <c r="O1463" s="26"/>
      <c r="P1463" s="26" t="s">
        <v>1138</v>
      </c>
      <c r="Q1463" s="26"/>
      <c r="R1463" s="5"/>
      <c r="S1463" s="5"/>
      <c r="T1463" s="5"/>
      <c r="U1463" s="5"/>
      <c r="V1463" s="5"/>
      <c r="W1463" s="5"/>
      <c r="X1463" s="5"/>
      <c r="Y1463" s="5"/>
    </row>
    <row r="1464" spans="13:25" ht="33">
      <c r="M1464" s="26" t="s">
        <v>59</v>
      </c>
      <c r="N1464" s="25" t="s">
        <v>51</v>
      </c>
      <c r="O1464" s="26"/>
      <c r="P1464" s="26" t="s">
        <v>1298</v>
      </c>
      <c r="Q1464" s="26"/>
      <c r="R1464" s="5"/>
      <c r="S1464" s="5"/>
      <c r="T1464" s="5"/>
      <c r="U1464" s="5"/>
      <c r="V1464" s="5"/>
      <c r="W1464" s="5"/>
      <c r="X1464" s="5"/>
      <c r="Y1464" s="5"/>
    </row>
    <row r="1465" spans="13:25" ht="33">
      <c r="M1465" s="26" t="s">
        <v>59</v>
      </c>
      <c r="N1465" s="25" t="s">
        <v>51</v>
      </c>
      <c r="O1465" s="26"/>
      <c r="P1465" s="26" t="s">
        <v>1138</v>
      </c>
      <c r="Q1465" s="26"/>
      <c r="R1465" s="5"/>
      <c r="S1465" s="5"/>
      <c r="T1465" s="5"/>
      <c r="U1465" s="5"/>
      <c r="V1465" s="5"/>
      <c r="W1465" s="5"/>
      <c r="X1465" s="5"/>
      <c r="Y1465" s="5"/>
    </row>
    <row r="1466" spans="13:25" ht="44">
      <c r="M1466" s="26" t="s">
        <v>59</v>
      </c>
      <c r="N1466" s="25" t="s">
        <v>51</v>
      </c>
      <c r="O1466" s="26"/>
      <c r="P1466" s="26" t="s">
        <v>1299</v>
      </c>
      <c r="Q1466" s="26"/>
      <c r="R1466" s="5"/>
      <c r="S1466" s="5"/>
      <c r="T1466" s="5"/>
      <c r="U1466" s="5"/>
      <c r="V1466" s="5"/>
      <c r="W1466" s="5"/>
      <c r="X1466" s="5"/>
      <c r="Y1466" s="5"/>
    </row>
    <row r="1467" spans="13:25" ht="99">
      <c r="M1467" s="26" t="s">
        <v>59</v>
      </c>
      <c r="N1467" s="25" t="s">
        <v>51</v>
      </c>
      <c r="O1467" s="26"/>
      <c r="P1467" s="26" t="s">
        <v>1100</v>
      </c>
      <c r="Q1467" s="26"/>
      <c r="R1467" s="5"/>
      <c r="S1467" s="5"/>
      <c r="T1467" s="5"/>
      <c r="U1467" s="5"/>
      <c r="V1467" s="5"/>
      <c r="W1467" s="5"/>
      <c r="X1467" s="5"/>
      <c r="Y1467" s="5"/>
    </row>
    <row r="1468" spans="13:25" ht="33">
      <c r="M1468" s="26" t="s">
        <v>59</v>
      </c>
      <c r="N1468" s="25" t="s">
        <v>51</v>
      </c>
      <c r="O1468" s="26"/>
      <c r="P1468" s="26" t="s">
        <v>1167</v>
      </c>
      <c r="Q1468" s="26"/>
      <c r="R1468" s="5"/>
      <c r="S1468" s="5"/>
      <c r="T1468" s="5"/>
      <c r="U1468" s="5"/>
      <c r="V1468" s="5"/>
      <c r="W1468" s="5"/>
      <c r="X1468" s="5"/>
      <c r="Y1468" s="5"/>
    </row>
    <row r="1469" spans="13:25" ht="33">
      <c r="M1469" s="26" t="s">
        <v>59</v>
      </c>
      <c r="N1469" s="25" t="s">
        <v>51</v>
      </c>
      <c r="O1469" s="26"/>
      <c r="P1469" s="26" t="s">
        <v>1176</v>
      </c>
      <c r="Q1469" s="26"/>
      <c r="R1469" s="5"/>
      <c r="S1469" s="5"/>
      <c r="T1469" s="5"/>
      <c r="U1469" s="5"/>
      <c r="V1469" s="5"/>
      <c r="W1469" s="5"/>
      <c r="X1469" s="5"/>
      <c r="Y1469" s="5"/>
    </row>
    <row r="1470" spans="13:25" ht="33">
      <c r="M1470" s="26" t="s">
        <v>59</v>
      </c>
      <c r="N1470" s="25" t="s">
        <v>51</v>
      </c>
      <c r="O1470" s="26"/>
      <c r="P1470" s="26" t="s">
        <v>1177</v>
      </c>
      <c r="Q1470" s="26"/>
      <c r="R1470" s="5"/>
      <c r="S1470" s="5"/>
      <c r="T1470" s="5"/>
      <c r="U1470" s="5"/>
      <c r="V1470" s="5"/>
      <c r="W1470" s="5"/>
      <c r="X1470" s="5"/>
      <c r="Y1470" s="5"/>
    </row>
    <row r="1471" spans="13:25" ht="22">
      <c r="M1471" s="26" t="s">
        <v>59</v>
      </c>
      <c r="N1471" s="25" t="s">
        <v>51</v>
      </c>
      <c r="O1471" s="26"/>
      <c r="P1471" s="26" t="s">
        <v>1105</v>
      </c>
      <c r="Q1471" s="26"/>
      <c r="R1471" s="5"/>
      <c r="S1471" s="5"/>
      <c r="T1471" s="5"/>
      <c r="U1471" s="5"/>
      <c r="V1471" s="5"/>
      <c r="W1471" s="5"/>
      <c r="X1471" s="5"/>
      <c r="Y1471" s="5"/>
    </row>
    <row r="1472" spans="13:25" ht="22">
      <c r="M1472" s="26" t="s">
        <v>59</v>
      </c>
      <c r="N1472" s="25" t="s">
        <v>51</v>
      </c>
      <c r="O1472" s="26"/>
      <c r="P1472" s="26" t="s">
        <v>1105</v>
      </c>
      <c r="Q1472" s="26"/>
      <c r="R1472" s="5"/>
      <c r="S1472" s="5"/>
      <c r="T1472" s="5"/>
      <c r="U1472" s="5"/>
      <c r="V1472" s="5"/>
      <c r="W1472" s="5"/>
      <c r="X1472" s="5"/>
      <c r="Y1472" s="5"/>
    </row>
    <row r="1473" spans="13:25" ht="33">
      <c r="M1473" s="26" t="s">
        <v>59</v>
      </c>
      <c r="N1473" s="25" t="s">
        <v>51</v>
      </c>
      <c r="O1473" s="26"/>
      <c r="P1473" s="26" t="s">
        <v>1170</v>
      </c>
      <c r="Q1473" s="26"/>
      <c r="R1473" s="5"/>
      <c r="S1473" s="5"/>
      <c r="T1473" s="5"/>
      <c r="U1473" s="5"/>
      <c r="V1473" s="5"/>
      <c r="W1473" s="5"/>
      <c r="X1473" s="5"/>
      <c r="Y1473" s="5"/>
    </row>
    <row r="1474" spans="13:25" ht="22">
      <c r="M1474" s="26" t="s">
        <v>59</v>
      </c>
      <c r="N1474" s="25" t="s">
        <v>51</v>
      </c>
      <c r="O1474" s="26"/>
      <c r="P1474" s="26" t="s">
        <v>1300</v>
      </c>
      <c r="Q1474" s="26"/>
      <c r="R1474" s="5"/>
      <c r="S1474" s="5"/>
      <c r="T1474" s="5"/>
      <c r="U1474" s="5"/>
      <c r="V1474" s="5"/>
      <c r="W1474" s="5"/>
      <c r="X1474" s="5"/>
      <c r="Y1474" s="5"/>
    </row>
    <row r="1475" spans="13:25" ht="22">
      <c r="M1475" s="26" t="s">
        <v>59</v>
      </c>
      <c r="N1475" s="25" t="s">
        <v>51</v>
      </c>
      <c r="O1475" s="26"/>
      <c r="P1475" s="26" t="s">
        <v>1301</v>
      </c>
      <c r="Q1475" s="26"/>
      <c r="R1475" s="5"/>
      <c r="S1475" s="5"/>
      <c r="T1475" s="5"/>
      <c r="U1475" s="5"/>
      <c r="V1475" s="5"/>
      <c r="W1475" s="5"/>
      <c r="X1475" s="5"/>
      <c r="Y1475" s="5"/>
    </row>
    <row r="1476" spans="13:25" ht="22">
      <c r="M1476" s="26" t="s">
        <v>59</v>
      </c>
      <c r="N1476" s="25" t="s">
        <v>51</v>
      </c>
      <c r="O1476" s="26"/>
      <c r="P1476" s="26" t="s">
        <v>1302</v>
      </c>
      <c r="Q1476" s="26"/>
      <c r="R1476" s="5"/>
      <c r="S1476" s="5"/>
      <c r="T1476" s="5"/>
      <c r="U1476" s="5"/>
      <c r="V1476" s="5"/>
      <c r="W1476" s="5"/>
      <c r="X1476" s="5"/>
      <c r="Y1476" s="5"/>
    </row>
    <row r="1477" spans="13:25" ht="22">
      <c r="M1477" s="26" t="s">
        <v>59</v>
      </c>
      <c r="N1477" s="25" t="s">
        <v>51</v>
      </c>
      <c r="O1477" s="26"/>
      <c r="P1477" s="26" t="s">
        <v>1303</v>
      </c>
      <c r="Q1477" s="26"/>
      <c r="R1477" s="5"/>
      <c r="S1477" s="5"/>
      <c r="T1477" s="5"/>
      <c r="U1477" s="5"/>
      <c r="V1477" s="5"/>
      <c r="W1477" s="5"/>
      <c r="X1477" s="5"/>
      <c r="Y1477" s="5"/>
    </row>
    <row r="1478" spans="13:25" ht="22">
      <c r="M1478" s="26" t="s">
        <v>59</v>
      </c>
      <c r="N1478" s="25" t="s">
        <v>51</v>
      </c>
      <c r="O1478" s="26"/>
      <c r="P1478" s="26" t="s">
        <v>1304</v>
      </c>
      <c r="Q1478" s="26"/>
      <c r="R1478" s="5"/>
      <c r="S1478" s="5"/>
      <c r="T1478" s="5"/>
      <c r="U1478" s="5"/>
      <c r="V1478" s="5"/>
      <c r="W1478" s="5"/>
      <c r="X1478" s="5"/>
      <c r="Y1478" s="5"/>
    </row>
    <row r="1479" spans="13:25" ht="22">
      <c r="M1479" s="26" t="s">
        <v>59</v>
      </c>
      <c r="N1479" s="25" t="s">
        <v>51</v>
      </c>
      <c r="O1479" s="26"/>
      <c r="P1479" s="26" t="s">
        <v>1305</v>
      </c>
      <c r="Q1479" s="26"/>
      <c r="R1479" s="5"/>
      <c r="S1479" s="5"/>
      <c r="T1479" s="5"/>
      <c r="U1479" s="5"/>
      <c r="V1479" s="5"/>
      <c r="W1479" s="5"/>
      <c r="X1479" s="5"/>
      <c r="Y1479" s="5"/>
    </row>
    <row r="1480" spans="13:25" ht="22">
      <c r="M1480" s="26" t="s">
        <v>59</v>
      </c>
      <c r="N1480" s="25" t="s">
        <v>51</v>
      </c>
      <c r="O1480" s="26"/>
      <c r="P1480" s="26" t="s">
        <v>1306</v>
      </c>
      <c r="Q1480" s="26"/>
      <c r="R1480" s="5"/>
      <c r="S1480" s="5"/>
      <c r="T1480" s="5"/>
      <c r="U1480" s="5"/>
      <c r="V1480" s="5"/>
      <c r="W1480" s="5"/>
      <c r="X1480" s="5"/>
      <c r="Y1480" s="5"/>
    </row>
    <row r="1481" spans="13:25" ht="22">
      <c r="M1481" s="26" t="s">
        <v>59</v>
      </c>
      <c r="N1481" s="25" t="s">
        <v>57</v>
      </c>
      <c r="O1481" s="26"/>
      <c r="P1481" s="26" t="s">
        <v>1307</v>
      </c>
      <c r="Q1481" s="26"/>
      <c r="R1481" s="5"/>
      <c r="S1481" s="5"/>
      <c r="T1481" s="5"/>
      <c r="U1481" s="5"/>
      <c r="V1481" s="5"/>
      <c r="W1481" s="5"/>
      <c r="X1481" s="5"/>
      <c r="Y1481" s="5"/>
    </row>
    <row r="1482" spans="13:25" ht="33">
      <c r="M1482" s="26" t="s">
        <v>59</v>
      </c>
      <c r="N1482" s="25" t="s">
        <v>51</v>
      </c>
      <c r="O1482" s="26"/>
      <c r="P1482" s="26" t="s">
        <v>983</v>
      </c>
      <c r="Q1482" s="26"/>
      <c r="R1482" s="5"/>
      <c r="S1482" s="5"/>
      <c r="T1482" s="5"/>
      <c r="U1482" s="5"/>
      <c r="V1482" s="5"/>
      <c r="W1482" s="5"/>
      <c r="X1482" s="5"/>
      <c r="Y1482" s="5"/>
    </row>
    <row r="1483" spans="13:25" ht="99">
      <c r="M1483" s="26" t="s">
        <v>59</v>
      </c>
      <c r="N1483" s="25" t="s">
        <v>51</v>
      </c>
      <c r="O1483" s="26"/>
      <c r="P1483" s="26" t="s">
        <v>1222</v>
      </c>
      <c r="Q1483" s="26"/>
      <c r="R1483" s="5"/>
      <c r="S1483" s="5"/>
      <c r="T1483" s="5"/>
      <c r="U1483" s="5"/>
      <c r="V1483" s="5"/>
      <c r="W1483" s="5"/>
      <c r="X1483" s="5"/>
      <c r="Y1483" s="5"/>
    </row>
    <row r="1484" spans="13:25" ht="33">
      <c r="M1484" s="26" t="s">
        <v>59</v>
      </c>
      <c r="N1484" s="25" t="s">
        <v>51</v>
      </c>
      <c r="O1484" s="26"/>
      <c r="P1484" s="26" t="s">
        <v>1308</v>
      </c>
      <c r="Q1484" s="26"/>
      <c r="R1484" s="5"/>
      <c r="S1484" s="5"/>
      <c r="T1484" s="5"/>
      <c r="U1484" s="5"/>
      <c r="V1484" s="5"/>
      <c r="W1484" s="5"/>
      <c r="X1484" s="5"/>
      <c r="Y1484" s="5"/>
    </row>
    <row r="1485" spans="13:25" ht="99">
      <c r="M1485" s="26" t="s">
        <v>59</v>
      </c>
      <c r="N1485" s="25" t="s">
        <v>51</v>
      </c>
      <c r="O1485" s="26"/>
      <c r="P1485" s="26" t="s">
        <v>1222</v>
      </c>
      <c r="Q1485" s="26"/>
      <c r="R1485" s="5"/>
      <c r="S1485" s="5"/>
      <c r="T1485" s="5"/>
      <c r="U1485" s="5"/>
      <c r="V1485" s="5"/>
      <c r="W1485" s="5"/>
      <c r="X1485" s="5"/>
      <c r="Y1485" s="5"/>
    </row>
    <row r="1486" spans="13:25" ht="33">
      <c r="M1486" s="26" t="s">
        <v>59</v>
      </c>
      <c r="N1486" s="25" t="s">
        <v>51</v>
      </c>
      <c r="O1486" s="26"/>
      <c r="P1486" s="26" t="s">
        <v>1308</v>
      </c>
      <c r="Q1486" s="26"/>
      <c r="R1486" s="5"/>
      <c r="S1486" s="5"/>
      <c r="T1486" s="5"/>
      <c r="U1486" s="5"/>
      <c r="V1486" s="5"/>
      <c r="W1486" s="5"/>
      <c r="X1486" s="5"/>
      <c r="Y1486" s="5"/>
    </row>
    <row r="1487" spans="13:25" ht="22">
      <c r="M1487" s="26" t="s">
        <v>59</v>
      </c>
      <c r="N1487" s="25" t="s">
        <v>57</v>
      </c>
      <c r="O1487" s="26" t="s">
        <v>1309</v>
      </c>
      <c r="P1487" s="26"/>
      <c r="Q1487" s="26"/>
      <c r="R1487" s="5"/>
      <c r="S1487" s="5"/>
      <c r="T1487" s="5"/>
      <c r="U1487" s="5"/>
      <c r="V1487" s="5"/>
      <c r="W1487" s="5"/>
      <c r="X1487" s="5"/>
      <c r="Y1487" s="5"/>
    </row>
    <row r="1488" spans="13:25" ht="22">
      <c r="M1488" s="26" t="s">
        <v>59</v>
      </c>
      <c r="N1488" s="25" t="s">
        <v>57</v>
      </c>
      <c r="O1488" s="26" t="s">
        <v>1310</v>
      </c>
      <c r="P1488" s="26"/>
      <c r="Q1488" s="26"/>
      <c r="R1488" s="5"/>
      <c r="S1488" s="5"/>
      <c r="T1488" s="5"/>
      <c r="U1488" s="5"/>
      <c r="V1488" s="5"/>
      <c r="W1488" s="5"/>
      <c r="X1488" s="5"/>
      <c r="Y1488" s="5"/>
    </row>
    <row r="1489" spans="13:25" ht="22">
      <c r="M1489" s="26" t="s">
        <v>59</v>
      </c>
      <c r="N1489" s="25" t="s">
        <v>57</v>
      </c>
      <c r="O1489" s="26" t="s">
        <v>1311</v>
      </c>
      <c r="P1489" s="26"/>
      <c r="Q1489" s="26"/>
      <c r="R1489" s="5"/>
      <c r="S1489" s="5"/>
      <c r="T1489" s="5"/>
      <c r="U1489" s="5"/>
      <c r="V1489" s="5"/>
      <c r="W1489" s="5"/>
      <c r="X1489" s="5"/>
      <c r="Y1489" s="5"/>
    </row>
    <row r="1490" spans="13:25" ht="22">
      <c r="M1490" s="26" t="s">
        <v>59</v>
      </c>
      <c r="N1490" s="25" t="s">
        <v>57</v>
      </c>
      <c r="O1490" s="26" t="s">
        <v>1312</v>
      </c>
      <c r="P1490" s="26"/>
      <c r="Q1490" s="26"/>
      <c r="R1490" s="5"/>
      <c r="S1490" s="5"/>
      <c r="T1490" s="5"/>
      <c r="U1490" s="5"/>
      <c r="V1490" s="5"/>
      <c r="W1490" s="5"/>
      <c r="X1490" s="5"/>
      <c r="Y1490" s="5"/>
    </row>
    <row r="1491" spans="13:25" ht="22">
      <c r="M1491" s="26" t="s">
        <v>59</v>
      </c>
      <c r="N1491" s="25" t="s">
        <v>57</v>
      </c>
      <c r="O1491" s="26" t="s">
        <v>1313</v>
      </c>
      <c r="P1491" s="26"/>
      <c r="Q1491" s="26"/>
      <c r="R1491" s="5"/>
      <c r="S1491" s="5"/>
      <c r="T1491" s="5"/>
      <c r="U1491" s="5"/>
      <c r="V1491" s="5"/>
      <c r="W1491" s="5"/>
      <c r="X1491" s="5"/>
      <c r="Y1491" s="5"/>
    </row>
    <row r="1492" spans="13:25" ht="22">
      <c r="M1492" s="26" t="s">
        <v>59</v>
      </c>
      <c r="N1492" s="25" t="s">
        <v>57</v>
      </c>
      <c r="O1492" s="26" t="s">
        <v>1314</v>
      </c>
      <c r="P1492" s="26"/>
      <c r="Q1492" s="26"/>
      <c r="R1492" s="5"/>
      <c r="S1492" s="5"/>
      <c r="T1492" s="5"/>
      <c r="U1492" s="5"/>
      <c r="V1492" s="5"/>
      <c r="W1492" s="5"/>
      <c r="X1492" s="5"/>
      <c r="Y1492" s="5"/>
    </row>
    <row r="1493" spans="13:25" ht="22">
      <c r="M1493" s="26" t="s">
        <v>59</v>
      </c>
      <c r="N1493" s="25" t="s">
        <v>57</v>
      </c>
      <c r="O1493" s="26" t="s">
        <v>1315</v>
      </c>
      <c r="P1493" s="26"/>
      <c r="Q1493" s="26"/>
      <c r="R1493" s="5"/>
      <c r="S1493" s="5"/>
      <c r="T1493" s="5"/>
      <c r="U1493" s="5"/>
      <c r="V1493" s="5"/>
      <c r="W1493" s="5"/>
      <c r="X1493" s="5"/>
      <c r="Y1493" s="5"/>
    </row>
    <row r="1494" spans="13:25" ht="22">
      <c r="M1494" s="26" t="s">
        <v>59</v>
      </c>
      <c r="N1494" s="25" t="s">
        <v>57</v>
      </c>
      <c r="O1494" s="26" t="s">
        <v>1316</v>
      </c>
      <c r="P1494" s="26"/>
      <c r="Q1494" s="26"/>
      <c r="R1494" s="5"/>
      <c r="S1494" s="5"/>
      <c r="T1494" s="5"/>
      <c r="U1494" s="5"/>
      <c r="V1494" s="5"/>
      <c r="W1494" s="5"/>
      <c r="X1494" s="5"/>
      <c r="Y1494" s="5"/>
    </row>
    <row r="1495" spans="13:25" ht="22">
      <c r="M1495" s="26" t="s">
        <v>59</v>
      </c>
      <c r="N1495" s="25" t="s">
        <v>57</v>
      </c>
      <c r="O1495" s="26" t="s">
        <v>1317</v>
      </c>
      <c r="P1495" s="26"/>
      <c r="Q1495" s="26"/>
      <c r="R1495" s="5"/>
      <c r="S1495" s="5"/>
      <c r="T1495" s="5"/>
      <c r="U1495" s="5"/>
      <c r="V1495" s="5"/>
      <c r="W1495" s="5"/>
      <c r="X1495" s="5"/>
      <c r="Y1495" s="5"/>
    </row>
    <row r="1496" spans="13:25" ht="22">
      <c r="M1496" s="26" t="s">
        <v>59</v>
      </c>
      <c r="N1496" s="25" t="s">
        <v>51</v>
      </c>
      <c r="O1496" s="26" t="s">
        <v>1318</v>
      </c>
      <c r="P1496" s="26"/>
      <c r="Q1496" s="26"/>
      <c r="R1496" s="5"/>
      <c r="S1496" s="5"/>
      <c r="T1496" s="5"/>
      <c r="U1496" s="5"/>
      <c r="V1496" s="5"/>
      <c r="W1496" s="5"/>
      <c r="X1496" s="5"/>
      <c r="Y1496" s="5"/>
    </row>
    <row r="1497" spans="13:25" ht="154">
      <c r="M1497" s="26" t="s">
        <v>59</v>
      </c>
      <c r="N1497" s="25" t="s">
        <v>51</v>
      </c>
      <c r="O1497" s="26"/>
      <c r="P1497" s="26" t="s">
        <v>1319</v>
      </c>
      <c r="Q1497" s="26"/>
      <c r="R1497" s="5"/>
      <c r="S1497" s="5"/>
      <c r="T1497" s="5"/>
      <c r="U1497" s="5"/>
      <c r="V1497" s="5"/>
      <c r="W1497" s="5"/>
      <c r="X1497" s="5"/>
      <c r="Y1497" s="5"/>
    </row>
    <row r="1498" spans="13:25" ht="33">
      <c r="M1498" s="26" t="s">
        <v>59</v>
      </c>
      <c r="N1498" s="25" t="s">
        <v>51</v>
      </c>
      <c r="O1498" s="26"/>
      <c r="P1498" s="26" t="s">
        <v>983</v>
      </c>
      <c r="Q1498" s="26"/>
      <c r="R1498" s="5"/>
      <c r="S1498" s="5"/>
      <c r="T1498" s="5"/>
      <c r="U1498" s="5"/>
      <c r="V1498" s="5"/>
      <c r="W1498" s="5"/>
      <c r="X1498" s="5"/>
      <c r="Y1498" s="5"/>
    </row>
    <row r="1499" spans="13:25" ht="66">
      <c r="M1499" s="26" t="s">
        <v>59</v>
      </c>
      <c r="N1499" s="25" t="s">
        <v>51</v>
      </c>
      <c r="O1499" s="26"/>
      <c r="P1499" s="26" t="s">
        <v>1320</v>
      </c>
      <c r="Q1499" s="26"/>
      <c r="R1499" s="5"/>
      <c r="S1499" s="5"/>
      <c r="T1499" s="5"/>
      <c r="U1499" s="5"/>
      <c r="V1499" s="5"/>
      <c r="W1499" s="5"/>
      <c r="X1499" s="5"/>
      <c r="Y1499" s="5"/>
    </row>
    <row r="1500" spans="13:25" ht="44">
      <c r="M1500" s="26" t="s">
        <v>59</v>
      </c>
      <c r="N1500" s="25" t="s">
        <v>51</v>
      </c>
      <c r="O1500" s="26"/>
      <c r="P1500" s="26" t="s">
        <v>968</v>
      </c>
      <c r="Q1500" s="26"/>
      <c r="R1500" s="5"/>
      <c r="S1500" s="5"/>
      <c r="T1500" s="5"/>
      <c r="U1500" s="5"/>
      <c r="V1500" s="5"/>
      <c r="W1500" s="5"/>
      <c r="X1500" s="5"/>
      <c r="Y1500" s="5"/>
    </row>
    <row r="1501" spans="13:25" ht="55">
      <c r="M1501" s="26" t="s">
        <v>59</v>
      </c>
      <c r="N1501" s="25" t="s">
        <v>51</v>
      </c>
      <c r="O1501" s="26"/>
      <c r="P1501" s="26" t="s">
        <v>969</v>
      </c>
      <c r="Q1501" s="26"/>
      <c r="R1501" s="5"/>
      <c r="S1501" s="5"/>
      <c r="T1501" s="5"/>
      <c r="U1501" s="5"/>
      <c r="V1501" s="5"/>
      <c r="W1501" s="5"/>
      <c r="X1501" s="5"/>
      <c r="Y1501" s="5"/>
    </row>
    <row r="1502" spans="13:25" ht="22">
      <c r="M1502" s="26" t="s">
        <v>59</v>
      </c>
      <c r="N1502" s="25" t="s">
        <v>51</v>
      </c>
      <c r="O1502" s="26"/>
      <c r="P1502" s="26" t="s">
        <v>1321</v>
      </c>
      <c r="Q1502" s="26"/>
      <c r="R1502" s="5"/>
      <c r="S1502" s="5"/>
      <c r="T1502" s="5"/>
      <c r="U1502" s="5"/>
      <c r="V1502" s="5"/>
      <c r="W1502" s="5"/>
      <c r="X1502" s="5"/>
      <c r="Y1502" s="5"/>
    </row>
    <row r="1503" spans="13:25" ht="22">
      <c r="M1503" s="26" t="s">
        <v>59</v>
      </c>
      <c r="N1503" s="25" t="s">
        <v>51</v>
      </c>
      <c r="O1503" s="26"/>
      <c r="P1503" s="26" t="s">
        <v>1321</v>
      </c>
      <c r="Q1503" s="26"/>
      <c r="R1503" s="5"/>
      <c r="S1503" s="5"/>
      <c r="T1503" s="5"/>
      <c r="U1503" s="5"/>
      <c r="V1503" s="5"/>
      <c r="W1503" s="5"/>
      <c r="X1503" s="5"/>
      <c r="Y1503" s="5"/>
    </row>
    <row r="1504" spans="13:25" ht="22">
      <c r="M1504" s="26" t="s">
        <v>59</v>
      </c>
      <c r="N1504" s="25" t="s">
        <v>57</v>
      </c>
      <c r="O1504" s="26"/>
      <c r="P1504" s="26" t="s">
        <v>1322</v>
      </c>
      <c r="Q1504" s="26"/>
      <c r="R1504" s="5"/>
      <c r="S1504" s="5"/>
      <c r="T1504" s="5"/>
      <c r="U1504" s="5"/>
      <c r="V1504" s="5"/>
      <c r="W1504" s="5"/>
      <c r="X1504" s="5"/>
      <c r="Y1504" s="5"/>
    </row>
    <row r="1505" spans="13:25" ht="22">
      <c r="M1505" s="26" t="s">
        <v>59</v>
      </c>
      <c r="N1505" s="25" t="s">
        <v>57</v>
      </c>
      <c r="O1505" s="26" t="s">
        <v>1323</v>
      </c>
      <c r="P1505" s="26"/>
      <c r="Q1505" s="26"/>
      <c r="R1505" s="5"/>
      <c r="S1505" s="5"/>
      <c r="T1505" s="5"/>
      <c r="U1505" s="5"/>
      <c r="V1505" s="5"/>
      <c r="W1505" s="5"/>
      <c r="X1505" s="5"/>
      <c r="Y1505" s="5"/>
    </row>
    <row r="1506" spans="13:25" ht="22">
      <c r="M1506" s="26" t="s">
        <v>59</v>
      </c>
      <c r="N1506" s="25" t="s">
        <v>57</v>
      </c>
      <c r="O1506" s="26" t="s">
        <v>1324</v>
      </c>
      <c r="P1506" s="26"/>
      <c r="Q1506" s="26"/>
      <c r="R1506" s="5"/>
      <c r="S1506" s="5"/>
      <c r="T1506" s="5"/>
      <c r="U1506" s="5"/>
      <c r="V1506" s="5"/>
      <c r="W1506" s="5"/>
      <c r="X1506" s="5"/>
      <c r="Y1506" s="5"/>
    </row>
    <row r="1507" spans="13:25" ht="22">
      <c r="M1507" s="26" t="s">
        <v>59</v>
      </c>
      <c r="N1507" s="25" t="s">
        <v>51</v>
      </c>
      <c r="O1507" s="26" t="s">
        <v>1325</v>
      </c>
      <c r="P1507" s="26"/>
      <c r="Q1507" s="26"/>
      <c r="R1507" s="5"/>
      <c r="S1507" s="5"/>
      <c r="T1507" s="5"/>
      <c r="U1507" s="5"/>
      <c r="V1507" s="5"/>
      <c r="W1507" s="5"/>
      <c r="X1507" s="5"/>
      <c r="Y1507" s="5"/>
    </row>
    <row r="1508" spans="13:25" ht="55">
      <c r="M1508" s="26" t="s">
        <v>59</v>
      </c>
      <c r="N1508" s="25" t="s">
        <v>51</v>
      </c>
      <c r="O1508" s="26"/>
      <c r="P1508" s="26" t="s">
        <v>1273</v>
      </c>
      <c r="Q1508" s="26"/>
      <c r="R1508" s="5"/>
      <c r="S1508" s="5"/>
      <c r="T1508" s="5"/>
      <c r="U1508" s="5"/>
      <c r="V1508" s="5"/>
      <c r="W1508" s="5"/>
      <c r="X1508" s="5"/>
      <c r="Y1508" s="5"/>
    </row>
    <row r="1509" spans="13:25" ht="33">
      <c r="M1509" s="26" t="s">
        <v>59</v>
      </c>
      <c r="N1509" s="25" t="s">
        <v>51</v>
      </c>
      <c r="O1509" s="26"/>
      <c r="P1509" s="26" t="s">
        <v>966</v>
      </c>
      <c r="Q1509" s="26"/>
      <c r="R1509" s="5"/>
      <c r="S1509" s="5"/>
      <c r="T1509" s="5"/>
      <c r="U1509" s="5"/>
      <c r="V1509" s="5"/>
      <c r="W1509" s="5"/>
      <c r="X1509" s="5"/>
      <c r="Y1509" s="5"/>
    </row>
    <row r="1510" spans="13:25" ht="66">
      <c r="M1510" s="26" t="s">
        <v>59</v>
      </c>
      <c r="N1510" s="25" t="s">
        <v>51</v>
      </c>
      <c r="O1510" s="26"/>
      <c r="P1510" s="26" t="s">
        <v>1326</v>
      </c>
      <c r="Q1510" s="26"/>
      <c r="R1510" s="5"/>
      <c r="S1510" s="5"/>
      <c r="T1510" s="5"/>
      <c r="U1510" s="5"/>
      <c r="V1510" s="5"/>
      <c r="W1510" s="5"/>
      <c r="X1510" s="5"/>
      <c r="Y1510" s="5"/>
    </row>
    <row r="1511" spans="13:25" ht="22">
      <c r="M1511" s="26" t="s">
        <v>59</v>
      </c>
      <c r="N1511" s="25" t="s">
        <v>51</v>
      </c>
      <c r="O1511" s="26"/>
      <c r="P1511" s="26" t="s">
        <v>1278</v>
      </c>
      <c r="Q1511" s="26"/>
      <c r="R1511" s="5"/>
      <c r="S1511" s="5"/>
      <c r="T1511" s="5"/>
      <c r="U1511" s="5"/>
      <c r="V1511" s="5"/>
      <c r="W1511" s="5"/>
      <c r="X1511" s="5"/>
      <c r="Y1511" s="5"/>
    </row>
    <row r="1512" spans="13:25" ht="55">
      <c r="M1512" s="26" t="s">
        <v>59</v>
      </c>
      <c r="N1512" s="25" t="s">
        <v>51</v>
      </c>
      <c r="O1512" s="26"/>
      <c r="P1512" s="26" t="s">
        <v>1327</v>
      </c>
      <c r="Q1512" s="26"/>
      <c r="R1512" s="5"/>
      <c r="S1512" s="5"/>
      <c r="T1512" s="5"/>
      <c r="U1512" s="5"/>
      <c r="V1512" s="5"/>
      <c r="W1512" s="5"/>
      <c r="X1512" s="5"/>
      <c r="Y1512" s="5"/>
    </row>
    <row r="1513" spans="13:25" ht="22">
      <c r="M1513" s="26" t="s">
        <v>59</v>
      </c>
      <c r="N1513" s="25" t="s">
        <v>51</v>
      </c>
      <c r="O1513" s="26"/>
      <c r="P1513" s="26" t="s">
        <v>1286</v>
      </c>
      <c r="Q1513" s="26"/>
      <c r="R1513" s="5"/>
      <c r="S1513" s="5"/>
      <c r="T1513" s="5"/>
      <c r="U1513" s="5"/>
      <c r="V1513" s="5"/>
      <c r="W1513" s="5"/>
      <c r="X1513" s="5"/>
      <c r="Y1513" s="5"/>
    </row>
    <row r="1514" spans="13:25" ht="33">
      <c r="M1514" s="26" t="s">
        <v>59</v>
      </c>
      <c r="N1514" s="25" t="s">
        <v>51</v>
      </c>
      <c r="O1514" s="26"/>
      <c r="P1514" s="26" t="s">
        <v>1006</v>
      </c>
      <c r="Q1514" s="26"/>
      <c r="R1514" s="5"/>
      <c r="S1514" s="5"/>
      <c r="T1514" s="5"/>
      <c r="U1514" s="5"/>
      <c r="V1514" s="5"/>
      <c r="W1514" s="5"/>
      <c r="X1514" s="5"/>
      <c r="Y1514" s="5"/>
    </row>
    <row r="1515" spans="13:25" ht="22">
      <c r="M1515" s="26" t="s">
        <v>59</v>
      </c>
      <c r="N1515" s="25" t="s">
        <v>57</v>
      </c>
      <c r="O1515" s="26"/>
      <c r="P1515" s="26" t="s">
        <v>1328</v>
      </c>
      <c r="Q1515" s="26"/>
      <c r="R1515" s="5"/>
      <c r="S1515" s="5"/>
      <c r="T1515" s="5"/>
      <c r="U1515" s="5"/>
      <c r="V1515" s="5"/>
      <c r="W1515" s="5"/>
      <c r="X1515" s="5"/>
      <c r="Y1515" s="5"/>
    </row>
    <row r="1516" spans="13:25" ht="22">
      <c r="M1516" s="26" t="s">
        <v>59</v>
      </c>
      <c r="N1516" s="25" t="s">
        <v>57</v>
      </c>
      <c r="O1516" s="26" t="s">
        <v>1329</v>
      </c>
      <c r="P1516" s="26"/>
      <c r="Q1516" s="26"/>
      <c r="R1516" s="5"/>
      <c r="S1516" s="5"/>
      <c r="T1516" s="5"/>
      <c r="U1516" s="5"/>
      <c r="V1516" s="5"/>
      <c r="W1516" s="5"/>
      <c r="X1516" s="5"/>
      <c r="Y1516" s="5"/>
    </row>
    <row r="1517" spans="13:25" ht="22">
      <c r="M1517" s="26" t="s">
        <v>59</v>
      </c>
      <c r="N1517" s="25" t="s">
        <v>57</v>
      </c>
      <c r="O1517" s="26" t="s">
        <v>1330</v>
      </c>
      <c r="P1517" s="26"/>
      <c r="Q1517" s="26"/>
      <c r="R1517" s="5"/>
      <c r="S1517" s="5"/>
      <c r="T1517" s="5"/>
      <c r="U1517" s="5"/>
      <c r="V1517" s="5"/>
      <c r="W1517" s="5"/>
      <c r="X1517" s="5"/>
      <c r="Y1517" s="5"/>
    </row>
    <row r="1518" spans="13:25" ht="66">
      <c r="M1518" s="26" t="s">
        <v>59</v>
      </c>
      <c r="N1518" s="25" t="s">
        <v>65</v>
      </c>
      <c r="O1518" s="26" t="s">
        <v>1331</v>
      </c>
      <c r="P1518" s="26"/>
      <c r="Q1518" s="26"/>
      <c r="R1518" s="5"/>
      <c r="S1518" s="5"/>
      <c r="T1518" s="5"/>
      <c r="U1518" s="5"/>
      <c r="V1518" s="5"/>
      <c r="W1518" s="5"/>
      <c r="X1518" s="5"/>
      <c r="Y1518" s="5"/>
    </row>
    <row r="1519" spans="13:25" ht="121">
      <c r="M1519" s="26" t="s">
        <v>59</v>
      </c>
      <c r="N1519" s="25" t="s">
        <v>78</v>
      </c>
      <c r="O1519" s="26" t="s">
        <v>1332</v>
      </c>
      <c r="P1519" s="26"/>
      <c r="Q1519" s="26"/>
      <c r="R1519" s="5"/>
      <c r="S1519" s="5"/>
      <c r="T1519" s="5"/>
      <c r="U1519" s="5"/>
      <c r="V1519" s="5"/>
      <c r="W1519" s="5"/>
      <c r="X1519" s="5"/>
      <c r="Y1519" s="5"/>
    </row>
    <row r="1520" spans="13:25" ht="409.6">
      <c r="M1520" s="26" t="s">
        <v>84</v>
      </c>
      <c r="N1520" s="25" t="s">
        <v>85</v>
      </c>
      <c r="O1520" s="26"/>
      <c r="P1520" s="26" t="s">
        <v>1333</v>
      </c>
      <c r="Q1520" s="26"/>
      <c r="R1520" s="5"/>
      <c r="S1520" s="5"/>
      <c r="T1520" s="5"/>
      <c r="U1520" s="5"/>
      <c r="V1520" s="5"/>
      <c r="W1520" s="5"/>
      <c r="X1520" s="5"/>
      <c r="Y1520" s="5"/>
    </row>
    <row r="1521" spans="13:25" ht="409.6">
      <c r="M1521" s="26" t="s">
        <v>86</v>
      </c>
      <c r="N1521" s="25" t="s">
        <v>85</v>
      </c>
      <c r="O1521" s="26"/>
      <c r="P1521" s="26" t="s">
        <v>1334</v>
      </c>
      <c r="Q1521" s="26"/>
      <c r="R1521" s="5"/>
      <c r="S1521" s="5"/>
      <c r="T1521" s="5"/>
      <c r="U1521" s="5"/>
      <c r="V1521" s="5"/>
      <c r="W1521" s="5"/>
      <c r="X1521" s="5"/>
      <c r="Y1521" s="5"/>
    </row>
    <row r="1522" spans="13:25" ht="33">
      <c r="M1522" s="26" t="s">
        <v>86</v>
      </c>
      <c r="N1522" s="25" t="s">
        <v>85</v>
      </c>
      <c r="O1522" s="26"/>
      <c r="P1522" s="26" t="s">
        <v>1335</v>
      </c>
      <c r="Q1522" s="26"/>
      <c r="R1522" s="5"/>
      <c r="S1522" s="5"/>
      <c r="T1522" s="5"/>
      <c r="U1522" s="5"/>
      <c r="V1522" s="5"/>
      <c r="W1522" s="5"/>
      <c r="X1522" s="5"/>
      <c r="Y1522" s="5"/>
    </row>
    <row r="1523" spans="13:25" ht="132">
      <c r="M1523" s="26" t="s">
        <v>87</v>
      </c>
      <c r="N1523" s="25" t="s">
        <v>85</v>
      </c>
      <c r="O1523" s="26"/>
      <c r="P1523" s="26" t="s">
        <v>1336</v>
      </c>
      <c r="Q1523" s="26"/>
      <c r="R1523" s="5"/>
      <c r="S1523" s="5"/>
      <c r="T1523" s="5"/>
      <c r="U1523" s="5"/>
      <c r="V1523" s="5"/>
      <c r="W1523" s="5"/>
      <c r="X1523" s="5"/>
      <c r="Y1523" s="5"/>
    </row>
    <row r="1524" spans="13:25" ht="22">
      <c r="M1524" s="26" t="s">
        <v>87</v>
      </c>
      <c r="N1524" s="25" t="s">
        <v>85</v>
      </c>
      <c r="O1524" s="26"/>
      <c r="P1524" s="26" t="s">
        <v>1337</v>
      </c>
      <c r="Q1524" s="26"/>
      <c r="R1524" s="5"/>
      <c r="S1524" s="5"/>
      <c r="T1524" s="5"/>
      <c r="U1524" s="5"/>
      <c r="V1524" s="5"/>
      <c r="W1524" s="5"/>
      <c r="X1524" s="5"/>
      <c r="Y1524" s="5"/>
    </row>
    <row r="1525" spans="13:25" ht="22">
      <c r="M1525" s="26" t="s">
        <v>87</v>
      </c>
      <c r="N1525" s="25" t="s">
        <v>85</v>
      </c>
      <c r="O1525" s="26"/>
      <c r="P1525" s="26" t="s">
        <v>1338</v>
      </c>
      <c r="Q1525" s="26"/>
      <c r="R1525" s="5"/>
      <c r="S1525" s="5"/>
      <c r="T1525" s="5"/>
      <c r="U1525" s="5"/>
      <c r="V1525" s="5"/>
      <c r="W1525" s="5"/>
      <c r="X1525" s="5"/>
      <c r="Y1525" s="5"/>
    </row>
    <row r="1526" spans="13:25" ht="22">
      <c r="M1526" s="26" t="s">
        <v>87</v>
      </c>
      <c r="N1526" s="25" t="s">
        <v>85</v>
      </c>
      <c r="O1526" s="26"/>
      <c r="P1526" s="26" t="s">
        <v>1339</v>
      </c>
      <c r="Q1526" s="26"/>
      <c r="R1526" s="5"/>
      <c r="S1526" s="5"/>
      <c r="T1526" s="5"/>
      <c r="U1526" s="5"/>
      <c r="V1526" s="5"/>
      <c r="W1526" s="5"/>
      <c r="X1526" s="5"/>
      <c r="Y1526" s="5"/>
    </row>
    <row r="1527" spans="13:25" ht="33">
      <c r="M1527" s="26" t="s">
        <v>61</v>
      </c>
      <c r="N1527" s="25" t="s">
        <v>62</v>
      </c>
      <c r="O1527" s="26" t="s">
        <v>1340</v>
      </c>
      <c r="P1527" s="26"/>
      <c r="Q1527" s="26"/>
      <c r="R1527" s="5"/>
      <c r="S1527" s="5"/>
      <c r="T1527" s="5"/>
      <c r="U1527" s="5"/>
      <c r="V1527" s="5"/>
      <c r="W1527" s="5"/>
      <c r="X1527" s="5"/>
      <c r="Y1527" s="5"/>
    </row>
    <row r="1528" spans="13:25" ht="33">
      <c r="M1528" s="26" t="s">
        <v>61</v>
      </c>
      <c r="N1528" s="25" t="s">
        <v>63</v>
      </c>
      <c r="O1528" s="26" t="s">
        <v>1341</v>
      </c>
      <c r="P1528" s="26"/>
      <c r="Q1528" s="26"/>
      <c r="R1528" s="5"/>
      <c r="S1528" s="5"/>
      <c r="T1528" s="5"/>
      <c r="U1528" s="5"/>
      <c r="V1528" s="5"/>
      <c r="W1528" s="5"/>
      <c r="X1528" s="5"/>
      <c r="Y1528" s="5"/>
    </row>
    <row r="1529" spans="13:25" ht="77">
      <c r="M1529" s="26" t="s">
        <v>61</v>
      </c>
      <c r="N1529" s="25" t="s">
        <v>64</v>
      </c>
      <c r="O1529" s="26" t="s">
        <v>1342</v>
      </c>
      <c r="P1529" s="26"/>
      <c r="Q1529" s="26"/>
      <c r="R1529" s="5"/>
      <c r="S1529" s="5"/>
      <c r="T1529" s="5"/>
      <c r="U1529" s="5"/>
      <c r="V1529" s="5"/>
      <c r="W1529" s="5"/>
      <c r="X1529" s="5"/>
      <c r="Y1529" s="5"/>
    </row>
    <row r="1530" spans="13:25" ht="33">
      <c r="M1530" s="26" t="s">
        <v>61</v>
      </c>
      <c r="N1530" s="25" t="s">
        <v>65</v>
      </c>
      <c r="O1530" s="26" t="s">
        <v>1343</v>
      </c>
      <c r="P1530" s="26"/>
      <c r="Q1530" s="26"/>
      <c r="R1530" s="5"/>
      <c r="S1530" s="5"/>
      <c r="T1530" s="5"/>
      <c r="U1530" s="5"/>
      <c r="V1530" s="5"/>
      <c r="W1530" s="5"/>
      <c r="X1530" s="5"/>
      <c r="Y1530" s="5"/>
    </row>
    <row r="1531" spans="13:25" ht="99">
      <c r="M1531" s="26" t="s">
        <v>61</v>
      </c>
      <c r="N1531" s="25" t="s">
        <v>66</v>
      </c>
      <c r="O1531" s="26" t="s">
        <v>1344</v>
      </c>
      <c r="P1531" s="26"/>
      <c r="Q1531" s="26"/>
      <c r="R1531" s="5"/>
      <c r="S1531" s="5"/>
      <c r="T1531" s="5"/>
      <c r="U1531" s="5"/>
      <c r="V1531" s="5"/>
      <c r="W1531" s="5"/>
      <c r="X1531" s="5"/>
      <c r="Y1531" s="5"/>
    </row>
    <row r="1532" spans="13:25" ht="22">
      <c r="M1532" s="26" t="s">
        <v>61</v>
      </c>
      <c r="N1532" s="25" t="s">
        <v>68</v>
      </c>
      <c r="O1532" s="26" t="s">
        <v>1345</v>
      </c>
      <c r="P1532" s="26"/>
      <c r="Q1532" s="26"/>
      <c r="R1532" s="5"/>
      <c r="S1532" s="5"/>
      <c r="T1532" s="5"/>
      <c r="U1532" s="5"/>
      <c r="V1532" s="5"/>
      <c r="W1532" s="5"/>
      <c r="X1532" s="5"/>
      <c r="Y1532" s="5"/>
    </row>
    <row r="1533" spans="13:25" ht="55">
      <c r="M1533" s="26" t="s">
        <v>61</v>
      </c>
      <c r="N1533" s="25" t="s">
        <v>63</v>
      </c>
      <c r="O1533" s="26" t="s">
        <v>1346</v>
      </c>
      <c r="P1533" s="26"/>
      <c r="Q1533" s="26"/>
      <c r="R1533" s="5"/>
      <c r="S1533" s="5"/>
      <c r="T1533" s="5"/>
      <c r="U1533" s="5"/>
      <c r="V1533" s="5"/>
      <c r="W1533" s="5"/>
      <c r="X1533" s="5"/>
      <c r="Y1533" s="5"/>
    </row>
    <row r="1534" spans="13:25" ht="22">
      <c r="M1534" s="26" t="s">
        <v>80</v>
      </c>
      <c r="N1534" s="25" t="s">
        <v>51</v>
      </c>
      <c r="O1534" s="26" t="s">
        <v>1347</v>
      </c>
      <c r="P1534" s="26"/>
      <c r="Q1534" s="26"/>
      <c r="R1534" s="5"/>
      <c r="S1534" s="5"/>
      <c r="T1534" s="5"/>
      <c r="U1534" s="5"/>
      <c r="V1534" s="5"/>
      <c r="W1534" s="5"/>
      <c r="X1534" s="5"/>
      <c r="Y1534" s="5"/>
    </row>
    <row r="1535" spans="13:25" ht="22">
      <c r="M1535" s="26" t="s">
        <v>80</v>
      </c>
      <c r="N1535" s="25" t="s">
        <v>51</v>
      </c>
      <c r="O1535" s="26" t="s">
        <v>1348</v>
      </c>
      <c r="P1535" s="26"/>
      <c r="Q1535" s="26"/>
      <c r="R1535" s="5"/>
      <c r="S1535" s="5"/>
      <c r="T1535" s="5"/>
      <c r="U1535" s="5"/>
      <c r="V1535" s="5"/>
      <c r="W1535" s="5"/>
      <c r="X1535" s="5"/>
      <c r="Y1535" s="5"/>
    </row>
    <row r="1536" spans="13:25" ht="22">
      <c r="M1536" s="26" t="s">
        <v>80</v>
      </c>
      <c r="N1536" s="25" t="s">
        <v>51</v>
      </c>
      <c r="O1536" s="26" t="s">
        <v>1349</v>
      </c>
      <c r="P1536" s="26"/>
      <c r="Q1536" s="26"/>
      <c r="R1536" s="5"/>
      <c r="S1536" s="5"/>
      <c r="T1536" s="5"/>
      <c r="U1536" s="5"/>
      <c r="V1536" s="5"/>
      <c r="W1536" s="5"/>
      <c r="X1536" s="5"/>
      <c r="Y1536" s="5"/>
    </row>
    <row r="1537" spans="13:25" ht="22">
      <c r="M1537" s="26" t="s">
        <v>80</v>
      </c>
      <c r="N1537" s="25" t="s">
        <v>51</v>
      </c>
      <c r="O1537" s="26" t="s">
        <v>1350</v>
      </c>
      <c r="P1537" s="26"/>
      <c r="Q1537" s="26"/>
      <c r="R1537" s="5"/>
      <c r="S1537" s="5"/>
      <c r="T1537" s="5"/>
      <c r="U1537" s="5"/>
      <c r="V1537" s="5"/>
      <c r="W1537" s="5"/>
      <c r="X1537" s="5"/>
      <c r="Y1537" s="5"/>
    </row>
    <row r="1538" spans="13:25" ht="22">
      <c r="M1538" s="26" t="s">
        <v>80</v>
      </c>
      <c r="N1538" s="25" t="s">
        <v>51</v>
      </c>
      <c r="O1538" s="26" t="s">
        <v>1351</v>
      </c>
      <c r="P1538" s="26"/>
      <c r="Q1538" s="26"/>
      <c r="R1538" s="5"/>
      <c r="S1538" s="5"/>
      <c r="T1538" s="5"/>
      <c r="U1538" s="5"/>
      <c r="V1538" s="5"/>
      <c r="W1538" s="5"/>
      <c r="X1538" s="5"/>
      <c r="Y1538" s="5"/>
    </row>
    <row r="1539" spans="13:25" ht="22">
      <c r="M1539" s="26" t="s">
        <v>80</v>
      </c>
      <c r="N1539" s="25" t="s">
        <v>51</v>
      </c>
      <c r="O1539" s="26" t="s">
        <v>1352</v>
      </c>
      <c r="P1539" s="26"/>
      <c r="Q1539" s="26"/>
      <c r="R1539" s="5"/>
      <c r="S1539" s="5"/>
      <c r="T1539" s="5"/>
      <c r="U1539" s="5"/>
      <c r="V1539" s="5"/>
      <c r="W1539" s="5"/>
      <c r="X1539" s="5"/>
      <c r="Y1539" s="5"/>
    </row>
    <row r="1540" spans="13:25" ht="22">
      <c r="M1540" s="26" t="s">
        <v>80</v>
      </c>
      <c r="N1540" s="25" t="s">
        <v>51</v>
      </c>
      <c r="O1540" s="26" t="s">
        <v>1353</v>
      </c>
      <c r="P1540" s="26"/>
      <c r="Q1540" s="26"/>
      <c r="R1540" s="5"/>
      <c r="S1540" s="5"/>
      <c r="T1540" s="5"/>
      <c r="U1540" s="5"/>
      <c r="V1540" s="5"/>
      <c r="W1540" s="5"/>
      <c r="X1540" s="5"/>
      <c r="Y1540" s="5"/>
    </row>
    <row r="1541" spans="13:25" ht="22">
      <c r="M1541" s="26" t="s">
        <v>80</v>
      </c>
      <c r="N1541" s="25" t="s">
        <v>51</v>
      </c>
      <c r="O1541" s="26" t="s">
        <v>1354</v>
      </c>
      <c r="P1541" s="26"/>
      <c r="Q1541" s="26"/>
      <c r="R1541" s="5"/>
      <c r="S1541" s="5"/>
      <c r="T1541" s="5"/>
      <c r="U1541" s="5"/>
      <c r="V1541" s="5"/>
      <c r="W1541" s="5"/>
      <c r="X1541" s="5"/>
      <c r="Y1541" s="5"/>
    </row>
    <row r="1542" spans="13:25" ht="22">
      <c r="M1542" s="26" t="s">
        <v>80</v>
      </c>
      <c r="N1542" s="25" t="s">
        <v>51</v>
      </c>
      <c r="O1542" s="26" t="s">
        <v>1355</v>
      </c>
      <c r="P1542" s="26"/>
      <c r="Q1542" s="26"/>
      <c r="R1542" s="5"/>
      <c r="S1542" s="5"/>
      <c r="T1542" s="5"/>
      <c r="U1542" s="5"/>
      <c r="V1542" s="5"/>
      <c r="W1542" s="5"/>
      <c r="X1542" s="5"/>
      <c r="Y1542" s="5"/>
    </row>
    <row r="1543" spans="13:25" ht="22">
      <c r="M1543" s="26" t="s">
        <v>80</v>
      </c>
      <c r="N1543" s="25" t="s">
        <v>51</v>
      </c>
      <c r="O1543" s="26" t="s">
        <v>1356</v>
      </c>
      <c r="P1543" s="26"/>
      <c r="Q1543" s="26"/>
      <c r="R1543" s="5"/>
      <c r="S1543" s="5"/>
      <c r="T1543" s="5"/>
      <c r="U1543" s="5"/>
      <c r="V1543" s="5"/>
      <c r="W1543" s="5"/>
      <c r="X1543" s="5"/>
      <c r="Y1543" s="5"/>
    </row>
    <row r="1544" spans="13:25" ht="22">
      <c r="M1544" s="26" t="s">
        <v>80</v>
      </c>
      <c r="N1544" s="25" t="s">
        <v>51</v>
      </c>
      <c r="O1544" s="26" t="s">
        <v>1357</v>
      </c>
      <c r="P1544" s="26"/>
      <c r="Q1544" s="26"/>
      <c r="R1544" s="5"/>
      <c r="S1544" s="5"/>
      <c r="T1544" s="5"/>
      <c r="U1544" s="5"/>
      <c r="V1544" s="5"/>
      <c r="W1544" s="5"/>
      <c r="X1544" s="5"/>
      <c r="Y1544" s="5"/>
    </row>
    <row r="1545" spans="13:25" ht="22">
      <c r="M1545" s="26" t="s">
        <v>80</v>
      </c>
      <c r="N1545" s="25" t="s">
        <v>51</v>
      </c>
      <c r="O1545" s="26" t="s">
        <v>1358</v>
      </c>
      <c r="P1545" s="26"/>
      <c r="Q1545" s="26"/>
      <c r="R1545" s="5"/>
      <c r="S1545" s="5"/>
      <c r="T1545" s="5"/>
      <c r="U1545" s="5"/>
      <c r="V1545" s="5"/>
      <c r="W1545" s="5"/>
      <c r="X1545" s="5"/>
      <c r="Y1545" s="5"/>
    </row>
    <row r="1546" spans="13:25" ht="22">
      <c r="M1546" s="26" t="s">
        <v>80</v>
      </c>
      <c r="N1546" s="25" t="s">
        <v>51</v>
      </c>
      <c r="O1546" s="26" t="s">
        <v>1359</v>
      </c>
      <c r="P1546" s="26"/>
      <c r="Q1546" s="26"/>
      <c r="R1546" s="5"/>
      <c r="S1546" s="5"/>
      <c r="T1546" s="5"/>
      <c r="U1546" s="5"/>
      <c r="V1546" s="5"/>
      <c r="W1546" s="5"/>
      <c r="X1546" s="5"/>
      <c r="Y1546" s="5"/>
    </row>
    <row r="1547" spans="13:25" ht="33">
      <c r="M1547" s="26" t="s">
        <v>80</v>
      </c>
      <c r="N1547" s="25" t="s">
        <v>51</v>
      </c>
      <c r="O1547" s="26" t="s">
        <v>1360</v>
      </c>
      <c r="P1547" s="26"/>
      <c r="Q1547" s="26"/>
      <c r="R1547" s="5"/>
      <c r="S1547" s="5"/>
      <c r="T1547" s="5"/>
      <c r="U1547" s="5"/>
      <c r="V1547" s="5"/>
      <c r="W1547" s="5"/>
      <c r="X1547" s="5"/>
      <c r="Y1547" s="5"/>
    </row>
    <row r="1548" spans="13:25" ht="33">
      <c r="M1548" s="26" t="s">
        <v>80</v>
      </c>
      <c r="N1548" s="25" t="s">
        <v>51</v>
      </c>
      <c r="O1548" s="26" t="s">
        <v>1360</v>
      </c>
      <c r="P1548" s="26"/>
      <c r="Q1548" s="26"/>
      <c r="R1548" s="5"/>
      <c r="S1548" s="5"/>
      <c r="T1548" s="5"/>
      <c r="U1548" s="5"/>
      <c r="V1548" s="5"/>
      <c r="W1548" s="5"/>
      <c r="X1548" s="5"/>
      <c r="Y1548" s="5"/>
    </row>
    <row r="1549" spans="13:25" ht="33">
      <c r="M1549" s="26" t="s">
        <v>80</v>
      </c>
      <c r="N1549" s="25" t="s">
        <v>51</v>
      </c>
      <c r="O1549" s="26" t="s">
        <v>1361</v>
      </c>
      <c r="P1549" s="26"/>
      <c r="Q1549" s="26"/>
      <c r="R1549" s="5"/>
      <c r="S1549" s="5"/>
      <c r="T1549" s="5"/>
      <c r="U1549" s="5"/>
      <c r="V1549" s="5"/>
      <c r="W1549" s="5"/>
      <c r="X1549" s="5"/>
      <c r="Y1549" s="5"/>
    </row>
    <row r="1550" spans="13:25" ht="33">
      <c r="M1550" s="26" t="s">
        <v>80</v>
      </c>
      <c r="N1550" s="25" t="s">
        <v>51</v>
      </c>
      <c r="O1550" s="26" t="s">
        <v>1361</v>
      </c>
      <c r="P1550" s="26"/>
      <c r="Q1550" s="26"/>
      <c r="R1550" s="5"/>
      <c r="S1550" s="5"/>
      <c r="T1550" s="5"/>
      <c r="U1550" s="5"/>
      <c r="V1550" s="5"/>
      <c r="W1550" s="5"/>
      <c r="X1550" s="5"/>
      <c r="Y1550" s="5"/>
    </row>
    <row r="1551" spans="13:25" ht="22">
      <c r="M1551" s="26" t="s">
        <v>80</v>
      </c>
      <c r="N1551" s="25" t="s">
        <v>51</v>
      </c>
      <c r="O1551" s="26" t="s">
        <v>1362</v>
      </c>
      <c r="P1551" s="26"/>
      <c r="Q1551" s="26"/>
      <c r="R1551" s="5"/>
      <c r="S1551" s="5"/>
      <c r="T1551" s="5"/>
      <c r="U1551" s="5"/>
      <c r="V1551" s="5"/>
      <c r="W1551" s="5"/>
      <c r="X1551" s="5"/>
      <c r="Y1551" s="5"/>
    </row>
    <row r="1552" spans="13:25" ht="22">
      <c r="M1552" s="26" t="s">
        <v>80</v>
      </c>
      <c r="N1552" s="25" t="s">
        <v>51</v>
      </c>
      <c r="O1552" s="26" t="s">
        <v>1363</v>
      </c>
      <c r="P1552" s="26"/>
      <c r="Q1552" s="26"/>
      <c r="R1552" s="5"/>
      <c r="S1552" s="5"/>
      <c r="T1552" s="5"/>
      <c r="U1552" s="5"/>
      <c r="V1552" s="5"/>
      <c r="W1552" s="5"/>
      <c r="X1552" s="5"/>
      <c r="Y1552" s="5"/>
    </row>
    <row r="1553" spans="13:25" ht="22">
      <c r="M1553" s="26" t="s">
        <v>80</v>
      </c>
      <c r="N1553" s="25" t="s">
        <v>51</v>
      </c>
      <c r="O1553" s="26" t="s">
        <v>1364</v>
      </c>
      <c r="P1553" s="26"/>
      <c r="Q1553" s="26"/>
      <c r="R1553" s="5"/>
      <c r="S1553" s="5"/>
      <c r="T1553" s="5"/>
      <c r="U1553" s="5"/>
      <c r="V1553" s="5"/>
      <c r="W1553" s="5"/>
      <c r="X1553" s="5"/>
      <c r="Y1553" s="5"/>
    </row>
    <row r="1554" spans="13:25" ht="22">
      <c r="M1554" s="26" t="s">
        <v>80</v>
      </c>
      <c r="N1554" s="25" t="s">
        <v>51</v>
      </c>
      <c r="O1554" s="26" t="s">
        <v>1365</v>
      </c>
      <c r="P1554" s="26"/>
      <c r="Q1554" s="26"/>
      <c r="R1554" s="5"/>
      <c r="S1554" s="5"/>
      <c r="T1554" s="5"/>
      <c r="U1554" s="5"/>
      <c r="V1554" s="5"/>
      <c r="W1554" s="5"/>
      <c r="X1554" s="5"/>
      <c r="Y1554" s="5"/>
    </row>
    <row r="1555" spans="13:25" ht="22">
      <c r="M1555" s="26" t="s">
        <v>80</v>
      </c>
      <c r="N1555" s="25" t="s">
        <v>51</v>
      </c>
      <c r="O1555" s="26" t="s">
        <v>1366</v>
      </c>
      <c r="P1555" s="26"/>
      <c r="Q1555" s="26"/>
      <c r="R1555" s="5"/>
      <c r="S1555" s="5"/>
      <c r="T1555" s="5"/>
      <c r="U1555" s="5"/>
      <c r="V1555" s="5"/>
      <c r="W1555" s="5"/>
      <c r="X1555" s="5"/>
      <c r="Y1555" s="5"/>
    </row>
    <row r="1556" spans="13:25" ht="22">
      <c r="M1556" s="26" t="s">
        <v>80</v>
      </c>
      <c r="N1556" s="25" t="s">
        <v>51</v>
      </c>
      <c r="O1556" s="26" t="s">
        <v>1367</v>
      </c>
      <c r="P1556" s="26"/>
      <c r="Q1556" s="26"/>
      <c r="R1556" s="5"/>
      <c r="S1556" s="5"/>
      <c r="T1556" s="5"/>
      <c r="U1556" s="5"/>
      <c r="V1556" s="5"/>
      <c r="W1556" s="5"/>
      <c r="X1556" s="5"/>
      <c r="Y1556" s="5"/>
    </row>
    <row r="1557" spans="13:25" ht="22">
      <c r="M1557" s="26" t="s">
        <v>80</v>
      </c>
      <c r="N1557" s="25" t="s">
        <v>51</v>
      </c>
      <c r="O1557" s="26" t="s">
        <v>1368</v>
      </c>
      <c r="P1557" s="26"/>
      <c r="Q1557" s="26"/>
      <c r="R1557" s="5"/>
      <c r="S1557" s="5"/>
      <c r="T1557" s="5"/>
      <c r="U1557" s="5"/>
      <c r="V1557" s="5"/>
      <c r="W1557" s="5"/>
      <c r="X1557" s="5"/>
      <c r="Y1557" s="5"/>
    </row>
    <row r="1558" spans="13:25" ht="22">
      <c r="M1558" s="26" t="s">
        <v>50</v>
      </c>
      <c r="N1558" s="25" t="s">
        <v>51</v>
      </c>
      <c r="O1558" s="26" t="s">
        <v>1369</v>
      </c>
      <c r="P1558" s="26"/>
      <c r="Q1558" s="26"/>
      <c r="R1558" s="5"/>
      <c r="S1558" s="5"/>
      <c r="T1558" s="5"/>
      <c r="U1558" s="5"/>
      <c r="V1558" s="5"/>
      <c r="W1558" s="5"/>
      <c r="X1558" s="5"/>
      <c r="Y1558" s="5"/>
    </row>
    <row r="1559" spans="13:25" ht="22">
      <c r="M1559" s="26" t="s">
        <v>50</v>
      </c>
      <c r="N1559" s="25" t="s">
        <v>51</v>
      </c>
      <c r="O1559" s="26" t="s">
        <v>1370</v>
      </c>
      <c r="P1559" s="26"/>
      <c r="Q1559" s="26"/>
      <c r="R1559" s="5"/>
      <c r="S1559" s="5"/>
      <c r="T1559" s="5"/>
      <c r="U1559" s="5"/>
      <c r="V1559" s="5"/>
      <c r="W1559" s="5"/>
      <c r="X1559" s="5"/>
      <c r="Y1559" s="5"/>
    </row>
    <row r="1560" spans="13:25" ht="22">
      <c r="M1560" s="26" t="s">
        <v>50</v>
      </c>
      <c r="N1560" s="25" t="s">
        <v>51</v>
      </c>
      <c r="O1560" s="26" t="s">
        <v>1371</v>
      </c>
      <c r="P1560" s="26"/>
      <c r="Q1560" s="26"/>
      <c r="R1560" s="5"/>
      <c r="S1560" s="5"/>
      <c r="T1560" s="5"/>
      <c r="U1560" s="5"/>
      <c r="V1560" s="5"/>
      <c r="W1560" s="5"/>
      <c r="X1560" s="5"/>
      <c r="Y1560" s="5"/>
    </row>
    <row r="1561" spans="13:25" ht="22">
      <c r="M1561" s="26" t="s">
        <v>50</v>
      </c>
      <c r="N1561" s="25" t="s">
        <v>51</v>
      </c>
      <c r="O1561" s="26" t="s">
        <v>1372</v>
      </c>
      <c r="P1561" s="26"/>
      <c r="Q1561" s="26"/>
      <c r="R1561" s="5"/>
      <c r="S1561" s="5"/>
      <c r="T1561" s="5"/>
      <c r="U1561" s="5"/>
      <c r="V1561" s="5"/>
      <c r="W1561" s="5"/>
      <c r="X1561" s="5"/>
      <c r="Y1561" s="5"/>
    </row>
    <row r="1562" spans="13:25" ht="22">
      <c r="M1562" s="26" t="s">
        <v>50</v>
      </c>
      <c r="N1562" s="25" t="s">
        <v>51</v>
      </c>
      <c r="O1562" s="26" t="s">
        <v>1373</v>
      </c>
      <c r="P1562" s="26"/>
      <c r="Q1562" s="26"/>
      <c r="R1562" s="5"/>
      <c r="S1562" s="5"/>
      <c r="T1562" s="5"/>
      <c r="U1562" s="5"/>
      <c r="V1562" s="5"/>
      <c r="W1562" s="5"/>
      <c r="X1562" s="5"/>
      <c r="Y1562" s="5"/>
    </row>
    <row r="1563" spans="13:25" ht="22">
      <c r="M1563" s="26" t="s">
        <v>50</v>
      </c>
      <c r="N1563" s="25" t="s">
        <v>51</v>
      </c>
      <c r="O1563" s="26" t="s">
        <v>1374</v>
      </c>
      <c r="P1563" s="26"/>
      <c r="Q1563" s="26"/>
      <c r="R1563" s="5"/>
      <c r="S1563" s="5"/>
      <c r="T1563" s="5"/>
      <c r="U1563" s="5"/>
      <c r="V1563" s="5"/>
      <c r="W1563" s="5"/>
      <c r="X1563" s="5"/>
      <c r="Y1563" s="5"/>
    </row>
    <row r="1564" spans="13:25" ht="22">
      <c r="M1564" s="26" t="s">
        <v>50</v>
      </c>
      <c r="N1564" s="25" t="s">
        <v>51</v>
      </c>
      <c r="O1564" s="26" t="s">
        <v>1375</v>
      </c>
      <c r="P1564" s="26"/>
      <c r="Q1564" s="26"/>
      <c r="R1564" s="5"/>
      <c r="S1564" s="5"/>
      <c r="T1564" s="5"/>
      <c r="U1564" s="5"/>
      <c r="V1564" s="5"/>
      <c r="W1564" s="5"/>
      <c r="X1564" s="5"/>
      <c r="Y1564" s="5"/>
    </row>
    <row r="1565" spans="13:25" ht="22">
      <c r="M1565" s="26" t="s">
        <v>50</v>
      </c>
      <c r="N1565" s="25" t="s">
        <v>51</v>
      </c>
      <c r="O1565" s="26" t="s">
        <v>1376</v>
      </c>
      <c r="P1565" s="26"/>
      <c r="Q1565" s="26"/>
      <c r="R1565" s="5"/>
      <c r="S1565" s="5"/>
      <c r="T1565" s="5"/>
      <c r="U1565" s="5"/>
      <c r="V1565" s="5"/>
      <c r="W1565" s="5"/>
      <c r="X1565" s="5"/>
      <c r="Y1565" s="5"/>
    </row>
    <row r="1566" spans="13:25" ht="22">
      <c r="M1566" s="26" t="s">
        <v>50</v>
      </c>
      <c r="N1566" s="25" t="s">
        <v>51</v>
      </c>
      <c r="O1566" s="26" t="s">
        <v>1377</v>
      </c>
      <c r="P1566" s="26"/>
      <c r="Q1566" s="26"/>
      <c r="R1566" s="5"/>
      <c r="S1566" s="5"/>
      <c r="T1566" s="5"/>
      <c r="U1566" s="5"/>
      <c r="V1566" s="5"/>
      <c r="W1566" s="5"/>
      <c r="X1566" s="5"/>
      <c r="Y1566" s="5"/>
    </row>
    <row r="1567" spans="13:25" ht="33">
      <c r="M1567" s="26" t="s">
        <v>50</v>
      </c>
      <c r="N1567" s="25" t="s">
        <v>51</v>
      </c>
      <c r="O1567" s="26" t="s">
        <v>1378</v>
      </c>
      <c r="P1567" s="26"/>
      <c r="Q1567" s="26"/>
      <c r="R1567" s="5"/>
      <c r="S1567" s="5"/>
      <c r="T1567" s="5"/>
      <c r="U1567" s="5"/>
      <c r="V1567" s="5"/>
      <c r="W1567" s="5"/>
      <c r="X1567" s="5"/>
      <c r="Y1567" s="5"/>
    </row>
    <row r="1568" spans="13:25" ht="22">
      <c r="M1568" s="26" t="s">
        <v>53</v>
      </c>
      <c r="N1568" s="25" t="s">
        <v>66</v>
      </c>
      <c r="O1568" s="26" t="s">
        <v>1379</v>
      </c>
      <c r="P1568" s="26"/>
      <c r="Q1568" s="26"/>
      <c r="R1568" s="5"/>
      <c r="S1568" s="5"/>
      <c r="T1568" s="5"/>
      <c r="U1568" s="5"/>
      <c r="V1568" s="5"/>
      <c r="W1568" s="5"/>
      <c r="X1568" s="5"/>
      <c r="Y1568" s="5"/>
    </row>
    <row r="1569" spans="13:25" ht="22">
      <c r="M1569" s="26" t="s">
        <v>53</v>
      </c>
      <c r="N1569" s="25" t="s">
        <v>66</v>
      </c>
      <c r="O1569" s="26" t="s">
        <v>1379</v>
      </c>
      <c r="P1569" s="26"/>
      <c r="Q1569" s="26"/>
      <c r="R1569" s="5"/>
      <c r="S1569" s="5"/>
      <c r="T1569" s="5"/>
      <c r="U1569" s="5"/>
      <c r="V1569" s="5"/>
      <c r="W1569" s="5"/>
      <c r="X1569" s="5"/>
      <c r="Y1569" s="5"/>
    </row>
    <row r="1570" spans="13:25" ht="22">
      <c r="M1570" s="26" t="s">
        <v>53</v>
      </c>
      <c r="N1570" s="25" t="s">
        <v>66</v>
      </c>
      <c r="O1570" s="26" t="s">
        <v>1380</v>
      </c>
      <c r="P1570" s="26"/>
      <c r="Q1570" s="26"/>
      <c r="R1570" s="5"/>
      <c r="S1570" s="5"/>
      <c r="T1570" s="5"/>
      <c r="U1570" s="5"/>
      <c r="V1570" s="5"/>
      <c r="W1570" s="5"/>
      <c r="X1570" s="5"/>
      <c r="Y1570" s="5"/>
    </row>
    <row r="1571" spans="13:25" ht="22">
      <c r="M1571" s="26" t="s">
        <v>53</v>
      </c>
      <c r="N1571" s="25" t="s">
        <v>66</v>
      </c>
      <c r="O1571" s="26" t="s">
        <v>1381</v>
      </c>
      <c r="P1571" s="26"/>
      <c r="Q1571" s="26"/>
      <c r="R1571" s="5"/>
      <c r="S1571" s="5"/>
      <c r="T1571" s="5"/>
      <c r="U1571" s="5"/>
      <c r="V1571" s="5"/>
      <c r="W1571" s="5"/>
      <c r="X1571" s="5"/>
      <c r="Y1571" s="5"/>
    </row>
    <row r="1572" spans="13:25" ht="22">
      <c r="M1572" s="26" t="s">
        <v>53</v>
      </c>
      <c r="N1572" s="25" t="s">
        <v>66</v>
      </c>
      <c r="O1572" s="26" t="s">
        <v>1381</v>
      </c>
      <c r="P1572" s="26"/>
      <c r="Q1572" s="26"/>
      <c r="R1572" s="5"/>
      <c r="S1572" s="5"/>
      <c r="T1572" s="5"/>
      <c r="U1572" s="5"/>
      <c r="V1572" s="5"/>
      <c r="W1572" s="5"/>
      <c r="X1572" s="5"/>
      <c r="Y1572" s="5"/>
    </row>
    <row r="1573" spans="13:25" ht="22">
      <c r="M1573" s="26" t="s">
        <v>53</v>
      </c>
      <c r="N1573" s="25" t="s">
        <v>51</v>
      </c>
      <c r="O1573" s="26" t="s">
        <v>1382</v>
      </c>
      <c r="P1573" s="26"/>
      <c r="Q1573" s="26"/>
      <c r="R1573" s="5"/>
      <c r="S1573" s="5"/>
      <c r="T1573" s="5"/>
      <c r="U1573" s="5"/>
      <c r="V1573" s="5"/>
      <c r="W1573" s="5"/>
      <c r="X1573" s="5"/>
      <c r="Y1573" s="5"/>
    </row>
    <row r="1574" spans="13:25" ht="55">
      <c r="M1574" s="26" t="s">
        <v>53</v>
      </c>
      <c r="N1574" s="25" t="s">
        <v>55</v>
      </c>
      <c r="O1574" s="26"/>
      <c r="P1574" s="26" t="s">
        <v>1383</v>
      </c>
      <c r="Q1574" s="26"/>
      <c r="R1574" s="5"/>
      <c r="S1574" s="5"/>
      <c r="T1574" s="5"/>
      <c r="U1574" s="5"/>
      <c r="V1574" s="5"/>
      <c r="W1574" s="5"/>
      <c r="X1574" s="5"/>
      <c r="Y1574" s="5"/>
    </row>
    <row r="1575" spans="13:25" ht="66">
      <c r="M1575" s="26" t="s">
        <v>53</v>
      </c>
      <c r="N1575" s="25" t="s">
        <v>55</v>
      </c>
      <c r="O1575" s="26"/>
      <c r="P1575" s="26" t="s">
        <v>1384</v>
      </c>
      <c r="Q1575" s="26"/>
      <c r="R1575" s="5"/>
      <c r="S1575" s="5"/>
      <c r="T1575" s="5"/>
      <c r="U1575" s="5"/>
      <c r="V1575" s="5"/>
      <c r="W1575" s="5"/>
      <c r="X1575" s="5"/>
      <c r="Y1575" s="5"/>
    </row>
    <row r="1576" spans="13:25" ht="33">
      <c r="M1576" s="26" t="s">
        <v>53</v>
      </c>
      <c r="N1576" s="25" t="s">
        <v>55</v>
      </c>
      <c r="O1576" s="26"/>
      <c r="P1576" s="26" t="s">
        <v>1385</v>
      </c>
      <c r="Q1576" s="26"/>
      <c r="R1576" s="5"/>
      <c r="S1576" s="5"/>
      <c r="T1576" s="5"/>
      <c r="U1576" s="5"/>
      <c r="V1576" s="5"/>
      <c r="W1576" s="5"/>
      <c r="X1576" s="5"/>
      <c r="Y1576" s="5"/>
    </row>
    <row r="1577" spans="13:25" ht="33">
      <c r="M1577" s="26" t="s">
        <v>53</v>
      </c>
      <c r="N1577" s="25" t="s">
        <v>55</v>
      </c>
      <c r="O1577" s="26"/>
      <c r="P1577" s="26" t="s">
        <v>1386</v>
      </c>
      <c r="Q1577" s="26"/>
      <c r="R1577" s="5"/>
      <c r="S1577" s="5"/>
      <c r="T1577" s="5"/>
      <c r="U1577" s="5"/>
      <c r="V1577" s="5"/>
      <c r="W1577" s="5"/>
      <c r="X1577" s="5"/>
      <c r="Y1577" s="5"/>
    </row>
    <row r="1578" spans="13:25" ht="33">
      <c r="M1578" s="26" t="s">
        <v>53</v>
      </c>
      <c r="N1578" s="25" t="s">
        <v>55</v>
      </c>
      <c r="O1578" s="26"/>
      <c r="P1578" s="26" t="s">
        <v>1387</v>
      </c>
      <c r="Q1578" s="26"/>
      <c r="R1578" s="5"/>
      <c r="S1578" s="5"/>
      <c r="T1578" s="5"/>
      <c r="U1578" s="5"/>
      <c r="V1578" s="5"/>
      <c r="W1578" s="5"/>
      <c r="X1578" s="5"/>
      <c r="Y1578" s="5"/>
    </row>
    <row r="1579" spans="13:25" ht="99">
      <c r="M1579" s="26" t="s">
        <v>53</v>
      </c>
      <c r="N1579" s="25" t="s">
        <v>55</v>
      </c>
      <c r="O1579" s="26"/>
      <c r="P1579" s="26" t="s">
        <v>460</v>
      </c>
      <c r="Q1579" s="26"/>
      <c r="R1579" s="5"/>
      <c r="S1579" s="5"/>
      <c r="T1579" s="5"/>
      <c r="U1579" s="5"/>
      <c r="V1579" s="5"/>
      <c r="W1579" s="5"/>
      <c r="X1579" s="5"/>
      <c r="Y1579" s="5"/>
    </row>
    <row r="1580" spans="13:25" ht="22">
      <c r="M1580" s="26" t="s">
        <v>53</v>
      </c>
      <c r="N1580" s="25" t="s">
        <v>55</v>
      </c>
      <c r="O1580" s="26" t="s">
        <v>1388</v>
      </c>
      <c r="P1580" s="26"/>
      <c r="Q1580" s="26"/>
      <c r="R1580" s="5"/>
      <c r="S1580" s="5"/>
      <c r="T1580" s="5"/>
      <c r="U1580" s="5"/>
      <c r="V1580" s="5"/>
      <c r="W1580" s="5"/>
      <c r="X1580" s="5"/>
      <c r="Y1580" s="5"/>
    </row>
    <row r="1581" spans="13:25" ht="22">
      <c r="M1581" s="26" t="s">
        <v>53</v>
      </c>
      <c r="N1581" s="25" t="s">
        <v>55</v>
      </c>
      <c r="O1581" s="26" t="s">
        <v>1389</v>
      </c>
      <c r="P1581" s="26"/>
      <c r="Q1581" s="26"/>
      <c r="R1581" s="5"/>
      <c r="S1581" s="5"/>
      <c r="T1581" s="5"/>
      <c r="U1581" s="5"/>
      <c r="V1581" s="5"/>
      <c r="W1581" s="5"/>
      <c r="X1581" s="5"/>
      <c r="Y1581" s="5"/>
    </row>
    <row r="1582" spans="13:25" ht="22">
      <c r="M1582" s="26" t="s">
        <v>53</v>
      </c>
      <c r="N1582" s="25" t="s">
        <v>51</v>
      </c>
      <c r="O1582" s="26" t="s">
        <v>1390</v>
      </c>
      <c r="P1582" s="26"/>
      <c r="Q1582" s="26"/>
      <c r="R1582" s="5"/>
      <c r="S1582" s="5"/>
      <c r="T1582" s="5"/>
      <c r="U1582" s="5"/>
      <c r="V1582" s="5"/>
      <c r="W1582" s="5"/>
      <c r="X1582" s="5"/>
      <c r="Y1582" s="5"/>
    </row>
    <row r="1583" spans="13:25" ht="44">
      <c r="M1583" s="26" t="s">
        <v>53</v>
      </c>
      <c r="N1583" s="25" t="s">
        <v>55</v>
      </c>
      <c r="O1583" s="26"/>
      <c r="P1583" s="26" t="s">
        <v>1391</v>
      </c>
      <c r="Q1583" s="26"/>
      <c r="R1583" s="5"/>
      <c r="S1583" s="5"/>
      <c r="T1583" s="5"/>
      <c r="U1583" s="5"/>
      <c r="V1583" s="5"/>
      <c r="W1583" s="5"/>
      <c r="X1583" s="5"/>
      <c r="Y1583" s="5"/>
    </row>
    <row r="1584" spans="13:25" ht="22">
      <c r="M1584" s="26" t="s">
        <v>53</v>
      </c>
      <c r="N1584" s="25" t="s">
        <v>55</v>
      </c>
      <c r="O1584" s="26"/>
      <c r="P1584" s="26" t="s">
        <v>1392</v>
      </c>
      <c r="Q1584" s="26"/>
      <c r="R1584" s="5"/>
      <c r="S1584" s="5"/>
      <c r="T1584" s="5"/>
      <c r="U1584" s="5"/>
      <c r="V1584" s="5"/>
      <c r="W1584" s="5"/>
      <c r="X1584" s="5"/>
      <c r="Y1584" s="5"/>
    </row>
    <row r="1585" spans="13:25" ht="33">
      <c r="M1585" s="26" t="s">
        <v>53</v>
      </c>
      <c r="N1585" s="25" t="s">
        <v>55</v>
      </c>
      <c r="O1585" s="26"/>
      <c r="P1585" s="26" t="s">
        <v>1393</v>
      </c>
      <c r="Q1585" s="26"/>
      <c r="R1585" s="5"/>
      <c r="S1585" s="5"/>
      <c r="T1585" s="5"/>
      <c r="U1585" s="5"/>
      <c r="V1585" s="5"/>
      <c r="W1585" s="5"/>
      <c r="X1585" s="5"/>
      <c r="Y1585" s="5"/>
    </row>
    <row r="1586" spans="13:25" ht="22">
      <c r="M1586" s="26" t="s">
        <v>53</v>
      </c>
      <c r="N1586" s="25" t="s">
        <v>55</v>
      </c>
      <c r="O1586" s="26"/>
      <c r="P1586" s="26" t="s">
        <v>1394</v>
      </c>
      <c r="Q1586" s="26"/>
      <c r="R1586" s="5"/>
      <c r="S1586" s="5"/>
      <c r="T1586" s="5"/>
      <c r="U1586" s="5"/>
      <c r="V1586" s="5"/>
      <c r="W1586" s="5"/>
      <c r="X1586" s="5"/>
      <c r="Y1586" s="5"/>
    </row>
    <row r="1587" spans="13:25" ht="22">
      <c r="M1587" s="26" t="s">
        <v>53</v>
      </c>
      <c r="N1587" s="25" t="s">
        <v>55</v>
      </c>
      <c r="O1587" s="26"/>
      <c r="P1587" s="26" t="s">
        <v>1395</v>
      </c>
      <c r="Q1587" s="26"/>
      <c r="R1587" s="5"/>
      <c r="S1587" s="5"/>
      <c r="T1587" s="5"/>
      <c r="U1587" s="5"/>
      <c r="V1587" s="5"/>
      <c r="W1587" s="5"/>
      <c r="X1587" s="5"/>
      <c r="Y1587" s="5"/>
    </row>
    <row r="1588" spans="13:25" ht="22">
      <c r="M1588" s="26" t="s">
        <v>53</v>
      </c>
      <c r="N1588" s="25" t="s">
        <v>55</v>
      </c>
      <c r="O1588" s="26"/>
      <c r="P1588" s="26" t="s">
        <v>1396</v>
      </c>
      <c r="Q1588" s="26"/>
      <c r="R1588" s="5"/>
      <c r="S1588" s="5"/>
      <c r="T1588" s="5"/>
      <c r="U1588" s="5"/>
      <c r="V1588" s="5"/>
      <c r="W1588" s="5"/>
      <c r="X1588" s="5"/>
      <c r="Y1588" s="5"/>
    </row>
    <row r="1589" spans="13:25" ht="22">
      <c r="M1589" s="26" t="s">
        <v>53</v>
      </c>
      <c r="N1589" s="25" t="s">
        <v>55</v>
      </c>
      <c r="O1589" s="26"/>
      <c r="P1589" s="26" t="s">
        <v>1397</v>
      </c>
      <c r="Q1589" s="26"/>
      <c r="R1589" s="5"/>
      <c r="S1589" s="5"/>
      <c r="T1589" s="5"/>
      <c r="U1589" s="5"/>
      <c r="V1589" s="5"/>
      <c r="W1589" s="5"/>
      <c r="X1589" s="5"/>
      <c r="Y1589" s="5"/>
    </row>
    <row r="1590" spans="13:25" ht="22">
      <c r="M1590" s="26" t="s">
        <v>53</v>
      </c>
      <c r="N1590" s="25" t="s">
        <v>55</v>
      </c>
      <c r="O1590" s="26"/>
      <c r="P1590" s="26" t="s">
        <v>1398</v>
      </c>
      <c r="Q1590" s="26"/>
      <c r="R1590" s="5"/>
      <c r="S1590" s="5"/>
      <c r="T1590" s="5"/>
      <c r="U1590" s="5"/>
      <c r="V1590" s="5"/>
      <c r="W1590" s="5"/>
      <c r="X1590" s="5"/>
      <c r="Y1590" s="5"/>
    </row>
    <row r="1591" spans="13:25" ht="44">
      <c r="M1591" s="26" t="s">
        <v>53</v>
      </c>
      <c r="N1591" s="25" t="s">
        <v>55</v>
      </c>
      <c r="O1591" s="26"/>
      <c r="P1591" s="26" t="s">
        <v>1399</v>
      </c>
      <c r="Q1591" s="26"/>
      <c r="R1591" s="5"/>
      <c r="S1591" s="5"/>
      <c r="T1591" s="5"/>
      <c r="U1591" s="5"/>
      <c r="V1591" s="5"/>
      <c r="W1591" s="5"/>
      <c r="X1591" s="5"/>
      <c r="Y1591" s="5"/>
    </row>
    <row r="1592" spans="13:25" ht="33">
      <c r="M1592" s="26" t="s">
        <v>53</v>
      </c>
      <c r="N1592" s="25" t="s">
        <v>55</v>
      </c>
      <c r="O1592" s="26"/>
      <c r="P1592" s="26" t="s">
        <v>1400</v>
      </c>
      <c r="Q1592" s="26"/>
      <c r="R1592" s="5"/>
      <c r="S1592" s="5"/>
      <c r="T1592" s="5"/>
      <c r="U1592" s="5"/>
      <c r="V1592" s="5"/>
      <c r="W1592" s="5"/>
      <c r="X1592" s="5"/>
      <c r="Y1592" s="5"/>
    </row>
    <row r="1593" spans="13:25" ht="33">
      <c r="M1593" s="26" t="s">
        <v>53</v>
      </c>
      <c r="N1593" s="25" t="s">
        <v>55</v>
      </c>
      <c r="O1593" s="26"/>
      <c r="P1593" s="26" t="s">
        <v>1401</v>
      </c>
      <c r="Q1593" s="26"/>
      <c r="R1593" s="5"/>
      <c r="S1593" s="5"/>
      <c r="T1593" s="5"/>
      <c r="U1593" s="5"/>
      <c r="V1593" s="5"/>
      <c r="W1593" s="5"/>
      <c r="X1593" s="5"/>
      <c r="Y1593" s="5"/>
    </row>
    <row r="1594" spans="13:25" ht="22">
      <c r="M1594" s="26" t="s">
        <v>53</v>
      </c>
      <c r="N1594" s="25" t="s">
        <v>55</v>
      </c>
      <c r="O1594" s="26"/>
      <c r="P1594" s="26" t="s">
        <v>1402</v>
      </c>
      <c r="Q1594" s="26"/>
      <c r="R1594" s="5"/>
      <c r="S1594" s="5"/>
      <c r="T1594" s="5"/>
      <c r="U1594" s="5"/>
      <c r="V1594" s="5"/>
      <c r="W1594" s="5"/>
      <c r="X1594" s="5"/>
      <c r="Y1594" s="5"/>
    </row>
    <row r="1595" spans="13:25" ht="22">
      <c r="M1595" s="26" t="s">
        <v>53</v>
      </c>
      <c r="N1595" s="25" t="s">
        <v>55</v>
      </c>
      <c r="O1595" s="26"/>
      <c r="P1595" s="26" t="s">
        <v>1403</v>
      </c>
      <c r="Q1595" s="26"/>
      <c r="R1595" s="5"/>
      <c r="S1595" s="5"/>
      <c r="T1595" s="5"/>
      <c r="U1595" s="5"/>
      <c r="V1595" s="5"/>
      <c r="W1595" s="5"/>
      <c r="X1595" s="5"/>
      <c r="Y1595" s="5"/>
    </row>
    <row r="1596" spans="13:25" ht="44">
      <c r="M1596" s="26" t="s">
        <v>53</v>
      </c>
      <c r="N1596" s="25" t="s">
        <v>55</v>
      </c>
      <c r="O1596" s="26"/>
      <c r="P1596" s="26" t="s">
        <v>1404</v>
      </c>
      <c r="Q1596" s="26"/>
      <c r="R1596" s="5"/>
      <c r="S1596" s="5"/>
      <c r="T1596" s="5"/>
      <c r="U1596" s="5"/>
      <c r="V1596" s="5"/>
      <c r="W1596" s="5"/>
      <c r="X1596" s="5"/>
      <c r="Y1596" s="5"/>
    </row>
    <row r="1597" spans="13:25" ht="33">
      <c r="M1597" s="26" t="s">
        <v>53</v>
      </c>
      <c r="N1597" s="25" t="s">
        <v>55</v>
      </c>
      <c r="O1597" s="26"/>
      <c r="P1597" s="26" t="s">
        <v>1405</v>
      </c>
      <c r="Q1597" s="26"/>
      <c r="R1597" s="5"/>
      <c r="S1597" s="5"/>
      <c r="T1597" s="5"/>
      <c r="U1597" s="5"/>
      <c r="V1597" s="5"/>
      <c r="W1597" s="5"/>
      <c r="X1597" s="5"/>
      <c r="Y1597" s="5"/>
    </row>
    <row r="1598" spans="13:25" ht="33">
      <c r="M1598" s="26" t="s">
        <v>53</v>
      </c>
      <c r="N1598" s="25" t="s">
        <v>55</v>
      </c>
      <c r="O1598" s="26"/>
      <c r="P1598" s="26" t="s">
        <v>1406</v>
      </c>
      <c r="Q1598" s="26"/>
      <c r="R1598" s="5"/>
      <c r="S1598" s="5"/>
      <c r="T1598" s="5"/>
      <c r="U1598" s="5"/>
      <c r="V1598" s="5"/>
      <c r="W1598" s="5"/>
      <c r="X1598" s="5"/>
      <c r="Y1598" s="5"/>
    </row>
    <row r="1599" spans="13:25" ht="33">
      <c r="M1599" s="26" t="s">
        <v>53</v>
      </c>
      <c r="N1599" s="25" t="s">
        <v>55</v>
      </c>
      <c r="O1599" s="26"/>
      <c r="P1599" s="26" t="s">
        <v>1407</v>
      </c>
      <c r="Q1599" s="26"/>
      <c r="R1599" s="5"/>
      <c r="S1599" s="5"/>
      <c r="T1599" s="5"/>
      <c r="U1599" s="5"/>
      <c r="V1599" s="5"/>
      <c r="W1599" s="5"/>
      <c r="X1599" s="5"/>
      <c r="Y1599" s="5"/>
    </row>
    <row r="1600" spans="13:25" ht="22">
      <c r="M1600" s="26" t="s">
        <v>53</v>
      </c>
      <c r="N1600" s="25" t="s">
        <v>55</v>
      </c>
      <c r="O1600" s="26"/>
      <c r="P1600" s="26" t="s">
        <v>1408</v>
      </c>
      <c r="Q1600" s="26"/>
      <c r="R1600" s="5"/>
      <c r="S1600" s="5"/>
      <c r="T1600" s="5"/>
      <c r="U1600" s="5"/>
      <c r="V1600" s="5"/>
      <c r="W1600" s="5"/>
      <c r="X1600" s="5"/>
      <c r="Y1600" s="5"/>
    </row>
    <row r="1601" spans="13:25" ht="22">
      <c r="M1601" s="26" t="s">
        <v>53</v>
      </c>
      <c r="N1601" s="25" t="s">
        <v>55</v>
      </c>
      <c r="O1601" s="26"/>
      <c r="P1601" s="26" t="s">
        <v>1409</v>
      </c>
      <c r="Q1601" s="26"/>
      <c r="R1601" s="5"/>
      <c r="S1601" s="5"/>
      <c r="T1601" s="5"/>
      <c r="U1601" s="5"/>
      <c r="V1601" s="5"/>
      <c r="W1601" s="5"/>
      <c r="X1601" s="5"/>
      <c r="Y1601" s="5"/>
    </row>
    <row r="1602" spans="13:25" ht="33">
      <c r="M1602" s="26" t="s">
        <v>53</v>
      </c>
      <c r="N1602" s="25" t="s">
        <v>55</v>
      </c>
      <c r="O1602" s="26"/>
      <c r="P1602" s="26" t="s">
        <v>1410</v>
      </c>
      <c r="Q1602" s="26"/>
      <c r="R1602" s="5"/>
      <c r="S1602" s="5"/>
      <c r="T1602" s="5"/>
      <c r="U1602" s="5"/>
      <c r="V1602" s="5"/>
      <c r="W1602" s="5"/>
      <c r="X1602" s="5"/>
      <c r="Y1602" s="5"/>
    </row>
    <row r="1603" spans="13:25" ht="22">
      <c r="M1603" s="26" t="s">
        <v>53</v>
      </c>
      <c r="N1603" s="25" t="s">
        <v>55</v>
      </c>
      <c r="O1603" s="26"/>
      <c r="P1603" s="26" t="s">
        <v>1411</v>
      </c>
      <c r="Q1603" s="26"/>
      <c r="R1603" s="5"/>
      <c r="S1603" s="5"/>
      <c r="T1603" s="5"/>
      <c r="U1603" s="5"/>
      <c r="V1603" s="5"/>
      <c r="W1603" s="5"/>
      <c r="X1603" s="5"/>
      <c r="Y1603" s="5"/>
    </row>
    <row r="1604" spans="13:25" ht="22">
      <c r="M1604" s="26" t="s">
        <v>53</v>
      </c>
      <c r="N1604" s="25" t="s">
        <v>55</v>
      </c>
      <c r="O1604" s="26"/>
      <c r="P1604" s="26" t="s">
        <v>1412</v>
      </c>
      <c r="Q1604" s="26"/>
      <c r="R1604" s="5"/>
      <c r="S1604" s="5"/>
      <c r="T1604" s="5"/>
      <c r="U1604" s="5"/>
      <c r="V1604" s="5"/>
      <c r="W1604" s="5"/>
      <c r="X1604" s="5"/>
      <c r="Y1604" s="5"/>
    </row>
    <row r="1605" spans="13:25" ht="44">
      <c r="M1605" s="26" t="s">
        <v>53</v>
      </c>
      <c r="N1605" s="25" t="s">
        <v>55</v>
      </c>
      <c r="O1605" s="26"/>
      <c r="P1605" s="26" t="s">
        <v>1413</v>
      </c>
      <c r="Q1605" s="26"/>
      <c r="R1605" s="5"/>
      <c r="S1605" s="5"/>
      <c r="T1605" s="5"/>
      <c r="U1605" s="5"/>
      <c r="V1605" s="5"/>
      <c r="W1605" s="5"/>
      <c r="X1605" s="5"/>
      <c r="Y1605" s="5"/>
    </row>
    <row r="1606" spans="13:25" ht="33">
      <c r="M1606" s="26" t="s">
        <v>53</v>
      </c>
      <c r="N1606" s="25" t="s">
        <v>55</v>
      </c>
      <c r="O1606" s="26"/>
      <c r="P1606" s="26" t="s">
        <v>1414</v>
      </c>
      <c r="Q1606" s="26"/>
      <c r="R1606" s="5"/>
      <c r="S1606" s="5"/>
      <c r="T1606" s="5"/>
      <c r="U1606" s="5"/>
      <c r="V1606" s="5"/>
      <c r="W1606" s="5"/>
      <c r="X1606" s="5"/>
      <c r="Y1606" s="5"/>
    </row>
    <row r="1607" spans="13:25" ht="33">
      <c r="M1607" s="26" t="s">
        <v>53</v>
      </c>
      <c r="N1607" s="25" t="s">
        <v>55</v>
      </c>
      <c r="O1607" s="26"/>
      <c r="P1607" s="26" t="s">
        <v>1415</v>
      </c>
      <c r="Q1607" s="26"/>
      <c r="R1607" s="5"/>
      <c r="S1607" s="5"/>
      <c r="T1607" s="5"/>
      <c r="U1607" s="5"/>
      <c r="V1607" s="5"/>
      <c r="W1607" s="5"/>
      <c r="X1607" s="5"/>
      <c r="Y1607" s="5"/>
    </row>
    <row r="1608" spans="13:25" ht="22">
      <c r="M1608" s="26" t="s">
        <v>53</v>
      </c>
      <c r="N1608" s="25" t="s">
        <v>55</v>
      </c>
      <c r="O1608" s="26"/>
      <c r="P1608" s="26" t="s">
        <v>1416</v>
      </c>
      <c r="Q1608" s="26"/>
      <c r="R1608" s="5"/>
      <c r="S1608" s="5"/>
      <c r="T1608" s="5"/>
      <c r="U1608" s="5"/>
      <c r="V1608" s="5"/>
      <c r="W1608" s="5"/>
      <c r="X1608" s="5"/>
      <c r="Y1608" s="5"/>
    </row>
    <row r="1609" spans="13:25" ht="22">
      <c r="M1609" s="26" t="s">
        <v>53</v>
      </c>
      <c r="N1609" s="25" t="s">
        <v>55</v>
      </c>
      <c r="O1609" s="26"/>
      <c r="P1609" s="26" t="s">
        <v>1417</v>
      </c>
      <c r="Q1609" s="26"/>
      <c r="R1609" s="5"/>
      <c r="S1609" s="5"/>
      <c r="T1609" s="5"/>
      <c r="U1609" s="5"/>
      <c r="V1609" s="5"/>
      <c r="W1609" s="5"/>
      <c r="X1609" s="5"/>
      <c r="Y1609" s="5"/>
    </row>
    <row r="1610" spans="13:25" ht="33">
      <c r="M1610" s="26" t="s">
        <v>53</v>
      </c>
      <c r="N1610" s="25" t="s">
        <v>55</v>
      </c>
      <c r="O1610" s="26"/>
      <c r="P1610" s="26" t="s">
        <v>1418</v>
      </c>
      <c r="Q1610" s="26"/>
      <c r="R1610" s="5"/>
      <c r="S1610" s="5"/>
      <c r="T1610" s="5"/>
      <c r="U1610" s="5"/>
      <c r="V1610" s="5"/>
      <c r="W1610" s="5"/>
      <c r="X1610" s="5"/>
      <c r="Y1610" s="5"/>
    </row>
    <row r="1611" spans="13:25" ht="22">
      <c r="M1611" s="26" t="s">
        <v>53</v>
      </c>
      <c r="N1611" s="25" t="s">
        <v>51</v>
      </c>
      <c r="O1611" s="26"/>
      <c r="P1611" s="26" t="s">
        <v>1419</v>
      </c>
      <c r="Q1611" s="26"/>
      <c r="R1611" s="5"/>
      <c r="S1611" s="5"/>
      <c r="T1611" s="5"/>
      <c r="U1611" s="5"/>
      <c r="V1611" s="5"/>
      <c r="W1611" s="5"/>
      <c r="X1611" s="5"/>
      <c r="Y1611" s="5"/>
    </row>
    <row r="1612" spans="13:25" ht="33">
      <c r="M1612" s="26" t="s">
        <v>53</v>
      </c>
      <c r="N1612" s="25" t="s">
        <v>55</v>
      </c>
      <c r="O1612" s="26"/>
      <c r="P1612" s="26" t="s">
        <v>1420</v>
      </c>
      <c r="Q1612" s="26"/>
      <c r="R1612" s="5"/>
      <c r="S1612" s="5"/>
      <c r="T1612" s="5"/>
      <c r="U1612" s="5"/>
      <c r="V1612" s="5"/>
      <c r="W1612" s="5"/>
      <c r="X1612" s="5"/>
      <c r="Y1612" s="5"/>
    </row>
    <row r="1613" spans="13:25" ht="33">
      <c r="M1613" s="26" t="s">
        <v>53</v>
      </c>
      <c r="N1613" s="25" t="s">
        <v>55</v>
      </c>
      <c r="O1613" s="26"/>
      <c r="P1613" s="26" t="s">
        <v>1421</v>
      </c>
      <c r="Q1613" s="26"/>
      <c r="R1613" s="5"/>
      <c r="S1613" s="5"/>
      <c r="T1613" s="5"/>
      <c r="U1613" s="5"/>
      <c r="V1613" s="5"/>
      <c r="W1613" s="5"/>
      <c r="X1613" s="5"/>
      <c r="Y1613" s="5"/>
    </row>
    <row r="1614" spans="13:25" ht="33">
      <c r="M1614" s="26" t="s">
        <v>53</v>
      </c>
      <c r="N1614" s="25" t="s">
        <v>51</v>
      </c>
      <c r="O1614" s="26"/>
      <c r="P1614" s="26" t="s">
        <v>769</v>
      </c>
      <c r="Q1614" s="26"/>
      <c r="R1614" s="5"/>
      <c r="S1614" s="5"/>
      <c r="T1614" s="5"/>
      <c r="U1614" s="5"/>
      <c r="V1614" s="5"/>
      <c r="W1614" s="5"/>
      <c r="X1614" s="5"/>
      <c r="Y1614" s="5"/>
    </row>
    <row r="1615" spans="13:25" ht="22">
      <c r="M1615" s="26" t="s">
        <v>53</v>
      </c>
      <c r="N1615" s="25" t="s">
        <v>65</v>
      </c>
      <c r="O1615" s="26" t="s">
        <v>1422</v>
      </c>
      <c r="P1615" s="26"/>
      <c r="Q1615" s="26"/>
      <c r="R1615" s="5"/>
      <c r="S1615" s="5"/>
      <c r="T1615" s="5"/>
      <c r="U1615" s="5"/>
      <c r="V1615" s="5"/>
      <c r="W1615" s="5"/>
      <c r="X1615" s="5"/>
      <c r="Y1615" s="5"/>
    </row>
    <row r="1616" spans="13:25" ht="22">
      <c r="M1616" s="26" t="s">
        <v>53</v>
      </c>
      <c r="N1616" s="25" t="s">
        <v>65</v>
      </c>
      <c r="O1616" s="26" t="s">
        <v>1422</v>
      </c>
      <c r="P1616" s="26"/>
      <c r="Q1616" s="26"/>
      <c r="R1616" s="5"/>
      <c r="S1616" s="5"/>
      <c r="T1616" s="5"/>
      <c r="U1616" s="5"/>
      <c r="V1616" s="5"/>
      <c r="W1616" s="5"/>
      <c r="X1616" s="5"/>
      <c r="Y1616" s="5"/>
    </row>
    <row r="1617" spans="13:25" ht="22">
      <c r="M1617" s="26" t="s">
        <v>53</v>
      </c>
      <c r="N1617" s="25" t="s">
        <v>51</v>
      </c>
      <c r="O1617" s="26" t="s">
        <v>1423</v>
      </c>
      <c r="P1617" s="26"/>
      <c r="Q1617" s="26"/>
      <c r="R1617" s="5"/>
      <c r="S1617" s="5"/>
      <c r="T1617" s="5"/>
      <c r="U1617" s="5"/>
      <c r="V1617" s="5"/>
      <c r="W1617" s="5"/>
      <c r="X1617" s="5"/>
      <c r="Y1617" s="5"/>
    </row>
    <row r="1618" spans="13:25" ht="22">
      <c r="M1618" s="26" t="s">
        <v>53</v>
      </c>
      <c r="N1618" s="25" t="s">
        <v>51</v>
      </c>
      <c r="O1618" s="26" t="s">
        <v>1423</v>
      </c>
      <c r="P1618" s="26"/>
      <c r="Q1618" s="26"/>
      <c r="R1618" s="5"/>
      <c r="S1618" s="5"/>
      <c r="T1618" s="5"/>
      <c r="U1618" s="5"/>
      <c r="V1618" s="5"/>
      <c r="W1618" s="5"/>
      <c r="X1618" s="5"/>
      <c r="Y1618" s="5"/>
    </row>
    <row r="1619" spans="13:25" ht="22">
      <c r="M1619" s="26" t="s">
        <v>53</v>
      </c>
      <c r="N1619" s="25" t="s">
        <v>51</v>
      </c>
      <c r="O1619" s="26" t="s">
        <v>1424</v>
      </c>
      <c r="P1619" s="26"/>
      <c r="Q1619" s="26"/>
      <c r="R1619" s="5"/>
      <c r="S1619" s="5"/>
      <c r="T1619" s="5"/>
      <c r="U1619" s="5"/>
      <c r="V1619" s="5"/>
      <c r="W1619" s="5"/>
      <c r="X1619" s="5"/>
      <c r="Y1619" s="5"/>
    </row>
    <row r="1620" spans="13:25" ht="33">
      <c r="M1620" s="26" t="s">
        <v>53</v>
      </c>
      <c r="N1620" s="25" t="s">
        <v>55</v>
      </c>
      <c r="O1620" s="26"/>
      <c r="P1620" s="26" t="s">
        <v>1425</v>
      </c>
      <c r="Q1620" s="26"/>
      <c r="R1620" s="5"/>
      <c r="S1620" s="5"/>
      <c r="T1620" s="5"/>
      <c r="U1620" s="5"/>
      <c r="V1620" s="5"/>
      <c r="W1620" s="5"/>
      <c r="X1620" s="5"/>
      <c r="Y1620" s="5"/>
    </row>
    <row r="1621" spans="13:25" ht="33">
      <c r="M1621" s="26" t="s">
        <v>53</v>
      </c>
      <c r="N1621" s="25" t="s">
        <v>55</v>
      </c>
      <c r="O1621" s="26"/>
      <c r="P1621" s="26" t="s">
        <v>1426</v>
      </c>
      <c r="Q1621" s="26"/>
      <c r="R1621" s="5"/>
      <c r="S1621" s="5"/>
      <c r="T1621" s="5"/>
      <c r="U1621" s="5"/>
      <c r="V1621" s="5"/>
      <c r="W1621" s="5"/>
      <c r="X1621" s="5"/>
      <c r="Y1621" s="5"/>
    </row>
    <row r="1622" spans="13:25" ht="33">
      <c r="M1622" s="26" t="s">
        <v>53</v>
      </c>
      <c r="N1622" s="25" t="s">
        <v>55</v>
      </c>
      <c r="O1622" s="26"/>
      <c r="P1622" s="26" t="s">
        <v>1427</v>
      </c>
      <c r="Q1622" s="26"/>
      <c r="R1622" s="5"/>
      <c r="S1622" s="5"/>
      <c r="T1622" s="5"/>
      <c r="U1622" s="5"/>
      <c r="V1622" s="5"/>
      <c r="W1622" s="5"/>
      <c r="X1622" s="5"/>
      <c r="Y1622" s="5"/>
    </row>
    <row r="1623" spans="13:25" ht="22">
      <c r="M1623" s="26" t="s">
        <v>53</v>
      </c>
      <c r="N1623" s="25" t="s">
        <v>55</v>
      </c>
      <c r="O1623" s="26"/>
      <c r="P1623" s="26" t="s">
        <v>1428</v>
      </c>
      <c r="Q1623" s="26"/>
      <c r="R1623" s="5"/>
      <c r="S1623" s="5"/>
      <c r="T1623" s="5"/>
      <c r="U1623" s="5"/>
      <c r="V1623" s="5"/>
      <c r="W1623" s="5"/>
      <c r="X1623" s="5"/>
      <c r="Y1623" s="5"/>
    </row>
    <row r="1624" spans="13:25" ht="22">
      <c r="M1624" s="26" t="s">
        <v>53</v>
      </c>
      <c r="N1624" s="25" t="s">
        <v>55</v>
      </c>
      <c r="O1624" s="26"/>
      <c r="P1624" s="26" t="s">
        <v>1429</v>
      </c>
      <c r="Q1624" s="26"/>
      <c r="R1624" s="5"/>
      <c r="S1624" s="5"/>
      <c r="T1624" s="5"/>
      <c r="U1624" s="5"/>
      <c r="V1624" s="5"/>
      <c r="W1624" s="5"/>
      <c r="X1624" s="5"/>
      <c r="Y1624" s="5"/>
    </row>
    <row r="1625" spans="13:25" ht="22">
      <c r="M1625" s="26" t="s">
        <v>53</v>
      </c>
      <c r="N1625" s="25" t="s">
        <v>55</v>
      </c>
      <c r="O1625" s="26" t="s">
        <v>1430</v>
      </c>
      <c r="P1625" s="26"/>
      <c r="Q1625" s="26"/>
      <c r="R1625" s="5"/>
      <c r="S1625" s="5"/>
      <c r="T1625" s="5"/>
      <c r="U1625" s="5"/>
      <c r="V1625" s="5"/>
      <c r="W1625" s="5"/>
      <c r="X1625" s="5"/>
      <c r="Y1625" s="5"/>
    </row>
    <row r="1626" spans="13:25" ht="44">
      <c r="M1626" s="26" t="s">
        <v>53</v>
      </c>
      <c r="N1626" s="25" t="s">
        <v>55</v>
      </c>
      <c r="O1626" s="26" t="s">
        <v>1431</v>
      </c>
      <c r="P1626" s="26"/>
      <c r="Q1626" s="26"/>
      <c r="R1626" s="5"/>
      <c r="S1626" s="5"/>
      <c r="T1626" s="5"/>
      <c r="U1626" s="5"/>
      <c r="V1626" s="5"/>
      <c r="W1626" s="5"/>
      <c r="X1626" s="5"/>
      <c r="Y1626" s="5"/>
    </row>
    <row r="1627" spans="13:25" ht="44">
      <c r="M1627" s="26" t="s">
        <v>53</v>
      </c>
      <c r="N1627" s="25" t="s">
        <v>55</v>
      </c>
      <c r="O1627" s="26" t="s">
        <v>1432</v>
      </c>
      <c r="P1627" s="26"/>
      <c r="Q1627" s="26"/>
      <c r="R1627" s="5"/>
      <c r="S1627" s="5"/>
      <c r="T1627" s="5"/>
      <c r="U1627" s="5"/>
      <c r="V1627" s="5"/>
      <c r="W1627" s="5"/>
      <c r="X1627" s="5"/>
      <c r="Y1627" s="5"/>
    </row>
    <row r="1628" spans="13:25" ht="22">
      <c r="M1628" s="26" t="s">
        <v>53</v>
      </c>
      <c r="N1628" s="25" t="s">
        <v>51</v>
      </c>
      <c r="O1628" s="26" t="s">
        <v>1433</v>
      </c>
      <c r="P1628" s="26"/>
      <c r="Q1628" s="26"/>
      <c r="R1628" s="5"/>
      <c r="S1628" s="5"/>
      <c r="T1628" s="5"/>
      <c r="U1628" s="5"/>
      <c r="V1628" s="5"/>
      <c r="W1628" s="5"/>
      <c r="X1628" s="5"/>
      <c r="Y1628" s="5"/>
    </row>
    <row r="1629" spans="13:25" ht="22">
      <c r="M1629" s="26" t="s">
        <v>53</v>
      </c>
      <c r="N1629" s="25" t="s">
        <v>70</v>
      </c>
      <c r="O1629" s="26"/>
      <c r="P1629" s="26" t="s">
        <v>1434</v>
      </c>
      <c r="Q1629" s="26"/>
      <c r="R1629" s="5"/>
      <c r="S1629" s="5"/>
      <c r="T1629" s="5"/>
      <c r="U1629" s="5"/>
      <c r="V1629" s="5"/>
      <c r="W1629" s="5"/>
      <c r="X1629" s="5"/>
      <c r="Y1629" s="5"/>
    </row>
    <row r="1630" spans="13:25" ht="22">
      <c r="M1630" s="26" t="s">
        <v>53</v>
      </c>
      <c r="N1630" s="25" t="s">
        <v>51</v>
      </c>
      <c r="O1630" s="26" t="s">
        <v>1435</v>
      </c>
      <c r="P1630" s="26"/>
      <c r="Q1630" s="26"/>
      <c r="R1630" s="5"/>
      <c r="S1630" s="5"/>
      <c r="T1630" s="5"/>
      <c r="U1630" s="5"/>
      <c r="V1630" s="5"/>
      <c r="W1630" s="5"/>
      <c r="X1630" s="5"/>
      <c r="Y1630" s="5"/>
    </row>
    <row r="1631" spans="13:25" ht="22">
      <c r="M1631" s="26" t="s">
        <v>53</v>
      </c>
      <c r="N1631" s="25" t="s">
        <v>51</v>
      </c>
      <c r="O1631" s="26" t="s">
        <v>1436</v>
      </c>
      <c r="P1631" s="26"/>
      <c r="Q1631" s="26"/>
      <c r="R1631" s="5"/>
      <c r="S1631" s="5"/>
      <c r="T1631" s="5"/>
      <c r="U1631" s="5"/>
      <c r="V1631" s="5"/>
      <c r="W1631" s="5"/>
      <c r="X1631" s="5"/>
      <c r="Y1631" s="5"/>
    </row>
    <row r="1632" spans="13:25" ht="33">
      <c r="M1632" s="26" t="s">
        <v>53</v>
      </c>
      <c r="N1632" s="25" t="s">
        <v>55</v>
      </c>
      <c r="O1632" s="26"/>
      <c r="P1632" s="26" t="s">
        <v>379</v>
      </c>
      <c r="Q1632" s="26"/>
      <c r="R1632" s="5"/>
      <c r="S1632" s="5"/>
      <c r="T1632" s="5"/>
      <c r="U1632" s="5"/>
      <c r="V1632" s="5"/>
      <c r="W1632" s="5"/>
      <c r="X1632" s="5"/>
      <c r="Y1632" s="5"/>
    </row>
    <row r="1633" spans="13:25" ht="33">
      <c r="M1633" s="26" t="s">
        <v>53</v>
      </c>
      <c r="N1633" s="25" t="s">
        <v>55</v>
      </c>
      <c r="O1633" s="26"/>
      <c r="P1633" s="26" t="s">
        <v>1437</v>
      </c>
      <c r="Q1633" s="26"/>
      <c r="R1633" s="5"/>
      <c r="S1633" s="5"/>
      <c r="T1633" s="5"/>
      <c r="U1633" s="5"/>
      <c r="V1633" s="5"/>
      <c r="W1633" s="5"/>
      <c r="X1633" s="5"/>
      <c r="Y1633" s="5"/>
    </row>
    <row r="1634" spans="13:25" ht="55">
      <c r="M1634" s="26" t="s">
        <v>53</v>
      </c>
      <c r="N1634" s="25" t="s">
        <v>55</v>
      </c>
      <c r="O1634" s="26"/>
      <c r="P1634" s="26" t="s">
        <v>1438</v>
      </c>
      <c r="Q1634" s="26"/>
      <c r="R1634" s="5"/>
      <c r="S1634" s="5"/>
      <c r="T1634" s="5"/>
      <c r="U1634" s="5"/>
      <c r="V1634" s="5"/>
      <c r="W1634" s="5"/>
      <c r="X1634" s="5"/>
      <c r="Y1634" s="5"/>
    </row>
    <row r="1635" spans="13:25" ht="55">
      <c r="M1635" s="26" t="s">
        <v>53</v>
      </c>
      <c r="N1635" s="25" t="s">
        <v>55</v>
      </c>
      <c r="O1635" s="26"/>
      <c r="P1635" s="26" t="s">
        <v>353</v>
      </c>
      <c r="Q1635" s="26"/>
      <c r="R1635" s="5"/>
      <c r="S1635" s="5"/>
      <c r="T1635" s="5"/>
      <c r="U1635" s="5"/>
      <c r="V1635" s="5"/>
      <c r="W1635" s="5"/>
      <c r="X1635" s="5"/>
      <c r="Y1635" s="5"/>
    </row>
    <row r="1636" spans="13:25" ht="55">
      <c r="M1636" s="26" t="s">
        <v>53</v>
      </c>
      <c r="N1636" s="25" t="s">
        <v>55</v>
      </c>
      <c r="O1636" s="26"/>
      <c r="P1636" s="26" t="s">
        <v>381</v>
      </c>
      <c r="Q1636" s="26"/>
      <c r="R1636" s="5"/>
      <c r="S1636" s="5"/>
      <c r="T1636" s="5"/>
      <c r="U1636" s="5"/>
      <c r="V1636" s="5"/>
      <c r="W1636" s="5"/>
      <c r="X1636" s="5"/>
      <c r="Y1636" s="5"/>
    </row>
    <row r="1637" spans="13:25" ht="55">
      <c r="M1637" s="26" t="s">
        <v>53</v>
      </c>
      <c r="N1637" s="25" t="s">
        <v>55</v>
      </c>
      <c r="O1637" s="26"/>
      <c r="P1637" s="26" t="s">
        <v>353</v>
      </c>
      <c r="Q1637" s="26"/>
      <c r="R1637" s="5"/>
      <c r="S1637" s="5"/>
      <c r="T1637" s="5"/>
      <c r="U1637" s="5"/>
      <c r="V1637" s="5"/>
      <c r="W1637" s="5"/>
      <c r="X1637" s="5"/>
      <c r="Y1637" s="5"/>
    </row>
    <row r="1638" spans="13:25" ht="55">
      <c r="M1638" s="26" t="s">
        <v>53</v>
      </c>
      <c r="N1638" s="25" t="s">
        <v>55</v>
      </c>
      <c r="O1638" s="26"/>
      <c r="P1638" s="26" t="s">
        <v>1439</v>
      </c>
      <c r="Q1638" s="26"/>
      <c r="R1638" s="5"/>
      <c r="S1638" s="5"/>
      <c r="T1638" s="5"/>
      <c r="U1638" s="5"/>
      <c r="V1638" s="5"/>
      <c r="W1638" s="5"/>
      <c r="X1638" s="5"/>
      <c r="Y1638" s="5"/>
    </row>
    <row r="1639" spans="13:25" ht="55">
      <c r="M1639" s="26" t="s">
        <v>53</v>
      </c>
      <c r="N1639" s="25" t="s">
        <v>55</v>
      </c>
      <c r="O1639" s="26"/>
      <c r="P1639" s="26" t="s">
        <v>354</v>
      </c>
      <c r="Q1639" s="26"/>
      <c r="R1639" s="5"/>
      <c r="S1639" s="5"/>
      <c r="T1639" s="5"/>
      <c r="U1639" s="5"/>
      <c r="V1639" s="5"/>
      <c r="W1639" s="5"/>
      <c r="X1639" s="5"/>
      <c r="Y1639" s="5"/>
    </row>
    <row r="1640" spans="13:25" ht="33">
      <c r="M1640" s="26" t="s">
        <v>53</v>
      </c>
      <c r="N1640" s="25" t="s">
        <v>55</v>
      </c>
      <c r="O1640" s="26"/>
      <c r="P1640" s="26" t="s">
        <v>1440</v>
      </c>
      <c r="Q1640" s="26"/>
      <c r="R1640" s="5"/>
      <c r="S1640" s="5"/>
      <c r="T1640" s="5"/>
      <c r="U1640" s="5"/>
      <c r="V1640" s="5"/>
      <c r="W1640" s="5"/>
      <c r="X1640" s="5"/>
      <c r="Y1640" s="5"/>
    </row>
    <row r="1641" spans="13:25" ht="33">
      <c r="M1641" s="26" t="s">
        <v>53</v>
      </c>
      <c r="N1641" s="25" t="s">
        <v>55</v>
      </c>
      <c r="O1641" s="26"/>
      <c r="P1641" s="26" t="s">
        <v>389</v>
      </c>
      <c r="Q1641" s="26"/>
      <c r="R1641" s="5"/>
      <c r="S1641" s="5"/>
      <c r="T1641" s="5"/>
      <c r="U1641" s="5"/>
      <c r="V1641" s="5"/>
      <c r="W1641" s="5"/>
      <c r="X1641" s="5"/>
      <c r="Y1641" s="5"/>
    </row>
    <row r="1642" spans="13:25" ht="33">
      <c r="M1642" s="26" t="s">
        <v>53</v>
      </c>
      <c r="N1642" s="25" t="s">
        <v>55</v>
      </c>
      <c r="O1642" s="26"/>
      <c r="P1642" s="26" t="s">
        <v>1441</v>
      </c>
      <c r="Q1642" s="26"/>
      <c r="R1642" s="5"/>
      <c r="S1642" s="5"/>
      <c r="T1642" s="5"/>
      <c r="U1642" s="5"/>
      <c r="V1642" s="5"/>
      <c r="W1642" s="5"/>
      <c r="X1642" s="5"/>
      <c r="Y1642" s="5"/>
    </row>
    <row r="1643" spans="13:25" ht="44">
      <c r="M1643" s="26" t="s">
        <v>53</v>
      </c>
      <c r="N1643" s="25" t="s">
        <v>55</v>
      </c>
      <c r="O1643" s="26"/>
      <c r="P1643" s="26" t="s">
        <v>371</v>
      </c>
      <c r="Q1643" s="26"/>
      <c r="R1643" s="5"/>
      <c r="S1643" s="5"/>
      <c r="T1643" s="5"/>
      <c r="U1643" s="5"/>
      <c r="V1643" s="5"/>
      <c r="W1643" s="5"/>
      <c r="X1643" s="5"/>
      <c r="Y1643" s="5"/>
    </row>
    <row r="1644" spans="13:25" ht="44">
      <c r="M1644" s="26" t="s">
        <v>53</v>
      </c>
      <c r="N1644" s="25" t="s">
        <v>55</v>
      </c>
      <c r="O1644" s="26"/>
      <c r="P1644" s="26" t="s">
        <v>391</v>
      </c>
      <c r="Q1644" s="26"/>
      <c r="R1644" s="5"/>
      <c r="S1644" s="5"/>
      <c r="T1644" s="5"/>
      <c r="U1644" s="5"/>
      <c r="V1644" s="5"/>
      <c r="W1644" s="5"/>
      <c r="X1644" s="5"/>
      <c r="Y1644" s="5"/>
    </row>
    <row r="1645" spans="13:25" ht="44">
      <c r="M1645" s="26" t="s">
        <v>53</v>
      </c>
      <c r="N1645" s="25" t="s">
        <v>55</v>
      </c>
      <c r="O1645" s="26"/>
      <c r="P1645" s="26" t="s">
        <v>371</v>
      </c>
      <c r="Q1645" s="26"/>
      <c r="R1645" s="5"/>
      <c r="S1645" s="5"/>
      <c r="T1645" s="5"/>
      <c r="U1645" s="5"/>
      <c r="V1645" s="5"/>
      <c r="W1645" s="5"/>
      <c r="X1645" s="5"/>
      <c r="Y1645" s="5"/>
    </row>
    <row r="1646" spans="13:25" ht="44">
      <c r="M1646" s="26" t="s">
        <v>53</v>
      </c>
      <c r="N1646" s="25" t="s">
        <v>55</v>
      </c>
      <c r="O1646" s="26"/>
      <c r="P1646" s="26" t="s">
        <v>1442</v>
      </c>
      <c r="Q1646" s="26"/>
      <c r="R1646" s="5"/>
      <c r="S1646" s="5"/>
      <c r="T1646" s="5"/>
      <c r="U1646" s="5"/>
      <c r="V1646" s="5"/>
      <c r="W1646" s="5"/>
      <c r="X1646" s="5"/>
      <c r="Y1646" s="5"/>
    </row>
    <row r="1647" spans="13:25" ht="33">
      <c r="M1647" s="26" t="s">
        <v>53</v>
      </c>
      <c r="N1647" s="25" t="s">
        <v>55</v>
      </c>
      <c r="O1647" s="26"/>
      <c r="P1647" s="26" t="s">
        <v>1443</v>
      </c>
      <c r="Q1647" s="26"/>
      <c r="R1647" s="5"/>
      <c r="S1647" s="5"/>
      <c r="T1647" s="5"/>
      <c r="U1647" s="5"/>
      <c r="V1647" s="5"/>
      <c r="W1647" s="5"/>
      <c r="X1647" s="5"/>
      <c r="Y1647" s="5"/>
    </row>
    <row r="1648" spans="13:25" ht="44">
      <c r="M1648" s="26" t="s">
        <v>53</v>
      </c>
      <c r="N1648" s="25" t="s">
        <v>55</v>
      </c>
      <c r="O1648" s="26"/>
      <c r="P1648" s="26" t="s">
        <v>400</v>
      </c>
      <c r="Q1648" s="26"/>
      <c r="R1648" s="5"/>
      <c r="S1648" s="5"/>
      <c r="T1648" s="5"/>
      <c r="U1648" s="5"/>
      <c r="V1648" s="5"/>
      <c r="W1648" s="5"/>
      <c r="X1648" s="5"/>
      <c r="Y1648" s="5"/>
    </row>
    <row r="1649" spans="13:25" ht="44">
      <c r="M1649" s="26" t="s">
        <v>53</v>
      </c>
      <c r="N1649" s="25" t="s">
        <v>55</v>
      </c>
      <c r="O1649" s="26"/>
      <c r="P1649" s="26" t="s">
        <v>401</v>
      </c>
      <c r="Q1649" s="26"/>
      <c r="R1649" s="5"/>
      <c r="S1649" s="5"/>
      <c r="T1649" s="5"/>
      <c r="U1649" s="5"/>
      <c r="V1649" s="5"/>
      <c r="W1649" s="5"/>
      <c r="X1649" s="5"/>
      <c r="Y1649" s="5"/>
    </row>
    <row r="1650" spans="13:25" ht="22">
      <c r="M1650" s="26" t="s">
        <v>53</v>
      </c>
      <c r="N1650" s="25" t="s">
        <v>55</v>
      </c>
      <c r="O1650" s="26"/>
      <c r="P1650" s="26" t="s">
        <v>1444</v>
      </c>
      <c r="Q1650" s="26"/>
      <c r="R1650" s="5"/>
      <c r="S1650" s="5"/>
      <c r="T1650" s="5"/>
      <c r="U1650" s="5"/>
      <c r="V1650" s="5"/>
      <c r="W1650" s="5"/>
      <c r="X1650" s="5"/>
      <c r="Y1650" s="5"/>
    </row>
    <row r="1651" spans="13:25" ht="22">
      <c r="M1651" s="26" t="s">
        <v>53</v>
      </c>
      <c r="N1651" s="25" t="s">
        <v>55</v>
      </c>
      <c r="O1651" s="26"/>
      <c r="P1651" s="26" t="s">
        <v>1445</v>
      </c>
      <c r="Q1651" s="26"/>
      <c r="R1651" s="5"/>
      <c r="S1651" s="5"/>
      <c r="T1651" s="5"/>
      <c r="U1651" s="5"/>
      <c r="V1651" s="5"/>
      <c r="W1651" s="5"/>
      <c r="X1651" s="5"/>
      <c r="Y1651" s="5"/>
    </row>
    <row r="1652" spans="13:25" ht="33">
      <c r="M1652" s="26" t="s">
        <v>53</v>
      </c>
      <c r="N1652" s="25" t="s">
        <v>55</v>
      </c>
      <c r="O1652" s="26"/>
      <c r="P1652" s="26" t="s">
        <v>672</v>
      </c>
      <c r="Q1652" s="26"/>
      <c r="R1652" s="5"/>
      <c r="S1652" s="5"/>
      <c r="T1652" s="5"/>
      <c r="U1652" s="5"/>
      <c r="V1652" s="5"/>
      <c r="W1652" s="5"/>
      <c r="X1652" s="5"/>
      <c r="Y1652" s="5"/>
    </row>
    <row r="1653" spans="13:25" ht="33">
      <c r="M1653" s="26" t="s">
        <v>53</v>
      </c>
      <c r="N1653" s="25" t="s">
        <v>55</v>
      </c>
      <c r="O1653" s="26"/>
      <c r="P1653" s="26" t="s">
        <v>1446</v>
      </c>
      <c r="Q1653" s="26"/>
      <c r="R1653" s="5"/>
      <c r="S1653" s="5"/>
      <c r="T1653" s="5"/>
      <c r="U1653" s="5"/>
      <c r="V1653" s="5"/>
      <c r="W1653" s="5"/>
      <c r="X1653" s="5"/>
      <c r="Y1653" s="5"/>
    </row>
    <row r="1654" spans="13:25" ht="22">
      <c r="M1654" s="26" t="s">
        <v>53</v>
      </c>
      <c r="N1654" s="25" t="s">
        <v>57</v>
      </c>
      <c r="O1654" s="26"/>
      <c r="P1654" s="26" t="s">
        <v>1447</v>
      </c>
      <c r="Q1654" s="26"/>
      <c r="R1654" s="5"/>
      <c r="S1654" s="5"/>
      <c r="T1654" s="5"/>
      <c r="U1654" s="5"/>
      <c r="V1654" s="5"/>
      <c r="W1654" s="5"/>
      <c r="X1654" s="5"/>
      <c r="Y1654" s="5"/>
    </row>
    <row r="1655" spans="13:25" ht="33">
      <c r="M1655" s="26" t="s">
        <v>53</v>
      </c>
      <c r="N1655" s="25" t="s">
        <v>51</v>
      </c>
      <c r="O1655" s="26"/>
      <c r="P1655" s="26" t="s">
        <v>1448</v>
      </c>
      <c r="Q1655" s="26"/>
      <c r="R1655" s="5"/>
      <c r="S1655" s="5"/>
      <c r="T1655" s="5"/>
      <c r="U1655" s="5"/>
      <c r="V1655" s="5"/>
      <c r="W1655" s="5"/>
      <c r="X1655" s="5"/>
      <c r="Y1655" s="5"/>
    </row>
    <row r="1656" spans="13:25" ht="66">
      <c r="M1656" s="26" t="s">
        <v>53</v>
      </c>
      <c r="N1656" s="25" t="s">
        <v>51</v>
      </c>
      <c r="O1656" s="26"/>
      <c r="P1656" s="26" t="s">
        <v>1449</v>
      </c>
      <c r="Q1656" s="26"/>
      <c r="R1656" s="5"/>
      <c r="S1656" s="5"/>
      <c r="T1656" s="5"/>
      <c r="U1656" s="5"/>
      <c r="V1656" s="5"/>
      <c r="W1656" s="5"/>
      <c r="X1656" s="5"/>
      <c r="Y1656" s="5"/>
    </row>
    <row r="1657" spans="13:25" ht="22">
      <c r="M1657" s="26" t="s">
        <v>53</v>
      </c>
      <c r="N1657" s="25" t="s">
        <v>51</v>
      </c>
      <c r="O1657" s="26"/>
      <c r="P1657" s="26" t="s">
        <v>1450</v>
      </c>
      <c r="Q1657" s="26"/>
      <c r="R1657" s="5"/>
      <c r="S1657" s="5"/>
      <c r="T1657" s="5"/>
      <c r="U1657" s="5"/>
      <c r="V1657" s="5"/>
      <c r="W1657" s="5"/>
      <c r="X1657" s="5"/>
      <c r="Y1657" s="5"/>
    </row>
    <row r="1658" spans="13:25" ht="22">
      <c r="M1658" s="26" t="s">
        <v>53</v>
      </c>
      <c r="N1658" s="25" t="s">
        <v>51</v>
      </c>
      <c r="O1658" s="26"/>
      <c r="P1658" s="26" t="s">
        <v>1451</v>
      </c>
      <c r="Q1658" s="26"/>
      <c r="R1658" s="5"/>
      <c r="S1658" s="5"/>
      <c r="T1658" s="5"/>
      <c r="U1658" s="5"/>
      <c r="V1658" s="5"/>
      <c r="W1658" s="5"/>
      <c r="X1658" s="5"/>
      <c r="Y1658" s="5"/>
    </row>
    <row r="1659" spans="13:25" ht="33">
      <c r="M1659" s="26" t="s">
        <v>53</v>
      </c>
      <c r="N1659" s="25" t="s">
        <v>51</v>
      </c>
      <c r="O1659" s="26"/>
      <c r="P1659" s="26" t="s">
        <v>425</v>
      </c>
      <c r="Q1659" s="26"/>
      <c r="R1659" s="5"/>
      <c r="S1659" s="5"/>
      <c r="T1659" s="5"/>
      <c r="U1659" s="5"/>
      <c r="V1659" s="5"/>
      <c r="W1659" s="5"/>
      <c r="X1659" s="5"/>
      <c r="Y1659" s="5"/>
    </row>
    <row r="1660" spans="13:25" ht="44">
      <c r="M1660" s="26" t="s">
        <v>53</v>
      </c>
      <c r="N1660" s="25" t="s">
        <v>51</v>
      </c>
      <c r="O1660" s="26"/>
      <c r="P1660" s="26" t="s">
        <v>1452</v>
      </c>
      <c r="Q1660" s="26"/>
      <c r="R1660" s="5"/>
      <c r="S1660" s="5"/>
      <c r="T1660" s="5"/>
      <c r="U1660" s="5"/>
      <c r="V1660" s="5"/>
      <c r="W1660" s="5"/>
      <c r="X1660" s="5"/>
      <c r="Y1660" s="5"/>
    </row>
    <row r="1661" spans="13:25" ht="44">
      <c r="M1661" s="26" t="s">
        <v>53</v>
      </c>
      <c r="N1661" s="25" t="s">
        <v>51</v>
      </c>
      <c r="O1661" s="26"/>
      <c r="P1661" s="26" t="s">
        <v>1453</v>
      </c>
      <c r="Q1661" s="26"/>
      <c r="R1661" s="5"/>
      <c r="S1661" s="5"/>
      <c r="T1661" s="5"/>
      <c r="U1661" s="5"/>
      <c r="V1661" s="5"/>
      <c r="W1661" s="5"/>
      <c r="X1661" s="5"/>
      <c r="Y1661" s="5"/>
    </row>
    <row r="1662" spans="13:25" ht="22">
      <c r="M1662" s="26" t="s">
        <v>53</v>
      </c>
      <c r="N1662" s="25" t="s">
        <v>70</v>
      </c>
      <c r="O1662" s="26"/>
      <c r="P1662" s="26" t="s">
        <v>1454</v>
      </c>
      <c r="Q1662" s="26"/>
      <c r="R1662" s="5"/>
      <c r="S1662" s="5"/>
      <c r="T1662" s="5"/>
      <c r="U1662" s="5"/>
      <c r="V1662" s="5"/>
      <c r="W1662" s="5"/>
      <c r="X1662" s="5"/>
      <c r="Y1662" s="5"/>
    </row>
    <row r="1663" spans="13:25" ht="77">
      <c r="M1663" s="26" t="s">
        <v>53</v>
      </c>
      <c r="N1663" s="25" t="s">
        <v>55</v>
      </c>
      <c r="O1663" s="26"/>
      <c r="P1663" s="26" t="s">
        <v>1455</v>
      </c>
      <c r="Q1663" s="26"/>
      <c r="R1663" s="5"/>
      <c r="S1663" s="5"/>
      <c r="T1663" s="5"/>
      <c r="U1663" s="5"/>
      <c r="V1663" s="5"/>
      <c r="W1663" s="5"/>
      <c r="X1663" s="5"/>
      <c r="Y1663" s="5"/>
    </row>
    <row r="1664" spans="13:25" ht="88">
      <c r="M1664" s="26" t="s">
        <v>53</v>
      </c>
      <c r="N1664" s="25" t="s">
        <v>55</v>
      </c>
      <c r="O1664" s="26"/>
      <c r="P1664" s="26" t="s">
        <v>1456</v>
      </c>
      <c r="Q1664" s="26"/>
      <c r="R1664" s="5"/>
      <c r="S1664" s="5"/>
      <c r="T1664" s="5"/>
      <c r="U1664" s="5"/>
      <c r="V1664" s="5"/>
      <c r="W1664" s="5"/>
      <c r="X1664" s="5"/>
      <c r="Y1664" s="5"/>
    </row>
    <row r="1665" spans="13:25" ht="55">
      <c r="M1665" s="26" t="s">
        <v>53</v>
      </c>
      <c r="N1665" s="25" t="s">
        <v>55</v>
      </c>
      <c r="O1665" s="26"/>
      <c r="P1665" s="26" t="s">
        <v>1457</v>
      </c>
      <c r="Q1665" s="26"/>
      <c r="R1665" s="5"/>
      <c r="S1665" s="5"/>
      <c r="T1665" s="5"/>
      <c r="U1665" s="5"/>
      <c r="V1665" s="5"/>
      <c r="W1665" s="5"/>
      <c r="X1665" s="5"/>
      <c r="Y1665" s="5"/>
    </row>
    <row r="1666" spans="13:25" ht="99">
      <c r="M1666" s="26" t="s">
        <v>53</v>
      </c>
      <c r="N1666" s="25" t="s">
        <v>55</v>
      </c>
      <c r="O1666" s="26"/>
      <c r="P1666" s="26" t="s">
        <v>1458</v>
      </c>
      <c r="Q1666" s="26"/>
      <c r="R1666" s="5"/>
      <c r="S1666" s="5"/>
      <c r="T1666" s="5"/>
      <c r="U1666" s="5"/>
      <c r="V1666" s="5"/>
      <c r="W1666" s="5"/>
      <c r="X1666" s="5"/>
      <c r="Y1666" s="5"/>
    </row>
    <row r="1667" spans="13:25" ht="88">
      <c r="M1667" s="26" t="s">
        <v>53</v>
      </c>
      <c r="N1667" s="25" t="s">
        <v>55</v>
      </c>
      <c r="O1667" s="26"/>
      <c r="P1667" s="26" t="s">
        <v>1456</v>
      </c>
      <c r="Q1667" s="26"/>
      <c r="R1667" s="5"/>
      <c r="S1667" s="5"/>
      <c r="T1667" s="5"/>
      <c r="U1667" s="5"/>
      <c r="V1667" s="5"/>
      <c r="W1667" s="5"/>
      <c r="X1667" s="5"/>
      <c r="Y1667" s="5"/>
    </row>
    <row r="1668" spans="13:25" ht="33">
      <c r="M1668" s="26" t="s">
        <v>53</v>
      </c>
      <c r="N1668" s="25" t="s">
        <v>51</v>
      </c>
      <c r="O1668" s="26"/>
      <c r="P1668" s="26" t="s">
        <v>1459</v>
      </c>
      <c r="Q1668" s="26"/>
      <c r="R1668" s="5"/>
      <c r="S1668" s="5"/>
      <c r="T1668" s="5"/>
      <c r="U1668" s="5"/>
      <c r="V1668" s="5"/>
      <c r="W1668" s="5"/>
      <c r="X1668" s="5"/>
      <c r="Y1668" s="5"/>
    </row>
    <row r="1669" spans="13:25" ht="55">
      <c r="M1669" s="26" t="s">
        <v>53</v>
      </c>
      <c r="N1669" s="25" t="s">
        <v>55</v>
      </c>
      <c r="O1669" s="26"/>
      <c r="P1669" s="26" t="s">
        <v>467</v>
      </c>
      <c r="Q1669" s="26"/>
      <c r="R1669" s="5"/>
      <c r="S1669" s="5"/>
      <c r="T1669" s="5"/>
      <c r="U1669" s="5"/>
      <c r="V1669" s="5"/>
      <c r="W1669" s="5"/>
      <c r="X1669" s="5"/>
      <c r="Y1669" s="5"/>
    </row>
    <row r="1670" spans="13:25" ht="99">
      <c r="M1670" s="26" t="s">
        <v>53</v>
      </c>
      <c r="N1670" s="25" t="s">
        <v>55</v>
      </c>
      <c r="O1670" s="26"/>
      <c r="P1670" s="26" t="s">
        <v>460</v>
      </c>
      <c r="Q1670" s="26"/>
      <c r="R1670" s="5"/>
      <c r="S1670" s="5"/>
      <c r="T1670" s="5"/>
      <c r="U1670" s="5"/>
      <c r="V1670" s="5"/>
      <c r="W1670" s="5"/>
      <c r="X1670" s="5"/>
      <c r="Y1670" s="5"/>
    </row>
    <row r="1671" spans="13:25" ht="88">
      <c r="M1671" s="26" t="s">
        <v>53</v>
      </c>
      <c r="N1671" s="25" t="s">
        <v>55</v>
      </c>
      <c r="O1671" s="26"/>
      <c r="P1671" s="26" t="s">
        <v>1456</v>
      </c>
      <c r="Q1671" s="26"/>
      <c r="R1671" s="5"/>
      <c r="S1671" s="5"/>
      <c r="T1671" s="5"/>
      <c r="U1671" s="5"/>
      <c r="V1671" s="5"/>
      <c r="W1671" s="5"/>
      <c r="X1671" s="5"/>
      <c r="Y1671" s="5"/>
    </row>
    <row r="1672" spans="13:25" ht="66">
      <c r="M1672" s="26" t="s">
        <v>53</v>
      </c>
      <c r="N1672" s="25" t="s">
        <v>55</v>
      </c>
      <c r="O1672" s="26"/>
      <c r="P1672" s="26" t="s">
        <v>1460</v>
      </c>
      <c r="Q1672" s="26"/>
      <c r="R1672" s="5"/>
      <c r="S1672" s="5"/>
      <c r="T1672" s="5"/>
      <c r="U1672" s="5"/>
      <c r="V1672" s="5"/>
      <c r="W1672" s="5"/>
      <c r="X1672" s="5"/>
      <c r="Y1672" s="5"/>
    </row>
    <row r="1673" spans="13:25" ht="22">
      <c r="M1673" s="26" t="s">
        <v>53</v>
      </c>
      <c r="N1673" s="25" t="s">
        <v>51</v>
      </c>
      <c r="O1673" s="26"/>
      <c r="P1673" s="26" t="s">
        <v>1461</v>
      </c>
      <c r="Q1673" s="26"/>
      <c r="R1673" s="5"/>
      <c r="S1673" s="5"/>
      <c r="T1673" s="5"/>
      <c r="U1673" s="5"/>
      <c r="V1673" s="5"/>
      <c r="W1673" s="5"/>
      <c r="X1673" s="5"/>
      <c r="Y1673" s="5"/>
    </row>
    <row r="1674" spans="13:25" ht="44">
      <c r="M1674" s="26" t="s">
        <v>53</v>
      </c>
      <c r="N1674" s="25" t="s">
        <v>51</v>
      </c>
      <c r="O1674" s="26"/>
      <c r="P1674" s="26" t="s">
        <v>429</v>
      </c>
      <c r="Q1674" s="26"/>
      <c r="R1674" s="5"/>
      <c r="S1674" s="5"/>
      <c r="T1674" s="5"/>
      <c r="U1674" s="5"/>
      <c r="V1674" s="5"/>
      <c r="W1674" s="5"/>
      <c r="X1674" s="5"/>
      <c r="Y1674" s="5"/>
    </row>
    <row r="1675" spans="13:25" ht="77">
      <c r="M1675" s="26" t="s">
        <v>53</v>
      </c>
      <c r="N1675" s="25" t="s">
        <v>55</v>
      </c>
      <c r="O1675" s="26"/>
      <c r="P1675" s="26" t="s">
        <v>1455</v>
      </c>
      <c r="Q1675" s="26"/>
      <c r="R1675" s="5"/>
      <c r="S1675" s="5"/>
      <c r="T1675" s="5"/>
      <c r="U1675" s="5"/>
      <c r="V1675" s="5"/>
      <c r="W1675" s="5"/>
      <c r="X1675" s="5"/>
      <c r="Y1675" s="5"/>
    </row>
    <row r="1676" spans="13:25" ht="55">
      <c r="M1676" s="26" t="s">
        <v>53</v>
      </c>
      <c r="N1676" s="25" t="s">
        <v>55</v>
      </c>
      <c r="O1676" s="26"/>
      <c r="P1676" s="26" t="s">
        <v>1462</v>
      </c>
      <c r="Q1676" s="26"/>
      <c r="R1676" s="5"/>
      <c r="S1676" s="5"/>
      <c r="T1676" s="5"/>
      <c r="U1676" s="5"/>
      <c r="V1676" s="5"/>
      <c r="W1676" s="5"/>
      <c r="X1676" s="5"/>
      <c r="Y1676" s="5"/>
    </row>
    <row r="1677" spans="13:25" ht="44">
      <c r="M1677" s="26" t="s">
        <v>53</v>
      </c>
      <c r="N1677" s="25" t="s">
        <v>70</v>
      </c>
      <c r="O1677" s="26"/>
      <c r="P1677" s="26" t="s">
        <v>1463</v>
      </c>
      <c r="Q1677" s="26"/>
      <c r="R1677" s="5"/>
      <c r="S1677" s="5"/>
      <c r="T1677" s="5"/>
      <c r="U1677" s="5"/>
      <c r="V1677" s="5"/>
      <c r="W1677" s="5"/>
      <c r="X1677" s="5"/>
      <c r="Y1677" s="5"/>
    </row>
    <row r="1678" spans="13:25" ht="88">
      <c r="M1678" s="26" t="s">
        <v>53</v>
      </c>
      <c r="N1678" s="25" t="s">
        <v>55</v>
      </c>
      <c r="O1678" s="26"/>
      <c r="P1678" s="26" t="s">
        <v>1464</v>
      </c>
      <c r="Q1678" s="26"/>
      <c r="R1678" s="5"/>
      <c r="S1678" s="5"/>
      <c r="T1678" s="5"/>
      <c r="U1678" s="5"/>
      <c r="V1678" s="5"/>
      <c r="W1678" s="5"/>
      <c r="X1678" s="5"/>
      <c r="Y1678" s="5"/>
    </row>
    <row r="1679" spans="13:25" ht="22">
      <c r="M1679" s="26" t="s">
        <v>53</v>
      </c>
      <c r="N1679" s="25" t="s">
        <v>70</v>
      </c>
      <c r="O1679" s="26"/>
      <c r="P1679" s="26" t="s">
        <v>1465</v>
      </c>
      <c r="Q1679" s="26"/>
      <c r="R1679" s="5"/>
      <c r="S1679" s="5"/>
      <c r="T1679" s="5"/>
      <c r="U1679" s="5"/>
      <c r="V1679" s="5"/>
      <c r="W1679" s="5"/>
      <c r="X1679" s="5"/>
      <c r="Y1679" s="5"/>
    </row>
    <row r="1680" spans="13:25" ht="66">
      <c r="M1680" s="26" t="s">
        <v>53</v>
      </c>
      <c r="N1680" s="25" t="s">
        <v>51</v>
      </c>
      <c r="O1680" s="26"/>
      <c r="P1680" s="26" t="s">
        <v>1466</v>
      </c>
      <c r="Q1680" s="26"/>
      <c r="R1680" s="5"/>
      <c r="S1680" s="5"/>
      <c r="T1680" s="5"/>
      <c r="U1680" s="5"/>
      <c r="V1680" s="5"/>
      <c r="W1680" s="5"/>
      <c r="X1680" s="5"/>
      <c r="Y1680" s="5"/>
    </row>
    <row r="1681" spans="13:25" ht="44">
      <c r="M1681" s="26" t="s">
        <v>53</v>
      </c>
      <c r="N1681" s="25" t="s">
        <v>55</v>
      </c>
      <c r="O1681" s="26"/>
      <c r="P1681" s="26" t="s">
        <v>1467</v>
      </c>
      <c r="Q1681" s="26"/>
      <c r="R1681" s="5"/>
      <c r="S1681" s="5"/>
      <c r="T1681" s="5"/>
      <c r="U1681" s="5"/>
      <c r="V1681" s="5"/>
      <c r="W1681" s="5"/>
      <c r="X1681" s="5"/>
      <c r="Y1681" s="5"/>
    </row>
    <row r="1682" spans="13:25" ht="22">
      <c r="M1682" s="26" t="s">
        <v>53</v>
      </c>
      <c r="N1682" s="25" t="s">
        <v>55</v>
      </c>
      <c r="O1682" s="26"/>
      <c r="P1682" s="26" t="s">
        <v>1468</v>
      </c>
      <c r="Q1682" s="26"/>
      <c r="R1682" s="5"/>
      <c r="S1682" s="5"/>
      <c r="T1682" s="5"/>
      <c r="U1682" s="5"/>
      <c r="V1682" s="5"/>
      <c r="W1682" s="5"/>
      <c r="X1682" s="5"/>
      <c r="Y1682" s="5"/>
    </row>
    <row r="1683" spans="13:25" ht="77">
      <c r="M1683" s="26" t="s">
        <v>53</v>
      </c>
      <c r="N1683" s="25" t="s">
        <v>55</v>
      </c>
      <c r="O1683" s="26"/>
      <c r="P1683" s="26" t="s">
        <v>563</v>
      </c>
      <c r="Q1683" s="26"/>
      <c r="R1683" s="5"/>
      <c r="S1683" s="5"/>
      <c r="T1683" s="5"/>
      <c r="U1683" s="5"/>
      <c r="V1683" s="5"/>
      <c r="W1683" s="5"/>
      <c r="X1683" s="5"/>
      <c r="Y1683" s="5"/>
    </row>
    <row r="1684" spans="13:25" ht="66">
      <c r="M1684" s="26" t="s">
        <v>53</v>
      </c>
      <c r="N1684" s="25" t="s">
        <v>55</v>
      </c>
      <c r="O1684" s="26"/>
      <c r="P1684" s="26" t="s">
        <v>1469</v>
      </c>
      <c r="Q1684" s="26"/>
      <c r="R1684" s="5"/>
      <c r="S1684" s="5"/>
      <c r="T1684" s="5"/>
      <c r="U1684" s="5"/>
      <c r="V1684" s="5"/>
      <c r="W1684" s="5"/>
      <c r="X1684" s="5"/>
      <c r="Y1684" s="5"/>
    </row>
    <row r="1685" spans="13:25" ht="55">
      <c r="M1685" s="26" t="s">
        <v>53</v>
      </c>
      <c r="N1685" s="25" t="s">
        <v>55</v>
      </c>
      <c r="O1685" s="26"/>
      <c r="P1685" s="26" t="s">
        <v>1470</v>
      </c>
      <c r="Q1685" s="26"/>
      <c r="R1685" s="5"/>
      <c r="S1685" s="5"/>
      <c r="T1685" s="5"/>
      <c r="U1685" s="5"/>
      <c r="V1685" s="5"/>
      <c r="W1685" s="5"/>
      <c r="X1685" s="5"/>
      <c r="Y1685" s="5"/>
    </row>
    <row r="1686" spans="13:25" ht="22">
      <c r="M1686" s="26" t="s">
        <v>53</v>
      </c>
      <c r="N1686" s="25" t="s">
        <v>51</v>
      </c>
      <c r="O1686" s="26"/>
      <c r="P1686" s="26" t="s">
        <v>1471</v>
      </c>
      <c r="Q1686" s="26"/>
      <c r="R1686" s="5"/>
      <c r="S1686" s="5"/>
      <c r="T1686" s="5"/>
      <c r="U1686" s="5"/>
      <c r="V1686" s="5"/>
      <c r="W1686" s="5"/>
      <c r="X1686" s="5"/>
      <c r="Y1686" s="5"/>
    </row>
    <row r="1687" spans="13:25" ht="22">
      <c r="M1687" s="26" t="s">
        <v>53</v>
      </c>
      <c r="N1687" s="25" t="s">
        <v>51</v>
      </c>
      <c r="O1687" s="26"/>
      <c r="P1687" s="26" t="s">
        <v>1472</v>
      </c>
      <c r="Q1687" s="26"/>
      <c r="R1687" s="5"/>
      <c r="S1687" s="5"/>
      <c r="T1687" s="5"/>
      <c r="U1687" s="5"/>
      <c r="V1687" s="5"/>
      <c r="W1687" s="5"/>
      <c r="X1687" s="5"/>
      <c r="Y1687" s="5"/>
    </row>
    <row r="1688" spans="13:25" ht="44">
      <c r="M1688" s="26" t="s">
        <v>53</v>
      </c>
      <c r="N1688" s="25" t="s">
        <v>51</v>
      </c>
      <c r="O1688" s="26"/>
      <c r="P1688" s="26" t="s">
        <v>438</v>
      </c>
      <c r="Q1688" s="26"/>
      <c r="R1688" s="5"/>
      <c r="S1688" s="5"/>
      <c r="T1688" s="5"/>
      <c r="U1688" s="5"/>
      <c r="V1688" s="5"/>
      <c r="W1688" s="5"/>
      <c r="X1688" s="5"/>
      <c r="Y1688" s="5"/>
    </row>
    <row r="1689" spans="13:25" ht="44">
      <c r="M1689" s="26" t="s">
        <v>53</v>
      </c>
      <c r="N1689" s="25" t="s">
        <v>70</v>
      </c>
      <c r="O1689" s="26"/>
      <c r="P1689" s="26" t="s">
        <v>1473</v>
      </c>
      <c r="Q1689" s="26"/>
      <c r="R1689" s="5"/>
      <c r="S1689" s="5"/>
      <c r="T1689" s="5"/>
      <c r="U1689" s="5"/>
      <c r="V1689" s="5"/>
      <c r="W1689" s="5"/>
      <c r="X1689" s="5"/>
      <c r="Y1689" s="5"/>
    </row>
    <row r="1690" spans="13:25" ht="44">
      <c r="M1690" s="26" t="s">
        <v>53</v>
      </c>
      <c r="N1690" s="25" t="s">
        <v>70</v>
      </c>
      <c r="O1690" s="26"/>
      <c r="P1690" s="26" t="s">
        <v>1474</v>
      </c>
      <c r="Q1690" s="26"/>
      <c r="R1690" s="5"/>
      <c r="S1690" s="5"/>
      <c r="T1690" s="5"/>
      <c r="U1690" s="5"/>
      <c r="V1690" s="5"/>
      <c r="W1690" s="5"/>
      <c r="X1690" s="5"/>
      <c r="Y1690" s="5"/>
    </row>
    <row r="1691" spans="13:25" ht="33">
      <c r="M1691" s="26" t="s">
        <v>53</v>
      </c>
      <c r="N1691" s="25" t="s">
        <v>51</v>
      </c>
      <c r="O1691" s="26"/>
      <c r="P1691" s="26" t="s">
        <v>1475</v>
      </c>
      <c r="Q1691" s="26"/>
      <c r="R1691" s="5"/>
      <c r="S1691" s="5"/>
      <c r="T1691" s="5"/>
      <c r="U1691" s="5"/>
      <c r="V1691" s="5"/>
      <c r="W1691" s="5"/>
      <c r="X1691" s="5"/>
      <c r="Y1691" s="5"/>
    </row>
    <row r="1692" spans="13:25" ht="66">
      <c r="M1692" s="26" t="s">
        <v>53</v>
      </c>
      <c r="N1692" s="25" t="s">
        <v>51</v>
      </c>
      <c r="O1692" s="26"/>
      <c r="P1692" s="26" t="s">
        <v>1466</v>
      </c>
      <c r="Q1692" s="26"/>
      <c r="R1692" s="5"/>
      <c r="S1692" s="5"/>
      <c r="T1692" s="5"/>
      <c r="U1692" s="5"/>
      <c r="V1692" s="5"/>
      <c r="W1692" s="5"/>
      <c r="X1692" s="5"/>
      <c r="Y1692" s="5"/>
    </row>
    <row r="1693" spans="13:25" ht="22">
      <c r="M1693" s="26" t="s">
        <v>53</v>
      </c>
      <c r="N1693" s="25" t="s">
        <v>55</v>
      </c>
      <c r="O1693" s="26"/>
      <c r="P1693" s="26" t="s">
        <v>1476</v>
      </c>
      <c r="Q1693" s="26"/>
      <c r="R1693" s="5"/>
      <c r="S1693" s="5"/>
      <c r="T1693" s="5"/>
      <c r="U1693" s="5"/>
      <c r="V1693" s="5"/>
      <c r="W1693" s="5"/>
      <c r="X1693" s="5"/>
      <c r="Y1693" s="5"/>
    </row>
    <row r="1694" spans="13:25" ht="22">
      <c r="M1694" s="26" t="s">
        <v>53</v>
      </c>
      <c r="N1694" s="25" t="s">
        <v>55</v>
      </c>
      <c r="O1694" s="26"/>
      <c r="P1694" s="26" t="s">
        <v>1477</v>
      </c>
      <c r="Q1694" s="26"/>
      <c r="R1694" s="5"/>
      <c r="S1694" s="5"/>
      <c r="T1694" s="5"/>
      <c r="U1694" s="5"/>
      <c r="V1694" s="5"/>
      <c r="W1694" s="5"/>
      <c r="X1694" s="5"/>
      <c r="Y1694" s="5"/>
    </row>
    <row r="1695" spans="13:25" ht="22">
      <c r="M1695" s="26" t="s">
        <v>53</v>
      </c>
      <c r="N1695" s="25" t="s">
        <v>55</v>
      </c>
      <c r="O1695" s="26"/>
      <c r="P1695" s="26" t="s">
        <v>1478</v>
      </c>
      <c r="Q1695" s="26"/>
      <c r="R1695" s="5"/>
      <c r="S1695" s="5"/>
      <c r="T1695" s="5"/>
      <c r="U1695" s="5"/>
      <c r="V1695" s="5"/>
      <c r="W1695" s="5"/>
      <c r="X1695" s="5"/>
      <c r="Y1695" s="5"/>
    </row>
    <row r="1696" spans="13:25" ht="33">
      <c r="M1696" s="26" t="s">
        <v>53</v>
      </c>
      <c r="N1696" s="25" t="s">
        <v>55</v>
      </c>
      <c r="O1696" s="26"/>
      <c r="P1696" s="26" t="s">
        <v>1479</v>
      </c>
      <c r="Q1696" s="26"/>
      <c r="R1696" s="5"/>
      <c r="S1696" s="5"/>
      <c r="T1696" s="5"/>
      <c r="U1696" s="5"/>
      <c r="V1696" s="5"/>
      <c r="W1696" s="5"/>
      <c r="X1696" s="5"/>
      <c r="Y1696" s="5"/>
    </row>
    <row r="1697" spans="13:25" ht="22">
      <c r="M1697" s="26" t="s">
        <v>53</v>
      </c>
      <c r="N1697" s="25" t="s">
        <v>55</v>
      </c>
      <c r="O1697" s="26"/>
      <c r="P1697" s="26" t="s">
        <v>1480</v>
      </c>
      <c r="Q1697" s="26"/>
      <c r="R1697" s="5"/>
      <c r="S1697" s="5"/>
      <c r="T1697" s="5"/>
      <c r="U1697" s="5"/>
      <c r="V1697" s="5"/>
      <c r="W1697" s="5"/>
      <c r="X1697" s="5"/>
      <c r="Y1697" s="5"/>
    </row>
    <row r="1698" spans="13:25" ht="22">
      <c r="M1698" s="26" t="s">
        <v>53</v>
      </c>
      <c r="N1698" s="25" t="s">
        <v>55</v>
      </c>
      <c r="O1698" s="26" t="s">
        <v>1481</v>
      </c>
      <c r="P1698" s="26"/>
      <c r="Q1698" s="26"/>
      <c r="R1698" s="5"/>
      <c r="S1698" s="5"/>
      <c r="T1698" s="5"/>
      <c r="U1698" s="5"/>
      <c r="V1698" s="5"/>
      <c r="W1698" s="5"/>
      <c r="X1698" s="5"/>
      <c r="Y1698" s="5"/>
    </row>
    <row r="1699" spans="13:25" ht="22">
      <c r="M1699" s="26" t="s">
        <v>53</v>
      </c>
      <c r="N1699" s="25" t="s">
        <v>55</v>
      </c>
      <c r="O1699" s="26" t="s">
        <v>1482</v>
      </c>
      <c r="P1699" s="26"/>
      <c r="Q1699" s="26"/>
      <c r="R1699" s="5"/>
      <c r="S1699" s="5"/>
      <c r="T1699" s="5"/>
      <c r="U1699" s="5"/>
      <c r="V1699" s="5"/>
      <c r="W1699" s="5"/>
      <c r="X1699" s="5"/>
      <c r="Y1699" s="5"/>
    </row>
    <row r="1700" spans="13:25" ht="22">
      <c r="M1700" s="26" t="s">
        <v>53</v>
      </c>
      <c r="N1700" s="25" t="s">
        <v>55</v>
      </c>
      <c r="O1700" s="26" t="s">
        <v>1483</v>
      </c>
      <c r="P1700" s="26"/>
      <c r="Q1700" s="26"/>
      <c r="R1700" s="5"/>
      <c r="S1700" s="5"/>
      <c r="T1700" s="5"/>
      <c r="U1700" s="5"/>
      <c r="V1700" s="5"/>
      <c r="W1700" s="5"/>
      <c r="X1700" s="5"/>
      <c r="Y1700" s="5"/>
    </row>
    <row r="1701" spans="13:25" ht="22">
      <c r="M1701" s="26" t="s">
        <v>53</v>
      </c>
      <c r="N1701" s="25" t="s">
        <v>51</v>
      </c>
      <c r="O1701" s="26" t="s">
        <v>1484</v>
      </c>
      <c r="P1701" s="26"/>
      <c r="Q1701" s="26"/>
      <c r="R1701" s="5"/>
      <c r="S1701" s="5"/>
      <c r="T1701" s="5"/>
      <c r="U1701" s="5"/>
      <c r="V1701" s="5"/>
      <c r="W1701" s="5"/>
      <c r="X1701" s="5"/>
      <c r="Y1701" s="5"/>
    </row>
    <row r="1702" spans="13:25" ht="33">
      <c r="M1702" s="26" t="s">
        <v>53</v>
      </c>
      <c r="N1702" s="25" t="s">
        <v>55</v>
      </c>
      <c r="O1702" s="26"/>
      <c r="P1702" s="26" t="s">
        <v>1485</v>
      </c>
      <c r="Q1702" s="26"/>
      <c r="R1702" s="5"/>
      <c r="S1702" s="5"/>
      <c r="T1702" s="5"/>
      <c r="U1702" s="5"/>
      <c r="V1702" s="5"/>
      <c r="W1702" s="5"/>
      <c r="X1702" s="5"/>
      <c r="Y1702" s="5"/>
    </row>
    <row r="1703" spans="13:25" ht="22">
      <c r="M1703" s="26" t="s">
        <v>53</v>
      </c>
      <c r="N1703" s="25" t="s">
        <v>55</v>
      </c>
      <c r="O1703" s="26"/>
      <c r="P1703" s="26" t="s">
        <v>1486</v>
      </c>
      <c r="Q1703" s="26"/>
      <c r="R1703" s="5"/>
      <c r="S1703" s="5"/>
      <c r="T1703" s="5"/>
      <c r="U1703" s="5"/>
      <c r="V1703" s="5"/>
      <c r="W1703" s="5"/>
      <c r="X1703" s="5"/>
      <c r="Y1703" s="5"/>
    </row>
    <row r="1704" spans="13:25" ht="44">
      <c r="M1704" s="26" t="s">
        <v>53</v>
      </c>
      <c r="N1704" s="25" t="s">
        <v>51</v>
      </c>
      <c r="O1704" s="26" t="s">
        <v>1487</v>
      </c>
      <c r="P1704" s="26"/>
      <c r="Q1704" s="26"/>
      <c r="R1704" s="5"/>
      <c r="S1704" s="5"/>
      <c r="T1704" s="5"/>
      <c r="U1704" s="5"/>
      <c r="V1704" s="5"/>
      <c r="W1704" s="5"/>
      <c r="X1704" s="5"/>
      <c r="Y1704" s="5"/>
    </row>
    <row r="1705" spans="13:25" ht="22">
      <c r="M1705" s="26" t="s">
        <v>53</v>
      </c>
      <c r="N1705" s="25" t="s">
        <v>51</v>
      </c>
      <c r="O1705" s="26" t="s">
        <v>1488</v>
      </c>
      <c r="P1705" s="26"/>
      <c r="Q1705" s="26"/>
      <c r="R1705" s="5"/>
      <c r="S1705" s="5"/>
      <c r="T1705" s="5"/>
      <c r="U1705" s="5"/>
      <c r="V1705" s="5"/>
      <c r="W1705" s="5"/>
      <c r="X1705" s="5"/>
      <c r="Y1705" s="5"/>
    </row>
    <row r="1706" spans="13:25" ht="22">
      <c r="M1706" s="26" t="s">
        <v>53</v>
      </c>
      <c r="N1706" s="25" t="s">
        <v>51</v>
      </c>
      <c r="O1706" s="26" t="s">
        <v>1489</v>
      </c>
      <c r="P1706" s="26"/>
      <c r="Q1706" s="26"/>
      <c r="R1706" s="5"/>
      <c r="S1706" s="5"/>
      <c r="T1706" s="5"/>
      <c r="U1706" s="5"/>
      <c r="V1706" s="5"/>
      <c r="W1706" s="5"/>
      <c r="X1706" s="5"/>
      <c r="Y1706" s="5"/>
    </row>
    <row r="1707" spans="13:25" ht="44">
      <c r="M1707" s="26" t="s">
        <v>53</v>
      </c>
      <c r="N1707" s="25" t="s">
        <v>51</v>
      </c>
      <c r="O1707" s="26" t="s">
        <v>1490</v>
      </c>
      <c r="P1707" s="26"/>
      <c r="Q1707" s="26"/>
      <c r="R1707" s="5"/>
      <c r="S1707" s="5"/>
      <c r="T1707" s="5"/>
      <c r="U1707" s="5"/>
      <c r="V1707" s="5"/>
      <c r="W1707" s="5"/>
      <c r="X1707" s="5"/>
      <c r="Y1707" s="5"/>
    </row>
    <row r="1708" spans="13:25" ht="22">
      <c r="M1708" s="26" t="s">
        <v>53</v>
      </c>
      <c r="N1708" s="25" t="s">
        <v>51</v>
      </c>
      <c r="O1708" s="26" t="s">
        <v>1491</v>
      </c>
      <c r="P1708" s="26"/>
      <c r="Q1708" s="26"/>
      <c r="R1708" s="5"/>
      <c r="S1708" s="5"/>
      <c r="T1708" s="5"/>
      <c r="U1708" s="5"/>
      <c r="V1708" s="5"/>
      <c r="W1708" s="5"/>
      <c r="X1708" s="5"/>
      <c r="Y1708" s="5"/>
    </row>
    <row r="1709" spans="13:25" ht="66">
      <c r="M1709" s="26" t="s">
        <v>53</v>
      </c>
      <c r="N1709" s="25" t="s">
        <v>51</v>
      </c>
      <c r="O1709" s="26" t="s">
        <v>1492</v>
      </c>
      <c r="P1709" s="26"/>
      <c r="Q1709" s="26"/>
      <c r="R1709" s="5"/>
      <c r="S1709" s="5"/>
      <c r="T1709" s="5"/>
      <c r="U1709" s="5"/>
      <c r="V1709" s="5"/>
      <c r="W1709" s="5"/>
      <c r="X1709" s="5"/>
      <c r="Y1709" s="5"/>
    </row>
    <row r="1710" spans="13:25" ht="66">
      <c r="M1710" s="26" t="s">
        <v>53</v>
      </c>
      <c r="N1710" s="25" t="s">
        <v>51</v>
      </c>
      <c r="O1710" s="26" t="s">
        <v>1493</v>
      </c>
      <c r="P1710" s="26"/>
      <c r="Q1710" s="26"/>
      <c r="R1710" s="5"/>
      <c r="S1710" s="5"/>
      <c r="T1710" s="5"/>
      <c r="U1710" s="5"/>
      <c r="V1710" s="5"/>
      <c r="W1710" s="5"/>
      <c r="X1710" s="5"/>
      <c r="Y1710" s="5"/>
    </row>
    <row r="1711" spans="13:25" ht="44">
      <c r="M1711" s="26" t="s">
        <v>53</v>
      </c>
      <c r="N1711" s="25" t="s">
        <v>51</v>
      </c>
      <c r="O1711" s="26" t="s">
        <v>1494</v>
      </c>
      <c r="P1711" s="26"/>
      <c r="Q1711" s="26"/>
      <c r="R1711" s="5"/>
      <c r="S1711" s="5"/>
      <c r="T1711" s="5"/>
      <c r="U1711" s="5"/>
      <c r="V1711" s="5"/>
      <c r="W1711" s="5"/>
      <c r="X1711" s="5"/>
      <c r="Y1711" s="5"/>
    </row>
    <row r="1712" spans="13:25" ht="33">
      <c r="M1712" s="26" t="s">
        <v>53</v>
      </c>
      <c r="N1712" s="25" t="s">
        <v>51</v>
      </c>
      <c r="O1712" s="26" t="s">
        <v>1495</v>
      </c>
      <c r="P1712" s="26"/>
      <c r="Q1712" s="26"/>
      <c r="R1712" s="5"/>
      <c r="S1712" s="5"/>
      <c r="T1712" s="5"/>
      <c r="U1712" s="5"/>
      <c r="V1712" s="5"/>
      <c r="W1712" s="5"/>
      <c r="X1712" s="5"/>
      <c r="Y1712" s="5"/>
    </row>
    <row r="1713" spans="13:25" ht="44">
      <c r="M1713" s="26" t="s">
        <v>53</v>
      </c>
      <c r="N1713" s="25" t="s">
        <v>51</v>
      </c>
      <c r="O1713" s="26" t="s">
        <v>1496</v>
      </c>
      <c r="P1713" s="26"/>
      <c r="Q1713" s="26"/>
      <c r="R1713" s="5"/>
      <c r="S1713" s="5"/>
      <c r="T1713" s="5"/>
      <c r="U1713" s="5"/>
      <c r="V1713" s="5"/>
      <c r="W1713" s="5"/>
      <c r="X1713" s="5"/>
      <c r="Y1713" s="5"/>
    </row>
    <row r="1714" spans="13:25" ht="55">
      <c r="M1714" s="26" t="s">
        <v>53</v>
      </c>
      <c r="N1714" s="25" t="s">
        <v>51</v>
      </c>
      <c r="O1714" s="26" t="s">
        <v>1497</v>
      </c>
      <c r="P1714" s="26"/>
      <c r="Q1714" s="26"/>
      <c r="R1714" s="5"/>
      <c r="S1714" s="5"/>
      <c r="T1714" s="5"/>
      <c r="U1714" s="5"/>
      <c r="V1714" s="5"/>
      <c r="W1714" s="5"/>
      <c r="X1714" s="5"/>
      <c r="Y1714" s="5"/>
    </row>
    <row r="1715" spans="13:25" ht="55">
      <c r="M1715" s="26" t="s">
        <v>53</v>
      </c>
      <c r="N1715" s="25" t="s">
        <v>51</v>
      </c>
      <c r="O1715" s="26" t="s">
        <v>1498</v>
      </c>
      <c r="P1715" s="26"/>
      <c r="Q1715" s="26"/>
      <c r="R1715" s="5"/>
      <c r="S1715" s="5"/>
      <c r="T1715" s="5"/>
      <c r="U1715" s="5"/>
      <c r="V1715" s="5"/>
      <c r="W1715" s="5"/>
      <c r="X1715" s="5"/>
      <c r="Y1715" s="5"/>
    </row>
    <row r="1716" spans="13:25" ht="44">
      <c r="M1716" s="26" t="s">
        <v>53</v>
      </c>
      <c r="N1716" s="25" t="s">
        <v>51</v>
      </c>
      <c r="O1716" s="26" t="s">
        <v>1499</v>
      </c>
      <c r="P1716" s="26"/>
      <c r="Q1716" s="26"/>
      <c r="R1716" s="5"/>
      <c r="S1716" s="5"/>
      <c r="T1716" s="5"/>
      <c r="U1716" s="5"/>
      <c r="V1716" s="5"/>
      <c r="W1716" s="5"/>
      <c r="X1716" s="5"/>
      <c r="Y1716" s="5"/>
    </row>
    <row r="1717" spans="13:25" ht="22">
      <c r="M1717" s="26" t="s">
        <v>53</v>
      </c>
      <c r="N1717" s="25" t="s">
        <v>51</v>
      </c>
      <c r="O1717" s="26" t="s">
        <v>1500</v>
      </c>
      <c r="P1717" s="26"/>
      <c r="Q1717" s="26"/>
      <c r="R1717" s="5"/>
      <c r="S1717" s="5"/>
      <c r="T1717" s="5"/>
      <c r="U1717" s="5"/>
      <c r="V1717" s="5"/>
      <c r="W1717" s="5"/>
      <c r="X1717" s="5"/>
      <c r="Y1717" s="5"/>
    </row>
    <row r="1718" spans="13:25" ht="33">
      <c r="M1718" s="26" t="s">
        <v>53</v>
      </c>
      <c r="N1718" s="25" t="s">
        <v>51</v>
      </c>
      <c r="O1718" s="26" t="s">
        <v>1501</v>
      </c>
      <c r="P1718" s="26"/>
      <c r="Q1718" s="26"/>
      <c r="R1718" s="5"/>
      <c r="S1718" s="5"/>
      <c r="T1718" s="5"/>
      <c r="U1718" s="5"/>
      <c r="V1718" s="5"/>
      <c r="W1718" s="5"/>
      <c r="X1718" s="5"/>
      <c r="Y1718" s="5"/>
    </row>
    <row r="1719" spans="13:25" ht="44">
      <c r="M1719" s="26" t="s">
        <v>53</v>
      </c>
      <c r="N1719" s="25" t="s">
        <v>51</v>
      </c>
      <c r="O1719" s="26" t="s">
        <v>1502</v>
      </c>
      <c r="P1719" s="26"/>
      <c r="Q1719" s="26"/>
      <c r="R1719" s="5"/>
      <c r="S1719" s="5"/>
      <c r="T1719" s="5"/>
      <c r="U1719" s="5"/>
      <c r="V1719" s="5"/>
      <c r="W1719" s="5"/>
      <c r="X1719" s="5"/>
      <c r="Y1719" s="5"/>
    </row>
    <row r="1720" spans="13:25" ht="55">
      <c r="M1720" s="26" t="s">
        <v>53</v>
      </c>
      <c r="N1720" s="25" t="s">
        <v>51</v>
      </c>
      <c r="O1720" s="26" t="s">
        <v>1503</v>
      </c>
      <c r="P1720" s="26"/>
      <c r="Q1720" s="26"/>
      <c r="R1720" s="5"/>
      <c r="S1720" s="5"/>
      <c r="T1720" s="5"/>
      <c r="U1720" s="5"/>
      <c r="V1720" s="5"/>
      <c r="W1720" s="5"/>
      <c r="X1720" s="5"/>
      <c r="Y1720" s="5"/>
    </row>
    <row r="1721" spans="13:25" ht="33">
      <c r="M1721" s="26" t="s">
        <v>53</v>
      </c>
      <c r="N1721" s="25" t="s">
        <v>51</v>
      </c>
      <c r="O1721" s="26" t="s">
        <v>1504</v>
      </c>
      <c r="P1721" s="26"/>
      <c r="Q1721" s="26"/>
      <c r="R1721" s="5"/>
      <c r="S1721" s="5"/>
      <c r="T1721" s="5"/>
      <c r="U1721" s="5"/>
      <c r="V1721" s="5"/>
      <c r="W1721" s="5"/>
      <c r="X1721" s="5"/>
      <c r="Y1721" s="5"/>
    </row>
    <row r="1722" spans="13:25" ht="66">
      <c r="M1722" s="26" t="s">
        <v>53</v>
      </c>
      <c r="N1722" s="25" t="s">
        <v>51</v>
      </c>
      <c r="O1722" s="26" t="s">
        <v>1505</v>
      </c>
      <c r="P1722" s="26"/>
      <c r="Q1722" s="26"/>
      <c r="R1722" s="5"/>
      <c r="S1722" s="5"/>
      <c r="T1722" s="5"/>
      <c r="U1722" s="5"/>
      <c r="V1722" s="5"/>
      <c r="W1722" s="5"/>
      <c r="X1722" s="5"/>
      <c r="Y1722" s="5"/>
    </row>
    <row r="1723" spans="13:25" ht="33">
      <c r="M1723" s="26" t="s">
        <v>53</v>
      </c>
      <c r="N1723" s="25" t="s">
        <v>51</v>
      </c>
      <c r="O1723" s="26" t="s">
        <v>1506</v>
      </c>
      <c r="P1723" s="26"/>
      <c r="Q1723" s="26"/>
      <c r="R1723" s="5"/>
      <c r="S1723" s="5"/>
      <c r="T1723" s="5"/>
      <c r="U1723" s="5"/>
      <c r="V1723" s="5"/>
      <c r="W1723" s="5"/>
      <c r="X1723" s="5"/>
      <c r="Y1723" s="5"/>
    </row>
    <row r="1724" spans="13:25" ht="55">
      <c r="M1724" s="26" t="s">
        <v>53</v>
      </c>
      <c r="N1724" s="25" t="s">
        <v>51</v>
      </c>
      <c r="O1724" s="26" t="s">
        <v>1507</v>
      </c>
      <c r="P1724" s="26"/>
      <c r="Q1724" s="26"/>
      <c r="R1724" s="5"/>
      <c r="S1724" s="5"/>
      <c r="T1724" s="5"/>
      <c r="U1724" s="5"/>
      <c r="V1724" s="5"/>
      <c r="W1724" s="5"/>
      <c r="X1724" s="5"/>
      <c r="Y1724" s="5"/>
    </row>
    <row r="1725" spans="13:25" ht="66">
      <c r="M1725" s="26" t="s">
        <v>53</v>
      </c>
      <c r="N1725" s="25" t="s">
        <v>51</v>
      </c>
      <c r="O1725" s="26" t="s">
        <v>1508</v>
      </c>
      <c r="P1725" s="26"/>
      <c r="Q1725" s="26"/>
      <c r="R1725" s="5"/>
      <c r="S1725" s="5"/>
      <c r="T1725" s="5"/>
      <c r="U1725" s="5"/>
      <c r="V1725" s="5"/>
      <c r="W1725" s="5"/>
      <c r="X1725" s="5"/>
      <c r="Y1725" s="5"/>
    </row>
    <row r="1726" spans="13:25" ht="66">
      <c r="M1726" s="26" t="s">
        <v>53</v>
      </c>
      <c r="N1726" s="25" t="s">
        <v>51</v>
      </c>
      <c r="O1726" s="26" t="s">
        <v>1509</v>
      </c>
      <c r="P1726" s="26"/>
      <c r="Q1726" s="26"/>
      <c r="R1726" s="5"/>
      <c r="S1726" s="5"/>
      <c r="T1726" s="5"/>
      <c r="U1726" s="5"/>
      <c r="V1726" s="5"/>
      <c r="W1726" s="5"/>
      <c r="X1726" s="5"/>
      <c r="Y1726" s="5"/>
    </row>
    <row r="1727" spans="13:25" ht="55">
      <c r="M1727" s="26" t="s">
        <v>53</v>
      </c>
      <c r="N1727" s="25" t="s">
        <v>51</v>
      </c>
      <c r="O1727" s="26" t="s">
        <v>1510</v>
      </c>
      <c r="P1727" s="26"/>
      <c r="Q1727" s="26"/>
      <c r="R1727" s="5"/>
      <c r="S1727" s="5"/>
      <c r="T1727" s="5"/>
      <c r="U1727" s="5"/>
      <c r="V1727" s="5"/>
      <c r="W1727" s="5"/>
      <c r="X1727" s="5"/>
      <c r="Y1727" s="5"/>
    </row>
    <row r="1728" spans="13:25" ht="55">
      <c r="M1728" s="26" t="s">
        <v>53</v>
      </c>
      <c r="N1728" s="25" t="s">
        <v>51</v>
      </c>
      <c r="O1728" s="26" t="s">
        <v>1511</v>
      </c>
      <c r="P1728" s="26"/>
      <c r="Q1728" s="26"/>
      <c r="R1728" s="5"/>
      <c r="S1728" s="5"/>
      <c r="T1728" s="5"/>
      <c r="U1728" s="5"/>
      <c r="V1728" s="5"/>
      <c r="W1728" s="5"/>
      <c r="X1728" s="5"/>
      <c r="Y1728" s="5"/>
    </row>
    <row r="1729" spans="13:25" ht="44">
      <c r="M1729" s="26" t="s">
        <v>53</v>
      </c>
      <c r="N1729" s="25" t="s">
        <v>51</v>
      </c>
      <c r="O1729" s="26" t="s">
        <v>1512</v>
      </c>
      <c r="P1729" s="26"/>
      <c r="Q1729" s="26"/>
      <c r="R1729" s="5"/>
      <c r="S1729" s="5"/>
      <c r="T1729" s="5"/>
      <c r="U1729" s="5"/>
      <c r="V1729" s="5"/>
      <c r="W1729" s="5"/>
      <c r="X1729" s="5"/>
      <c r="Y1729" s="5"/>
    </row>
    <row r="1730" spans="13:25" ht="33">
      <c r="M1730" s="26" t="s">
        <v>53</v>
      </c>
      <c r="N1730" s="25" t="s">
        <v>51</v>
      </c>
      <c r="O1730" s="26" t="s">
        <v>1513</v>
      </c>
      <c r="P1730" s="26"/>
      <c r="Q1730" s="26"/>
      <c r="R1730" s="5"/>
      <c r="S1730" s="5"/>
      <c r="T1730" s="5"/>
      <c r="U1730" s="5"/>
      <c r="V1730" s="5"/>
      <c r="W1730" s="5"/>
      <c r="X1730" s="5"/>
      <c r="Y1730" s="5"/>
    </row>
    <row r="1731" spans="13:25" ht="55">
      <c r="M1731" s="26" t="s">
        <v>53</v>
      </c>
      <c r="N1731" s="25" t="s">
        <v>51</v>
      </c>
      <c r="O1731" s="26" t="s">
        <v>1514</v>
      </c>
      <c r="P1731" s="26"/>
      <c r="Q1731" s="26"/>
      <c r="R1731" s="5"/>
      <c r="S1731" s="5"/>
      <c r="T1731" s="5"/>
      <c r="U1731" s="5"/>
      <c r="V1731" s="5"/>
      <c r="W1731" s="5"/>
      <c r="X1731" s="5"/>
      <c r="Y1731" s="5"/>
    </row>
    <row r="1732" spans="13:25" ht="22">
      <c r="M1732" s="26" t="s">
        <v>53</v>
      </c>
      <c r="N1732" s="25" t="s">
        <v>51</v>
      </c>
      <c r="O1732" s="26" t="s">
        <v>1515</v>
      </c>
      <c r="P1732" s="26"/>
      <c r="Q1732" s="26"/>
      <c r="R1732" s="5"/>
      <c r="S1732" s="5"/>
      <c r="T1732" s="5"/>
      <c r="U1732" s="5"/>
      <c r="V1732" s="5"/>
      <c r="W1732" s="5"/>
      <c r="X1732" s="5"/>
      <c r="Y1732" s="5"/>
    </row>
    <row r="1733" spans="13:25" ht="33">
      <c r="M1733" s="26" t="s">
        <v>53</v>
      </c>
      <c r="N1733" s="25" t="s">
        <v>51</v>
      </c>
      <c r="O1733" s="26" t="s">
        <v>1516</v>
      </c>
      <c r="P1733" s="26"/>
      <c r="Q1733" s="26"/>
      <c r="R1733" s="5"/>
      <c r="S1733" s="5"/>
      <c r="T1733" s="5"/>
      <c r="U1733" s="5"/>
      <c r="V1733" s="5"/>
      <c r="W1733" s="5"/>
      <c r="X1733" s="5"/>
      <c r="Y1733" s="5"/>
    </row>
    <row r="1734" spans="13:25" ht="55">
      <c r="M1734" s="26" t="s">
        <v>53</v>
      </c>
      <c r="N1734" s="25" t="s">
        <v>51</v>
      </c>
      <c r="O1734" s="26" t="s">
        <v>1517</v>
      </c>
      <c r="P1734" s="26"/>
      <c r="Q1734" s="26"/>
      <c r="R1734" s="5"/>
      <c r="S1734" s="5"/>
      <c r="T1734" s="5"/>
      <c r="U1734" s="5"/>
      <c r="V1734" s="5"/>
      <c r="W1734" s="5"/>
      <c r="X1734" s="5"/>
      <c r="Y1734" s="5"/>
    </row>
    <row r="1735" spans="13:25" ht="33">
      <c r="M1735" s="26" t="s">
        <v>53</v>
      </c>
      <c r="N1735" s="25" t="s">
        <v>51</v>
      </c>
      <c r="O1735" s="26" t="s">
        <v>1518</v>
      </c>
      <c r="P1735" s="26"/>
      <c r="Q1735" s="26"/>
      <c r="R1735" s="5"/>
      <c r="S1735" s="5"/>
      <c r="T1735" s="5"/>
      <c r="U1735" s="5"/>
      <c r="V1735" s="5"/>
      <c r="W1735" s="5"/>
      <c r="X1735" s="5"/>
      <c r="Y1735" s="5"/>
    </row>
    <row r="1736" spans="13:25" ht="22">
      <c r="M1736" s="26" t="s">
        <v>53</v>
      </c>
      <c r="N1736" s="25" t="s">
        <v>51</v>
      </c>
      <c r="O1736" s="26" t="s">
        <v>1519</v>
      </c>
      <c r="P1736" s="26"/>
      <c r="Q1736" s="26"/>
      <c r="R1736" s="5"/>
      <c r="S1736" s="5"/>
      <c r="T1736" s="5"/>
      <c r="U1736" s="5"/>
      <c r="V1736" s="5"/>
      <c r="W1736" s="5"/>
      <c r="X1736" s="5"/>
      <c r="Y1736" s="5"/>
    </row>
    <row r="1737" spans="13:25" ht="33">
      <c r="M1737" s="26" t="s">
        <v>53</v>
      </c>
      <c r="N1737" s="25" t="s">
        <v>51</v>
      </c>
      <c r="O1737" s="26" t="s">
        <v>1513</v>
      </c>
      <c r="P1737" s="26"/>
      <c r="Q1737" s="26"/>
      <c r="R1737" s="5"/>
      <c r="S1737" s="5"/>
      <c r="T1737" s="5"/>
      <c r="U1737" s="5"/>
      <c r="V1737" s="5"/>
      <c r="W1737" s="5"/>
      <c r="X1737" s="5"/>
      <c r="Y1737" s="5"/>
    </row>
    <row r="1738" spans="13:25" ht="66">
      <c r="M1738" s="26" t="s">
        <v>53</v>
      </c>
      <c r="N1738" s="25" t="s">
        <v>51</v>
      </c>
      <c r="O1738" s="26" t="s">
        <v>1520</v>
      </c>
      <c r="P1738" s="26"/>
      <c r="Q1738" s="26"/>
      <c r="R1738" s="5"/>
      <c r="S1738" s="5"/>
      <c r="T1738" s="5"/>
      <c r="U1738" s="5"/>
      <c r="V1738" s="5"/>
      <c r="W1738" s="5"/>
      <c r="X1738" s="5"/>
      <c r="Y1738" s="5"/>
    </row>
    <row r="1739" spans="13:25" ht="22">
      <c r="M1739" s="26" t="s">
        <v>53</v>
      </c>
      <c r="N1739" s="25" t="s">
        <v>51</v>
      </c>
      <c r="O1739" s="26" t="s">
        <v>1521</v>
      </c>
      <c r="P1739" s="26"/>
      <c r="Q1739" s="26"/>
      <c r="R1739" s="5"/>
      <c r="S1739" s="5"/>
      <c r="T1739" s="5"/>
      <c r="U1739" s="5"/>
      <c r="V1739" s="5"/>
      <c r="W1739" s="5"/>
      <c r="X1739" s="5"/>
      <c r="Y1739" s="5"/>
    </row>
    <row r="1740" spans="13:25" ht="44">
      <c r="M1740" s="26" t="s">
        <v>53</v>
      </c>
      <c r="N1740" s="25" t="s">
        <v>51</v>
      </c>
      <c r="O1740" s="26" t="s">
        <v>1522</v>
      </c>
      <c r="P1740" s="26"/>
      <c r="Q1740" s="26"/>
      <c r="R1740" s="5"/>
      <c r="S1740" s="5"/>
      <c r="T1740" s="5"/>
      <c r="U1740" s="5"/>
      <c r="V1740" s="5"/>
      <c r="W1740" s="5"/>
      <c r="X1740" s="5"/>
      <c r="Y1740" s="5"/>
    </row>
    <row r="1741" spans="13:25" ht="55">
      <c r="M1741" s="26" t="s">
        <v>53</v>
      </c>
      <c r="N1741" s="25" t="s">
        <v>51</v>
      </c>
      <c r="O1741" s="26" t="s">
        <v>1523</v>
      </c>
      <c r="P1741" s="26"/>
      <c r="Q1741" s="26"/>
      <c r="R1741" s="5"/>
      <c r="S1741" s="5"/>
      <c r="T1741" s="5"/>
      <c r="U1741" s="5"/>
      <c r="V1741" s="5"/>
      <c r="W1741" s="5"/>
      <c r="X1741" s="5"/>
      <c r="Y1741" s="5"/>
    </row>
    <row r="1742" spans="13:25" ht="55">
      <c r="M1742" s="26" t="s">
        <v>53</v>
      </c>
      <c r="N1742" s="25" t="s">
        <v>51</v>
      </c>
      <c r="O1742" s="26" t="s">
        <v>1524</v>
      </c>
      <c r="P1742" s="26"/>
      <c r="Q1742" s="26"/>
      <c r="R1742" s="5"/>
      <c r="S1742" s="5"/>
      <c r="T1742" s="5"/>
      <c r="U1742" s="5"/>
      <c r="V1742" s="5"/>
      <c r="W1742" s="5"/>
      <c r="X1742" s="5"/>
      <c r="Y1742" s="5"/>
    </row>
    <row r="1743" spans="13:25" ht="55">
      <c r="M1743" s="26" t="s">
        <v>53</v>
      </c>
      <c r="N1743" s="25" t="s">
        <v>51</v>
      </c>
      <c r="O1743" s="26" t="s">
        <v>1525</v>
      </c>
      <c r="P1743" s="26"/>
      <c r="Q1743" s="26"/>
      <c r="R1743" s="5"/>
      <c r="S1743" s="5"/>
      <c r="T1743" s="5"/>
      <c r="U1743" s="5"/>
      <c r="V1743" s="5"/>
      <c r="W1743" s="5"/>
      <c r="X1743" s="5"/>
      <c r="Y1743" s="5"/>
    </row>
    <row r="1744" spans="13:25" ht="22">
      <c r="M1744" s="26" t="s">
        <v>53</v>
      </c>
      <c r="N1744" s="25" t="s">
        <v>51</v>
      </c>
      <c r="O1744" s="26" t="s">
        <v>1526</v>
      </c>
      <c r="P1744" s="26"/>
      <c r="Q1744" s="26"/>
      <c r="R1744" s="5"/>
      <c r="S1744" s="5"/>
      <c r="T1744" s="5"/>
      <c r="U1744" s="5"/>
      <c r="V1744" s="5"/>
      <c r="W1744" s="5"/>
      <c r="X1744" s="5"/>
      <c r="Y1744" s="5"/>
    </row>
    <row r="1745" spans="13:25" ht="33">
      <c r="M1745" s="26" t="s">
        <v>53</v>
      </c>
      <c r="N1745" s="25" t="s">
        <v>51</v>
      </c>
      <c r="O1745" s="26" t="s">
        <v>1527</v>
      </c>
      <c r="P1745" s="26"/>
      <c r="Q1745" s="26"/>
      <c r="R1745" s="5"/>
      <c r="S1745" s="5"/>
      <c r="T1745" s="5"/>
      <c r="U1745" s="5"/>
      <c r="V1745" s="5"/>
      <c r="W1745" s="5"/>
      <c r="X1745" s="5"/>
      <c r="Y1745" s="5"/>
    </row>
    <row r="1746" spans="13:25" ht="22">
      <c r="M1746" s="26" t="s">
        <v>53</v>
      </c>
      <c r="N1746" s="25" t="s">
        <v>51</v>
      </c>
      <c r="O1746" s="26" t="s">
        <v>1528</v>
      </c>
      <c r="P1746" s="26"/>
      <c r="Q1746" s="26"/>
      <c r="R1746" s="5"/>
      <c r="S1746" s="5"/>
      <c r="T1746" s="5"/>
      <c r="U1746" s="5"/>
      <c r="V1746" s="5"/>
      <c r="W1746" s="5"/>
      <c r="X1746" s="5"/>
      <c r="Y1746" s="5"/>
    </row>
    <row r="1747" spans="13:25" ht="33">
      <c r="M1747" s="26" t="s">
        <v>53</v>
      </c>
      <c r="N1747" s="25" t="s">
        <v>55</v>
      </c>
      <c r="O1747" s="26"/>
      <c r="P1747" s="26" t="s">
        <v>1529</v>
      </c>
      <c r="Q1747" s="26"/>
      <c r="R1747" s="5"/>
      <c r="S1747" s="5"/>
      <c r="T1747" s="5"/>
      <c r="U1747" s="5"/>
      <c r="V1747" s="5"/>
      <c r="W1747" s="5"/>
      <c r="X1747" s="5"/>
      <c r="Y1747" s="5"/>
    </row>
    <row r="1748" spans="13:25" ht="33">
      <c r="M1748" s="26" t="s">
        <v>53</v>
      </c>
      <c r="N1748" s="25" t="s">
        <v>55</v>
      </c>
      <c r="O1748" s="26"/>
      <c r="P1748" s="26" t="s">
        <v>1530</v>
      </c>
      <c r="Q1748" s="26"/>
      <c r="R1748" s="5"/>
      <c r="S1748" s="5"/>
      <c r="T1748" s="5"/>
      <c r="U1748" s="5"/>
      <c r="V1748" s="5"/>
      <c r="W1748" s="5"/>
      <c r="X1748" s="5"/>
      <c r="Y1748" s="5"/>
    </row>
    <row r="1749" spans="13:25" ht="33">
      <c r="M1749" s="26" t="s">
        <v>53</v>
      </c>
      <c r="N1749" s="25" t="s">
        <v>55</v>
      </c>
      <c r="O1749" s="26"/>
      <c r="P1749" s="26" t="s">
        <v>1531</v>
      </c>
      <c r="Q1749" s="26"/>
      <c r="R1749" s="5"/>
      <c r="S1749" s="5"/>
      <c r="T1749" s="5"/>
      <c r="U1749" s="5"/>
      <c r="V1749" s="5"/>
      <c r="W1749" s="5"/>
      <c r="X1749" s="5"/>
      <c r="Y1749" s="5"/>
    </row>
    <row r="1750" spans="13:25" ht="33">
      <c r="M1750" s="26" t="s">
        <v>53</v>
      </c>
      <c r="N1750" s="25" t="s">
        <v>51</v>
      </c>
      <c r="O1750" s="26" t="s">
        <v>1532</v>
      </c>
      <c r="P1750" s="26"/>
      <c r="Q1750" s="26"/>
      <c r="R1750" s="5"/>
      <c r="S1750" s="5"/>
      <c r="T1750" s="5"/>
      <c r="U1750" s="5"/>
      <c r="V1750" s="5"/>
      <c r="W1750" s="5"/>
      <c r="X1750" s="5"/>
      <c r="Y1750" s="5"/>
    </row>
    <row r="1751" spans="13:25" ht="55">
      <c r="M1751" s="26" t="s">
        <v>53</v>
      </c>
      <c r="N1751" s="25" t="s">
        <v>51</v>
      </c>
      <c r="O1751" s="26" t="s">
        <v>1533</v>
      </c>
      <c r="P1751" s="26"/>
      <c r="Q1751" s="26"/>
      <c r="R1751" s="5"/>
      <c r="S1751" s="5"/>
      <c r="T1751" s="5"/>
      <c r="U1751" s="5"/>
      <c r="V1751" s="5"/>
      <c r="W1751" s="5"/>
      <c r="X1751" s="5"/>
      <c r="Y1751" s="5"/>
    </row>
    <row r="1752" spans="13:25" ht="22">
      <c r="M1752" s="26" t="s">
        <v>53</v>
      </c>
      <c r="N1752" s="25" t="s">
        <v>51</v>
      </c>
      <c r="O1752" s="26" t="s">
        <v>1534</v>
      </c>
      <c r="P1752" s="26"/>
      <c r="Q1752" s="26"/>
      <c r="R1752" s="5"/>
      <c r="S1752" s="5"/>
      <c r="T1752" s="5"/>
      <c r="U1752" s="5"/>
      <c r="V1752" s="5"/>
      <c r="W1752" s="5"/>
      <c r="X1752" s="5"/>
      <c r="Y1752" s="5"/>
    </row>
    <row r="1753" spans="13:25" ht="44">
      <c r="M1753" s="26" t="s">
        <v>53</v>
      </c>
      <c r="N1753" s="25" t="s">
        <v>55</v>
      </c>
      <c r="O1753" s="26" t="s">
        <v>1535</v>
      </c>
      <c r="P1753" s="26"/>
      <c r="Q1753" s="26"/>
      <c r="R1753" s="5"/>
      <c r="S1753" s="5"/>
      <c r="T1753" s="5"/>
      <c r="U1753" s="5"/>
      <c r="V1753" s="5"/>
      <c r="W1753" s="5"/>
      <c r="X1753" s="5"/>
      <c r="Y1753" s="5"/>
    </row>
    <row r="1754" spans="13:25" ht="22">
      <c r="M1754" s="26" t="s">
        <v>53</v>
      </c>
      <c r="N1754" s="25" t="s">
        <v>51</v>
      </c>
      <c r="O1754" s="26" t="s">
        <v>1536</v>
      </c>
      <c r="P1754" s="26"/>
      <c r="Q1754" s="26"/>
      <c r="R1754" s="5"/>
      <c r="S1754" s="5"/>
      <c r="T1754" s="5"/>
      <c r="U1754" s="5"/>
      <c r="V1754" s="5"/>
      <c r="W1754" s="5"/>
      <c r="X1754" s="5"/>
      <c r="Y1754" s="5"/>
    </row>
    <row r="1755" spans="13:25" ht="55">
      <c r="M1755" s="26" t="s">
        <v>53</v>
      </c>
      <c r="N1755" s="25" t="s">
        <v>51</v>
      </c>
      <c r="O1755" s="26" t="s">
        <v>1537</v>
      </c>
      <c r="P1755" s="26"/>
      <c r="Q1755" s="26"/>
      <c r="R1755" s="5"/>
      <c r="S1755" s="5"/>
      <c r="T1755" s="5"/>
      <c r="U1755" s="5"/>
      <c r="V1755" s="5"/>
      <c r="W1755" s="5"/>
      <c r="X1755" s="5"/>
      <c r="Y1755" s="5"/>
    </row>
    <row r="1756" spans="13:25" ht="22">
      <c r="M1756" s="26" t="s">
        <v>53</v>
      </c>
      <c r="N1756" s="25" t="s">
        <v>51</v>
      </c>
      <c r="O1756" s="26" t="s">
        <v>1538</v>
      </c>
      <c r="P1756" s="26"/>
      <c r="Q1756" s="26"/>
      <c r="R1756" s="5"/>
      <c r="S1756" s="5"/>
      <c r="T1756" s="5"/>
      <c r="U1756" s="5"/>
      <c r="V1756" s="5"/>
      <c r="W1756" s="5"/>
      <c r="X1756" s="5"/>
      <c r="Y1756" s="5"/>
    </row>
    <row r="1757" spans="13:25" ht="22">
      <c r="M1757" s="26" t="s">
        <v>53</v>
      </c>
      <c r="N1757" s="25" t="s">
        <v>55</v>
      </c>
      <c r="O1757" s="26" t="s">
        <v>1539</v>
      </c>
      <c r="P1757" s="26"/>
      <c r="Q1757" s="26"/>
      <c r="R1757" s="5"/>
      <c r="S1757" s="5"/>
      <c r="T1757" s="5"/>
      <c r="U1757" s="5"/>
      <c r="V1757" s="5"/>
      <c r="W1757" s="5"/>
      <c r="X1757" s="5"/>
      <c r="Y1757" s="5"/>
    </row>
    <row r="1758" spans="13:25" ht="33">
      <c r="M1758" s="26" t="s">
        <v>53</v>
      </c>
      <c r="N1758" s="25" t="s">
        <v>55</v>
      </c>
      <c r="O1758" s="26" t="s">
        <v>1540</v>
      </c>
      <c r="P1758" s="26"/>
      <c r="Q1758" s="26"/>
      <c r="R1758" s="5"/>
      <c r="S1758" s="5"/>
      <c r="T1758" s="5"/>
      <c r="U1758" s="5"/>
      <c r="V1758" s="5"/>
      <c r="W1758" s="5"/>
      <c r="X1758" s="5"/>
      <c r="Y1758" s="5"/>
    </row>
    <row r="1759" spans="13:25" ht="33">
      <c r="M1759" s="26" t="s">
        <v>53</v>
      </c>
      <c r="N1759" s="25" t="s">
        <v>55</v>
      </c>
      <c r="O1759" s="26" t="s">
        <v>1541</v>
      </c>
      <c r="P1759" s="26"/>
      <c r="Q1759" s="26"/>
      <c r="R1759" s="5"/>
      <c r="S1759" s="5"/>
      <c r="T1759" s="5"/>
      <c r="U1759" s="5"/>
      <c r="V1759" s="5"/>
      <c r="W1759" s="5"/>
      <c r="X1759" s="5"/>
      <c r="Y1759" s="5"/>
    </row>
    <row r="1760" spans="13:25" ht="99">
      <c r="M1760" s="26" t="s">
        <v>53</v>
      </c>
      <c r="N1760" s="25" t="s">
        <v>55</v>
      </c>
      <c r="O1760" s="26" t="s">
        <v>1542</v>
      </c>
      <c r="P1760" s="26"/>
      <c r="Q1760" s="26"/>
      <c r="R1760" s="5"/>
      <c r="S1760" s="5"/>
      <c r="T1760" s="5"/>
      <c r="U1760" s="5"/>
      <c r="V1760" s="5"/>
      <c r="W1760" s="5"/>
      <c r="X1760" s="5"/>
      <c r="Y1760" s="5"/>
    </row>
    <row r="1761" spans="13:25" ht="22">
      <c r="M1761" s="26" t="s">
        <v>53</v>
      </c>
      <c r="N1761" s="25" t="s">
        <v>51</v>
      </c>
      <c r="O1761" s="26" t="s">
        <v>1543</v>
      </c>
      <c r="P1761" s="26"/>
      <c r="Q1761" s="26"/>
      <c r="R1761" s="5"/>
      <c r="S1761" s="5"/>
      <c r="T1761" s="5"/>
      <c r="U1761" s="5"/>
      <c r="V1761" s="5"/>
      <c r="W1761" s="5"/>
      <c r="X1761" s="5"/>
      <c r="Y1761" s="5"/>
    </row>
    <row r="1762" spans="13:25" ht="22">
      <c r="M1762" s="26" t="s">
        <v>53</v>
      </c>
      <c r="N1762" s="25" t="s">
        <v>51</v>
      </c>
      <c r="O1762" s="26" t="s">
        <v>1544</v>
      </c>
      <c r="P1762" s="26"/>
      <c r="Q1762" s="26"/>
      <c r="R1762" s="5"/>
      <c r="S1762" s="5"/>
      <c r="T1762" s="5"/>
      <c r="U1762" s="5"/>
      <c r="V1762" s="5"/>
      <c r="W1762" s="5"/>
      <c r="X1762" s="5"/>
      <c r="Y1762" s="5"/>
    </row>
    <row r="1763" spans="13:25" ht="22">
      <c r="M1763" s="26" t="s">
        <v>53</v>
      </c>
      <c r="N1763" s="25" t="s">
        <v>55</v>
      </c>
      <c r="O1763" s="26" t="s">
        <v>1545</v>
      </c>
      <c r="P1763" s="26"/>
      <c r="Q1763" s="26"/>
      <c r="R1763" s="5"/>
      <c r="S1763" s="5"/>
      <c r="T1763" s="5"/>
      <c r="U1763" s="5"/>
      <c r="V1763" s="5"/>
      <c r="W1763" s="5"/>
      <c r="X1763" s="5"/>
      <c r="Y1763" s="5"/>
    </row>
    <row r="1764" spans="13:25" ht="66">
      <c r="M1764" s="26" t="s">
        <v>53</v>
      </c>
      <c r="N1764" s="25" t="s">
        <v>51</v>
      </c>
      <c r="O1764" s="26" t="s">
        <v>1546</v>
      </c>
      <c r="P1764" s="26"/>
      <c r="Q1764" s="26"/>
      <c r="R1764" s="5"/>
      <c r="S1764" s="5"/>
      <c r="T1764" s="5"/>
      <c r="U1764" s="5"/>
      <c r="V1764" s="5"/>
      <c r="W1764" s="5"/>
      <c r="X1764" s="5"/>
      <c r="Y1764" s="5"/>
    </row>
    <row r="1765" spans="13:25" ht="22">
      <c r="M1765" s="26" t="s">
        <v>53</v>
      </c>
      <c r="N1765" s="25" t="s">
        <v>51</v>
      </c>
      <c r="O1765" s="26" t="s">
        <v>1547</v>
      </c>
      <c r="P1765" s="26"/>
      <c r="Q1765" s="26"/>
      <c r="R1765" s="5"/>
      <c r="S1765" s="5"/>
      <c r="T1765" s="5"/>
      <c r="U1765" s="5"/>
      <c r="V1765" s="5"/>
      <c r="W1765" s="5"/>
      <c r="X1765" s="5"/>
      <c r="Y1765" s="5"/>
    </row>
    <row r="1766" spans="13:25" ht="22">
      <c r="M1766" s="26" t="s">
        <v>53</v>
      </c>
      <c r="N1766" s="25" t="s">
        <v>70</v>
      </c>
      <c r="O1766" s="26" t="s">
        <v>1548</v>
      </c>
      <c r="P1766" s="26"/>
      <c r="Q1766" s="26"/>
      <c r="R1766" s="5"/>
      <c r="S1766" s="5"/>
      <c r="T1766" s="5"/>
      <c r="U1766" s="5"/>
      <c r="V1766" s="5"/>
      <c r="W1766" s="5"/>
      <c r="X1766" s="5"/>
      <c r="Y1766" s="5"/>
    </row>
    <row r="1767" spans="13:25" ht="22">
      <c r="M1767" s="26" t="s">
        <v>53</v>
      </c>
      <c r="N1767" s="25" t="s">
        <v>51</v>
      </c>
      <c r="O1767" s="26" t="s">
        <v>1549</v>
      </c>
      <c r="P1767" s="26"/>
      <c r="Q1767" s="26"/>
      <c r="R1767" s="5"/>
      <c r="S1767" s="5"/>
      <c r="T1767" s="5"/>
      <c r="U1767" s="5"/>
      <c r="V1767" s="5"/>
      <c r="W1767" s="5"/>
      <c r="X1767" s="5"/>
      <c r="Y1767" s="5"/>
    </row>
    <row r="1768" spans="13:25" ht="55">
      <c r="M1768" s="26" t="s">
        <v>53</v>
      </c>
      <c r="N1768" s="25" t="s">
        <v>70</v>
      </c>
      <c r="O1768" s="26"/>
      <c r="P1768" s="26" t="s">
        <v>1550</v>
      </c>
      <c r="Q1768" s="26"/>
      <c r="R1768" s="5"/>
      <c r="S1768" s="5"/>
      <c r="T1768" s="5"/>
      <c r="U1768" s="5"/>
      <c r="V1768" s="5"/>
      <c r="W1768" s="5"/>
      <c r="X1768" s="5"/>
      <c r="Y1768" s="5"/>
    </row>
    <row r="1769" spans="13:25" ht="33">
      <c r="M1769" s="26" t="s">
        <v>53</v>
      </c>
      <c r="N1769" s="25" t="s">
        <v>70</v>
      </c>
      <c r="O1769" s="26"/>
      <c r="P1769" s="26" t="s">
        <v>1551</v>
      </c>
      <c r="Q1769" s="26"/>
      <c r="R1769" s="5"/>
      <c r="S1769" s="5"/>
      <c r="T1769" s="5"/>
      <c r="U1769" s="5"/>
      <c r="V1769" s="5"/>
      <c r="W1769" s="5"/>
      <c r="X1769" s="5"/>
      <c r="Y1769" s="5"/>
    </row>
    <row r="1770" spans="13:25" ht="22">
      <c r="M1770" s="26" t="s">
        <v>53</v>
      </c>
      <c r="N1770" s="25" t="s">
        <v>51</v>
      </c>
      <c r="O1770" s="26" t="s">
        <v>1552</v>
      </c>
      <c r="P1770" s="26"/>
      <c r="Q1770" s="26"/>
      <c r="R1770" s="5"/>
      <c r="S1770" s="5"/>
      <c r="T1770" s="5"/>
      <c r="U1770" s="5"/>
      <c r="V1770" s="5"/>
      <c r="W1770" s="5"/>
      <c r="X1770" s="5"/>
      <c r="Y1770" s="5"/>
    </row>
    <row r="1771" spans="13:25" ht="33">
      <c r="M1771" s="26" t="s">
        <v>53</v>
      </c>
      <c r="N1771" s="25" t="s">
        <v>55</v>
      </c>
      <c r="O1771" s="26"/>
      <c r="P1771" s="26" t="s">
        <v>1529</v>
      </c>
      <c r="Q1771" s="26"/>
      <c r="R1771" s="5"/>
      <c r="S1771" s="5"/>
      <c r="T1771" s="5"/>
      <c r="U1771" s="5"/>
      <c r="V1771" s="5"/>
      <c r="W1771" s="5"/>
      <c r="X1771" s="5"/>
      <c r="Y1771" s="5"/>
    </row>
    <row r="1772" spans="13:25" ht="33">
      <c r="M1772" s="26" t="s">
        <v>53</v>
      </c>
      <c r="N1772" s="25" t="s">
        <v>55</v>
      </c>
      <c r="O1772" s="26"/>
      <c r="P1772" s="26" t="s">
        <v>1530</v>
      </c>
      <c r="Q1772" s="26"/>
      <c r="R1772" s="5"/>
      <c r="S1772" s="5"/>
      <c r="T1772" s="5"/>
      <c r="U1772" s="5"/>
      <c r="V1772" s="5"/>
      <c r="W1772" s="5"/>
      <c r="X1772" s="5"/>
      <c r="Y1772" s="5"/>
    </row>
    <row r="1773" spans="13:25" ht="22">
      <c r="M1773" s="26" t="s">
        <v>53</v>
      </c>
      <c r="N1773" s="25" t="s">
        <v>51</v>
      </c>
      <c r="O1773" s="26" t="s">
        <v>1553</v>
      </c>
      <c r="P1773" s="26"/>
      <c r="Q1773" s="26"/>
      <c r="R1773" s="5"/>
      <c r="S1773" s="5"/>
      <c r="T1773" s="5"/>
      <c r="U1773" s="5"/>
      <c r="V1773" s="5"/>
      <c r="W1773" s="5"/>
      <c r="X1773" s="5"/>
      <c r="Y1773" s="5"/>
    </row>
    <row r="1774" spans="13:25" ht="33">
      <c r="M1774" s="26" t="s">
        <v>53</v>
      </c>
      <c r="N1774" s="25" t="s">
        <v>55</v>
      </c>
      <c r="O1774" s="26"/>
      <c r="P1774" s="26" t="s">
        <v>376</v>
      </c>
      <c r="Q1774" s="26"/>
      <c r="R1774" s="5"/>
      <c r="S1774" s="5"/>
      <c r="T1774" s="5"/>
      <c r="U1774" s="5"/>
      <c r="V1774" s="5"/>
      <c r="W1774" s="5"/>
      <c r="X1774" s="5"/>
      <c r="Y1774" s="5"/>
    </row>
    <row r="1775" spans="13:25" ht="33">
      <c r="M1775" s="26" t="s">
        <v>53</v>
      </c>
      <c r="N1775" s="25" t="s">
        <v>55</v>
      </c>
      <c r="O1775" s="26"/>
      <c r="P1775" s="26" t="s">
        <v>1554</v>
      </c>
      <c r="Q1775" s="26"/>
      <c r="R1775" s="5"/>
      <c r="S1775" s="5"/>
      <c r="T1775" s="5"/>
      <c r="U1775" s="5"/>
      <c r="V1775" s="5"/>
      <c r="W1775" s="5"/>
      <c r="X1775" s="5"/>
      <c r="Y1775" s="5"/>
    </row>
    <row r="1776" spans="13:25" ht="33">
      <c r="M1776" s="26" t="s">
        <v>53</v>
      </c>
      <c r="N1776" s="25" t="s">
        <v>55</v>
      </c>
      <c r="O1776" s="26"/>
      <c r="P1776" s="26" t="s">
        <v>1420</v>
      </c>
      <c r="Q1776" s="26"/>
      <c r="R1776" s="5"/>
      <c r="S1776" s="5"/>
      <c r="T1776" s="5"/>
      <c r="U1776" s="5"/>
      <c r="V1776" s="5"/>
      <c r="W1776" s="5"/>
      <c r="X1776" s="5"/>
      <c r="Y1776" s="5"/>
    </row>
    <row r="1777" spans="13:25" ht="33">
      <c r="M1777" s="26" t="s">
        <v>53</v>
      </c>
      <c r="N1777" s="25" t="s">
        <v>55</v>
      </c>
      <c r="O1777" s="26"/>
      <c r="P1777" s="26" t="s">
        <v>1555</v>
      </c>
      <c r="Q1777" s="26"/>
      <c r="R1777" s="5"/>
      <c r="S1777" s="5"/>
      <c r="T1777" s="5"/>
      <c r="U1777" s="5"/>
      <c r="V1777" s="5"/>
      <c r="W1777" s="5"/>
      <c r="X1777" s="5"/>
      <c r="Y1777" s="5"/>
    </row>
    <row r="1778" spans="13:25" ht="66">
      <c r="M1778" s="26" t="s">
        <v>53</v>
      </c>
      <c r="N1778" s="25" t="s">
        <v>55</v>
      </c>
      <c r="O1778" s="26"/>
      <c r="P1778" s="26" t="s">
        <v>1556</v>
      </c>
      <c r="Q1778" s="26"/>
      <c r="R1778" s="5"/>
      <c r="S1778" s="5"/>
      <c r="T1778" s="5"/>
      <c r="U1778" s="5"/>
      <c r="V1778" s="5"/>
      <c r="W1778" s="5"/>
      <c r="X1778" s="5"/>
      <c r="Y1778" s="5"/>
    </row>
    <row r="1779" spans="13:25" ht="66">
      <c r="M1779" s="26" t="s">
        <v>53</v>
      </c>
      <c r="N1779" s="25" t="s">
        <v>55</v>
      </c>
      <c r="O1779" s="26"/>
      <c r="P1779" s="26" t="s">
        <v>1557</v>
      </c>
      <c r="Q1779" s="26"/>
      <c r="R1779" s="5"/>
      <c r="S1779" s="5"/>
      <c r="T1779" s="5"/>
      <c r="U1779" s="5"/>
      <c r="V1779" s="5"/>
      <c r="W1779" s="5"/>
      <c r="X1779" s="5"/>
      <c r="Y1779" s="5"/>
    </row>
    <row r="1780" spans="13:25" ht="33">
      <c r="M1780" s="26" t="s">
        <v>53</v>
      </c>
      <c r="N1780" s="25" t="s">
        <v>55</v>
      </c>
      <c r="O1780" s="26"/>
      <c r="P1780" s="26" t="s">
        <v>1558</v>
      </c>
      <c r="Q1780" s="26"/>
      <c r="R1780" s="5"/>
      <c r="S1780" s="5"/>
      <c r="T1780" s="5"/>
      <c r="U1780" s="5"/>
      <c r="V1780" s="5"/>
      <c r="W1780" s="5"/>
      <c r="X1780" s="5"/>
      <c r="Y1780" s="5"/>
    </row>
    <row r="1781" spans="13:25" ht="22">
      <c r="M1781" s="26" t="s">
        <v>53</v>
      </c>
      <c r="N1781" s="25" t="s">
        <v>51</v>
      </c>
      <c r="O1781" s="26" t="s">
        <v>1559</v>
      </c>
      <c r="P1781" s="26"/>
      <c r="Q1781" s="26"/>
      <c r="R1781" s="5"/>
      <c r="S1781" s="5"/>
      <c r="T1781" s="5"/>
      <c r="U1781" s="5"/>
      <c r="V1781" s="5"/>
      <c r="W1781" s="5"/>
      <c r="X1781" s="5"/>
      <c r="Y1781" s="5"/>
    </row>
    <row r="1782" spans="13:25" ht="33">
      <c r="M1782" s="26" t="s">
        <v>53</v>
      </c>
      <c r="N1782" s="25" t="s">
        <v>55</v>
      </c>
      <c r="O1782" s="26"/>
      <c r="P1782" s="26" t="s">
        <v>376</v>
      </c>
      <c r="Q1782" s="26"/>
      <c r="R1782" s="5"/>
      <c r="S1782" s="5"/>
      <c r="T1782" s="5"/>
      <c r="U1782" s="5"/>
      <c r="V1782" s="5"/>
      <c r="W1782" s="5"/>
      <c r="X1782" s="5"/>
      <c r="Y1782" s="5"/>
    </row>
    <row r="1783" spans="13:25" ht="33">
      <c r="M1783" s="26" t="s">
        <v>53</v>
      </c>
      <c r="N1783" s="25" t="s">
        <v>55</v>
      </c>
      <c r="O1783" s="26"/>
      <c r="P1783" s="26" t="s">
        <v>1560</v>
      </c>
      <c r="Q1783" s="26"/>
      <c r="R1783" s="5"/>
      <c r="S1783" s="5"/>
      <c r="T1783" s="5"/>
      <c r="U1783" s="5"/>
      <c r="V1783" s="5"/>
      <c r="W1783" s="5"/>
      <c r="X1783" s="5"/>
      <c r="Y1783" s="5"/>
    </row>
    <row r="1784" spans="13:25" ht="22">
      <c r="M1784" s="26" t="s">
        <v>53</v>
      </c>
      <c r="N1784" s="25" t="s">
        <v>55</v>
      </c>
      <c r="O1784" s="26"/>
      <c r="P1784" s="26" t="s">
        <v>1561</v>
      </c>
      <c r="Q1784" s="26"/>
      <c r="R1784" s="5"/>
      <c r="S1784" s="5"/>
      <c r="T1784" s="5"/>
      <c r="U1784" s="5"/>
      <c r="V1784" s="5"/>
      <c r="W1784" s="5"/>
      <c r="X1784" s="5"/>
      <c r="Y1784" s="5"/>
    </row>
    <row r="1785" spans="13:25" ht="22">
      <c r="M1785" s="26" t="s">
        <v>53</v>
      </c>
      <c r="N1785" s="25" t="s">
        <v>55</v>
      </c>
      <c r="O1785" s="26"/>
      <c r="P1785" s="26" t="s">
        <v>1562</v>
      </c>
      <c r="Q1785" s="26"/>
      <c r="R1785" s="5"/>
      <c r="S1785" s="5"/>
      <c r="T1785" s="5"/>
      <c r="U1785" s="5"/>
      <c r="V1785" s="5"/>
      <c r="W1785" s="5"/>
      <c r="X1785" s="5"/>
      <c r="Y1785" s="5"/>
    </row>
    <row r="1786" spans="13:25" ht="22">
      <c r="M1786" s="26" t="s">
        <v>53</v>
      </c>
      <c r="N1786" s="25" t="s">
        <v>55</v>
      </c>
      <c r="O1786" s="26"/>
      <c r="P1786" s="26" t="s">
        <v>1563</v>
      </c>
      <c r="Q1786" s="26"/>
      <c r="R1786" s="5"/>
      <c r="S1786" s="5"/>
      <c r="T1786" s="5"/>
      <c r="U1786" s="5"/>
      <c r="V1786" s="5"/>
      <c r="W1786" s="5"/>
      <c r="X1786" s="5"/>
      <c r="Y1786" s="5"/>
    </row>
    <row r="1787" spans="13:25" ht="22">
      <c r="M1787" s="26" t="s">
        <v>53</v>
      </c>
      <c r="N1787" s="25" t="s">
        <v>51</v>
      </c>
      <c r="O1787" s="26" t="s">
        <v>1564</v>
      </c>
      <c r="P1787" s="26"/>
      <c r="Q1787" s="26"/>
      <c r="R1787" s="5"/>
      <c r="S1787" s="5"/>
      <c r="T1787" s="5"/>
      <c r="U1787" s="5"/>
      <c r="V1787" s="5"/>
      <c r="W1787" s="5"/>
      <c r="X1787" s="5"/>
      <c r="Y1787" s="5"/>
    </row>
    <row r="1788" spans="13:25" ht="22">
      <c r="M1788" s="26" t="s">
        <v>53</v>
      </c>
      <c r="N1788" s="25" t="s">
        <v>51</v>
      </c>
      <c r="O1788" s="26" t="s">
        <v>1565</v>
      </c>
      <c r="P1788" s="26"/>
      <c r="Q1788" s="26"/>
      <c r="R1788" s="5"/>
      <c r="S1788" s="5"/>
      <c r="T1788" s="5"/>
      <c r="U1788" s="5"/>
      <c r="V1788" s="5"/>
      <c r="W1788" s="5"/>
      <c r="X1788" s="5"/>
      <c r="Y1788" s="5"/>
    </row>
    <row r="1789" spans="13:25" ht="22">
      <c r="M1789" s="26" t="s">
        <v>53</v>
      </c>
      <c r="N1789" s="25" t="s">
        <v>51</v>
      </c>
      <c r="O1789" s="26" t="s">
        <v>1566</v>
      </c>
      <c r="P1789" s="26"/>
      <c r="Q1789" s="26"/>
      <c r="R1789" s="5"/>
      <c r="S1789" s="5"/>
      <c r="T1789" s="5"/>
      <c r="U1789" s="5"/>
      <c r="V1789" s="5"/>
      <c r="W1789" s="5"/>
      <c r="X1789" s="5"/>
      <c r="Y1789" s="5"/>
    </row>
    <row r="1790" spans="13:25" ht="33">
      <c r="M1790" s="26" t="s">
        <v>53</v>
      </c>
      <c r="N1790" s="25" t="s">
        <v>51</v>
      </c>
      <c r="O1790" s="26" t="s">
        <v>1567</v>
      </c>
      <c r="P1790" s="26"/>
      <c r="Q1790" s="26"/>
      <c r="R1790" s="5"/>
      <c r="S1790" s="5"/>
      <c r="T1790" s="5"/>
      <c r="U1790" s="5"/>
      <c r="V1790" s="5"/>
      <c r="W1790" s="5"/>
      <c r="X1790" s="5"/>
      <c r="Y1790" s="5"/>
    </row>
    <row r="1791" spans="13:25" ht="33">
      <c r="M1791" s="26" t="s">
        <v>53</v>
      </c>
      <c r="N1791" s="25" t="s">
        <v>51</v>
      </c>
      <c r="O1791" s="26" t="s">
        <v>1568</v>
      </c>
      <c r="P1791" s="26"/>
      <c r="Q1791" s="26"/>
      <c r="R1791" s="5"/>
      <c r="S1791" s="5"/>
      <c r="T1791" s="5"/>
      <c r="U1791" s="5"/>
      <c r="V1791" s="5"/>
      <c r="W1791" s="5"/>
      <c r="X1791" s="5"/>
      <c r="Y1791" s="5"/>
    </row>
    <row r="1792" spans="13:25" ht="22">
      <c r="M1792" s="26" t="s">
        <v>53</v>
      </c>
      <c r="N1792" s="25" t="s">
        <v>51</v>
      </c>
      <c r="O1792" s="26" t="s">
        <v>1569</v>
      </c>
      <c r="P1792" s="26"/>
      <c r="Q1792" s="26"/>
      <c r="R1792" s="5"/>
      <c r="S1792" s="5"/>
      <c r="T1792" s="5"/>
      <c r="U1792" s="5"/>
      <c r="V1792" s="5"/>
      <c r="W1792" s="5"/>
      <c r="X1792" s="5"/>
      <c r="Y1792" s="5"/>
    </row>
    <row r="1793" spans="13:25" ht="22">
      <c r="M1793" s="26" t="s">
        <v>53</v>
      </c>
      <c r="N1793" s="25" t="s">
        <v>55</v>
      </c>
      <c r="O1793" s="26"/>
      <c r="P1793" s="26" t="s">
        <v>1570</v>
      </c>
      <c r="Q1793" s="26"/>
      <c r="R1793" s="5"/>
      <c r="S1793" s="5"/>
      <c r="T1793" s="5"/>
      <c r="U1793" s="5"/>
      <c r="V1793" s="5"/>
      <c r="W1793" s="5"/>
      <c r="X1793" s="5"/>
      <c r="Y1793" s="5"/>
    </row>
    <row r="1794" spans="13:25" ht="22">
      <c r="M1794" s="26" t="s">
        <v>53</v>
      </c>
      <c r="N1794" s="25" t="s">
        <v>55</v>
      </c>
      <c r="O1794" s="26"/>
      <c r="P1794" s="26" t="s">
        <v>1570</v>
      </c>
      <c r="Q1794" s="26"/>
      <c r="R1794" s="5"/>
      <c r="S1794" s="5"/>
      <c r="T1794" s="5"/>
      <c r="U1794" s="5"/>
      <c r="V1794" s="5"/>
      <c r="W1794" s="5"/>
      <c r="X1794" s="5"/>
      <c r="Y1794" s="5"/>
    </row>
    <row r="1795" spans="13:25" ht="44">
      <c r="M1795" s="26" t="s">
        <v>53</v>
      </c>
      <c r="N1795" s="25" t="s">
        <v>55</v>
      </c>
      <c r="O1795" s="26"/>
      <c r="P1795" s="26" t="s">
        <v>1535</v>
      </c>
      <c r="Q1795" s="26"/>
      <c r="R1795" s="5"/>
      <c r="S1795" s="5"/>
      <c r="T1795" s="5"/>
      <c r="U1795" s="5"/>
      <c r="V1795" s="5"/>
      <c r="W1795" s="5"/>
      <c r="X1795" s="5"/>
      <c r="Y1795" s="5"/>
    </row>
    <row r="1796" spans="13:25" ht="55">
      <c r="M1796" s="26" t="s">
        <v>53</v>
      </c>
      <c r="N1796" s="25" t="s">
        <v>55</v>
      </c>
      <c r="O1796" s="26"/>
      <c r="P1796" s="26" t="s">
        <v>1571</v>
      </c>
      <c r="Q1796" s="26"/>
      <c r="R1796" s="5"/>
      <c r="S1796" s="5"/>
      <c r="T1796" s="5"/>
      <c r="U1796" s="5"/>
      <c r="V1796" s="5"/>
      <c r="W1796" s="5"/>
      <c r="X1796" s="5"/>
      <c r="Y1796" s="5"/>
    </row>
    <row r="1797" spans="13:25" ht="22">
      <c r="M1797" s="26" t="s">
        <v>53</v>
      </c>
      <c r="N1797" s="25" t="s">
        <v>51</v>
      </c>
      <c r="O1797" s="26" t="s">
        <v>1572</v>
      </c>
      <c r="P1797" s="26"/>
      <c r="Q1797" s="26"/>
      <c r="R1797" s="5"/>
      <c r="S1797" s="5"/>
      <c r="T1797" s="5"/>
      <c r="U1797" s="5"/>
      <c r="V1797" s="5"/>
      <c r="W1797" s="5"/>
      <c r="X1797" s="5"/>
      <c r="Y1797" s="5"/>
    </row>
    <row r="1798" spans="13:25" ht="22">
      <c r="M1798" s="26" t="s">
        <v>53</v>
      </c>
      <c r="N1798" s="25" t="s">
        <v>55</v>
      </c>
      <c r="O1798" s="26"/>
      <c r="P1798" s="26" t="s">
        <v>1573</v>
      </c>
      <c r="Q1798" s="26"/>
      <c r="R1798" s="5"/>
      <c r="S1798" s="5"/>
      <c r="T1798" s="5"/>
      <c r="U1798" s="5"/>
      <c r="V1798" s="5"/>
      <c r="W1798" s="5"/>
      <c r="X1798" s="5"/>
      <c r="Y1798" s="5"/>
    </row>
    <row r="1799" spans="13:25" ht="33">
      <c r="M1799" s="26" t="s">
        <v>53</v>
      </c>
      <c r="N1799" s="25" t="s">
        <v>55</v>
      </c>
      <c r="O1799" s="26"/>
      <c r="P1799" s="26" t="s">
        <v>1574</v>
      </c>
      <c r="Q1799" s="26"/>
      <c r="R1799" s="5"/>
      <c r="S1799" s="5"/>
      <c r="T1799" s="5"/>
      <c r="U1799" s="5"/>
      <c r="V1799" s="5"/>
      <c r="W1799" s="5"/>
      <c r="X1799" s="5"/>
      <c r="Y1799" s="5"/>
    </row>
    <row r="1800" spans="13:25" ht="22">
      <c r="M1800" s="26" t="s">
        <v>53</v>
      </c>
      <c r="N1800" s="25" t="s">
        <v>51</v>
      </c>
      <c r="O1800" s="26" t="s">
        <v>1575</v>
      </c>
      <c r="P1800" s="26"/>
      <c r="Q1800" s="26"/>
      <c r="R1800" s="5"/>
      <c r="S1800" s="5"/>
      <c r="T1800" s="5"/>
      <c r="U1800" s="5"/>
      <c r="V1800" s="5"/>
      <c r="W1800" s="5"/>
      <c r="X1800" s="5"/>
      <c r="Y1800" s="5"/>
    </row>
    <row r="1801" spans="13:25" ht="22">
      <c r="M1801" s="26" t="s">
        <v>53</v>
      </c>
      <c r="N1801" s="25" t="s">
        <v>55</v>
      </c>
      <c r="O1801" s="26"/>
      <c r="P1801" s="26" t="s">
        <v>1576</v>
      </c>
      <c r="Q1801" s="26"/>
      <c r="R1801" s="5"/>
      <c r="S1801" s="5"/>
      <c r="T1801" s="5"/>
      <c r="U1801" s="5"/>
      <c r="V1801" s="5"/>
      <c r="W1801" s="5"/>
      <c r="X1801" s="5"/>
      <c r="Y1801" s="5"/>
    </row>
    <row r="1802" spans="13:25" ht="22">
      <c r="M1802" s="26" t="s">
        <v>53</v>
      </c>
      <c r="N1802" s="25" t="s">
        <v>51</v>
      </c>
      <c r="O1802" s="26" t="s">
        <v>1577</v>
      </c>
      <c r="P1802" s="26"/>
      <c r="Q1802" s="26"/>
      <c r="R1802" s="5"/>
      <c r="S1802" s="5"/>
      <c r="T1802" s="5"/>
      <c r="U1802" s="5"/>
      <c r="V1802" s="5"/>
      <c r="W1802" s="5"/>
      <c r="X1802" s="5"/>
      <c r="Y1802" s="5"/>
    </row>
    <row r="1803" spans="13:25" ht="33">
      <c r="M1803" s="26" t="s">
        <v>53</v>
      </c>
      <c r="N1803" s="25" t="s">
        <v>55</v>
      </c>
      <c r="O1803" s="26"/>
      <c r="P1803" s="26" t="s">
        <v>1393</v>
      </c>
      <c r="Q1803" s="26"/>
      <c r="R1803" s="5"/>
      <c r="S1803" s="5"/>
      <c r="T1803" s="5"/>
      <c r="U1803" s="5"/>
      <c r="V1803" s="5"/>
      <c r="W1803" s="5"/>
      <c r="X1803" s="5"/>
      <c r="Y1803" s="5"/>
    </row>
    <row r="1804" spans="13:25" ht="33">
      <c r="M1804" s="26" t="s">
        <v>53</v>
      </c>
      <c r="N1804" s="25" t="s">
        <v>55</v>
      </c>
      <c r="O1804" s="26"/>
      <c r="P1804" s="26" t="s">
        <v>1578</v>
      </c>
      <c r="Q1804" s="26"/>
      <c r="R1804" s="5"/>
      <c r="S1804" s="5"/>
      <c r="T1804" s="5"/>
      <c r="U1804" s="5"/>
      <c r="V1804" s="5"/>
      <c r="W1804" s="5"/>
      <c r="X1804" s="5"/>
      <c r="Y1804" s="5"/>
    </row>
    <row r="1805" spans="13:25" ht="22">
      <c r="M1805" s="26" t="s">
        <v>53</v>
      </c>
      <c r="N1805" s="25" t="s">
        <v>51</v>
      </c>
      <c r="O1805" s="26"/>
      <c r="P1805" s="26" t="s">
        <v>1579</v>
      </c>
      <c r="Q1805" s="26"/>
      <c r="R1805" s="5"/>
      <c r="S1805" s="5"/>
      <c r="T1805" s="5"/>
      <c r="U1805" s="5"/>
      <c r="V1805" s="5"/>
      <c r="W1805" s="5"/>
      <c r="X1805" s="5"/>
      <c r="Y1805" s="5"/>
    </row>
    <row r="1806" spans="13:25" ht="55">
      <c r="M1806" s="26" t="s">
        <v>53</v>
      </c>
      <c r="N1806" s="25" t="s">
        <v>55</v>
      </c>
      <c r="O1806" s="26"/>
      <c r="P1806" s="26" t="s">
        <v>1580</v>
      </c>
      <c r="Q1806" s="26"/>
      <c r="R1806" s="5"/>
      <c r="S1806" s="5"/>
      <c r="T1806" s="5"/>
      <c r="U1806" s="5"/>
      <c r="V1806" s="5"/>
      <c r="W1806" s="5"/>
      <c r="X1806" s="5"/>
      <c r="Y1806" s="5"/>
    </row>
    <row r="1807" spans="13:25" ht="44">
      <c r="M1807" s="26" t="s">
        <v>53</v>
      </c>
      <c r="N1807" s="25" t="s">
        <v>55</v>
      </c>
      <c r="O1807" s="26"/>
      <c r="P1807" s="26" t="s">
        <v>1581</v>
      </c>
      <c r="Q1807" s="26"/>
      <c r="R1807" s="5"/>
      <c r="S1807" s="5"/>
      <c r="T1807" s="5"/>
      <c r="U1807" s="5"/>
      <c r="V1807" s="5"/>
      <c r="W1807" s="5"/>
      <c r="X1807" s="5"/>
      <c r="Y1807" s="5"/>
    </row>
    <row r="1808" spans="13:25" ht="44">
      <c r="M1808" s="26" t="s">
        <v>53</v>
      </c>
      <c r="N1808" s="25" t="s">
        <v>70</v>
      </c>
      <c r="O1808" s="26" t="s">
        <v>1582</v>
      </c>
      <c r="P1808" s="26"/>
      <c r="Q1808" s="26"/>
      <c r="R1808" s="5"/>
      <c r="S1808" s="5"/>
      <c r="T1808" s="5"/>
      <c r="U1808" s="5"/>
      <c r="V1808" s="5"/>
      <c r="W1808" s="5"/>
      <c r="X1808" s="5"/>
      <c r="Y1808" s="5"/>
    </row>
    <row r="1809" spans="13:25" ht="33">
      <c r="M1809" s="26" t="s">
        <v>53</v>
      </c>
      <c r="N1809" s="25" t="s">
        <v>70</v>
      </c>
      <c r="O1809" s="26" t="s">
        <v>1583</v>
      </c>
      <c r="P1809" s="26"/>
      <c r="Q1809" s="26"/>
      <c r="R1809" s="5"/>
      <c r="S1809" s="5"/>
      <c r="T1809" s="5"/>
      <c r="U1809" s="5"/>
      <c r="V1809" s="5"/>
      <c r="W1809" s="5"/>
      <c r="X1809" s="5"/>
      <c r="Y1809" s="5"/>
    </row>
    <row r="1810" spans="13:25" ht="22">
      <c r="M1810" s="26" t="s">
        <v>53</v>
      </c>
      <c r="N1810" s="25" t="s">
        <v>70</v>
      </c>
      <c r="O1810" s="26" t="s">
        <v>1584</v>
      </c>
      <c r="P1810" s="26"/>
      <c r="Q1810" s="26"/>
      <c r="R1810" s="5"/>
      <c r="S1810" s="5"/>
      <c r="T1810" s="5"/>
      <c r="U1810" s="5"/>
      <c r="V1810" s="5"/>
      <c r="W1810" s="5"/>
      <c r="X1810" s="5"/>
      <c r="Y1810" s="5"/>
    </row>
    <row r="1811" spans="13:25" ht="22">
      <c r="M1811" s="26" t="s">
        <v>53</v>
      </c>
      <c r="N1811" s="25" t="s">
        <v>70</v>
      </c>
      <c r="O1811" s="26" t="s">
        <v>1585</v>
      </c>
      <c r="P1811" s="26"/>
      <c r="Q1811" s="26"/>
      <c r="R1811" s="5"/>
      <c r="S1811" s="5"/>
      <c r="T1811" s="5"/>
      <c r="U1811" s="5"/>
      <c r="V1811" s="5"/>
      <c r="W1811" s="5"/>
      <c r="X1811" s="5"/>
      <c r="Y1811" s="5"/>
    </row>
    <row r="1812" spans="13:25" ht="44">
      <c r="M1812" s="26" t="s">
        <v>53</v>
      </c>
      <c r="N1812" s="25" t="s">
        <v>51</v>
      </c>
      <c r="O1812" s="26" t="s">
        <v>1586</v>
      </c>
      <c r="P1812" s="26"/>
      <c r="Q1812" s="26"/>
      <c r="R1812" s="5"/>
      <c r="S1812" s="5"/>
      <c r="T1812" s="5"/>
      <c r="U1812" s="5"/>
      <c r="V1812" s="5"/>
      <c r="W1812" s="5"/>
      <c r="X1812" s="5"/>
      <c r="Y1812" s="5"/>
    </row>
    <row r="1813" spans="13:25" ht="44">
      <c r="M1813" s="26" t="s">
        <v>53</v>
      </c>
      <c r="N1813" s="25" t="s">
        <v>51</v>
      </c>
      <c r="O1813" s="26" t="s">
        <v>1587</v>
      </c>
      <c r="P1813" s="26"/>
      <c r="Q1813" s="26"/>
      <c r="R1813" s="5"/>
      <c r="S1813" s="5"/>
      <c r="T1813" s="5"/>
      <c r="U1813" s="5"/>
      <c r="V1813" s="5"/>
      <c r="W1813" s="5"/>
      <c r="X1813" s="5"/>
      <c r="Y1813" s="5"/>
    </row>
    <row r="1814" spans="13:25" ht="55">
      <c r="M1814" s="26" t="s">
        <v>53</v>
      </c>
      <c r="N1814" s="25" t="s">
        <v>70</v>
      </c>
      <c r="O1814" s="26" t="s">
        <v>1550</v>
      </c>
      <c r="P1814" s="26"/>
      <c r="Q1814" s="26"/>
      <c r="R1814" s="5"/>
      <c r="S1814" s="5"/>
      <c r="T1814" s="5"/>
      <c r="U1814" s="5"/>
      <c r="V1814" s="5"/>
      <c r="W1814" s="5"/>
      <c r="X1814" s="5"/>
      <c r="Y1814" s="5"/>
    </row>
    <row r="1815" spans="13:25" ht="77">
      <c r="M1815" s="26" t="s">
        <v>53</v>
      </c>
      <c r="N1815" s="25" t="s">
        <v>51</v>
      </c>
      <c r="O1815" s="26" t="s">
        <v>1588</v>
      </c>
      <c r="P1815" s="26"/>
      <c r="Q1815" s="26"/>
      <c r="R1815" s="5"/>
      <c r="S1815" s="5"/>
      <c r="T1815" s="5"/>
      <c r="U1815" s="5"/>
      <c r="V1815" s="5"/>
      <c r="W1815" s="5"/>
      <c r="X1815" s="5"/>
      <c r="Y1815" s="5"/>
    </row>
    <row r="1816" spans="13:25" ht="22">
      <c r="M1816" s="26" t="s">
        <v>53</v>
      </c>
      <c r="N1816" s="25" t="s">
        <v>70</v>
      </c>
      <c r="O1816" s="26" t="s">
        <v>1589</v>
      </c>
      <c r="P1816" s="26"/>
      <c r="Q1816" s="26"/>
      <c r="R1816" s="5"/>
      <c r="S1816" s="5"/>
      <c r="T1816" s="5"/>
      <c r="U1816" s="5"/>
      <c r="V1816" s="5"/>
      <c r="W1816" s="5"/>
      <c r="X1816" s="5"/>
      <c r="Y1816" s="5"/>
    </row>
    <row r="1817" spans="13:25" ht="44">
      <c r="M1817" s="26" t="s">
        <v>53</v>
      </c>
      <c r="N1817" s="25" t="s">
        <v>70</v>
      </c>
      <c r="O1817" s="26" t="s">
        <v>1590</v>
      </c>
      <c r="P1817" s="26"/>
      <c r="Q1817" s="26"/>
      <c r="R1817" s="5"/>
      <c r="S1817" s="5"/>
      <c r="T1817" s="5"/>
      <c r="U1817" s="5"/>
      <c r="V1817" s="5"/>
      <c r="W1817" s="5"/>
      <c r="X1817" s="5"/>
      <c r="Y1817" s="5"/>
    </row>
    <row r="1818" spans="13:25" ht="22">
      <c r="M1818" s="26" t="s">
        <v>53</v>
      </c>
      <c r="N1818" s="25" t="s">
        <v>51</v>
      </c>
      <c r="O1818" s="26" t="s">
        <v>1591</v>
      </c>
      <c r="P1818" s="26"/>
      <c r="Q1818" s="26"/>
      <c r="R1818" s="5"/>
      <c r="S1818" s="5"/>
      <c r="T1818" s="5"/>
      <c r="U1818" s="5"/>
      <c r="V1818" s="5"/>
      <c r="W1818" s="5"/>
      <c r="X1818" s="5"/>
      <c r="Y1818" s="5"/>
    </row>
    <row r="1819" spans="13:25" ht="33">
      <c r="M1819" s="26" t="s">
        <v>53</v>
      </c>
      <c r="N1819" s="25" t="s">
        <v>70</v>
      </c>
      <c r="O1819" s="26" t="s">
        <v>734</v>
      </c>
      <c r="P1819" s="26"/>
      <c r="Q1819" s="26"/>
      <c r="R1819" s="5"/>
      <c r="S1819" s="5"/>
      <c r="T1819" s="5"/>
      <c r="U1819" s="5"/>
      <c r="V1819" s="5"/>
      <c r="W1819" s="5"/>
      <c r="X1819" s="5"/>
      <c r="Y1819" s="5"/>
    </row>
    <row r="1820" spans="13:25" ht="33">
      <c r="M1820" s="26" t="s">
        <v>53</v>
      </c>
      <c r="N1820" s="25" t="s">
        <v>70</v>
      </c>
      <c r="O1820" s="26" t="s">
        <v>1592</v>
      </c>
      <c r="P1820" s="26"/>
      <c r="Q1820" s="26"/>
      <c r="R1820" s="5"/>
      <c r="S1820" s="5"/>
      <c r="T1820" s="5"/>
      <c r="U1820" s="5"/>
      <c r="V1820" s="5"/>
      <c r="W1820" s="5"/>
      <c r="X1820" s="5"/>
      <c r="Y1820" s="5"/>
    </row>
    <row r="1821" spans="13:25" ht="33">
      <c r="M1821" s="26" t="s">
        <v>53</v>
      </c>
      <c r="N1821" s="25" t="s">
        <v>70</v>
      </c>
      <c r="O1821" s="26" t="s">
        <v>1593</v>
      </c>
      <c r="P1821" s="26"/>
      <c r="Q1821" s="26"/>
      <c r="R1821" s="5"/>
      <c r="S1821" s="5"/>
      <c r="T1821" s="5"/>
      <c r="U1821" s="5"/>
      <c r="V1821" s="5"/>
      <c r="W1821" s="5"/>
      <c r="X1821" s="5"/>
      <c r="Y1821" s="5"/>
    </row>
    <row r="1822" spans="13:25" ht="33">
      <c r="M1822" s="26" t="s">
        <v>53</v>
      </c>
      <c r="N1822" s="25" t="s">
        <v>55</v>
      </c>
      <c r="O1822" s="26" t="s">
        <v>1594</v>
      </c>
      <c r="P1822" s="26"/>
      <c r="Q1822" s="26"/>
      <c r="R1822" s="5"/>
      <c r="S1822" s="5"/>
      <c r="T1822" s="5"/>
      <c r="U1822" s="5"/>
      <c r="V1822" s="5"/>
      <c r="W1822" s="5"/>
      <c r="X1822" s="5"/>
      <c r="Y1822" s="5"/>
    </row>
    <row r="1823" spans="13:25" ht="22">
      <c r="M1823" s="26" t="s">
        <v>53</v>
      </c>
      <c r="N1823" s="25" t="s">
        <v>51</v>
      </c>
      <c r="O1823" s="26" t="s">
        <v>1595</v>
      </c>
      <c r="P1823" s="26"/>
      <c r="Q1823" s="26"/>
      <c r="R1823" s="5"/>
      <c r="S1823" s="5"/>
      <c r="T1823" s="5"/>
      <c r="U1823" s="5"/>
      <c r="V1823" s="5"/>
      <c r="W1823" s="5"/>
      <c r="X1823" s="5"/>
      <c r="Y1823" s="5"/>
    </row>
    <row r="1824" spans="13:25" ht="22">
      <c r="M1824" s="26" t="s">
        <v>53</v>
      </c>
      <c r="N1824" s="25" t="s">
        <v>70</v>
      </c>
      <c r="O1824" s="26"/>
      <c r="P1824" s="26" t="s">
        <v>1596</v>
      </c>
      <c r="Q1824" s="26"/>
      <c r="R1824" s="5"/>
      <c r="S1824" s="5"/>
      <c r="T1824" s="5"/>
      <c r="U1824" s="5"/>
      <c r="V1824" s="5"/>
      <c r="W1824" s="5"/>
      <c r="X1824" s="5"/>
      <c r="Y1824" s="5"/>
    </row>
    <row r="1825" spans="13:25" ht="55">
      <c r="M1825" s="26" t="s">
        <v>53</v>
      </c>
      <c r="N1825" s="25" t="s">
        <v>70</v>
      </c>
      <c r="O1825" s="26"/>
      <c r="P1825" s="26" t="s">
        <v>615</v>
      </c>
      <c r="Q1825" s="26"/>
      <c r="R1825" s="5"/>
      <c r="S1825" s="5"/>
      <c r="T1825" s="5"/>
      <c r="U1825" s="5"/>
      <c r="V1825" s="5"/>
      <c r="W1825" s="5"/>
      <c r="X1825" s="5"/>
      <c r="Y1825" s="5"/>
    </row>
    <row r="1826" spans="13:25" ht="55">
      <c r="M1826" s="26" t="s">
        <v>53</v>
      </c>
      <c r="N1826" s="25" t="s">
        <v>70</v>
      </c>
      <c r="O1826" s="26"/>
      <c r="P1826" s="26" t="s">
        <v>616</v>
      </c>
      <c r="Q1826" s="26"/>
      <c r="R1826" s="5"/>
      <c r="S1826" s="5"/>
      <c r="T1826" s="5"/>
      <c r="U1826" s="5"/>
      <c r="V1826" s="5"/>
      <c r="W1826" s="5"/>
      <c r="X1826" s="5"/>
      <c r="Y1826" s="5"/>
    </row>
    <row r="1827" spans="13:25" ht="55">
      <c r="M1827" s="26" t="s">
        <v>53</v>
      </c>
      <c r="N1827" s="25" t="s">
        <v>70</v>
      </c>
      <c r="O1827" s="26"/>
      <c r="P1827" s="26" t="s">
        <v>1597</v>
      </c>
      <c r="Q1827" s="26"/>
      <c r="R1827" s="5"/>
      <c r="S1827" s="5"/>
      <c r="T1827" s="5"/>
      <c r="U1827" s="5"/>
      <c r="V1827" s="5"/>
      <c r="W1827" s="5"/>
      <c r="X1827" s="5"/>
      <c r="Y1827" s="5"/>
    </row>
    <row r="1828" spans="13:25" ht="22">
      <c r="M1828" s="26" t="s">
        <v>53</v>
      </c>
      <c r="N1828" s="25" t="s">
        <v>51</v>
      </c>
      <c r="O1828" s="26" t="s">
        <v>1598</v>
      </c>
      <c r="P1828" s="26"/>
      <c r="Q1828" s="26"/>
      <c r="R1828" s="5"/>
      <c r="S1828" s="5"/>
      <c r="T1828" s="5"/>
      <c r="U1828" s="5"/>
      <c r="V1828" s="5"/>
      <c r="W1828" s="5"/>
      <c r="X1828" s="5"/>
      <c r="Y1828" s="5"/>
    </row>
    <row r="1829" spans="13:25" ht="33">
      <c r="M1829" s="26" t="s">
        <v>53</v>
      </c>
      <c r="N1829" s="25" t="s">
        <v>55</v>
      </c>
      <c r="O1829" s="26"/>
      <c r="P1829" s="26" t="s">
        <v>1529</v>
      </c>
      <c r="Q1829" s="26"/>
      <c r="R1829" s="5"/>
      <c r="S1829" s="5"/>
      <c r="T1829" s="5"/>
      <c r="U1829" s="5"/>
      <c r="V1829" s="5"/>
      <c r="W1829" s="5"/>
      <c r="X1829" s="5"/>
      <c r="Y1829" s="5"/>
    </row>
    <row r="1830" spans="13:25" ht="33">
      <c r="M1830" s="26" t="s">
        <v>53</v>
      </c>
      <c r="N1830" s="25" t="s">
        <v>55</v>
      </c>
      <c r="O1830" s="26"/>
      <c r="P1830" s="26" t="s">
        <v>1531</v>
      </c>
      <c r="Q1830" s="26"/>
      <c r="R1830" s="5"/>
      <c r="S1830" s="5"/>
      <c r="T1830" s="5"/>
      <c r="U1830" s="5"/>
      <c r="V1830" s="5"/>
      <c r="W1830" s="5"/>
      <c r="X1830" s="5"/>
      <c r="Y1830" s="5"/>
    </row>
    <row r="1831" spans="13:25" ht="22">
      <c r="M1831" s="26" t="s">
        <v>53</v>
      </c>
      <c r="N1831" s="25" t="s">
        <v>51</v>
      </c>
      <c r="O1831" s="26" t="s">
        <v>1599</v>
      </c>
      <c r="P1831" s="26"/>
      <c r="Q1831" s="26"/>
      <c r="R1831" s="5"/>
      <c r="S1831" s="5"/>
      <c r="T1831" s="5"/>
      <c r="U1831" s="5"/>
      <c r="V1831" s="5"/>
      <c r="W1831" s="5"/>
      <c r="X1831" s="5"/>
      <c r="Y1831" s="5"/>
    </row>
    <row r="1832" spans="13:25" ht="22">
      <c r="M1832" s="26" t="s">
        <v>53</v>
      </c>
      <c r="N1832" s="25" t="s">
        <v>55</v>
      </c>
      <c r="O1832" s="26" t="s">
        <v>1600</v>
      </c>
      <c r="P1832" s="26"/>
      <c r="Q1832" s="26"/>
      <c r="R1832" s="5"/>
      <c r="S1832" s="5"/>
      <c r="T1832" s="5"/>
      <c r="U1832" s="5"/>
      <c r="V1832" s="5"/>
      <c r="W1832" s="5"/>
      <c r="X1832" s="5"/>
      <c r="Y1832" s="5"/>
    </row>
    <row r="1833" spans="13:25" ht="55">
      <c r="M1833" s="26" t="s">
        <v>53</v>
      </c>
      <c r="N1833" s="25" t="s">
        <v>51</v>
      </c>
      <c r="O1833" s="26" t="s">
        <v>322</v>
      </c>
      <c r="P1833" s="26"/>
      <c r="Q1833" s="26"/>
      <c r="R1833" s="5"/>
      <c r="S1833" s="5"/>
      <c r="T1833" s="5"/>
      <c r="U1833" s="5"/>
      <c r="V1833" s="5"/>
      <c r="W1833" s="5"/>
      <c r="X1833" s="5"/>
      <c r="Y1833" s="5"/>
    </row>
    <row r="1834" spans="13:25" ht="44">
      <c r="M1834" s="26" t="s">
        <v>53</v>
      </c>
      <c r="N1834" s="25" t="s">
        <v>51</v>
      </c>
      <c r="O1834" s="26" t="s">
        <v>1601</v>
      </c>
      <c r="P1834" s="26"/>
      <c r="Q1834" s="26"/>
      <c r="R1834" s="5"/>
      <c r="S1834" s="5"/>
      <c r="T1834" s="5"/>
      <c r="U1834" s="5"/>
      <c r="V1834" s="5"/>
      <c r="W1834" s="5"/>
      <c r="X1834" s="5"/>
      <c r="Y1834" s="5"/>
    </row>
    <row r="1835" spans="13:25" ht="22">
      <c r="M1835" s="26" t="s">
        <v>53</v>
      </c>
      <c r="N1835" s="25" t="s">
        <v>51</v>
      </c>
      <c r="O1835" s="26" t="s">
        <v>1602</v>
      </c>
      <c r="P1835" s="26"/>
      <c r="Q1835" s="26"/>
      <c r="R1835" s="5"/>
      <c r="S1835" s="5"/>
      <c r="T1835" s="5"/>
      <c r="U1835" s="5"/>
      <c r="V1835" s="5"/>
      <c r="W1835" s="5"/>
      <c r="X1835" s="5"/>
      <c r="Y1835" s="5"/>
    </row>
    <row r="1836" spans="13:25" ht="22">
      <c r="M1836" s="26" t="s">
        <v>53</v>
      </c>
      <c r="N1836" s="25" t="s">
        <v>51</v>
      </c>
      <c r="O1836" s="26" t="s">
        <v>1603</v>
      </c>
      <c r="P1836" s="26"/>
      <c r="Q1836" s="26"/>
      <c r="R1836" s="5"/>
      <c r="S1836" s="5"/>
      <c r="T1836" s="5"/>
      <c r="U1836" s="5"/>
      <c r="V1836" s="5"/>
      <c r="W1836" s="5"/>
      <c r="X1836" s="5"/>
      <c r="Y1836" s="5"/>
    </row>
    <row r="1837" spans="13:25" ht="55">
      <c r="M1837" s="26" t="s">
        <v>53</v>
      </c>
      <c r="N1837" s="25" t="s">
        <v>51</v>
      </c>
      <c r="O1837" s="26" t="s">
        <v>1604</v>
      </c>
      <c r="P1837" s="26"/>
      <c r="Q1837" s="26"/>
      <c r="R1837" s="5"/>
      <c r="S1837" s="5"/>
      <c r="T1837" s="5"/>
      <c r="U1837" s="5"/>
      <c r="V1837" s="5"/>
      <c r="W1837" s="5"/>
      <c r="X1837" s="5"/>
      <c r="Y1837" s="5"/>
    </row>
    <row r="1838" spans="13:25" ht="33">
      <c r="M1838" s="26" t="s">
        <v>53</v>
      </c>
      <c r="N1838" s="25" t="s">
        <v>51</v>
      </c>
      <c r="O1838" s="26" t="s">
        <v>1605</v>
      </c>
      <c r="P1838" s="26"/>
      <c r="Q1838" s="26"/>
      <c r="R1838" s="5"/>
      <c r="S1838" s="5"/>
      <c r="T1838" s="5"/>
      <c r="U1838" s="5"/>
      <c r="V1838" s="5"/>
      <c r="W1838" s="5"/>
      <c r="X1838" s="5"/>
      <c r="Y1838" s="5"/>
    </row>
    <row r="1839" spans="13:25" ht="22">
      <c r="M1839" s="26" t="s">
        <v>53</v>
      </c>
      <c r="N1839" s="25" t="s">
        <v>51</v>
      </c>
      <c r="O1839" s="26" t="s">
        <v>1606</v>
      </c>
      <c r="P1839" s="26"/>
      <c r="Q1839" s="26"/>
      <c r="R1839" s="5"/>
      <c r="S1839" s="5"/>
      <c r="T1839" s="5"/>
      <c r="U1839" s="5"/>
      <c r="V1839" s="5"/>
      <c r="W1839" s="5"/>
      <c r="X1839" s="5"/>
      <c r="Y1839" s="5"/>
    </row>
    <row r="1840" spans="13:25" ht="22">
      <c r="M1840" s="26" t="s">
        <v>53</v>
      </c>
      <c r="N1840" s="25" t="s">
        <v>51</v>
      </c>
      <c r="O1840" s="26" t="s">
        <v>1607</v>
      </c>
      <c r="P1840" s="26"/>
      <c r="Q1840" s="26"/>
      <c r="R1840" s="5"/>
      <c r="S1840" s="5"/>
      <c r="T1840" s="5"/>
      <c r="U1840" s="5"/>
      <c r="V1840" s="5"/>
      <c r="W1840" s="5"/>
      <c r="X1840" s="5"/>
      <c r="Y1840" s="5"/>
    </row>
    <row r="1841" spans="13:25" ht="22">
      <c r="M1841" s="26" t="s">
        <v>53</v>
      </c>
      <c r="N1841" s="25" t="s">
        <v>51</v>
      </c>
      <c r="O1841" s="26" t="s">
        <v>1608</v>
      </c>
      <c r="P1841" s="26"/>
      <c r="Q1841" s="26"/>
      <c r="R1841" s="5"/>
      <c r="S1841" s="5"/>
      <c r="T1841" s="5"/>
      <c r="U1841" s="5"/>
      <c r="V1841" s="5"/>
      <c r="W1841" s="5"/>
      <c r="X1841" s="5"/>
      <c r="Y1841" s="5"/>
    </row>
    <row r="1842" spans="13:25" ht="33">
      <c r="M1842" s="26" t="s">
        <v>53</v>
      </c>
      <c r="N1842" s="25" t="s">
        <v>51</v>
      </c>
      <c r="O1842" s="26" t="s">
        <v>1609</v>
      </c>
      <c r="P1842" s="26"/>
      <c r="Q1842" s="26"/>
      <c r="R1842" s="5"/>
      <c r="S1842" s="5"/>
      <c r="T1842" s="5"/>
      <c r="U1842" s="5"/>
      <c r="V1842" s="5"/>
      <c r="W1842" s="5"/>
      <c r="X1842" s="5"/>
      <c r="Y1842" s="5"/>
    </row>
    <row r="1843" spans="13:25" ht="22">
      <c r="M1843" s="26" t="s">
        <v>53</v>
      </c>
      <c r="N1843" s="25" t="s">
        <v>51</v>
      </c>
      <c r="O1843" s="26" t="s">
        <v>1610</v>
      </c>
      <c r="P1843" s="26"/>
      <c r="Q1843" s="26"/>
      <c r="R1843" s="5"/>
      <c r="S1843" s="5"/>
      <c r="T1843" s="5"/>
      <c r="U1843" s="5"/>
      <c r="V1843" s="5"/>
      <c r="W1843" s="5"/>
      <c r="X1843" s="5"/>
      <c r="Y1843" s="5"/>
    </row>
    <row r="1844" spans="13:25" ht="22">
      <c r="M1844" s="26" t="s">
        <v>53</v>
      </c>
      <c r="N1844" s="25" t="s">
        <v>51</v>
      </c>
      <c r="O1844" s="26" t="s">
        <v>1611</v>
      </c>
      <c r="P1844" s="26"/>
      <c r="Q1844" s="26"/>
      <c r="R1844" s="5"/>
      <c r="S1844" s="5"/>
      <c r="T1844" s="5"/>
      <c r="U1844" s="5"/>
      <c r="V1844" s="5"/>
      <c r="W1844" s="5"/>
      <c r="X1844" s="5"/>
      <c r="Y1844" s="5"/>
    </row>
    <row r="1845" spans="13:25" ht="66">
      <c r="M1845" s="26" t="s">
        <v>53</v>
      </c>
      <c r="N1845" s="25" t="s">
        <v>51</v>
      </c>
      <c r="O1845" s="26" t="s">
        <v>1493</v>
      </c>
      <c r="P1845" s="26"/>
      <c r="Q1845" s="26"/>
      <c r="R1845" s="5"/>
      <c r="S1845" s="5"/>
      <c r="T1845" s="5"/>
      <c r="U1845" s="5"/>
      <c r="V1845" s="5"/>
      <c r="W1845" s="5"/>
      <c r="X1845" s="5"/>
      <c r="Y1845" s="5"/>
    </row>
    <row r="1846" spans="13:25" ht="55">
      <c r="M1846" s="26" t="s">
        <v>53</v>
      </c>
      <c r="N1846" s="25" t="s">
        <v>51</v>
      </c>
      <c r="O1846" s="26" t="s">
        <v>1612</v>
      </c>
      <c r="P1846" s="26"/>
      <c r="Q1846" s="26"/>
      <c r="R1846" s="5"/>
      <c r="S1846" s="5"/>
      <c r="T1846" s="5"/>
      <c r="U1846" s="5"/>
      <c r="V1846" s="5"/>
      <c r="W1846" s="5"/>
      <c r="X1846" s="5"/>
      <c r="Y1846" s="5"/>
    </row>
    <row r="1847" spans="13:25" ht="55">
      <c r="M1847" s="26" t="s">
        <v>53</v>
      </c>
      <c r="N1847" s="25" t="s">
        <v>51</v>
      </c>
      <c r="O1847" s="26" t="s">
        <v>1613</v>
      </c>
      <c r="P1847" s="26"/>
      <c r="Q1847" s="26"/>
      <c r="R1847" s="5"/>
      <c r="S1847" s="5"/>
      <c r="T1847" s="5"/>
      <c r="U1847" s="5"/>
      <c r="V1847" s="5"/>
      <c r="W1847" s="5"/>
      <c r="X1847" s="5"/>
      <c r="Y1847" s="5"/>
    </row>
    <row r="1848" spans="13:25" ht="66">
      <c r="M1848" s="26" t="s">
        <v>53</v>
      </c>
      <c r="N1848" s="25" t="s">
        <v>51</v>
      </c>
      <c r="O1848" s="26" t="s">
        <v>1614</v>
      </c>
      <c r="P1848" s="26"/>
      <c r="Q1848" s="26"/>
      <c r="R1848" s="5"/>
      <c r="S1848" s="5"/>
      <c r="T1848" s="5"/>
      <c r="U1848" s="5"/>
      <c r="V1848" s="5"/>
      <c r="W1848" s="5"/>
      <c r="X1848" s="5"/>
      <c r="Y1848" s="5"/>
    </row>
    <row r="1849" spans="13:25" ht="44">
      <c r="M1849" s="26" t="s">
        <v>53</v>
      </c>
      <c r="N1849" s="25" t="s">
        <v>51</v>
      </c>
      <c r="O1849" s="26" t="s">
        <v>1615</v>
      </c>
      <c r="P1849" s="26"/>
      <c r="Q1849" s="26"/>
      <c r="R1849" s="5"/>
      <c r="S1849" s="5"/>
      <c r="T1849" s="5"/>
      <c r="U1849" s="5"/>
      <c r="V1849" s="5"/>
      <c r="W1849" s="5"/>
      <c r="X1849" s="5"/>
      <c r="Y1849" s="5"/>
    </row>
    <row r="1850" spans="13:25" ht="22">
      <c r="M1850" s="26" t="s">
        <v>53</v>
      </c>
      <c r="N1850" s="25" t="s">
        <v>51</v>
      </c>
      <c r="O1850" s="26" t="s">
        <v>1616</v>
      </c>
      <c r="P1850" s="26"/>
      <c r="Q1850" s="26"/>
      <c r="R1850" s="5"/>
      <c r="S1850" s="5"/>
      <c r="T1850" s="5"/>
      <c r="U1850" s="5"/>
      <c r="V1850" s="5"/>
      <c r="W1850" s="5"/>
      <c r="X1850" s="5"/>
      <c r="Y1850" s="5"/>
    </row>
    <row r="1851" spans="13:25" ht="22">
      <c r="M1851" s="26" t="s">
        <v>53</v>
      </c>
      <c r="N1851" s="25" t="s">
        <v>51</v>
      </c>
      <c r="O1851" s="26" t="s">
        <v>1617</v>
      </c>
      <c r="P1851" s="26"/>
      <c r="Q1851" s="26"/>
      <c r="R1851" s="5"/>
      <c r="S1851" s="5"/>
      <c r="T1851" s="5"/>
      <c r="U1851" s="5"/>
      <c r="V1851" s="5"/>
      <c r="W1851" s="5"/>
      <c r="X1851" s="5"/>
      <c r="Y1851" s="5"/>
    </row>
    <row r="1852" spans="13:25" ht="22">
      <c r="M1852" s="26" t="s">
        <v>53</v>
      </c>
      <c r="N1852" s="25" t="s">
        <v>51</v>
      </c>
      <c r="O1852" s="26" t="s">
        <v>1618</v>
      </c>
      <c r="P1852" s="26"/>
      <c r="Q1852" s="26"/>
      <c r="R1852" s="5"/>
      <c r="S1852" s="5"/>
      <c r="T1852" s="5"/>
      <c r="U1852" s="5"/>
      <c r="V1852" s="5"/>
      <c r="W1852" s="5"/>
      <c r="X1852" s="5"/>
      <c r="Y1852" s="5"/>
    </row>
    <row r="1853" spans="13:25" ht="44">
      <c r="M1853" s="26" t="s">
        <v>53</v>
      </c>
      <c r="N1853" s="25" t="s">
        <v>51</v>
      </c>
      <c r="O1853" s="26" t="s">
        <v>1619</v>
      </c>
      <c r="P1853" s="26"/>
      <c r="Q1853" s="26"/>
      <c r="R1853" s="5"/>
      <c r="S1853" s="5"/>
      <c r="T1853" s="5"/>
      <c r="U1853" s="5"/>
      <c r="V1853" s="5"/>
      <c r="W1853" s="5"/>
      <c r="X1853" s="5"/>
      <c r="Y1853" s="5"/>
    </row>
    <row r="1854" spans="13:25" ht="33">
      <c r="M1854" s="26" t="s">
        <v>53</v>
      </c>
      <c r="N1854" s="25" t="s">
        <v>51</v>
      </c>
      <c r="O1854" s="26" t="s">
        <v>1620</v>
      </c>
      <c r="P1854" s="26"/>
      <c r="Q1854" s="26"/>
      <c r="R1854" s="5"/>
      <c r="S1854" s="5"/>
      <c r="T1854" s="5"/>
      <c r="U1854" s="5"/>
      <c r="V1854" s="5"/>
      <c r="W1854" s="5"/>
      <c r="X1854" s="5"/>
      <c r="Y1854" s="5"/>
    </row>
    <row r="1855" spans="13:25" ht="44">
      <c r="M1855" s="26" t="s">
        <v>53</v>
      </c>
      <c r="N1855" s="25" t="s">
        <v>51</v>
      </c>
      <c r="O1855" s="26" t="s">
        <v>1621</v>
      </c>
      <c r="P1855" s="26"/>
      <c r="Q1855" s="26"/>
      <c r="R1855" s="5"/>
      <c r="S1855" s="5"/>
      <c r="T1855" s="5"/>
      <c r="U1855" s="5"/>
      <c r="V1855" s="5"/>
      <c r="W1855" s="5"/>
      <c r="X1855" s="5"/>
      <c r="Y1855" s="5"/>
    </row>
    <row r="1856" spans="13:25" ht="22">
      <c r="M1856" s="26" t="s">
        <v>53</v>
      </c>
      <c r="N1856" s="25" t="s">
        <v>51</v>
      </c>
      <c r="O1856" s="26" t="s">
        <v>1622</v>
      </c>
      <c r="P1856" s="26"/>
      <c r="Q1856" s="26"/>
      <c r="R1856" s="5"/>
      <c r="S1856" s="5"/>
      <c r="T1856" s="5"/>
      <c r="U1856" s="5"/>
      <c r="V1856" s="5"/>
      <c r="W1856" s="5"/>
      <c r="X1856" s="5"/>
      <c r="Y1856" s="5"/>
    </row>
    <row r="1857" spans="13:25" ht="55">
      <c r="M1857" s="26" t="s">
        <v>53</v>
      </c>
      <c r="N1857" s="25" t="s">
        <v>55</v>
      </c>
      <c r="O1857" s="26"/>
      <c r="P1857" s="26" t="s">
        <v>752</v>
      </c>
      <c r="Q1857" s="26"/>
      <c r="R1857" s="5"/>
      <c r="S1857" s="5"/>
      <c r="T1857" s="5"/>
      <c r="U1857" s="5"/>
      <c r="V1857" s="5"/>
      <c r="W1857" s="5"/>
      <c r="X1857" s="5"/>
      <c r="Y1857" s="5"/>
    </row>
    <row r="1858" spans="13:25" ht="55">
      <c r="M1858" s="26" t="s">
        <v>53</v>
      </c>
      <c r="N1858" s="25" t="s">
        <v>55</v>
      </c>
      <c r="O1858" s="26"/>
      <c r="P1858" s="26" t="s">
        <v>753</v>
      </c>
      <c r="Q1858" s="26"/>
      <c r="R1858" s="5"/>
      <c r="S1858" s="5"/>
      <c r="T1858" s="5"/>
      <c r="U1858" s="5"/>
      <c r="V1858" s="5"/>
      <c r="W1858" s="5"/>
      <c r="X1858" s="5"/>
      <c r="Y1858" s="5"/>
    </row>
    <row r="1859" spans="13:25" ht="55">
      <c r="M1859" s="26" t="s">
        <v>53</v>
      </c>
      <c r="N1859" s="25" t="s">
        <v>55</v>
      </c>
      <c r="O1859" s="26"/>
      <c r="P1859" s="26" t="s">
        <v>752</v>
      </c>
      <c r="Q1859" s="26"/>
      <c r="R1859" s="5"/>
      <c r="S1859" s="5"/>
      <c r="T1859" s="5"/>
      <c r="U1859" s="5"/>
      <c r="V1859" s="5"/>
      <c r="W1859" s="5"/>
      <c r="X1859" s="5"/>
      <c r="Y1859" s="5"/>
    </row>
    <row r="1860" spans="13:25" ht="55">
      <c r="M1860" s="26" t="s">
        <v>53</v>
      </c>
      <c r="N1860" s="25" t="s">
        <v>55</v>
      </c>
      <c r="O1860" s="26"/>
      <c r="P1860" s="26" t="s">
        <v>1623</v>
      </c>
      <c r="Q1860" s="26"/>
      <c r="R1860" s="5"/>
      <c r="S1860" s="5"/>
      <c r="T1860" s="5"/>
      <c r="U1860" s="5"/>
      <c r="V1860" s="5"/>
      <c r="W1860" s="5"/>
      <c r="X1860" s="5"/>
      <c r="Y1860" s="5"/>
    </row>
    <row r="1861" spans="13:25" ht="22">
      <c r="M1861" s="26" t="s">
        <v>53</v>
      </c>
      <c r="N1861" s="25" t="s">
        <v>55</v>
      </c>
      <c r="O1861" s="26"/>
      <c r="P1861" s="26" t="s">
        <v>1624</v>
      </c>
      <c r="Q1861" s="26"/>
      <c r="R1861" s="5"/>
      <c r="S1861" s="5"/>
      <c r="T1861" s="5"/>
      <c r="U1861" s="5"/>
      <c r="V1861" s="5"/>
      <c r="W1861" s="5"/>
      <c r="X1861" s="5"/>
      <c r="Y1861" s="5"/>
    </row>
    <row r="1862" spans="13:25" ht="44">
      <c r="M1862" s="26" t="s">
        <v>53</v>
      </c>
      <c r="N1862" s="25" t="s">
        <v>55</v>
      </c>
      <c r="O1862" s="26"/>
      <c r="P1862" s="26" t="s">
        <v>1535</v>
      </c>
      <c r="Q1862" s="26"/>
      <c r="R1862" s="5"/>
      <c r="S1862" s="5"/>
      <c r="T1862" s="5"/>
      <c r="U1862" s="5"/>
      <c r="V1862" s="5"/>
      <c r="W1862" s="5"/>
      <c r="X1862" s="5"/>
      <c r="Y1862" s="5"/>
    </row>
    <row r="1863" spans="13:25" ht="44">
      <c r="M1863" s="26" t="s">
        <v>53</v>
      </c>
      <c r="N1863" s="25" t="s">
        <v>51</v>
      </c>
      <c r="O1863" s="26" t="s">
        <v>1625</v>
      </c>
      <c r="P1863" s="26"/>
      <c r="Q1863" s="26"/>
      <c r="R1863" s="5"/>
      <c r="S1863" s="5"/>
      <c r="T1863" s="5"/>
      <c r="U1863" s="5"/>
      <c r="V1863" s="5"/>
      <c r="W1863" s="5"/>
      <c r="X1863" s="5"/>
      <c r="Y1863" s="5"/>
    </row>
    <row r="1864" spans="13:25" ht="44">
      <c r="M1864" s="26" t="s">
        <v>53</v>
      </c>
      <c r="N1864" s="25" t="s">
        <v>51</v>
      </c>
      <c r="O1864" s="26" t="s">
        <v>1626</v>
      </c>
      <c r="P1864" s="26"/>
      <c r="Q1864" s="26"/>
      <c r="R1864" s="5"/>
      <c r="S1864" s="5"/>
      <c r="T1864" s="5"/>
      <c r="U1864" s="5"/>
      <c r="V1864" s="5"/>
      <c r="W1864" s="5"/>
      <c r="X1864" s="5"/>
      <c r="Y1864" s="5"/>
    </row>
    <row r="1865" spans="13:25" ht="66">
      <c r="M1865" s="26" t="s">
        <v>53</v>
      </c>
      <c r="N1865" s="25" t="s">
        <v>51</v>
      </c>
      <c r="O1865" s="26" t="s">
        <v>1627</v>
      </c>
      <c r="P1865" s="26"/>
      <c r="Q1865" s="26"/>
      <c r="R1865" s="5"/>
      <c r="S1865" s="5"/>
      <c r="T1865" s="5"/>
      <c r="U1865" s="5"/>
      <c r="V1865" s="5"/>
      <c r="W1865" s="5"/>
      <c r="X1865" s="5"/>
      <c r="Y1865" s="5"/>
    </row>
    <row r="1866" spans="13:25" ht="55">
      <c r="M1866" s="26" t="s">
        <v>53</v>
      </c>
      <c r="N1866" s="25" t="s">
        <v>51</v>
      </c>
      <c r="O1866" s="26" t="s">
        <v>1628</v>
      </c>
      <c r="P1866" s="26"/>
      <c r="Q1866" s="26"/>
      <c r="R1866" s="5"/>
      <c r="S1866" s="5"/>
      <c r="T1866" s="5"/>
      <c r="U1866" s="5"/>
      <c r="V1866" s="5"/>
      <c r="W1866" s="5"/>
      <c r="X1866" s="5"/>
      <c r="Y1866" s="5"/>
    </row>
    <row r="1867" spans="13:25" ht="44">
      <c r="M1867" s="26" t="s">
        <v>53</v>
      </c>
      <c r="N1867" s="25" t="s">
        <v>51</v>
      </c>
      <c r="O1867" s="26" t="s">
        <v>1502</v>
      </c>
      <c r="P1867" s="26"/>
      <c r="Q1867" s="26"/>
      <c r="R1867" s="5"/>
      <c r="S1867" s="5"/>
      <c r="T1867" s="5"/>
      <c r="U1867" s="5"/>
      <c r="V1867" s="5"/>
      <c r="W1867" s="5"/>
      <c r="X1867" s="5"/>
      <c r="Y1867" s="5"/>
    </row>
    <row r="1868" spans="13:25" ht="22">
      <c r="M1868" s="26" t="s">
        <v>53</v>
      </c>
      <c r="N1868" s="25" t="s">
        <v>51</v>
      </c>
      <c r="O1868" s="26" t="s">
        <v>1629</v>
      </c>
      <c r="P1868" s="26"/>
      <c r="Q1868" s="26"/>
      <c r="R1868" s="5"/>
      <c r="S1868" s="5"/>
      <c r="T1868" s="5"/>
      <c r="U1868" s="5"/>
      <c r="V1868" s="5"/>
      <c r="W1868" s="5"/>
      <c r="X1868" s="5"/>
      <c r="Y1868" s="5"/>
    </row>
    <row r="1869" spans="13:25" ht="22">
      <c r="M1869" s="26" t="s">
        <v>53</v>
      </c>
      <c r="N1869" s="25" t="s">
        <v>55</v>
      </c>
      <c r="O1869" s="26"/>
      <c r="P1869" s="26" t="s">
        <v>1630</v>
      </c>
      <c r="Q1869" s="26"/>
      <c r="R1869" s="5"/>
      <c r="S1869" s="5"/>
      <c r="T1869" s="5"/>
      <c r="U1869" s="5"/>
      <c r="V1869" s="5"/>
      <c r="W1869" s="5"/>
      <c r="X1869" s="5"/>
      <c r="Y1869" s="5"/>
    </row>
    <row r="1870" spans="13:25" ht="22">
      <c r="M1870" s="26" t="s">
        <v>53</v>
      </c>
      <c r="N1870" s="25" t="s">
        <v>55</v>
      </c>
      <c r="O1870" s="26"/>
      <c r="P1870" s="26" t="s">
        <v>1631</v>
      </c>
      <c r="Q1870" s="26"/>
      <c r="R1870" s="5"/>
      <c r="S1870" s="5"/>
      <c r="T1870" s="5"/>
      <c r="U1870" s="5"/>
      <c r="V1870" s="5"/>
      <c r="W1870" s="5"/>
      <c r="X1870" s="5"/>
      <c r="Y1870" s="5"/>
    </row>
    <row r="1871" spans="13:25" ht="22">
      <c r="M1871" s="26" t="s">
        <v>53</v>
      </c>
      <c r="N1871" s="25" t="s">
        <v>55</v>
      </c>
      <c r="O1871" s="26"/>
      <c r="P1871" s="26" t="s">
        <v>1632</v>
      </c>
      <c r="Q1871" s="26"/>
      <c r="R1871" s="5"/>
      <c r="S1871" s="5"/>
      <c r="T1871" s="5"/>
      <c r="U1871" s="5"/>
      <c r="V1871" s="5"/>
      <c r="W1871" s="5"/>
      <c r="X1871" s="5"/>
      <c r="Y1871" s="5"/>
    </row>
    <row r="1872" spans="13:25" ht="66">
      <c r="M1872" s="26" t="s">
        <v>53</v>
      </c>
      <c r="N1872" s="25" t="s">
        <v>51</v>
      </c>
      <c r="O1872" s="26" t="s">
        <v>1633</v>
      </c>
      <c r="P1872" s="26"/>
      <c r="Q1872" s="26"/>
      <c r="R1872" s="5"/>
      <c r="S1872" s="5"/>
      <c r="T1872" s="5"/>
      <c r="U1872" s="5"/>
      <c r="V1872" s="5"/>
      <c r="W1872" s="5"/>
      <c r="X1872" s="5"/>
      <c r="Y1872" s="5"/>
    </row>
    <row r="1873" spans="13:25" ht="22">
      <c r="M1873" s="26" t="s">
        <v>53</v>
      </c>
      <c r="N1873" s="25" t="s">
        <v>66</v>
      </c>
      <c r="O1873" s="26" t="s">
        <v>1634</v>
      </c>
      <c r="P1873" s="26"/>
      <c r="Q1873" s="26"/>
      <c r="R1873" s="5"/>
      <c r="S1873" s="5"/>
      <c r="T1873" s="5"/>
      <c r="U1873" s="5"/>
      <c r="V1873" s="5"/>
      <c r="W1873" s="5"/>
      <c r="X1873" s="5"/>
      <c r="Y1873" s="5"/>
    </row>
    <row r="1874" spans="13:25" ht="22">
      <c r="M1874" s="26" t="s">
        <v>53</v>
      </c>
      <c r="N1874" s="25" t="s">
        <v>66</v>
      </c>
      <c r="O1874" s="26" t="s">
        <v>1635</v>
      </c>
      <c r="P1874" s="26"/>
      <c r="Q1874" s="26"/>
      <c r="R1874" s="5"/>
      <c r="S1874" s="5"/>
      <c r="T1874" s="5"/>
      <c r="U1874" s="5"/>
      <c r="V1874" s="5"/>
      <c r="W1874" s="5"/>
      <c r="X1874" s="5"/>
      <c r="Y1874" s="5"/>
    </row>
    <row r="1875" spans="13:25" ht="22">
      <c r="M1875" s="26" t="s">
        <v>53</v>
      </c>
      <c r="N1875" s="25" t="s">
        <v>66</v>
      </c>
      <c r="O1875" s="26" t="s">
        <v>1636</v>
      </c>
      <c r="P1875" s="26"/>
      <c r="Q1875" s="26"/>
      <c r="R1875" s="5"/>
      <c r="S1875" s="5"/>
      <c r="T1875" s="5"/>
      <c r="U1875" s="5"/>
      <c r="V1875" s="5"/>
      <c r="W1875" s="5"/>
      <c r="X1875" s="5"/>
      <c r="Y1875" s="5"/>
    </row>
    <row r="1876" spans="13:25" ht="22">
      <c r="M1876" s="26" t="s">
        <v>53</v>
      </c>
      <c r="N1876" s="25" t="s">
        <v>55</v>
      </c>
      <c r="O1876" s="26" t="s">
        <v>1637</v>
      </c>
      <c r="P1876" s="26"/>
      <c r="Q1876" s="26"/>
      <c r="R1876" s="5"/>
      <c r="S1876" s="5"/>
      <c r="T1876" s="5"/>
      <c r="U1876" s="5"/>
      <c r="V1876" s="5"/>
      <c r="W1876" s="5"/>
      <c r="X1876" s="5"/>
      <c r="Y1876" s="5"/>
    </row>
    <row r="1877" spans="13:25" ht="22">
      <c r="M1877" s="26" t="s">
        <v>53</v>
      </c>
      <c r="N1877" s="25" t="s">
        <v>55</v>
      </c>
      <c r="O1877" s="26" t="s">
        <v>1638</v>
      </c>
      <c r="P1877" s="26"/>
      <c r="Q1877" s="26"/>
      <c r="R1877" s="5"/>
      <c r="S1877" s="5"/>
      <c r="T1877" s="5"/>
      <c r="U1877" s="5"/>
      <c r="V1877" s="5"/>
      <c r="W1877" s="5"/>
      <c r="X1877" s="5"/>
      <c r="Y1877" s="5"/>
    </row>
    <row r="1878" spans="13:25" ht="22">
      <c r="M1878" s="26" t="s">
        <v>53</v>
      </c>
      <c r="N1878" s="25" t="s">
        <v>55</v>
      </c>
      <c r="O1878" s="26" t="s">
        <v>1639</v>
      </c>
      <c r="P1878" s="26"/>
      <c r="Q1878" s="26"/>
      <c r="R1878" s="5"/>
      <c r="S1878" s="5"/>
      <c r="T1878" s="5"/>
      <c r="U1878" s="5"/>
      <c r="V1878" s="5"/>
      <c r="W1878" s="5"/>
      <c r="X1878" s="5"/>
      <c r="Y1878" s="5"/>
    </row>
    <row r="1879" spans="13:25" ht="22">
      <c r="M1879" s="26" t="s">
        <v>53</v>
      </c>
      <c r="N1879" s="25" t="s">
        <v>51</v>
      </c>
      <c r="O1879" s="26" t="s">
        <v>1640</v>
      </c>
      <c r="P1879" s="26"/>
      <c r="Q1879" s="26"/>
      <c r="R1879" s="5"/>
      <c r="S1879" s="5"/>
      <c r="T1879" s="5"/>
      <c r="U1879" s="5"/>
      <c r="V1879" s="5"/>
      <c r="W1879" s="5"/>
      <c r="X1879" s="5"/>
      <c r="Y1879" s="5"/>
    </row>
    <row r="1880" spans="13:25" ht="22">
      <c r="M1880" s="26" t="s">
        <v>53</v>
      </c>
      <c r="N1880" s="25" t="s">
        <v>51</v>
      </c>
      <c r="O1880" s="26" t="s">
        <v>1641</v>
      </c>
      <c r="P1880" s="26"/>
      <c r="Q1880" s="26"/>
      <c r="R1880" s="5"/>
      <c r="S1880" s="5"/>
      <c r="T1880" s="5"/>
      <c r="U1880" s="5"/>
      <c r="V1880" s="5"/>
      <c r="W1880" s="5"/>
      <c r="X1880" s="5"/>
      <c r="Y1880" s="5"/>
    </row>
    <row r="1881" spans="13:25" ht="22">
      <c r="M1881" s="26" t="s">
        <v>53</v>
      </c>
      <c r="N1881" s="25" t="s">
        <v>55</v>
      </c>
      <c r="O1881" s="26"/>
      <c r="P1881" s="26" t="s">
        <v>1642</v>
      </c>
      <c r="Q1881" s="26"/>
      <c r="R1881" s="5"/>
      <c r="S1881" s="5"/>
      <c r="T1881" s="5"/>
      <c r="U1881" s="5"/>
      <c r="V1881" s="5"/>
      <c r="W1881" s="5"/>
      <c r="X1881" s="5"/>
      <c r="Y1881" s="5"/>
    </row>
    <row r="1882" spans="13:25" ht="55">
      <c r="M1882" s="26" t="s">
        <v>53</v>
      </c>
      <c r="N1882" s="25" t="s">
        <v>51</v>
      </c>
      <c r="O1882" s="26" t="s">
        <v>1613</v>
      </c>
      <c r="P1882" s="26"/>
      <c r="Q1882" s="26"/>
      <c r="R1882" s="5"/>
      <c r="S1882" s="5"/>
      <c r="T1882" s="5"/>
      <c r="U1882" s="5"/>
      <c r="V1882" s="5"/>
      <c r="W1882" s="5"/>
      <c r="X1882" s="5"/>
      <c r="Y1882" s="5"/>
    </row>
    <row r="1883" spans="13:25" ht="44">
      <c r="M1883" s="26" t="s">
        <v>53</v>
      </c>
      <c r="N1883" s="25" t="s">
        <v>51</v>
      </c>
      <c r="O1883" s="26" t="s">
        <v>1643</v>
      </c>
      <c r="P1883" s="26"/>
      <c r="Q1883" s="26"/>
      <c r="R1883" s="5"/>
      <c r="S1883" s="5"/>
      <c r="T1883" s="5"/>
      <c r="U1883" s="5"/>
      <c r="V1883" s="5"/>
      <c r="W1883" s="5"/>
      <c r="X1883" s="5"/>
      <c r="Y1883" s="5"/>
    </row>
    <row r="1884" spans="13:25" ht="22">
      <c r="M1884" s="26" t="s">
        <v>53</v>
      </c>
      <c r="N1884" s="25" t="s">
        <v>51</v>
      </c>
      <c r="O1884" s="26" t="s">
        <v>1644</v>
      </c>
      <c r="P1884" s="26"/>
      <c r="Q1884" s="26"/>
      <c r="R1884" s="5"/>
      <c r="S1884" s="5"/>
      <c r="T1884" s="5"/>
      <c r="U1884" s="5"/>
      <c r="V1884" s="5"/>
      <c r="W1884" s="5"/>
      <c r="X1884" s="5"/>
      <c r="Y1884" s="5"/>
    </row>
    <row r="1885" spans="13:25" ht="44">
      <c r="M1885" s="26" t="s">
        <v>53</v>
      </c>
      <c r="N1885" s="25" t="s">
        <v>51</v>
      </c>
      <c r="O1885" s="26" t="s">
        <v>1645</v>
      </c>
      <c r="P1885" s="26"/>
      <c r="Q1885" s="26"/>
      <c r="R1885" s="5"/>
      <c r="S1885" s="5"/>
      <c r="T1885" s="5"/>
      <c r="U1885" s="5"/>
      <c r="V1885" s="5"/>
      <c r="W1885" s="5"/>
      <c r="X1885" s="5"/>
      <c r="Y1885" s="5"/>
    </row>
    <row r="1886" spans="13:25" ht="33">
      <c r="M1886" s="26" t="s">
        <v>53</v>
      </c>
      <c r="N1886" s="25" t="s">
        <v>51</v>
      </c>
      <c r="O1886" s="26" t="s">
        <v>1646</v>
      </c>
      <c r="P1886" s="26"/>
      <c r="Q1886" s="26"/>
      <c r="R1886" s="5"/>
      <c r="S1886" s="5"/>
      <c r="T1886" s="5"/>
      <c r="U1886" s="5"/>
      <c r="V1886" s="5"/>
      <c r="W1886" s="5"/>
      <c r="X1886" s="5"/>
      <c r="Y1886" s="5"/>
    </row>
    <row r="1887" spans="13:25" ht="22">
      <c r="M1887" s="26" t="s">
        <v>53</v>
      </c>
      <c r="N1887" s="25" t="s">
        <v>65</v>
      </c>
      <c r="O1887" s="26" t="s">
        <v>1647</v>
      </c>
      <c r="P1887" s="26"/>
      <c r="Q1887" s="26"/>
      <c r="R1887" s="5"/>
      <c r="S1887" s="5"/>
      <c r="T1887" s="5"/>
      <c r="U1887" s="5"/>
      <c r="V1887" s="5"/>
      <c r="W1887" s="5"/>
      <c r="X1887" s="5"/>
      <c r="Y1887" s="5"/>
    </row>
    <row r="1888" spans="13:25" ht="22">
      <c r="M1888" s="26" t="s">
        <v>53</v>
      </c>
      <c r="N1888" s="25" t="s">
        <v>65</v>
      </c>
      <c r="O1888" s="26" t="s">
        <v>1648</v>
      </c>
      <c r="P1888" s="26"/>
      <c r="Q1888" s="26"/>
      <c r="R1888" s="5"/>
      <c r="S1888" s="5"/>
      <c r="T1888" s="5"/>
      <c r="U1888" s="5"/>
      <c r="V1888" s="5"/>
      <c r="W1888" s="5"/>
      <c r="X1888" s="5"/>
      <c r="Y1888" s="5"/>
    </row>
    <row r="1889" spans="13:25" ht="22">
      <c r="M1889" s="26" t="s">
        <v>53</v>
      </c>
      <c r="N1889" s="25" t="s">
        <v>51</v>
      </c>
      <c r="O1889" s="26" t="s">
        <v>1649</v>
      </c>
      <c r="P1889" s="26"/>
      <c r="Q1889" s="26"/>
      <c r="R1889" s="5"/>
      <c r="S1889" s="5"/>
      <c r="T1889" s="5"/>
      <c r="U1889" s="5"/>
      <c r="V1889" s="5"/>
      <c r="W1889" s="5"/>
      <c r="X1889" s="5"/>
      <c r="Y1889" s="5"/>
    </row>
    <row r="1890" spans="13:25" ht="22">
      <c r="M1890" s="26" t="s">
        <v>53</v>
      </c>
      <c r="N1890" s="25" t="s">
        <v>65</v>
      </c>
      <c r="O1890" s="26" t="s">
        <v>1650</v>
      </c>
      <c r="P1890" s="26"/>
      <c r="Q1890" s="26"/>
      <c r="R1890" s="5"/>
      <c r="S1890" s="5"/>
      <c r="T1890" s="5"/>
      <c r="U1890" s="5"/>
      <c r="V1890" s="5"/>
      <c r="W1890" s="5"/>
      <c r="X1890" s="5"/>
      <c r="Y1890" s="5"/>
    </row>
    <row r="1891" spans="13:25" ht="22">
      <c r="M1891" s="26" t="s">
        <v>53</v>
      </c>
      <c r="N1891" s="25" t="s">
        <v>51</v>
      </c>
      <c r="O1891" s="26" t="s">
        <v>1651</v>
      </c>
      <c r="P1891" s="26"/>
      <c r="Q1891" s="26"/>
      <c r="R1891" s="5"/>
      <c r="S1891" s="5"/>
      <c r="T1891" s="5"/>
      <c r="U1891" s="5"/>
      <c r="V1891" s="5"/>
      <c r="W1891" s="5"/>
      <c r="X1891" s="5"/>
      <c r="Y1891" s="5"/>
    </row>
    <row r="1892" spans="13:25" ht="44">
      <c r="M1892" s="26" t="s">
        <v>53</v>
      </c>
      <c r="N1892" s="25" t="s">
        <v>55</v>
      </c>
      <c r="O1892" s="26"/>
      <c r="P1892" s="26" t="s">
        <v>345</v>
      </c>
      <c r="Q1892" s="26"/>
      <c r="R1892" s="5"/>
      <c r="S1892" s="5"/>
      <c r="T1892" s="5"/>
      <c r="U1892" s="5"/>
      <c r="V1892" s="5"/>
      <c r="W1892" s="5"/>
      <c r="X1892" s="5"/>
      <c r="Y1892" s="5"/>
    </row>
    <row r="1893" spans="13:25" ht="44">
      <c r="M1893" s="26" t="s">
        <v>53</v>
      </c>
      <c r="N1893" s="25" t="s">
        <v>55</v>
      </c>
      <c r="O1893" s="26"/>
      <c r="P1893" s="26" t="s">
        <v>1652</v>
      </c>
      <c r="Q1893" s="26"/>
      <c r="R1893" s="5"/>
      <c r="S1893" s="5"/>
      <c r="T1893" s="5"/>
      <c r="U1893" s="5"/>
      <c r="V1893" s="5"/>
      <c r="W1893" s="5"/>
      <c r="X1893" s="5"/>
      <c r="Y1893" s="5"/>
    </row>
    <row r="1894" spans="13:25" ht="44">
      <c r="M1894" s="26" t="s">
        <v>53</v>
      </c>
      <c r="N1894" s="25" t="s">
        <v>55</v>
      </c>
      <c r="O1894" s="26"/>
      <c r="P1894" s="26" t="s">
        <v>345</v>
      </c>
      <c r="Q1894" s="26"/>
      <c r="R1894" s="5"/>
      <c r="S1894" s="5"/>
      <c r="T1894" s="5"/>
      <c r="U1894" s="5"/>
      <c r="V1894" s="5"/>
      <c r="W1894" s="5"/>
      <c r="X1894" s="5"/>
      <c r="Y1894" s="5"/>
    </row>
    <row r="1895" spans="13:25" ht="44">
      <c r="M1895" s="26" t="s">
        <v>53</v>
      </c>
      <c r="N1895" s="25" t="s">
        <v>55</v>
      </c>
      <c r="O1895" s="26"/>
      <c r="P1895" s="26" t="s">
        <v>1653</v>
      </c>
      <c r="Q1895" s="26"/>
      <c r="R1895" s="5"/>
      <c r="S1895" s="5"/>
      <c r="T1895" s="5"/>
      <c r="U1895" s="5"/>
      <c r="V1895" s="5"/>
      <c r="W1895" s="5"/>
      <c r="X1895" s="5"/>
      <c r="Y1895" s="5"/>
    </row>
    <row r="1896" spans="13:25" ht="55">
      <c r="M1896" s="26" t="s">
        <v>53</v>
      </c>
      <c r="N1896" s="25" t="s">
        <v>55</v>
      </c>
      <c r="O1896" s="26"/>
      <c r="P1896" s="26" t="s">
        <v>1654</v>
      </c>
      <c r="Q1896" s="26"/>
      <c r="R1896" s="5"/>
      <c r="S1896" s="5"/>
      <c r="T1896" s="5"/>
      <c r="U1896" s="5"/>
      <c r="V1896" s="5"/>
      <c r="W1896" s="5"/>
      <c r="X1896" s="5"/>
      <c r="Y1896" s="5"/>
    </row>
    <row r="1897" spans="13:25" ht="33">
      <c r="M1897" s="26" t="s">
        <v>53</v>
      </c>
      <c r="N1897" s="25" t="s">
        <v>55</v>
      </c>
      <c r="O1897" s="26" t="s">
        <v>1574</v>
      </c>
      <c r="P1897" s="26"/>
      <c r="Q1897" s="26"/>
      <c r="R1897" s="5"/>
      <c r="S1897" s="5"/>
      <c r="T1897" s="5"/>
      <c r="U1897" s="5"/>
      <c r="V1897" s="5"/>
      <c r="W1897" s="5"/>
      <c r="X1897" s="5"/>
      <c r="Y1897" s="5"/>
    </row>
    <row r="1898" spans="13:25" ht="33">
      <c r="M1898" s="26" t="s">
        <v>53</v>
      </c>
      <c r="N1898" s="25" t="s">
        <v>51</v>
      </c>
      <c r="O1898" s="26" t="s">
        <v>1655</v>
      </c>
      <c r="P1898" s="26"/>
      <c r="Q1898" s="26"/>
      <c r="R1898" s="5"/>
      <c r="S1898" s="5"/>
      <c r="T1898" s="5"/>
      <c r="U1898" s="5"/>
      <c r="V1898" s="5"/>
      <c r="W1898" s="5"/>
      <c r="X1898" s="5"/>
      <c r="Y1898" s="5"/>
    </row>
    <row r="1899" spans="13:25" ht="55">
      <c r="M1899" s="26" t="s">
        <v>53</v>
      </c>
      <c r="N1899" s="25" t="s">
        <v>51</v>
      </c>
      <c r="O1899" s="26" t="s">
        <v>1656</v>
      </c>
      <c r="P1899" s="26"/>
      <c r="Q1899" s="26"/>
      <c r="R1899" s="5"/>
      <c r="S1899" s="5"/>
      <c r="T1899" s="5"/>
      <c r="U1899" s="5"/>
      <c r="V1899" s="5"/>
      <c r="W1899" s="5"/>
      <c r="X1899" s="5"/>
      <c r="Y1899" s="5"/>
    </row>
    <row r="1900" spans="13:25" ht="33">
      <c r="M1900" s="26" t="s">
        <v>53</v>
      </c>
      <c r="N1900" s="25" t="s">
        <v>55</v>
      </c>
      <c r="O1900" s="26" t="s">
        <v>396</v>
      </c>
      <c r="P1900" s="26"/>
      <c r="Q1900" s="26"/>
      <c r="R1900" s="5"/>
      <c r="S1900" s="5"/>
      <c r="T1900" s="5"/>
      <c r="U1900" s="5"/>
      <c r="V1900" s="5"/>
      <c r="W1900" s="5"/>
      <c r="X1900" s="5"/>
      <c r="Y1900" s="5"/>
    </row>
    <row r="1901" spans="13:25" ht="33">
      <c r="M1901" s="26" t="s">
        <v>53</v>
      </c>
      <c r="N1901" s="25" t="s">
        <v>55</v>
      </c>
      <c r="O1901" s="26" t="s">
        <v>1657</v>
      </c>
      <c r="P1901" s="26"/>
      <c r="Q1901" s="26"/>
      <c r="R1901" s="5"/>
      <c r="S1901" s="5"/>
      <c r="T1901" s="5"/>
      <c r="U1901" s="5"/>
      <c r="V1901" s="5"/>
      <c r="W1901" s="5"/>
      <c r="X1901" s="5"/>
      <c r="Y1901" s="5"/>
    </row>
    <row r="1902" spans="13:25" ht="66">
      <c r="M1902" s="26" t="s">
        <v>53</v>
      </c>
      <c r="N1902" s="25" t="s">
        <v>51</v>
      </c>
      <c r="O1902" s="26" t="s">
        <v>1658</v>
      </c>
      <c r="P1902" s="26"/>
      <c r="Q1902" s="26"/>
      <c r="R1902" s="5"/>
      <c r="S1902" s="5"/>
      <c r="T1902" s="5"/>
      <c r="U1902" s="5"/>
      <c r="V1902" s="5"/>
      <c r="W1902" s="5"/>
      <c r="X1902" s="5"/>
      <c r="Y1902" s="5"/>
    </row>
    <row r="1903" spans="13:25" ht="44">
      <c r="M1903" s="26" t="s">
        <v>53</v>
      </c>
      <c r="N1903" s="25" t="s">
        <v>51</v>
      </c>
      <c r="O1903" s="26" t="s">
        <v>1659</v>
      </c>
      <c r="P1903" s="26"/>
      <c r="Q1903" s="26"/>
      <c r="R1903" s="5"/>
      <c r="S1903" s="5"/>
      <c r="T1903" s="5"/>
      <c r="U1903" s="5"/>
      <c r="V1903" s="5"/>
      <c r="W1903" s="5"/>
      <c r="X1903" s="5"/>
      <c r="Y1903" s="5"/>
    </row>
    <row r="1904" spans="13:25" ht="77">
      <c r="M1904" s="26" t="s">
        <v>53</v>
      </c>
      <c r="N1904" s="25" t="s">
        <v>51</v>
      </c>
      <c r="O1904" s="26" t="s">
        <v>451</v>
      </c>
      <c r="P1904" s="26"/>
      <c r="Q1904" s="26"/>
      <c r="R1904" s="5"/>
      <c r="S1904" s="5"/>
      <c r="T1904" s="5"/>
      <c r="U1904" s="5"/>
      <c r="V1904" s="5"/>
      <c r="W1904" s="5"/>
      <c r="X1904" s="5"/>
      <c r="Y1904" s="5"/>
    </row>
    <row r="1905" spans="13:25" ht="44">
      <c r="M1905" s="26" t="s">
        <v>53</v>
      </c>
      <c r="N1905" s="25" t="s">
        <v>55</v>
      </c>
      <c r="O1905" s="26" t="s">
        <v>667</v>
      </c>
      <c r="P1905" s="26"/>
      <c r="Q1905" s="26"/>
      <c r="R1905" s="5"/>
      <c r="S1905" s="5"/>
      <c r="T1905" s="5"/>
      <c r="U1905" s="5"/>
      <c r="V1905" s="5"/>
      <c r="W1905" s="5"/>
      <c r="X1905" s="5"/>
      <c r="Y1905" s="5"/>
    </row>
    <row r="1906" spans="13:25" ht="44">
      <c r="M1906" s="26" t="s">
        <v>53</v>
      </c>
      <c r="N1906" s="25" t="s">
        <v>55</v>
      </c>
      <c r="O1906" s="26" t="s">
        <v>1660</v>
      </c>
      <c r="P1906" s="26"/>
      <c r="Q1906" s="26"/>
      <c r="R1906" s="5"/>
      <c r="S1906" s="5"/>
      <c r="T1906" s="5"/>
      <c r="U1906" s="5"/>
      <c r="V1906" s="5"/>
      <c r="W1906" s="5"/>
      <c r="X1906" s="5"/>
      <c r="Y1906" s="5"/>
    </row>
    <row r="1907" spans="13:25" ht="22">
      <c r="M1907" s="26" t="s">
        <v>53</v>
      </c>
      <c r="N1907" s="25" t="s">
        <v>51</v>
      </c>
      <c r="O1907" s="26" t="s">
        <v>1661</v>
      </c>
      <c r="P1907" s="26"/>
      <c r="Q1907" s="26"/>
      <c r="R1907" s="5"/>
      <c r="S1907" s="5"/>
      <c r="T1907" s="5"/>
      <c r="U1907" s="5"/>
      <c r="V1907" s="5"/>
      <c r="W1907" s="5"/>
      <c r="X1907" s="5"/>
      <c r="Y1907" s="5"/>
    </row>
    <row r="1908" spans="13:25" ht="33">
      <c r="M1908" s="26" t="s">
        <v>53</v>
      </c>
      <c r="N1908" s="25" t="s">
        <v>55</v>
      </c>
      <c r="O1908" s="26"/>
      <c r="P1908" s="26" t="s">
        <v>996</v>
      </c>
      <c r="Q1908" s="26"/>
      <c r="R1908" s="5"/>
      <c r="S1908" s="5"/>
      <c r="T1908" s="5"/>
      <c r="U1908" s="5"/>
      <c r="V1908" s="5"/>
      <c r="W1908" s="5"/>
      <c r="X1908" s="5"/>
      <c r="Y1908" s="5"/>
    </row>
    <row r="1909" spans="13:25" ht="22">
      <c r="M1909" s="26" t="s">
        <v>53</v>
      </c>
      <c r="N1909" s="25" t="s">
        <v>55</v>
      </c>
      <c r="O1909" s="26"/>
      <c r="P1909" s="26" t="s">
        <v>1662</v>
      </c>
      <c r="Q1909" s="26"/>
      <c r="R1909" s="5"/>
      <c r="S1909" s="5"/>
      <c r="T1909" s="5"/>
      <c r="U1909" s="5"/>
      <c r="V1909" s="5"/>
      <c r="W1909" s="5"/>
      <c r="X1909" s="5"/>
      <c r="Y1909" s="5"/>
    </row>
    <row r="1910" spans="13:25" ht="22">
      <c r="M1910" s="26" t="s">
        <v>53</v>
      </c>
      <c r="N1910" s="25" t="s">
        <v>55</v>
      </c>
      <c r="O1910" s="26"/>
      <c r="P1910" s="26" t="s">
        <v>1663</v>
      </c>
      <c r="Q1910" s="26"/>
      <c r="R1910" s="5"/>
      <c r="S1910" s="5"/>
      <c r="T1910" s="5"/>
      <c r="U1910" s="5"/>
      <c r="V1910" s="5"/>
      <c r="W1910" s="5"/>
      <c r="X1910" s="5"/>
      <c r="Y1910" s="5"/>
    </row>
    <row r="1911" spans="13:25" ht="55">
      <c r="M1911" s="26" t="s">
        <v>53</v>
      </c>
      <c r="N1911" s="25" t="s">
        <v>51</v>
      </c>
      <c r="O1911" s="26" t="s">
        <v>1656</v>
      </c>
      <c r="P1911" s="26"/>
      <c r="Q1911" s="26"/>
      <c r="R1911" s="5"/>
      <c r="S1911" s="5"/>
      <c r="T1911" s="5"/>
      <c r="U1911" s="5"/>
      <c r="V1911" s="5"/>
      <c r="W1911" s="5"/>
      <c r="X1911" s="5"/>
      <c r="Y1911" s="5"/>
    </row>
    <row r="1912" spans="13:25" ht="33">
      <c r="M1912" s="26" t="s">
        <v>53</v>
      </c>
      <c r="N1912" s="25" t="s">
        <v>51</v>
      </c>
      <c r="O1912" s="26" t="s">
        <v>1664</v>
      </c>
      <c r="P1912" s="26"/>
      <c r="Q1912" s="26"/>
      <c r="R1912" s="5"/>
      <c r="S1912" s="5"/>
      <c r="T1912" s="5"/>
      <c r="U1912" s="5"/>
      <c r="V1912" s="5"/>
      <c r="W1912" s="5"/>
      <c r="X1912" s="5"/>
      <c r="Y1912" s="5"/>
    </row>
    <row r="1913" spans="13:25" ht="44">
      <c r="M1913" s="26" t="s">
        <v>53</v>
      </c>
      <c r="N1913" s="25" t="s">
        <v>55</v>
      </c>
      <c r="O1913" s="26" t="s">
        <v>683</v>
      </c>
      <c r="P1913" s="26"/>
      <c r="Q1913" s="26"/>
      <c r="R1913" s="5"/>
      <c r="S1913" s="5"/>
      <c r="T1913" s="5"/>
      <c r="U1913" s="5"/>
      <c r="V1913" s="5"/>
      <c r="W1913" s="5"/>
      <c r="X1913" s="5"/>
      <c r="Y1913" s="5"/>
    </row>
    <row r="1914" spans="13:25" ht="44">
      <c r="M1914" s="26" t="s">
        <v>53</v>
      </c>
      <c r="N1914" s="25" t="s">
        <v>55</v>
      </c>
      <c r="O1914" s="26" t="s">
        <v>1665</v>
      </c>
      <c r="P1914" s="26"/>
      <c r="Q1914" s="26"/>
      <c r="R1914" s="5"/>
      <c r="S1914" s="5"/>
      <c r="T1914" s="5"/>
      <c r="U1914" s="5"/>
      <c r="V1914" s="5"/>
      <c r="W1914" s="5"/>
      <c r="X1914" s="5"/>
      <c r="Y1914" s="5"/>
    </row>
    <row r="1915" spans="13:25" ht="33">
      <c r="M1915" s="26" t="s">
        <v>53</v>
      </c>
      <c r="N1915" s="25" t="s">
        <v>55</v>
      </c>
      <c r="O1915" s="26" t="s">
        <v>1666</v>
      </c>
      <c r="P1915" s="26"/>
      <c r="Q1915" s="26"/>
      <c r="R1915" s="5"/>
      <c r="S1915" s="5"/>
      <c r="T1915" s="5"/>
      <c r="U1915" s="5"/>
      <c r="V1915" s="5"/>
      <c r="W1915" s="5"/>
      <c r="X1915" s="5"/>
      <c r="Y1915" s="5"/>
    </row>
    <row r="1916" spans="13:25" ht="22">
      <c r="M1916" s="26" t="s">
        <v>53</v>
      </c>
      <c r="N1916" s="25" t="s">
        <v>65</v>
      </c>
      <c r="O1916" s="26" t="s">
        <v>1667</v>
      </c>
      <c r="P1916" s="26"/>
      <c r="Q1916" s="26"/>
      <c r="R1916" s="5"/>
      <c r="S1916" s="5"/>
      <c r="T1916" s="5"/>
      <c r="U1916" s="5"/>
      <c r="V1916" s="5"/>
      <c r="W1916" s="5"/>
      <c r="X1916" s="5"/>
      <c r="Y1916" s="5"/>
    </row>
    <row r="1917" spans="13:25" ht="22">
      <c r="M1917" s="26" t="s">
        <v>53</v>
      </c>
      <c r="N1917" s="25" t="s">
        <v>65</v>
      </c>
      <c r="O1917" s="26" t="s">
        <v>1668</v>
      </c>
      <c r="P1917" s="26"/>
      <c r="Q1917" s="26"/>
      <c r="R1917" s="5"/>
      <c r="S1917" s="5"/>
      <c r="T1917" s="5"/>
      <c r="U1917" s="5"/>
      <c r="V1917" s="5"/>
      <c r="W1917" s="5"/>
      <c r="X1917" s="5"/>
      <c r="Y1917" s="5"/>
    </row>
    <row r="1918" spans="13:25" ht="22">
      <c r="M1918" s="26" t="s">
        <v>53</v>
      </c>
      <c r="N1918" s="25" t="s">
        <v>51</v>
      </c>
      <c r="O1918" s="26" t="s">
        <v>1669</v>
      </c>
      <c r="P1918" s="26"/>
      <c r="Q1918" s="26"/>
      <c r="R1918" s="5"/>
      <c r="S1918" s="5"/>
      <c r="T1918" s="5"/>
      <c r="U1918" s="5"/>
      <c r="V1918" s="5"/>
      <c r="W1918" s="5"/>
      <c r="X1918" s="5"/>
      <c r="Y1918" s="5"/>
    </row>
    <row r="1919" spans="13:25" ht="55">
      <c r="M1919" s="26" t="s">
        <v>53</v>
      </c>
      <c r="N1919" s="25" t="s">
        <v>55</v>
      </c>
      <c r="O1919" s="26"/>
      <c r="P1919" s="26" t="s">
        <v>1670</v>
      </c>
      <c r="Q1919" s="26"/>
      <c r="R1919" s="5"/>
      <c r="S1919" s="5"/>
      <c r="T1919" s="5"/>
      <c r="U1919" s="5"/>
      <c r="V1919" s="5"/>
      <c r="W1919" s="5"/>
      <c r="X1919" s="5"/>
      <c r="Y1919" s="5"/>
    </row>
    <row r="1920" spans="13:25" ht="66">
      <c r="M1920" s="26" t="s">
        <v>53</v>
      </c>
      <c r="N1920" s="25" t="s">
        <v>55</v>
      </c>
      <c r="O1920" s="26"/>
      <c r="P1920" s="26" t="s">
        <v>1671</v>
      </c>
      <c r="Q1920" s="26"/>
      <c r="R1920" s="5"/>
      <c r="S1920" s="5"/>
      <c r="T1920" s="5"/>
      <c r="U1920" s="5"/>
      <c r="V1920" s="5"/>
      <c r="W1920" s="5"/>
      <c r="X1920" s="5"/>
      <c r="Y1920" s="5"/>
    </row>
    <row r="1921" spans="13:25" ht="33">
      <c r="M1921" s="26" t="s">
        <v>53</v>
      </c>
      <c r="N1921" s="25" t="s">
        <v>55</v>
      </c>
      <c r="O1921" s="26"/>
      <c r="P1921" s="26" t="s">
        <v>1672</v>
      </c>
      <c r="Q1921" s="26"/>
      <c r="R1921" s="5"/>
      <c r="S1921" s="5"/>
      <c r="T1921" s="5"/>
      <c r="U1921" s="5"/>
      <c r="V1921" s="5"/>
      <c r="W1921" s="5"/>
      <c r="X1921" s="5"/>
      <c r="Y1921" s="5"/>
    </row>
    <row r="1922" spans="13:25" ht="22">
      <c r="M1922" s="26" t="s">
        <v>53</v>
      </c>
      <c r="N1922" s="25" t="s">
        <v>55</v>
      </c>
      <c r="O1922" s="26" t="s">
        <v>1673</v>
      </c>
      <c r="P1922" s="26"/>
      <c r="Q1922" s="26"/>
      <c r="R1922" s="5"/>
      <c r="S1922" s="5"/>
      <c r="T1922" s="5"/>
      <c r="U1922" s="5"/>
      <c r="V1922" s="5"/>
      <c r="W1922" s="5"/>
      <c r="X1922" s="5"/>
      <c r="Y1922" s="5"/>
    </row>
    <row r="1923" spans="13:25" ht="33">
      <c r="M1923" s="26" t="s">
        <v>53</v>
      </c>
      <c r="N1923" s="25" t="s">
        <v>51</v>
      </c>
      <c r="O1923" s="26" t="s">
        <v>1674</v>
      </c>
      <c r="P1923" s="26"/>
      <c r="Q1923" s="26"/>
      <c r="R1923" s="5"/>
      <c r="S1923" s="5"/>
      <c r="T1923" s="5"/>
      <c r="U1923" s="5"/>
      <c r="V1923" s="5"/>
      <c r="W1923" s="5"/>
      <c r="X1923" s="5"/>
      <c r="Y1923" s="5"/>
    </row>
    <row r="1924" spans="13:25" ht="22">
      <c r="M1924" s="26" t="s">
        <v>53</v>
      </c>
      <c r="N1924" s="25" t="s">
        <v>51</v>
      </c>
      <c r="O1924" s="26" t="s">
        <v>1675</v>
      </c>
      <c r="P1924" s="26"/>
      <c r="Q1924" s="26"/>
      <c r="R1924" s="5"/>
      <c r="S1924" s="5"/>
      <c r="T1924" s="5"/>
      <c r="U1924" s="5"/>
      <c r="V1924" s="5"/>
      <c r="W1924" s="5"/>
      <c r="X1924" s="5"/>
      <c r="Y1924" s="5"/>
    </row>
    <row r="1925" spans="13:25" ht="44">
      <c r="M1925" s="26" t="s">
        <v>53</v>
      </c>
      <c r="N1925" s="25" t="s">
        <v>55</v>
      </c>
      <c r="O1925" s="26"/>
      <c r="P1925" s="26" t="s">
        <v>1676</v>
      </c>
      <c r="Q1925" s="26"/>
      <c r="R1925" s="5"/>
      <c r="S1925" s="5"/>
      <c r="T1925" s="5"/>
      <c r="U1925" s="5"/>
      <c r="V1925" s="5"/>
      <c r="W1925" s="5"/>
      <c r="X1925" s="5"/>
      <c r="Y1925" s="5"/>
    </row>
    <row r="1926" spans="13:25" ht="44">
      <c r="M1926" s="26" t="s">
        <v>53</v>
      </c>
      <c r="N1926" s="25" t="s">
        <v>55</v>
      </c>
      <c r="O1926" s="26"/>
      <c r="P1926" s="26" t="s">
        <v>1677</v>
      </c>
      <c r="Q1926" s="26"/>
      <c r="R1926" s="5"/>
      <c r="S1926" s="5"/>
      <c r="T1926" s="5"/>
      <c r="U1926" s="5"/>
      <c r="V1926" s="5"/>
      <c r="W1926" s="5"/>
      <c r="X1926" s="5"/>
      <c r="Y1926" s="5"/>
    </row>
    <row r="1927" spans="13:25" ht="33">
      <c r="M1927" s="26" t="s">
        <v>53</v>
      </c>
      <c r="N1927" s="25" t="s">
        <v>70</v>
      </c>
      <c r="O1927" s="26" t="s">
        <v>1678</v>
      </c>
      <c r="P1927" s="26"/>
      <c r="Q1927" s="26"/>
      <c r="R1927" s="5"/>
      <c r="S1927" s="5"/>
      <c r="T1927" s="5"/>
      <c r="U1927" s="5"/>
      <c r="V1927" s="5"/>
      <c r="W1927" s="5"/>
      <c r="X1927" s="5"/>
      <c r="Y1927" s="5"/>
    </row>
    <row r="1928" spans="13:25" ht="22">
      <c r="M1928" s="26" t="s">
        <v>53</v>
      </c>
      <c r="N1928" s="25" t="s">
        <v>51</v>
      </c>
      <c r="O1928" s="26" t="s">
        <v>1679</v>
      </c>
      <c r="P1928" s="26"/>
      <c r="Q1928" s="26"/>
      <c r="R1928" s="5"/>
      <c r="S1928" s="5"/>
      <c r="T1928" s="5"/>
      <c r="U1928" s="5"/>
      <c r="V1928" s="5"/>
      <c r="W1928" s="5"/>
      <c r="X1928" s="5"/>
      <c r="Y1928" s="5"/>
    </row>
    <row r="1929" spans="13:25" ht="66">
      <c r="M1929" s="26" t="s">
        <v>53</v>
      </c>
      <c r="N1929" s="25" t="s">
        <v>55</v>
      </c>
      <c r="O1929" s="26"/>
      <c r="P1929" s="26" t="s">
        <v>1556</v>
      </c>
      <c r="Q1929" s="26"/>
      <c r="R1929" s="5"/>
      <c r="S1929" s="5"/>
      <c r="T1929" s="5"/>
      <c r="U1929" s="5"/>
      <c r="V1929" s="5"/>
      <c r="W1929" s="5"/>
      <c r="X1929" s="5"/>
      <c r="Y1929" s="5"/>
    </row>
    <row r="1930" spans="13:25" ht="66">
      <c r="M1930" s="26" t="s">
        <v>53</v>
      </c>
      <c r="N1930" s="25" t="s">
        <v>55</v>
      </c>
      <c r="O1930" s="26"/>
      <c r="P1930" s="26" t="s">
        <v>1680</v>
      </c>
      <c r="Q1930" s="26"/>
      <c r="R1930" s="5"/>
      <c r="S1930" s="5"/>
      <c r="T1930" s="5"/>
      <c r="U1930" s="5"/>
      <c r="V1930" s="5"/>
      <c r="W1930" s="5"/>
      <c r="X1930" s="5"/>
      <c r="Y1930" s="5"/>
    </row>
    <row r="1931" spans="13:25" ht="22">
      <c r="M1931" s="26" t="s">
        <v>53</v>
      </c>
      <c r="N1931" s="25" t="s">
        <v>51</v>
      </c>
      <c r="O1931" s="26" t="s">
        <v>1681</v>
      </c>
      <c r="P1931" s="26"/>
      <c r="Q1931" s="26"/>
      <c r="R1931" s="5"/>
      <c r="S1931" s="5"/>
      <c r="T1931" s="5"/>
      <c r="U1931" s="5"/>
      <c r="V1931" s="5"/>
      <c r="W1931" s="5"/>
      <c r="X1931" s="5"/>
      <c r="Y1931" s="5"/>
    </row>
    <row r="1932" spans="13:25" ht="66">
      <c r="M1932" s="26" t="s">
        <v>53</v>
      </c>
      <c r="N1932" s="25" t="s">
        <v>55</v>
      </c>
      <c r="O1932" s="26"/>
      <c r="P1932" s="26" t="s">
        <v>745</v>
      </c>
      <c r="Q1932" s="26"/>
      <c r="R1932" s="5"/>
      <c r="S1932" s="5"/>
      <c r="T1932" s="5"/>
      <c r="U1932" s="5"/>
      <c r="V1932" s="5"/>
      <c r="W1932" s="5"/>
      <c r="X1932" s="5"/>
      <c r="Y1932" s="5"/>
    </row>
    <row r="1933" spans="13:25" ht="66">
      <c r="M1933" s="26" t="s">
        <v>53</v>
      </c>
      <c r="N1933" s="25" t="s">
        <v>55</v>
      </c>
      <c r="O1933" s="26"/>
      <c r="P1933" s="26" t="s">
        <v>746</v>
      </c>
      <c r="Q1933" s="26"/>
      <c r="R1933" s="5"/>
      <c r="S1933" s="5"/>
      <c r="T1933" s="5"/>
      <c r="U1933" s="5"/>
      <c r="V1933" s="5"/>
      <c r="W1933" s="5"/>
      <c r="X1933" s="5"/>
      <c r="Y1933" s="5"/>
    </row>
    <row r="1934" spans="13:25" ht="66">
      <c r="M1934" s="26" t="s">
        <v>53</v>
      </c>
      <c r="N1934" s="25" t="s">
        <v>55</v>
      </c>
      <c r="O1934" s="26"/>
      <c r="P1934" s="26" t="s">
        <v>1682</v>
      </c>
      <c r="Q1934" s="26"/>
      <c r="R1934" s="5"/>
      <c r="S1934" s="5"/>
      <c r="T1934" s="5"/>
      <c r="U1934" s="5"/>
      <c r="V1934" s="5"/>
      <c r="W1934" s="5"/>
      <c r="X1934" s="5"/>
      <c r="Y1934" s="5"/>
    </row>
    <row r="1935" spans="13:25" ht="33">
      <c r="M1935" s="26" t="s">
        <v>53</v>
      </c>
      <c r="N1935" s="25" t="s">
        <v>55</v>
      </c>
      <c r="O1935" s="26"/>
      <c r="P1935" s="26" t="s">
        <v>1683</v>
      </c>
      <c r="Q1935" s="26"/>
      <c r="R1935" s="5"/>
      <c r="S1935" s="5"/>
      <c r="T1935" s="5"/>
      <c r="U1935" s="5"/>
      <c r="V1935" s="5"/>
      <c r="W1935" s="5"/>
      <c r="X1935" s="5"/>
      <c r="Y1935" s="5"/>
    </row>
    <row r="1936" spans="13:25" ht="22">
      <c r="M1936" s="26" t="s">
        <v>53</v>
      </c>
      <c r="N1936" s="25" t="s">
        <v>55</v>
      </c>
      <c r="O1936" s="26" t="s">
        <v>1684</v>
      </c>
      <c r="P1936" s="26"/>
      <c r="Q1936" s="26"/>
      <c r="R1936" s="5"/>
      <c r="S1936" s="5"/>
      <c r="T1936" s="5"/>
      <c r="U1936" s="5"/>
      <c r="V1936" s="5"/>
      <c r="W1936" s="5"/>
      <c r="X1936" s="5"/>
      <c r="Y1936" s="5"/>
    </row>
    <row r="1937" spans="13:25" ht="22">
      <c r="M1937" s="26" t="s">
        <v>53</v>
      </c>
      <c r="N1937" s="25" t="s">
        <v>51</v>
      </c>
      <c r="O1937" s="26" t="s">
        <v>1685</v>
      </c>
      <c r="P1937" s="26"/>
      <c r="Q1937" s="26"/>
      <c r="R1937" s="5"/>
      <c r="S1937" s="5"/>
      <c r="T1937" s="5"/>
      <c r="U1937" s="5"/>
      <c r="V1937" s="5"/>
      <c r="W1937" s="5"/>
      <c r="X1937" s="5"/>
      <c r="Y1937" s="5"/>
    </row>
    <row r="1938" spans="13:25" ht="44">
      <c r="M1938" s="26" t="s">
        <v>53</v>
      </c>
      <c r="N1938" s="25" t="s">
        <v>55</v>
      </c>
      <c r="O1938" s="26"/>
      <c r="P1938" s="26" t="s">
        <v>775</v>
      </c>
      <c r="Q1938" s="26"/>
      <c r="R1938" s="5"/>
      <c r="S1938" s="5"/>
      <c r="T1938" s="5"/>
      <c r="U1938" s="5"/>
      <c r="V1938" s="5"/>
      <c r="W1938" s="5"/>
      <c r="X1938" s="5"/>
      <c r="Y1938" s="5"/>
    </row>
    <row r="1939" spans="13:25" ht="22">
      <c r="M1939" s="26" t="s">
        <v>53</v>
      </c>
      <c r="N1939" s="25" t="s">
        <v>55</v>
      </c>
      <c r="O1939" s="26"/>
      <c r="P1939" s="26" t="s">
        <v>1686</v>
      </c>
      <c r="Q1939" s="26"/>
      <c r="R1939" s="5"/>
      <c r="S1939" s="5"/>
      <c r="T1939" s="5"/>
      <c r="U1939" s="5"/>
      <c r="V1939" s="5"/>
      <c r="W1939" s="5"/>
      <c r="X1939" s="5"/>
      <c r="Y1939" s="5"/>
    </row>
    <row r="1940" spans="13:25" ht="22">
      <c r="M1940" s="26" t="s">
        <v>53</v>
      </c>
      <c r="N1940" s="25" t="s">
        <v>51</v>
      </c>
      <c r="O1940" s="26" t="s">
        <v>1687</v>
      </c>
      <c r="P1940" s="26"/>
      <c r="Q1940" s="26"/>
      <c r="R1940" s="5"/>
      <c r="S1940" s="5"/>
      <c r="T1940" s="5"/>
      <c r="U1940" s="5"/>
      <c r="V1940" s="5"/>
      <c r="W1940" s="5"/>
      <c r="X1940" s="5"/>
      <c r="Y1940" s="5"/>
    </row>
    <row r="1941" spans="13:25" ht="33">
      <c r="M1941" s="26" t="s">
        <v>53</v>
      </c>
      <c r="N1941" s="25" t="s">
        <v>55</v>
      </c>
      <c r="O1941" s="26"/>
      <c r="P1941" s="26" t="s">
        <v>1688</v>
      </c>
      <c r="Q1941" s="26"/>
      <c r="R1941" s="5"/>
      <c r="S1941" s="5"/>
      <c r="T1941" s="5"/>
      <c r="U1941" s="5"/>
      <c r="V1941" s="5"/>
      <c r="W1941" s="5"/>
      <c r="X1941" s="5"/>
      <c r="Y1941" s="5"/>
    </row>
    <row r="1942" spans="13:25" ht="33">
      <c r="M1942" s="26" t="s">
        <v>53</v>
      </c>
      <c r="N1942" s="25" t="s">
        <v>55</v>
      </c>
      <c r="O1942" s="26"/>
      <c r="P1942" s="26" t="s">
        <v>1689</v>
      </c>
      <c r="Q1942" s="26"/>
      <c r="R1942" s="5"/>
      <c r="S1942" s="5"/>
      <c r="T1942" s="5"/>
      <c r="U1942" s="5"/>
      <c r="V1942" s="5"/>
      <c r="W1942" s="5"/>
      <c r="X1942" s="5"/>
      <c r="Y1942" s="5"/>
    </row>
    <row r="1943" spans="13:25" ht="22">
      <c r="M1943" s="26" t="s">
        <v>53</v>
      </c>
      <c r="N1943" s="25" t="s">
        <v>51</v>
      </c>
      <c r="O1943" s="26" t="s">
        <v>1690</v>
      </c>
      <c r="P1943" s="26"/>
      <c r="Q1943" s="26"/>
      <c r="R1943" s="5"/>
      <c r="S1943" s="5"/>
      <c r="T1943" s="5"/>
      <c r="U1943" s="5"/>
      <c r="V1943" s="5"/>
      <c r="W1943" s="5"/>
      <c r="X1943" s="5"/>
      <c r="Y1943" s="5"/>
    </row>
    <row r="1944" spans="13:25" ht="33">
      <c r="M1944" s="26" t="s">
        <v>53</v>
      </c>
      <c r="N1944" s="25" t="s">
        <v>55</v>
      </c>
      <c r="O1944" s="26"/>
      <c r="P1944" s="26" t="s">
        <v>1691</v>
      </c>
      <c r="Q1944" s="26"/>
      <c r="R1944" s="5"/>
      <c r="S1944" s="5"/>
      <c r="T1944" s="5"/>
      <c r="U1944" s="5"/>
      <c r="V1944" s="5"/>
      <c r="W1944" s="5"/>
      <c r="X1944" s="5"/>
      <c r="Y1944" s="5"/>
    </row>
    <row r="1945" spans="13:25" ht="22">
      <c r="M1945" s="26" t="s">
        <v>53</v>
      </c>
      <c r="N1945" s="25" t="s">
        <v>55</v>
      </c>
      <c r="O1945" s="26"/>
      <c r="P1945" s="26" t="s">
        <v>1692</v>
      </c>
      <c r="Q1945" s="26"/>
      <c r="R1945" s="5"/>
      <c r="S1945" s="5"/>
      <c r="T1945" s="5"/>
      <c r="U1945" s="5"/>
      <c r="V1945" s="5"/>
      <c r="W1945" s="5"/>
      <c r="X1945" s="5"/>
      <c r="Y1945" s="5"/>
    </row>
    <row r="1946" spans="13:25" ht="22">
      <c r="M1946" s="26" t="s">
        <v>53</v>
      </c>
      <c r="N1946" s="25" t="s">
        <v>51</v>
      </c>
      <c r="O1946" s="26" t="s">
        <v>1693</v>
      </c>
      <c r="P1946" s="26"/>
      <c r="Q1946" s="26"/>
      <c r="R1946" s="5"/>
      <c r="S1946" s="5"/>
      <c r="T1946" s="5"/>
      <c r="U1946" s="5"/>
      <c r="V1946" s="5"/>
      <c r="W1946" s="5"/>
      <c r="X1946" s="5"/>
      <c r="Y1946" s="5"/>
    </row>
    <row r="1947" spans="13:25" ht="33">
      <c r="M1947" s="26" t="s">
        <v>53</v>
      </c>
      <c r="N1947" s="25" t="s">
        <v>55</v>
      </c>
      <c r="O1947" s="26"/>
      <c r="P1947" s="26" t="s">
        <v>774</v>
      </c>
      <c r="Q1947" s="26"/>
      <c r="R1947" s="5"/>
      <c r="S1947" s="5"/>
      <c r="T1947" s="5"/>
      <c r="U1947" s="5"/>
      <c r="V1947" s="5"/>
      <c r="W1947" s="5"/>
      <c r="X1947" s="5"/>
      <c r="Y1947" s="5"/>
    </row>
    <row r="1948" spans="13:25" ht="33">
      <c r="M1948" s="26" t="s">
        <v>53</v>
      </c>
      <c r="N1948" s="25" t="s">
        <v>55</v>
      </c>
      <c r="O1948" s="26"/>
      <c r="P1948" s="26" t="s">
        <v>1694</v>
      </c>
      <c r="Q1948" s="26"/>
      <c r="R1948" s="5"/>
      <c r="S1948" s="5"/>
      <c r="T1948" s="5"/>
      <c r="U1948" s="5"/>
      <c r="V1948" s="5"/>
      <c r="W1948" s="5"/>
      <c r="X1948" s="5"/>
      <c r="Y1948" s="5"/>
    </row>
    <row r="1949" spans="13:25" ht="44">
      <c r="M1949" s="26" t="s">
        <v>53</v>
      </c>
      <c r="N1949" s="25" t="s">
        <v>55</v>
      </c>
      <c r="O1949" s="26"/>
      <c r="P1949" s="26" t="s">
        <v>775</v>
      </c>
      <c r="Q1949" s="26"/>
      <c r="R1949" s="5"/>
      <c r="S1949" s="5"/>
      <c r="T1949" s="5"/>
      <c r="U1949" s="5"/>
      <c r="V1949" s="5"/>
      <c r="W1949" s="5"/>
      <c r="X1949" s="5"/>
      <c r="Y1949" s="5"/>
    </row>
    <row r="1950" spans="13:25" ht="44">
      <c r="M1950" s="26" t="s">
        <v>53</v>
      </c>
      <c r="N1950" s="25" t="s">
        <v>55</v>
      </c>
      <c r="O1950" s="26"/>
      <c r="P1950" s="26" t="s">
        <v>339</v>
      </c>
      <c r="Q1950" s="26"/>
      <c r="R1950" s="5"/>
      <c r="S1950" s="5"/>
      <c r="T1950" s="5"/>
      <c r="U1950" s="5"/>
      <c r="V1950" s="5"/>
      <c r="W1950" s="5"/>
      <c r="X1950" s="5"/>
      <c r="Y1950" s="5"/>
    </row>
    <row r="1951" spans="13:25" ht="22">
      <c r="M1951" s="26" t="s">
        <v>53</v>
      </c>
      <c r="N1951" s="25" t="s">
        <v>55</v>
      </c>
      <c r="O1951" s="26"/>
      <c r="P1951" s="26" t="s">
        <v>1695</v>
      </c>
      <c r="Q1951" s="26"/>
      <c r="R1951" s="5"/>
      <c r="S1951" s="5"/>
      <c r="T1951" s="5"/>
      <c r="U1951" s="5"/>
      <c r="V1951" s="5"/>
      <c r="W1951" s="5"/>
      <c r="X1951" s="5"/>
      <c r="Y1951" s="5"/>
    </row>
    <row r="1952" spans="13:25" ht="22">
      <c r="M1952" s="26" t="s">
        <v>53</v>
      </c>
      <c r="N1952" s="25" t="s">
        <v>55</v>
      </c>
      <c r="O1952" s="26"/>
      <c r="P1952" s="26" t="s">
        <v>1686</v>
      </c>
      <c r="Q1952" s="26"/>
      <c r="R1952" s="5"/>
      <c r="S1952" s="5"/>
      <c r="T1952" s="5"/>
      <c r="U1952" s="5"/>
      <c r="V1952" s="5"/>
      <c r="W1952" s="5"/>
      <c r="X1952" s="5"/>
      <c r="Y1952" s="5"/>
    </row>
    <row r="1953" spans="13:25" ht="22">
      <c r="M1953" s="26" t="s">
        <v>53</v>
      </c>
      <c r="N1953" s="25" t="s">
        <v>55</v>
      </c>
      <c r="O1953" s="26"/>
      <c r="P1953" s="26" t="s">
        <v>1696</v>
      </c>
      <c r="Q1953" s="26"/>
      <c r="R1953" s="5"/>
      <c r="S1953" s="5"/>
      <c r="T1953" s="5"/>
      <c r="U1953" s="5"/>
      <c r="V1953" s="5"/>
      <c r="W1953" s="5"/>
      <c r="X1953" s="5"/>
      <c r="Y1953" s="5"/>
    </row>
    <row r="1954" spans="13:25" ht="22">
      <c r="M1954" s="26" t="s">
        <v>53</v>
      </c>
      <c r="N1954" s="25" t="s">
        <v>55</v>
      </c>
      <c r="O1954" s="26" t="s">
        <v>1697</v>
      </c>
      <c r="P1954" s="26"/>
      <c r="Q1954" s="26"/>
      <c r="R1954" s="5"/>
      <c r="S1954" s="5"/>
      <c r="T1954" s="5"/>
      <c r="U1954" s="5"/>
      <c r="V1954" s="5"/>
      <c r="W1954" s="5"/>
      <c r="X1954" s="5"/>
      <c r="Y1954" s="5"/>
    </row>
    <row r="1955" spans="13:25" ht="22">
      <c r="M1955" s="26" t="s">
        <v>53</v>
      </c>
      <c r="N1955" s="25" t="s">
        <v>65</v>
      </c>
      <c r="O1955" s="26" t="s">
        <v>1698</v>
      </c>
      <c r="P1955" s="26"/>
      <c r="Q1955" s="26"/>
      <c r="R1955" s="5"/>
      <c r="S1955" s="5"/>
      <c r="T1955" s="5"/>
      <c r="U1955" s="5"/>
      <c r="V1955" s="5"/>
      <c r="W1955" s="5"/>
      <c r="X1955" s="5"/>
      <c r="Y1955" s="5"/>
    </row>
    <row r="1956" spans="13:25" ht="44">
      <c r="M1956" s="26" t="s">
        <v>53</v>
      </c>
      <c r="N1956" s="25" t="s">
        <v>51</v>
      </c>
      <c r="O1956" s="26" t="s">
        <v>1699</v>
      </c>
      <c r="P1956" s="26"/>
      <c r="Q1956" s="26"/>
      <c r="R1956" s="5"/>
      <c r="S1956" s="5"/>
      <c r="T1956" s="5"/>
      <c r="U1956" s="5"/>
      <c r="V1956" s="5"/>
      <c r="W1956" s="5"/>
      <c r="X1956" s="5"/>
      <c r="Y1956" s="5"/>
    </row>
    <row r="1957" spans="13:25" ht="77">
      <c r="M1957" s="26" t="s">
        <v>53</v>
      </c>
      <c r="N1957" s="25" t="s">
        <v>51</v>
      </c>
      <c r="O1957" s="26" t="s">
        <v>1700</v>
      </c>
      <c r="P1957" s="26"/>
      <c r="Q1957" s="26"/>
      <c r="R1957" s="5"/>
      <c r="S1957" s="5"/>
      <c r="T1957" s="5"/>
      <c r="U1957" s="5"/>
      <c r="V1957" s="5"/>
      <c r="W1957" s="5"/>
      <c r="X1957" s="5"/>
      <c r="Y1957" s="5"/>
    </row>
    <row r="1958" spans="13:25" ht="66">
      <c r="M1958" s="26" t="s">
        <v>53</v>
      </c>
      <c r="N1958" s="25" t="s">
        <v>51</v>
      </c>
      <c r="O1958" s="26" t="s">
        <v>1701</v>
      </c>
      <c r="P1958" s="26"/>
      <c r="Q1958" s="26"/>
      <c r="R1958" s="5"/>
      <c r="S1958" s="5"/>
      <c r="T1958" s="5"/>
      <c r="U1958" s="5"/>
      <c r="V1958" s="5"/>
      <c r="W1958" s="5"/>
      <c r="X1958" s="5"/>
      <c r="Y1958" s="5"/>
    </row>
    <row r="1959" spans="13:25" ht="33">
      <c r="M1959" s="26" t="s">
        <v>53</v>
      </c>
      <c r="N1959" s="25" t="s">
        <v>51</v>
      </c>
      <c r="O1959" s="26" t="s">
        <v>1674</v>
      </c>
      <c r="P1959" s="26"/>
      <c r="Q1959" s="26"/>
      <c r="R1959" s="5"/>
      <c r="S1959" s="5"/>
      <c r="T1959" s="5"/>
      <c r="U1959" s="5"/>
      <c r="V1959" s="5"/>
      <c r="W1959" s="5"/>
      <c r="X1959" s="5"/>
      <c r="Y1959" s="5"/>
    </row>
    <row r="1960" spans="13:25" ht="33">
      <c r="M1960" s="26" t="s">
        <v>53</v>
      </c>
      <c r="N1960" s="25" t="s">
        <v>55</v>
      </c>
      <c r="O1960" s="26" t="s">
        <v>1702</v>
      </c>
      <c r="P1960" s="26"/>
      <c r="Q1960" s="26"/>
      <c r="R1960" s="5"/>
      <c r="S1960" s="5"/>
      <c r="T1960" s="5"/>
      <c r="U1960" s="5"/>
      <c r="V1960" s="5"/>
      <c r="W1960" s="5"/>
      <c r="X1960" s="5"/>
      <c r="Y1960" s="5"/>
    </row>
    <row r="1961" spans="13:25" ht="33">
      <c r="M1961" s="26" t="s">
        <v>53</v>
      </c>
      <c r="N1961" s="25" t="s">
        <v>55</v>
      </c>
      <c r="O1961" s="26" t="s">
        <v>1703</v>
      </c>
      <c r="P1961" s="26"/>
      <c r="Q1961" s="26"/>
      <c r="R1961" s="5"/>
      <c r="S1961" s="5"/>
      <c r="T1961" s="5"/>
      <c r="U1961" s="5"/>
      <c r="V1961" s="5"/>
      <c r="W1961" s="5"/>
      <c r="X1961" s="5"/>
      <c r="Y1961" s="5"/>
    </row>
    <row r="1962" spans="13:25" ht="77">
      <c r="M1962" s="26" t="s">
        <v>53</v>
      </c>
      <c r="N1962" s="25" t="s">
        <v>51</v>
      </c>
      <c r="O1962" s="26" t="s">
        <v>1704</v>
      </c>
      <c r="P1962" s="26"/>
      <c r="Q1962" s="26"/>
      <c r="R1962" s="5"/>
      <c r="S1962" s="5"/>
      <c r="T1962" s="5"/>
      <c r="U1962" s="5"/>
      <c r="V1962" s="5"/>
      <c r="W1962" s="5"/>
      <c r="X1962" s="5"/>
      <c r="Y1962" s="5"/>
    </row>
    <row r="1963" spans="13:25" ht="44">
      <c r="M1963" s="26" t="s">
        <v>53</v>
      </c>
      <c r="N1963" s="25" t="s">
        <v>70</v>
      </c>
      <c r="O1963" s="26" t="s">
        <v>1705</v>
      </c>
      <c r="P1963" s="26"/>
      <c r="Q1963" s="26"/>
      <c r="R1963" s="5"/>
      <c r="S1963" s="5"/>
      <c r="T1963" s="5"/>
      <c r="U1963" s="5"/>
      <c r="V1963" s="5"/>
      <c r="W1963" s="5"/>
      <c r="X1963" s="5"/>
      <c r="Y1963" s="5"/>
    </row>
    <row r="1964" spans="13:25" ht="22">
      <c r="M1964" s="26" t="s">
        <v>53</v>
      </c>
      <c r="N1964" s="25" t="s">
        <v>51</v>
      </c>
      <c r="O1964" s="26" t="s">
        <v>1706</v>
      </c>
      <c r="P1964" s="26"/>
      <c r="Q1964" s="26"/>
      <c r="R1964" s="5"/>
      <c r="S1964" s="5"/>
      <c r="T1964" s="5"/>
      <c r="U1964" s="5"/>
      <c r="V1964" s="5"/>
      <c r="W1964" s="5"/>
      <c r="X1964" s="5"/>
      <c r="Y1964" s="5"/>
    </row>
    <row r="1965" spans="13:25" ht="44">
      <c r="M1965" s="26" t="s">
        <v>53</v>
      </c>
      <c r="N1965" s="25" t="s">
        <v>55</v>
      </c>
      <c r="O1965" s="26"/>
      <c r="P1965" s="26" t="s">
        <v>1707</v>
      </c>
      <c r="Q1965" s="26"/>
      <c r="R1965" s="5"/>
      <c r="S1965" s="5"/>
      <c r="T1965" s="5"/>
      <c r="U1965" s="5"/>
      <c r="V1965" s="5"/>
      <c r="W1965" s="5"/>
      <c r="X1965" s="5"/>
      <c r="Y1965" s="5"/>
    </row>
    <row r="1966" spans="13:25" ht="44">
      <c r="M1966" s="26" t="s">
        <v>53</v>
      </c>
      <c r="N1966" s="25" t="s">
        <v>65</v>
      </c>
      <c r="O1966" s="26" t="s">
        <v>1708</v>
      </c>
      <c r="P1966" s="26"/>
      <c r="Q1966" s="26"/>
      <c r="R1966" s="5"/>
      <c r="S1966" s="5"/>
      <c r="T1966" s="5"/>
      <c r="U1966" s="5"/>
      <c r="V1966" s="5"/>
      <c r="W1966" s="5"/>
      <c r="X1966" s="5"/>
      <c r="Y1966" s="5"/>
    </row>
    <row r="1967" spans="13:25" ht="88">
      <c r="M1967" s="26" t="s">
        <v>53</v>
      </c>
      <c r="N1967" s="25" t="s">
        <v>66</v>
      </c>
      <c r="O1967" s="26" t="s">
        <v>1709</v>
      </c>
      <c r="P1967" s="26"/>
      <c r="Q1967" s="26"/>
      <c r="R1967" s="5"/>
      <c r="S1967" s="5"/>
      <c r="T1967" s="5"/>
      <c r="U1967" s="5"/>
      <c r="V1967" s="5"/>
      <c r="W1967" s="5"/>
      <c r="X1967" s="5"/>
      <c r="Y1967" s="5"/>
    </row>
    <row r="1968" spans="13:25" ht="33">
      <c r="M1968" s="26" t="s">
        <v>81</v>
      </c>
      <c r="N1968" s="25" t="s">
        <v>64</v>
      </c>
      <c r="O1968" s="26" t="s">
        <v>1710</v>
      </c>
      <c r="P1968" s="26"/>
      <c r="Q1968" s="26"/>
      <c r="R1968" s="5"/>
      <c r="S1968" s="5"/>
      <c r="T1968" s="5"/>
      <c r="U1968" s="5"/>
      <c r="V1968" s="5"/>
      <c r="W1968" s="5"/>
      <c r="X1968" s="5"/>
      <c r="Y1968" s="5"/>
    </row>
    <row r="1969" spans="13:25" ht="22">
      <c r="M1969" s="26" t="s">
        <v>81</v>
      </c>
      <c r="N1969" s="25" t="s">
        <v>64</v>
      </c>
      <c r="O1969" s="26" t="s">
        <v>1711</v>
      </c>
      <c r="P1969" s="26"/>
      <c r="Q1969" s="26"/>
      <c r="R1969" s="5"/>
      <c r="S1969" s="5"/>
      <c r="T1969" s="5"/>
      <c r="U1969" s="5"/>
      <c r="V1969" s="5"/>
      <c r="W1969" s="5"/>
      <c r="X1969" s="5"/>
      <c r="Y1969" s="5"/>
    </row>
    <row r="1970" spans="13:25" ht="22">
      <c r="M1970" s="26" t="s">
        <v>67</v>
      </c>
      <c r="N1970" s="25" t="s">
        <v>66</v>
      </c>
      <c r="O1970" s="26" t="s">
        <v>1712</v>
      </c>
      <c r="P1970" s="26"/>
      <c r="Q1970" s="26"/>
      <c r="R1970" s="5"/>
      <c r="S1970" s="5"/>
      <c r="T1970" s="5"/>
      <c r="U1970" s="5"/>
      <c r="V1970" s="5"/>
      <c r="W1970" s="5"/>
      <c r="X1970" s="5"/>
      <c r="Y1970" s="5"/>
    </row>
    <row r="1971" spans="13:25" ht="33">
      <c r="M1971" s="26" t="s">
        <v>67</v>
      </c>
      <c r="N1971" s="25" t="s">
        <v>68</v>
      </c>
      <c r="O1971" s="26" t="s">
        <v>1713</v>
      </c>
      <c r="P1971" s="26"/>
      <c r="Q1971" s="26"/>
      <c r="R1971" s="5"/>
      <c r="S1971" s="5"/>
      <c r="T1971" s="5"/>
      <c r="U1971" s="5"/>
      <c r="V1971" s="5"/>
      <c r="W1971" s="5"/>
      <c r="X1971" s="5"/>
      <c r="Y1971" s="5"/>
    </row>
    <row r="1972" spans="13:25" ht="22">
      <c r="M1972" s="26" t="s">
        <v>67</v>
      </c>
      <c r="N1972" s="25" t="s">
        <v>66</v>
      </c>
      <c r="O1972" s="26" t="s">
        <v>1714</v>
      </c>
      <c r="P1972" s="26"/>
      <c r="Q1972" s="26"/>
      <c r="R1972" s="5"/>
      <c r="S1972" s="5"/>
      <c r="T1972" s="5"/>
      <c r="U1972" s="5"/>
      <c r="V1972" s="5"/>
      <c r="W1972" s="5"/>
      <c r="X1972" s="5"/>
      <c r="Y1972" s="5"/>
    </row>
    <row r="1973" spans="13:25" ht="22">
      <c r="M1973" s="26" t="s">
        <v>73</v>
      </c>
      <c r="N1973" s="25" t="s">
        <v>64</v>
      </c>
      <c r="O1973" s="26" t="s">
        <v>1715</v>
      </c>
      <c r="P1973" s="26"/>
      <c r="Q1973" s="26"/>
      <c r="R1973" s="5"/>
      <c r="S1973" s="5"/>
      <c r="T1973" s="5"/>
      <c r="U1973" s="5"/>
      <c r="V1973" s="5"/>
      <c r="W1973" s="5"/>
      <c r="X1973" s="5"/>
      <c r="Y1973" s="5"/>
    </row>
    <row r="1974" spans="13:25" ht="22">
      <c r="M1974" s="26" t="s">
        <v>73</v>
      </c>
      <c r="N1974" s="25" t="s">
        <v>64</v>
      </c>
      <c r="O1974" s="26" t="s">
        <v>1715</v>
      </c>
      <c r="P1974" s="26"/>
      <c r="Q1974" s="26"/>
      <c r="R1974" s="5"/>
      <c r="S1974" s="5"/>
      <c r="T1974" s="5"/>
      <c r="U1974" s="5"/>
      <c r="V1974" s="5"/>
      <c r="W1974" s="5"/>
      <c r="X1974" s="5"/>
      <c r="Y1974" s="5"/>
    </row>
    <row r="1975" spans="13:25" ht="22">
      <c r="M1975" s="26" t="s">
        <v>73</v>
      </c>
      <c r="N1975" s="25" t="s">
        <v>57</v>
      </c>
      <c r="O1975" s="26" t="s">
        <v>1716</v>
      </c>
      <c r="P1975" s="26"/>
      <c r="Q1975" s="26"/>
      <c r="R1975" s="5"/>
      <c r="S1975" s="5"/>
      <c r="T1975" s="5"/>
      <c r="U1975" s="5"/>
      <c r="V1975" s="5"/>
      <c r="W1975" s="5"/>
      <c r="X1975" s="5"/>
      <c r="Y1975" s="5"/>
    </row>
    <row r="1976" spans="13:25" ht="22">
      <c r="M1976" s="26" t="s">
        <v>73</v>
      </c>
      <c r="N1976" s="25" t="s">
        <v>57</v>
      </c>
      <c r="O1976" s="26" t="s">
        <v>1717</v>
      </c>
      <c r="P1976" s="26"/>
      <c r="Q1976" s="26"/>
      <c r="R1976" s="5"/>
      <c r="S1976" s="5"/>
      <c r="T1976" s="5"/>
      <c r="U1976" s="5"/>
      <c r="V1976" s="5"/>
      <c r="W1976" s="5"/>
      <c r="X1976" s="5"/>
      <c r="Y1976" s="5"/>
    </row>
    <row r="1977" spans="13:25" ht="33">
      <c r="M1977" s="26" t="s">
        <v>73</v>
      </c>
      <c r="N1977" s="25" t="s">
        <v>64</v>
      </c>
      <c r="O1977" s="26" t="s">
        <v>1718</v>
      </c>
      <c r="P1977" s="26"/>
      <c r="Q1977" s="26"/>
      <c r="R1977" s="5"/>
      <c r="S1977" s="5"/>
      <c r="T1977" s="5"/>
      <c r="U1977" s="5"/>
      <c r="V1977" s="5"/>
      <c r="W1977" s="5"/>
      <c r="X1977" s="5"/>
      <c r="Y1977" s="5"/>
    </row>
    <row r="1978" spans="13:25" ht="44">
      <c r="M1978" s="26" t="s">
        <v>73</v>
      </c>
      <c r="N1978" s="25" t="s">
        <v>68</v>
      </c>
      <c r="O1978" s="26" t="s">
        <v>1719</v>
      </c>
      <c r="P1978" s="26"/>
      <c r="Q1978" s="26"/>
      <c r="R1978" s="5"/>
      <c r="S1978" s="5"/>
      <c r="T1978" s="5"/>
      <c r="U1978" s="5"/>
      <c r="V1978" s="5"/>
      <c r="W1978" s="5"/>
      <c r="X1978" s="5"/>
      <c r="Y1978" s="5"/>
    </row>
    <row r="1979" spans="13:25" ht="22">
      <c r="M1979" s="26" t="s">
        <v>73</v>
      </c>
      <c r="N1979" s="25" t="s">
        <v>65</v>
      </c>
      <c r="O1979" s="26" t="s">
        <v>1720</v>
      </c>
      <c r="P1979" s="26"/>
      <c r="Q1979" s="26"/>
      <c r="R1979" s="5"/>
      <c r="S1979" s="5"/>
      <c r="T1979" s="5"/>
      <c r="U1979" s="5"/>
      <c r="V1979" s="5"/>
      <c r="W1979" s="5"/>
      <c r="X1979" s="5"/>
      <c r="Y1979" s="5"/>
    </row>
    <row r="1980" spans="13:25" ht="22">
      <c r="M1980" s="26" t="s">
        <v>58</v>
      </c>
      <c r="N1980" s="25" t="s">
        <v>51</v>
      </c>
      <c r="O1980" s="26" t="s">
        <v>1721</v>
      </c>
      <c r="P1980" s="26"/>
      <c r="Q1980" s="26"/>
      <c r="R1980" s="5"/>
      <c r="S1980" s="5"/>
      <c r="T1980" s="5"/>
      <c r="U1980" s="5"/>
      <c r="V1980" s="5"/>
      <c r="W1980" s="5"/>
      <c r="X1980" s="5"/>
      <c r="Y1980" s="5"/>
    </row>
    <row r="1981" spans="13:25" ht="22">
      <c r="M1981" s="26" t="s">
        <v>58</v>
      </c>
      <c r="N1981" s="25" t="s">
        <v>51</v>
      </c>
      <c r="O1981" s="26" t="s">
        <v>1722</v>
      </c>
      <c r="P1981" s="26"/>
      <c r="Q1981" s="26"/>
      <c r="R1981" s="5"/>
      <c r="S1981" s="5"/>
      <c r="T1981" s="5"/>
      <c r="U1981" s="5"/>
      <c r="V1981" s="5"/>
      <c r="W1981" s="5"/>
      <c r="X1981" s="5"/>
      <c r="Y1981" s="5"/>
    </row>
    <row r="1982" spans="13:25" ht="22">
      <c r="M1982" s="26" t="s">
        <v>58</v>
      </c>
      <c r="N1982" s="25" t="s">
        <v>51</v>
      </c>
      <c r="O1982" s="26" t="s">
        <v>1723</v>
      </c>
      <c r="P1982" s="26"/>
      <c r="Q1982" s="26"/>
      <c r="R1982" s="5"/>
      <c r="S1982" s="5"/>
      <c r="T1982" s="5"/>
      <c r="U1982" s="5"/>
      <c r="V1982" s="5"/>
      <c r="W1982" s="5"/>
      <c r="X1982" s="5"/>
      <c r="Y1982" s="5"/>
    </row>
    <row r="1983" spans="13:25" ht="22">
      <c r="M1983" s="26" t="s">
        <v>58</v>
      </c>
      <c r="N1983" s="25" t="s">
        <v>51</v>
      </c>
      <c r="O1983" s="26" t="s">
        <v>1724</v>
      </c>
      <c r="P1983" s="26"/>
      <c r="Q1983" s="26"/>
      <c r="R1983" s="5"/>
      <c r="S1983" s="5"/>
      <c r="T1983" s="5"/>
      <c r="U1983" s="5"/>
      <c r="V1983" s="5"/>
      <c r="W1983" s="5"/>
      <c r="X1983" s="5"/>
      <c r="Y1983" s="5"/>
    </row>
    <row r="1984" spans="13:25" ht="44">
      <c r="M1984" s="26" t="s">
        <v>58</v>
      </c>
      <c r="N1984" s="25" t="s">
        <v>51</v>
      </c>
      <c r="O1984" s="26" t="s">
        <v>1725</v>
      </c>
      <c r="P1984" s="26"/>
      <c r="Q1984" s="26"/>
      <c r="R1984" s="5"/>
      <c r="S1984" s="5"/>
      <c r="T1984" s="5"/>
      <c r="U1984" s="5"/>
      <c r="V1984" s="5"/>
      <c r="W1984" s="5"/>
      <c r="X1984" s="5"/>
      <c r="Y1984" s="5"/>
    </row>
    <row r="1985" spans="13:25" ht="22">
      <c r="M1985" s="26" t="s">
        <v>58</v>
      </c>
      <c r="N1985" s="25" t="s">
        <v>51</v>
      </c>
      <c r="O1985" s="26" t="s">
        <v>1726</v>
      </c>
      <c r="P1985" s="26"/>
      <c r="Q1985" s="26"/>
      <c r="R1985" s="5"/>
      <c r="S1985" s="5"/>
      <c r="T1985" s="5"/>
      <c r="U1985" s="5"/>
      <c r="V1985" s="5"/>
      <c r="W1985" s="5"/>
      <c r="X1985" s="5"/>
      <c r="Y1985" s="5"/>
    </row>
    <row r="1986" spans="13:25" ht="44">
      <c r="M1986" s="26" t="s">
        <v>58</v>
      </c>
      <c r="N1986" s="25" t="s">
        <v>51</v>
      </c>
      <c r="O1986" s="26" t="s">
        <v>1727</v>
      </c>
      <c r="P1986" s="26"/>
      <c r="Q1986" s="26"/>
      <c r="R1986" s="5"/>
      <c r="S1986" s="5"/>
      <c r="T1986" s="5"/>
      <c r="U1986" s="5"/>
      <c r="V1986" s="5"/>
      <c r="W1986" s="5"/>
      <c r="X1986" s="5"/>
      <c r="Y1986" s="5"/>
    </row>
    <row r="1987" spans="13:25" ht="55">
      <c r="M1987" s="26" t="s">
        <v>58</v>
      </c>
      <c r="N1987" s="25" t="s">
        <v>51</v>
      </c>
      <c r="O1987" s="26" t="s">
        <v>1728</v>
      </c>
      <c r="P1987" s="26"/>
      <c r="Q1987" s="26"/>
      <c r="R1987" s="5"/>
      <c r="S1987" s="5"/>
      <c r="T1987" s="5"/>
      <c r="U1987" s="5"/>
      <c r="V1987" s="5"/>
      <c r="W1987" s="5"/>
      <c r="X1987" s="5"/>
      <c r="Y1987" s="5"/>
    </row>
    <row r="1988" spans="13:25" ht="154">
      <c r="M1988" s="26" t="s">
        <v>58</v>
      </c>
      <c r="N1988" s="25" t="s">
        <v>51</v>
      </c>
      <c r="O1988" s="26" t="s">
        <v>1729</v>
      </c>
      <c r="P1988" s="26"/>
      <c r="Q1988" s="26"/>
      <c r="R1988" s="5"/>
      <c r="S1988" s="5"/>
      <c r="T1988" s="5"/>
      <c r="U1988" s="5"/>
      <c r="V1988" s="5"/>
      <c r="W1988" s="5"/>
      <c r="X1988" s="5"/>
      <c r="Y1988" s="5"/>
    </row>
    <row r="1989" spans="13:25" ht="33">
      <c r="M1989" s="26" t="s">
        <v>58</v>
      </c>
      <c r="N1989" s="25" t="s">
        <v>51</v>
      </c>
      <c r="O1989" s="26" t="s">
        <v>1730</v>
      </c>
      <c r="P1989" s="26"/>
      <c r="Q1989" s="26"/>
      <c r="R1989" s="5"/>
      <c r="S1989" s="5"/>
      <c r="T1989" s="5"/>
      <c r="U1989" s="5"/>
      <c r="V1989" s="5"/>
      <c r="W1989" s="5"/>
      <c r="X1989" s="5"/>
      <c r="Y1989" s="5"/>
    </row>
    <row r="1990" spans="13:25" ht="22">
      <c r="M1990" s="26" t="s">
        <v>58</v>
      </c>
      <c r="N1990" s="25" t="s">
        <v>51</v>
      </c>
      <c r="O1990" s="26" t="s">
        <v>1731</v>
      </c>
      <c r="P1990" s="26"/>
      <c r="Q1990" s="26"/>
      <c r="R1990" s="5"/>
      <c r="S1990" s="5"/>
      <c r="T1990" s="5"/>
      <c r="U1990" s="5"/>
      <c r="V1990" s="5"/>
      <c r="W1990" s="5"/>
      <c r="X1990" s="5"/>
      <c r="Y1990" s="5"/>
    </row>
    <row r="1991" spans="13:25" ht="22">
      <c r="M1991" s="26" t="s">
        <v>58</v>
      </c>
      <c r="N1991" s="25" t="s">
        <v>51</v>
      </c>
      <c r="O1991" s="26" t="s">
        <v>1732</v>
      </c>
      <c r="P1991" s="26"/>
      <c r="Q1991" s="26"/>
      <c r="R1991" s="5"/>
      <c r="S1991" s="5"/>
      <c r="T1991" s="5"/>
      <c r="U1991" s="5"/>
      <c r="V1991" s="5"/>
      <c r="W1991" s="5"/>
      <c r="X1991" s="5"/>
      <c r="Y1991" s="5"/>
    </row>
    <row r="1992" spans="13:25" ht="22">
      <c r="M1992" s="26" t="s">
        <v>58</v>
      </c>
      <c r="N1992" s="25" t="s">
        <v>51</v>
      </c>
      <c r="O1992" s="26" t="s">
        <v>1733</v>
      </c>
      <c r="P1992" s="26"/>
      <c r="Q1992" s="26"/>
      <c r="R1992" s="5"/>
      <c r="S1992" s="5"/>
      <c r="T1992" s="5"/>
      <c r="U1992" s="5"/>
      <c r="V1992" s="5"/>
      <c r="W1992" s="5"/>
      <c r="X1992" s="5"/>
      <c r="Y1992" s="5"/>
    </row>
    <row r="1993" spans="13:25" ht="22">
      <c r="M1993" s="26" t="s">
        <v>58</v>
      </c>
      <c r="N1993" s="25" t="s">
        <v>70</v>
      </c>
      <c r="O1993" s="26" t="s">
        <v>1734</v>
      </c>
      <c r="P1993" s="26"/>
      <c r="Q1993" s="26"/>
      <c r="R1993" s="5"/>
      <c r="S1993" s="5"/>
      <c r="T1993" s="5"/>
      <c r="U1993" s="5"/>
      <c r="V1993" s="5"/>
      <c r="W1993" s="5"/>
      <c r="X1993" s="5"/>
      <c r="Y1993" s="5"/>
    </row>
    <row r="1994" spans="13:25" ht="77">
      <c r="M1994" s="26" t="s">
        <v>58</v>
      </c>
      <c r="N1994" s="25" t="s">
        <v>51</v>
      </c>
      <c r="O1994" s="26" t="s">
        <v>1735</v>
      </c>
      <c r="P1994" s="26"/>
      <c r="Q1994" s="26"/>
      <c r="R1994" s="5"/>
      <c r="S1994" s="5"/>
      <c r="T1994" s="5"/>
      <c r="U1994" s="5"/>
      <c r="V1994" s="5"/>
      <c r="W1994" s="5"/>
      <c r="X1994" s="5"/>
      <c r="Y1994" s="5"/>
    </row>
    <row r="1995" spans="13:25" ht="22">
      <c r="M1995" s="26" t="s">
        <v>58</v>
      </c>
      <c r="N1995" s="25" t="s">
        <v>51</v>
      </c>
      <c r="O1995" s="26" t="s">
        <v>1736</v>
      </c>
      <c r="P1995" s="26"/>
      <c r="Q1995" s="26"/>
      <c r="R1995" s="5"/>
      <c r="S1995" s="5"/>
      <c r="T1995" s="5"/>
      <c r="U1995" s="5"/>
      <c r="V1995" s="5"/>
      <c r="W1995" s="5"/>
      <c r="X1995" s="5"/>
      <c r="Y1995" s="5"/>
    </row>
    <row r="1996" spans="13:25" ht="22">
      <c r="M1996" s="26" t="s">
        <v>58</v>
      </c>
      <c r="N1996" s="25" t="s">
        <v>51</v>
      </c>
      <c r="O1996" s="26" t="s">
        <v>1737</v>
      </c>
      <c r="P1996" s="26"/>
      <c r="Q1996" s="26"/>
      <c r="R1996" s="5"/>
      <c r="S1996" s="5"/>
      <c r="T1996" s="5"/>
      <c r="U1996" s="5"/>
      <c r="V1996" s="5"/>
      <c r="W1996" s="5"/>
      <c r="X1996" s="5"/>
      <c r="Y1996" s="5"/>
    </row>
    <row r="1997" spans="13:25" ht="66">
      <c r="M1997" s="26" t="s">
        <v>58</v>
      </c>
      <c r="N1997" s="25" t="s">
        <v>51</v>
      </c>
      <c r="O1997" s="26" t="s">
        <v>1738</v>
      </c>
      <c r="P1997" s="26"/>
      <c r="Q1997" s="26"/>
      <c r="R1997" s="5"/>
      <c r="S1997" s="5"/>
      <c r="T1997" s="5"/>
      <c r="U1997" s="5"/>
      <c r="V1997" s="5"/>
      <c r="W1997" s="5"/>
      <c r="X1997" s="5"/>
      <c r="Y1997" s="5"/>
    </row>
    <row r="1998" spans="13:25" ht="33">
      <c r="M1998" s="26" t="s">
        <v>58</v>
      </c>
      <c r="N1998" s="25" t="s">
        <v>51</v>
      </c>
      <c r="O1998" s="26" t="s">
        <v>1739</v>
      </c>
      <c r="P1998" s="26"/>
      <c r="Q1998" s="26"/>
      <c r="R1998" s="5"/>
      <c r="S1998" s="5"/>
      <c r="T1998" s="5"/>
      <c r="U1998" s="5"/>
      <c r="V1998" s="5"/>
      <c r="W1998" s="5"/>
      <c r="X1998" s="5"/>
      <c r="Y1998" s="5"/>
    </row>
    <row r="1999" spans="13:25" ht="44">
      <c r="M1999" s="26" t="s">
        <v>58</v>
      </c>
      <c r="N1999" s="25" t="s">
        <v>51</v>
      </c>
      <c r="O1999" s="26" t="s">
        <v>1740</v>
      </c>
      <c r="P1999" s="26"/>
      <c r="Q1999" s="26"/>
      <c r="R1999" s="5"/>
      <c r="S1999" s="5"/>
      <c r="T1999" s="5"/>
      <c r="U1999" s="5"/>
      <c r="V1999" s="5"/>
      <c r="W1999" s="5"/>
      <c r="X1999" s="5"/>
      <c r="Y1999" s="5"/>
    </row>
    <row r="2000" spans="13:25" ht="22">
      <c r="M2000" s="26" t="s">
        <v>58</v>
      </c>
      <c r="N2000" s="25" t="s">
        <v>51</v>
      </c>
      <c r="O2000" s="26" t="s">
        <v>1741</v>
      </c>
      <c r="P2000" s="26"/>
      <c r="Q2000" s="26"/>
      <c r="R2000" s="5"/>
      <c r="S2000" s="5"/>
      <c r="T2000" s="5"/>
      <c r="U2000" s="5"/>
      <c r="V2000" s="5"/>
      <c r="W2000" s="5"/>
      <c r="X2000" s="5"/>
      <c r="Y2000" s="5"/>
    </row>
    <row r="2001" spans="13:25" ht="66">
      <c r="M2001" s="26" t="s">
        <v>58</v>
      </c>
      <c r="N2001" s="25" t="s">
        <v>51</v>
      </c>
      <c r="O2001" s="26" t="s">
        <v>1742</v>
      </c>
      <c r="P2001" s="26"/>
      <c r="Q2001" s="26"/>
      <c r="R2001" s="5"/>
      <c r="S2001" s="5"/>
      <c r="T2001" s="5"/>
      <c r="U2001" s="5"/>
      <c r="V2001" s="5"/>
      <c r="W2001" s="5"/>
      <c r="X2001" s="5"/>
      <c r="Y2001" s="5"/>
    </row>
    <row r="2002" spans="13:25" ht="66">
      <c r="M2002" s="26" t="s">
        <v>58</v>
      </c>
      <c r="N2002" s="25" t="s">
        <v>51</v>
      </c>
      <c r="O2002" s="26" t="s">
        <v>172</v>
      </c>
      <c r="P2002" s="26"/>
      <c r="Q2002" s="26"/>
      <c r="R2002" s="5"/>
      <c r="S2002" s="5"/>
      <c r="T2002" s="5"/>
      <c r="U2002" s="5"/>
      <c r="V2002" s="5"/>
      <c r="W2002" s="5"/>
      <c r="X2002" s="5"/>
      <c r="Y2002" s="5"/>
    </row>
    <row r="2003" spans="13:25" ht="33">
      <c r="M2003" s="26" t="s">
        <v>58</v>
      </c>
      <c r="N2003" s="25" t="s">
        <v>51</v>
      </c>
      <c r="O2003" s="26" t="s">
        <v>1743</v>
      </c>
      <c r="P2003" s="26"/>
      <c r="Q2003" s="26"/>
      <c r="R2003" s="5"/>
      <c r="S2003" s="5"/>
      <c r="T2003" s="5"/>
      <c r="U2003" s="5"/>
      <c r="V2003" s="5"/>
      <c r="W2003" s="5"/>
      <c r="X2003" s="5"/>
      <c r="Y2003" s="5"/>
    </row>
    <row r="2004" spans="13:25" ht="33">
      <c r="M2004" s="26" t="s">
        <v>58</v>
      </c>
      <c r="N2004" s="25" t="s">
        <v>51</v>
      </c>
      <c r="O2004" s="26" t="s">
        <v>1744</v>
      </c>
      <c r="P2004" s="26"/>
      <c r="Q2004" s="26"/>
      <c r="R2004" s="5"/>
      <c r="S2004" s="5"/>
      <c r="T2004" s="5"/>
      <c r="U2004" s="5"/>
      <c r="V2004" s="5"/>
      <c r="W2004" s="5"/>
      <c r="X2004" s="5"/>
      <c r="Y2004" s="5"/>
    </row>
    <row r="2005" spans="13:25" ht="33">
      <c r="M2005" s="26" t="s">
        <v>58</v>
      </c>
      <c r="N2005" s="25" t="s">
        <v>51</v>
      </c>
      <c r="O2005" s="26" t="s">
        <v>1745</v>
      </c>
      <c r="P2005" s="26"/>
      <c r="Q2005" s="26"/>
      <c r="R2005" s="5"/>
      <c r="S2005" s="5"/>
      <c r="T2005" s="5"/>
      <c r="U2005" s="5"/>
      <c r="V2005" s="5"/>
      <c r="W2005" s="5"/>
      <c r="X2005" s="5"/>
      <c r="Y2005" s="5"/>
    </row>
    <row r="2006" spans="13:25" ht="33">
      <c r="M2006" s="26" t="s">
        <v>58</v>
      </c>
      <c r="N2006" s="25" t="s">
        <v>51</v>
      </c>
      <c r="O2006" s="26" t="s">
        <v>1746</v>
      </c>
      <c r="P2006" s="26"/>
      <c r="Q2006" s="26"/>
      <c r="R2006" s="5"/>
      <c r="S2006" s="5"/>
      <c r="T2006" s="5"/>
      <c r="U2006" s="5"/>
      <c r="V2006" s="5"/>
      <c r="W2006" s="5"/>
      <c r="X2006" s="5"/>
      <c r="Y2006" s="5"/>
    </row>
    <row r="2007" spans="13:25" ht="22">
      <c r="M2007" s="26" t="s">
        <v>58</v>
      </c>
      <c r="N2007" s="25" t="s">
        <v>51</v>
      </c>
      <c r="O2007" s="26" t="s">
        <v>1747</v>
      </c>
      <c r="P2007" s="26"/>
      <c r="Q2007" s="26"/>
      <c r="R2007" s="5"/>
      <c r="S2007" s="5"/>
      <c r="T2007" s="5"/>
      <c r="U2007" s="5"/>
      <c r="V2007" s="5"/>
      <c r="W2007" s="5"/>
      <c r="X2007" s="5"/>
      <c r="Y2007" s="5"/>
    </row>
    <row r="2008" spans="13:25" ht="22">
      <c r="M2008" s="26" t="s">
        <v>58</v>
      </c>
      <c r="N2008" s="25" t="s">
        <v>51</v>
      </c>
      <c r="O2008" s="26" t="s">
        <v>1748</v>
      </c>
      <c r="P2008" s="26"/>
      <c r="Q2008" s="26"/>
      <c r="R2008" s="5"/>
      <c r="S2008" s="5"/>
      <c r="T2008" s="5"/>
      <c r="U2008" s="5"/>
      <c r="V2008" s="5"/>
      <c r="W2008" s="5"/>
      <c r="X2008" s="5"/>
      <c r="Y2008" s="5"/>
    </row>
    <row r="2009" spans="13:25" ht="22">
      <c r="M2009" s="26" t="s">
        <v>58</v>
      </c>
      <c r="N2009" s="25" t="s">
        <v>51</v>
      </c>
      <c r="O2009" s="26" t="s">
        <v>1749</v>
      </c>
      <c r="P2009" s="26"/>
      <c r="Q2009" s="26"/>
      <c r="R2009" s="5"/>
      <c r="S2009" s="5"/>
      <c r="T2009" s="5"/>
      <c r="U2009" s="5"/>
      <c r="V2009" s="5"/>
      <c r="W2009" s="5"/>
      <c r="X2009" s="5"/>
      <c r="Y2009" s="5"/>
    </row>
    <row r="2010" spans="13:25" ht="22">
      <c r="M2010" s="26" t="s">
        <v>58</v>
      </c>
      <c r="N2010" s="25" t="s">
        <v>51</v>
      </c>
      <c r="O2010" s="26" t="s">
        <v>1750</v>
      </c>
      <c r="P2010" s="26"/>
      <c r="Q2010" s="26"/>
      <c r="R2010" s="5"/>
      <c r="S2010" s="5"/>
      <c r="T2010" s="5"/>
      <c r="U2010" s="5"/>
      <c r="V2010" s="5"/>
      <c r="W2010" s="5"/>
      <c r="X2010" s="5"/>
      <c r="Y2010" s="5"/>
    </row>
    <row r="2011" spans="13:25" ht="22">
      <c r="M2011" s="26" t="s">
        <v>58</v>
      </c>
      <c r="N2011" s="25" t="s">
        <v>51</v>
      </c>
      <c r="O2011" s="26" t="s">
        <v>1751</v>
      </c>
      <c r="P2011" s="26"/>
      <c r="Q2011" s="26"/>
      <c r="R2011" s="5"/>
      <c r="S2011" s="5"/>
      <c r="T2011" s="5"/>
      <c r="U2011" s="5"/>
      <c r="V2011" s="5"/>
      <c r="W2011" s="5"/>
      <c r="X2011" s="5"/>
      <c r="Y2011" s="5"/>
    </row>
    <row r="2012" spans="13:25" ht="22">
      <c r="M2012" s="26" t="s">
        <v>58</v>
      </c>
      <c r="N2012" s="25" t="s">
        <v>51</v>
      </c>
      <c r="O2012" s="26" t="s">
        <v>1752</v>
      </c>
      <c r="P2012" s="26"/>
      <c r="Q2012" s="26"/>
      <c r="R2012" s="5"/>
      <c r="S2012" s="5"/>
      <c r="T2012" s="5"/>
      <c r="U2012" s="5"/>
      <c r="V2012" s="5"/>
      <c r="W2012" s="5"/>
      <c r="X2012" s="5"/>
      <c r="Y2012" s="5"/>
    </row>
    <row r="2013" spans="13:25" ht="22">
      <c r="M2013" s="26" t="s">
        <v>58</v>
      </c>
      <c r="N2013" s="25" t="s">
        <v>51</v>
      </c>
      <c r="O2013" s="26" t="s">
        <v>1753</v>
      </c>
      <c r="P2013" s="26"/>
      <c r="Q2013" s="26"/>
      <c r="R2013" s="5"/>
      <c r="S2013" s="5"/>
      <c r="T2013" s="5"/>
      <c r="U2013" s="5"/>
      <c r="V2013" s="5"/>
      <c r="W2013" s="5"/>
      <c r="X2013" s="5"/>
      <c r="Y2013" s="5"/>
    </row>
    <row r="2014" spans="13:25" ht="22">
      <c r="M2014" s="26" t="s">
        <v>58</v>
      </c>
      <c r="N2014" s="25" t="s">
        <v>51</v>
      </c>
      <c r="O2014" s="26" t="s">
        <v>1754</v>
      </c>
      <c r="P2014" s="26"/>
      <c r="Q2014" s="26"/>
      <c r="R2014" s="5"/>
      <c r="S2014" s="5"/>
      <c r="T2014" s="5"/>
      <c r="U2014" s="5"/>
      <c r="V2014" s="5"/>
      <c r="W2014" s="5"/>
      <c r="X2014" s="5"/>
      <c r="Y2014" s="5"/>
    </row>
    <row r="2015" spans="13:25" ht="99">
      <c r="M2015" s="26" t="s">
        <v>58</v>
      </c>
      <c r="N2015" s="25" t="s">
        <v>65</v>
      </c>
      <c r="O2015" s="26" t="s">
        <v>1755</v>
      </c>
      <c r="P2015" s="26"/>
      <c r="Q2015" s="26"/>
      <c r="R2015" s="5"/>
      <c r="S2015" s="5"/>
      <c r="T2015" s="5"/>
      <c r="U2015" s="5"/>
      <c r="V2015" s="5"/>
      <c r="W2015" s="5"/>
      <c r="X2015" s="5"/>
      <c r="Y2015" s="5"/>
    </row>
    <row r="2016" spans="13:25" ht="55">
      <c r="M2016" s="26" t="s">
        <v>72</v>
      </c>
      <c r="N2016" s="25" t="s">
        <v>72</v>
      </c>
      <c r="O2016" s="26" t="s">
        <v>1756</v>
      </c>
      <c r="P2016" s="26"/>
      <c r="Q2016" s="26"/>
      <c r="R2016" s="5"/>
      <c r="S2016" s="5"/>
      <c r="T2016" s="5"/>
      <c r="U2016" s="5"/>
      <c r="V2016" s="5"/>
      <c r="W2016" s="5"/>
      <c r="X2016" s="5"/>
      <c r="Y2016" s="5"/>
    </row>
    <row r="2017" spans="13:25" ht="409.6">
      <c r="M2017" s="26" t="s">
        <v>88</v>
      </c>
      <c r="N2017" s="25" t="s">
        <v>85</v>
      </c>
      <c r="O2017" s="26"/>
      <c r="P2017" s="26" t="s">
        <v>1757</v>
      </c>
      <c r="Q2017" s="26"/>
      <c r="R2017" s="5"/>
      <c r="S2017" s="5"/>
      <c r="T2017" s="5"/>
      <c r="U2017" s="5"/>
      <c r="V2017" s="5"/>
      <c r="W2017" s="5"/>
      <c r="X2017" s="5"/>
      <c r="Y2017" s="5"/>
    </row>
    <row r="2018" spans="13:25" ht="110">
      <c r="M2018" s="26" t="s">
        <v>88</v>
      </c>
      <c r="N2018" s="25" t="s">
        <v>85</v>
      </c>
      <c r="O2018" s="26"/>
      <c r="P2018" s="26" t="s">
        <v>1758</v>
      </c>
      <c r="Q2018" s="26"/>
      <c r="R2018" s="5"/>
      <c r="S2018" s="5"/>
      <c r="T2018" s="5"/>
      <c r="U2018" s="5"/>
      <c r="V2018" s="5"/>
      <c r="W2018" s="5"/>
      <c r="X2018" s="5"/>
      <c r="Y2018" s="5"/>
    </row>
    <row r="2019" spans="13:25" ht="22">
      <c r="M2019" s="26" t="s">
        <v>88</v>
      </c>
      <c r="N2019" s="25" t="s">
        <v>85</v>
      </c>
      <c r="O2019" s="26"/>
      <c r="P2019" s="26" t="s">
        <v>1759</v>
      </c>
      <c r="Q2019" s="26"/>
      <c r="R2019" s="5"/>
      <c r="S2019" s="5"/>
      <c r="T2019" s="5"/>
      <c r="U2019" s="5"/>
      <c r="V2019" s="5"/>
      <c r="W2019" s="5"/>
      <c r="X2019" s="5"/>
      <c r="Y2019" s="5"/>
    </row>
  </sheetData>
  <dataConsolidate link="1"/>
  <phoneticPr fontId="7" type="noConversion"/>
  <dataValidations count="1">
    <dataValidation type="list" allowBlank="1" showInputMessage="1" showErrorMessage="1" sqref="D11:D12" xr:uid="{7CDE8A36-724B-4925-A61E-74AA45AC6735}">
      <formula1>"O,X"</formula1>
    </dataValidation>
  </dataValidations>
  <pageMargins left="0.7" right="0.7" top="0.75" bottom="0.75" header="0.3" footer="0.3"/>
  <pageSetup paperSize="9" orientation="portrait" r:id="rId1"/>
  <headerFooter>
    <oddFooter>&amp;C_x000D_&amp;1#&amp;"Calibri"&amp;8&amp;K000000 Aernnova Group confidential information. Limited use on a need-to-know basis. All rights reserved.</oddFooter>
  </headerFooter>
  <tableParts count="2">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C9D80E-A159-48DF-8B3B-CCA7AC0E838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6</vt:i4>
      </vt:variant>
    </vt:vector>
  </HeadingPairs>
  <TitlesOfParts>
    <vt:vector size="8" baseType="lpstr">
      <vt:lpstr>F_Asg2</vt:lpstr>
      <vt:lpstr>InOutData</vt:lpstr>
      <vt:lpstr>LngS</vt:lpstr>
      <vt:lpstr>OsyS</vt:lpstr>
      <vt:lpstr>PrjX_Id</vt:lpstr>
      <vt:lpstr>Pth</vt:lpstr>
      <vt:lpstr>Vrs</vt:lpstr>
      <vt:lpstr>VrsStd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PEREZ GIL, DIEGO</dc:creator>
  <cp:lastModifiedBy>Dídac Pérez Gil</cp:lastModifiedBy>
  <dcterms:created xsi:type="dcterms:W3CDTF">2024-11-27T21:01:14Z</dcterms:created>
  <dcterms:modified xsi:type="dcterms:W3CDTF">2025-03-23T16:59:20Z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c37234c-be34-48e6-861e-3e7763cedb77_Enabled">
    <vt:lpwstr>true</vt:lpwstr>
  </property>
  <property fmtid="{D5CDD505-2E9C-101B-9397-08002B2CF9AE}" pid="3" name="MSIP_Label_5c37234c-be34-48e6-861e-3e7763cedb77_SetDate">
    <vt:lpwstr>2024-11-27T21:12:17Z</vt:lpwstr>
  </property>
  <property fmtid="{D5CDD505-2E9C-101B-9397-08002B2CF9AE}" pid="4" name="MSIP_Label_5c37234c-be34-48e6-861e-3e7763cedb77_Method">
    <vt:lpwstr>Standard</vt:lpwstr>
  </property>
  <property fmtid="{D5CDD505-2E9C-101B-9397-08002B2CF9AE}" pid="5" name="MSIP_Label_5c37234c-be34-48e6-861e-3e7763cedb77_Name">
    <vt:lpwstr>5c37234c-be34-48e6-861e-3e7763cedb77</vt:lpwstr>
  </property>
  <property fmtid="{D5CDD505-2E9C-101B-9397-08002B2CF9AE}" pid="6" name="MSIP_Label_5c37234c-be34-48e6-861e-3e7763cedb77_SiteId">
    <vt:lpwstr>d2f1cc5e-9343-4a8e-9ce4-c0d8869b1510</vt:lpwstr>
  </property>
  <property fmtid="{D5CDD505-2E9C-101B-9397-08002B2CF9AE}" pid="7" name="MSIP_Label_5c37234c-be34-48e6-861e-3e7763cedb77_ActionId">
    <vt:lpwstr>df13cce9-065a-45f2-a3a1-b0c78434566d</vt:lpwstr>
  </property>
  <property fmtid="{D5CDD505-2E9C-101B-9397-08002B2CF9AE}" pid="8" name="MSIP_Label_5c37234c-be34-48e6-861e-3e7763cedb77_ContentBits">
    <vt:lpwstr>2</vt:lpwstr>
  </property>
</Properties>
</file>