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30B6315D-30DD-498E-A388-E7FDCC814C63}" xr6:coauthVersionLast="47" xr6:coauthVersionMax="47" xr10:uidLastSave="{00000000-0000-0000-0000-000000000000}"/>
  <bookViews>
    <workbookView xWindow="-120" yWindow="-120" windowWidth="29040" windowHeight="16440" xr2:uid="{297D7BA2-BECB-4341-8C02-04545B231939}"/>
  </bookViews>
  <sheets>
    <sheet name="InOutData" sheetId="3" r:id="rId1"/>
  </sheets>
  <functionGroups builtInGroupCount="19"/>
  <definedNames>
    <definedName name="_xlnm._FilterDatabase" localSheetId="0" hidden="1">InOutData!#REF!</definedName>
    <definedName name="_xlpm.x" hidden="1" xlm="1">#NAME?</definedName>
    <definedName name="ExternalData_1" localSheetId="0" hidden="1">InOutData!#REF!</definedName>
    <definedName name="LngS">InOutData!$K$2</definedName>
    <definedName name="LvE">InOutData!$C$4</definedName>
    <definedName name="OsyS">InOutData!$K$3</definedName>
    <definedName name="Prj0_Id">InOutData!$C$11</definedName>
    <definedName name="Prj0M_Id">InOutData!$E$11</definedName>
    <definedName name="Prj1_Id">InOutData!$C$12</definedName>
    <definedName name="Prj1M_Id">InOutData!$E$12</definedName>
    <definedName name="Prj2_Id">InOutData!$C$13</definedName>
    <definedName name="Prj2M_Id">InOutData!$E$13</definedName>
    <definedName name="PrjX_Id">InOutData!$C$6</definedName>
    <definedName name="Pth">InOutData!$C$2</definedName>
    <definedName name="Vrs">InOutData!$C$7</definedName>
    <definedName name="VrsXpl">InOutData!$C$8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3" l="1"/>
  <c r="E12" i="3"/>
  <c r="E11" i="3"/>
  <c r="C6" i="3"/>
  <c r="G3" i="3" s="1" a="1"/>
  <c r="G3" i="3" s="1"/>
  <c r="K1" i="3"/>
  <c r="K2" i="3"/>
  <c r="K3" i="3" a="1"/>
  <c r="D5" i="3" a="1"/>
  <c r="K3" i="3" l="1"/>
  <c r="C3" i="3" s="1"/>
  <c r="C4" i="3"/>
  <c r="D5" i="3"/>
  <c r="C5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D50926-A8C4-417F-9F55-FDFD64356A3F}" keepAlive="1" name="Query - PF_Std" description="Connection to the 'PF_Std' query in the workbook." type="5" refreshedVersion="0" background="1">
    <dbPr connection="Provider=Microsoft.Mashup.OleDb.1;Data Source=$Workbook$;Location=PF_Std;Extended Properties=&quot;&quot;" command="SELECT * FROM [PF_Std]"/>
  </connection>
  <connection id="2" xr16:uid="{E28AAEC9-4F01-4E25-AAE8-D3216BE95CB3}" keepAlive="1" name="Query - SF_Std" description="Connection to the 'SF_Std' query in the workbook." type="5" refreshedVersion="0" background="1">
    <dbPr connection="Provider=Microsoft.Mashup.OleDb.1;Data Source=$Workbook$;Location=SF_Std;Extended Properties=&quot;&quot;" command="SELECT * FROM [SF_Std]"/>
  </connection>
  <connection id="3" xr16:uid="{CF802950-30F1-4BE1-A352-07F8ECB2FC72}" keepAlive="1" name="Query - TbStd0" description="Connection to the 'TbStd0' query in the workbook." type="5" refreshedVersion="0" background="1">
    <dbPr connection="Provider=Microsoft.Mashup.OleDb.1;Data Source=$Workbook$;Location=TbStd0;Extended Properties=&quot;&quot;" command="SELECT * FROM [TbStd0]"/>
  </connection>
  <connection id="4" xr16:uid="{719665EC-A73F-43DF-9D09-266899435F57}" keepAlive="1" name="Query - TbStd1" description="Connection to the 'TbStd1' query in the workbook." type="5" refreshedVersion="0" background="1">
    <dbPr connection="Provider=Microsoft.Mashup.OleDb.1;Data Source=$Workbook$;Location=TbStd1;Extended Properties=&quot;&quot;" command="SELECT * FROM [TbStd1]"/>
  </connection>
  <connection id="5" xr16:uid="{A0FE656F-ED8C-43C6-9A88-A5C62C5B4AF3}" keepAlive="1" name="Query - TbStd2" description="Connection to the 'TbStd2' query in the workbook." type="5" refreshedVersion="0" background="1">
    <dbPr connection="Provider=Microsoft.Mashup.OleDb.1;Data Source=$Workbook$;Location=TbStd2;Extended Properties=&quot;&quot;" command="SELECT * FROM [TbStd2]"/>
  </connection>
  <connection id="6" xr16:uid="{3E0A6AF8-1E30-4D52-8EB5-F720C229B991}" keepAlive="1" name="Query - TbStd5" description="Connection to the 'TbStd5' query in the workbook." type="5" refreshedVersion="0" background="1">
    <dbPr connection="Provider=Microsoft.Mashup.OleDb.1;Data Source=$Workbook$;Location=TbStd5;Extended Properties=&quot;&quot;" command="SELECT * FROM [TbStd5]"/>
  </connection>
  <connection id="7" xr16:uid="{8606A863-4F64-4235-AB50-F13030A435D4}" keepAlive="1" name="Query - TbStd6" description="Connection to the 'TbStd6' query in the workbook." type="5" refreshedVersion="8" background="1" saveData="1">
    <dbPr connection="Provider=Microsoft.Mashup.OleDb.1;Data Source=$Workbook$;Location=TbStd6;Extended Properties=&quot;&quot;" command="SELECT * FROM [TbStd6]"/>
  </connection>
  <connection id="8" xr16:uid="{418C8F6F-D5F1-447D-82B5-234D128CD48B}" keepAlive="1" name="Query - TF_Std" description="Connection to the 'TF_Std' query in the workbook." type="5" refreshedVersion="0" background="1">
    <dbPr connection="Provider=Microsoft.Mashup.OleDb.1;Data Source=$Workbook$;Location=TF_Std;Extended Properties=&quot;&quot;" command="SELECT * FROM [TF_St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<sst xmlns="http://schemas.openxmlformats.org/spreadsheetml/2006/main" count="458" uniqueCount="242">
  <si>
    <t>EOL</t>
  </si>
  <si>
    <t>PathName</t>
  </si>
  <si>
    <t>SelPrj</t>
  </si>
  <si>
    <t>LngS</t>
  </si>
  <si>
    <t>SOR</t>
  </si>
  <si>
    <t>Windows System</t>
  </si>
  <si>
    <t>English Version</t>
  </si>
  <si>
    <t>Sheet Name</t>
  </si>
  <si>
    <t>Multi</t>
  </si>
  <si>
    <t>Version</t>
  </si>
  <si>
    <t>Attribute</t>
  </si>
  <si>
    <t>Spain</t>
  </si>
  <si>
    <t>ValSp</t>
  </si>
  <si>
    <t>Mexico</t>
  </si>
  <si>
    <t>ValMx</t>
  </si>
  <si>
    <t>Main</t>
  </si>
  <si>
    <t>Auxiliary 0</t>
  </si>
  <si>
    <t>O</t>
  </si>
  <si>
    <t>X</t>
  </si>
  <si>
    <t>Auxiliary 1</t>
  </si>
  <si>
    <t>Auxiliary 2</t>
  </si>
  <si>
    <t>31199</t>
  </si>
  <si>
    <t>ItmId</t>
  </si>
  <si>
    <t>AsgTyp</t>
  </si>
  <si>
    <t>104175</t>
  </si>
  <si>
    <t>Transfer. Stock</t>
  </si>
  <si>
    <t>117340</t>
  </si>
  <si>
    <t>126940</t>
  </si>
  <si>
    <t>139196</t>
  </si>
  <si>
    <t>139609</t>
  </si>
  <si>
    <t>140841</t>
  </si>
  <si>
    <t>140937</t>
  </si>
  <si>
    <t>141144</t>
  </si>
  <si>
    <t>141614</t>
  </si>
  <si>
    <t>141728</t>
  </si>
  <si>
    <t>142314</t>
  </si>
  <si>
    <t>142333</t>
  </si>
  <si>
    <t>143030</t>
  </si>
  <si>
    <t>100752</t>
  </si>
  <si>
    <t>100954</t>
  </si>
  <si>
    <t>100977</t>
  </si>
  <si>
    <t>100979</t>
  </si>
  <si>
    <t>100980</t>
  </si>
  <si>
    <t>101282</t>
  </si>
  <si>
    <t>101287</t>
  </si>
  <si>
    <t>101289</t>
  </si>
  <si>
    <t>101290</t>
  </si>
  <si>
    <t>101291</t>
  </si>
  <si>
    <t>101299</t>
  </si>
  <si>
    <t>101306</t>
  </si>
  <si>
    <t>101331</t>
  </si>
  <si>
    <t>101373</t>
  </si>
  <si>
    <t>101374</t>
  </si>
  <si>
    <t>101375</t>
  </si>
  <si>
    <t>101376</t>
  </si>
  <si>
    <t>101377</t>
  </si>
  <si>
    <t>101378</t>
  </si>
  <si>
    <t>101404</t>
  </si>
  <si>
    <t>101444</t>
  </si>
  <si>
    <t>101445</t>
  </si>
  <si>
    <t>101446</t>
  </si>
  <si>
    <t>101447</t>
  </si>
  <si>
    <t>101448</t>
  </si>
  <si>
    <t>101450</t>
  </si>
  <si>
    <t>101451</t>
  </si>
  <si>
    <t>101452</t>
  </si>
  <si>
    <t>101457</t>
  </si>
  <si>
    <t>101458</t>
  </si>
  <si>
    <t>101462</t>
  </si>
  <si>
    <t>101471</t>
  </si>
  <si>
    <t>101472</t>
  </si>
  <si>
    <t>101473</t>
  </si>
  <si>
    <t>101599</t>
  </si>
  <si>
    <t>101600</t>
  </si>
  <si>
    <t>101601</t>
  </si>
  <si>
    <t>101602</t>
  </si>
  <si>
    <t>101609</t>
  </si>
  <si>
    <t>103133</t>
  </si>
  <si>
    <t>103147</t>
  </si>
  <si>
    <t>104075</t>
  </si>
  <si>
    <t>104148</t>
  </si>
  <si>
    <t>104150</t>
  </si>
  <si>
    <t>104153</t>
  </si>
  <si>
    <t>104161</t>
  </si>
  <si>
    <t>104186</t>
  </si>
  <si>
    <t>104189</t>
  </si>
  <si>
    <t>104201</t>
  </si>
  <si>
    <t>104202</t>
  </si>
  <si>
    <t>104207</t>
  </si>
  <si>
    <t>104224</t>
  </si>
  <si>
    <t>104226</t>
  </si>
  <si>
    <t>104227</t>
  </si>
  <si>
    <t>104240</t>
  </si>
  <si>
    <t>104241</t>
  </si>
  <si>
    <t>104242</t>
  </si>
  <si>
    <t>104244</t>
  </si>
  <si>
    <t>104249</t>
  </si>
  <si>
    <t>104250</t>
  </si>
  <si>
    <t>104253</t>
  </si>
  <si>
    <t>104267</t>
  </si>
  <si>
    <t>104280</t>
  </si>
  <si>
    <t>104283</t>
  </si>
  <si>
    <t>104284</t>
  </si>
  <si>
    <t>104292</t>
  </si>
  <si>
    <t>104303</t>
  </si>
  <si>
    <t>104304</t>
  </si>
  <si>
    <t>104447</t>
  </si>
  <si>
    <t>104448</t>
  </si>
  <si>
    <t>104600</t>
  </si>
  <si>
    <t>104606</t>
  </si>
  <si>
    <t>104607</t>
  </si>
  <si>
    <t>104608</t>
  </si>
  <si>
    <t>104619</t>
  </si>
  <si>
    <t>104620</t>
  </si>
  <si>
    <t>104635</t>
  </si>
  <si>
    <t>104636</t>
  </si>
  <si>
    <t>104637</t>
  </si>
  <si>
    <t>104639</t>
  </si>
  <si>
    <t>104652</t>
  </si>
  <si>
    <t>104654</t>
  </si>
  <si>
    <t>104656</t>
  </si>
  <si>
    <t>104659</t>
  </si>
  <si>
    <t>104662</t>
  </si>
  <si>
    <t>104666</t>
  </si>
  <si>
    <t>104670</t>
  </si>
  <si>
    <t>104672</t>
  </si>
  <si>
    <t>104674</t>
  </si>
  <si>
    <t>104675</t>
  </si>
  <si>
    <t>104690</t>
  </si>
  <si>
    <t>104693</t>
  </si>
  <si>
    <t>104724</t>
  </si>
  <si>
    <t>104725</t>
  </si>
  <si>
    <t>104744</t>
  </si>
  <si>
    <t>104815</t>
  </si>
  <si>
    <t>104825</t>
  </si>
  <si>
    <t>104831</t>
  </si>
  <si>
    <t>104832</t>
  </si>
  <si>
    <t>104839</t>
  </si>
  <si>
    <t>104840</t>
  </si>
  <si>
    <t>104843</t>
  </si>
  <si>
    <t>105028</t>
  </si>
  <si>
    <t>105034</t>
  </si>
  <si>
    <t>105039</t>
  </si>
  <si>
    <t>105040</t>
  </si>
  <si>
    <t>105041</t>
  </si>
  <si>
    <t>105045</t>
  </si>
  <si>
    <t>105049</t>
  </si>
  <si>
    <t>105050</t>
  </si>
  <si>
    <t>105051</t>
  </si>
  <si>
    <t>105052</t>
  </si>
  <si>
    <t>105057</t>
  </si>
  <si>
    <t>105058</t>
  </si>
  <si>
    <t>105063</t>
  </si>
  <si>
    <t>105065</t>
  </si>
  <si>
    <t>105073</t>
  </si>
  <si>
    <t>105144</t>
  </si>
  <si>
    <t>105202</t>
  </si>
  <si>
    <t>105242</t>
  </si>
  <si>
    <t>105244</t>
  </si>
  <si>
    <t>105280</t>
  </si>
  <si>
    <t>105281</t>
  </si>
  <si>
    <t>105284</t>
  </si>
  <si>
    <t>105307</t>
  </si>
  <si>
    <t>105437</t>
  </si>
  <si>
    <t>105974</t>
  </si>
  <si>
    <t>105976</t>
  </si>
  <si>
    <t>105977</t>
  </si>
  <si>
    <t>105978</t>
  </si>
  <si>
    <t>109064</t>
  </si>
  <si>
    <t>109117</t>
  </si>
  <si>
    <t>109118</t>
  </si>
  <si>
    <t>110595</t>
  </si>
  <si>
    <t>110597</t>
  </si>
  <si>
    <t>110646</t>
  </si>
  <si>
    <t>111097</t>
  </si>
  <si>
    <t>111098</t>
  </si>
  <si>
    <t>111988</t>
  </si>
  <si>
    <t>111997</t>
  </si>
  <si>
    <t>113104</t>
  </si>
  <si>
    <t>114743</t>
  </si>
  <si>
    <t>116021</t>
  </si>
  <si>
    <t>116238</t>
  </si>
  <si>
    <t>116239</t>
  </si>
  <si>
    <t>116240</t>
  </si>
  <si>
    <t>116470</t>
  </si>
  <si>
    <t>116471</t>
  </si>
  <si>
    <t>116472</t>
  </si>
  <si>
    <t>116571</t>
  </si>
  <si>
    <t>117037</t>
  </si>
  <si>
    <t>117346</t>
  </si>
  <si>
    <t>117352</t>
  </si>
  <si>
    <t>117356</t>
  </si>
  <si>
    <t>118970</t>
  </si>
  <si>
    <t>120687</t>
  </si>
  <si>
    <t>123065</t>
  </si>
  <si>
    <t>123172</t>
  </si>
  <si>
    <t>123182</t>
  </si>
  <si>
    <t>123184</t>
  </si>
  <si>
    <t>123191</t>
  </si>
  <si>
    <t>123198</t>
  </si>
  <si>
    <t>123199</t>
  </si>
  <si>
    <t>123200</t>
  </si>
  <si>
    <t>123207</t>
  </si>
  <si>
    <t>123216</t>
  </si>
  <si>
    <t>123231</t>
  </si>
  <si>
    <t>125211</t>
  </si>
  <si>
    <t>125853</t>
  </si>
  <si>
    <t>126030</t>
  </si>
  <si>
    <t>126192</t>
  </si>
  <si>
    <t>126208</t>
  </si>
  <si>
    <t>126209</t>
  </si>
  <si>
    <t>128588</t>
  </si>
  <si>
    <t>131028</t>
  </si>
  <si>
    <t>131368</t>
  </si>
  <si>
    <t>132962</t>
  </si>
  <si>
    <t>132970</t>
  </si>
  <si>
    <t>132975</t>
  </si>
  <si>
    <t>133813</t>
  </si>
  <si>
    <t>134545</t>
  </si>
  <si>
    <t>137115</t>
  </si>
  <si>
    <t>142076</t>
  </si>
  <si>
    <t>143073</t>
  </si>
  <si>
    <t>21006.00.001.004</t>
  </si>
  <si>
    <t>21020.00.201.201</t>
  </si>
  <si>
    <t>21020.00.300.011</t>
  </si>
  <si>
    <t>21020.00.300.210</t>
  </si>
  <si>
    <t>21020.00.300.411</t>
  </si>
  <si>
    <t>21020.00.300.610</t>
  </si>
  <si>
    <t>21020.00.400.010</t>
  </si>
  <si>
    <t>21020.00.400.011</t>
  </si>
  <si>
    <t>21020.00.400.401</t>
  </si>
  <si>
    <t>21020.00.401.420</t>
  </si>
  <si>
    <t>21020.00.401.430</t>
  </si>
  <si>
    <t>21020.00.401.810</t>
  </si>
  <si>
    <t>30991.00.419.000</t>
  </si>
  <si>
    <t>71254.02.210.016</t>
  </si>
  <si>
    <t>94500.10.671.002</t>
  </si>
  <si>
    <t>Cur</t>
  </si>
  <si>
    <t>101263</t>
  </si>
  <si>
    <t>Estándar</t>
  </si>
  <si>
    <t>CstDet3</t>
  </si>
  <si>
    <t>Version Xplode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</si>
</sst>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0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10"/>
      <name val="Arial Nova Cond Light"/>
      <family val="2"/>
    </font>
    <font>
      <sz val="8"/>
      <name val="Arial Nova Cond Light"/>
      <family val="2"/>
    </font>
    <font>
      <sz val="8"/>
      <color theme="0" tint="-0.499984740745262"/>
      <name val="Arial Nova Cond Light"/>
      <family val="2"/>
    </font>
    <font>
      <sz val="12"/>
      <color indexed="24"/>
      <name val="Times New Roman"/>
      <family val="1"/>
    </font>
    <font>
      <sz val="8"/>
      <color indexed="24"/>
      <name val="Arial Nova Cond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5">
    <xf numFmtId="0" fontId="0" fillId="0" borderId="0"/>
    <xf numFmtId="0" fontId="3" fillId="0" borderId="0"/>
    <xf numFmtId="0" fontId="5" fillId="0" borderId="0"/>
    <xf numFmtId="0" fontId="5" fillId="0" borderId="0"/>
    <xf numFmtId="0" fontId="10" fillId="0" borderId="0"/>
  </cellStyleXfs>
  <cellXfs count="40">
    <xf numFmtId="0" fontId="0" fillId="0" borderId="0" xfId="0"/>
    <xf numFmtId="0" fontId="4" fillId="2" borderId="0" xfId="1" applyFont="1" applyFill="1" applyAlignment="1">
      <alignment horizontal="center" vertical="top" textRotation="90"/>
    </xf>
    <xf numFmtId="0" fontId="6" fillId="2" borderId="0" xfId="2" applyFont="1" applyFill="1" applyAlignment="1">
      <alignment horizontal="center" vertical="top" textRotation="90"/>
    </xf>
    <xf numFmtId="0" fontId="6" fillId="2" borderId="0" xfId="1" applyFont="1" applyFill="1" applyAlignment="1">
      <alignment horizontal="center" vertical="top" textRotation="90"/>
    </xf>
    <xf numFmtId="0" fontId="1" fillId="3" borderId="1" xfId="1" applyFont="1" applyFill="1" applyBorder="1" applyAlignment="1">
      <alignment horizontal="left" vertical="top" textRotation="90"/>
    </xf>
    <xf numFmtId="0" fontId="1" fillId="4" borderId="2" xfId="1" applyFont="1" applyFill="1" applyBorder="1" applyAlignment="1">
      <alignment horizontal="left" vertical="top" textRotation="90" wrapText="1"/>
    </xf>
    <xf numFmtId="0" fontId="7" fillId="0" borderId="0" xfId="2" applyFont="1" applyAlignment="1">
      <alignment vertical="top"/>
    </xf>
    <xf numFmtId="0" fontId="1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8" fillId="0" borderId="0" xfId="2" applyFont="1" applyAlignment="1">
      <alignment horizontal="left" vertical="top" textRotation="90"/>
    </xf>
    <xf numFmtId="0" fontId="2" fillId="5" borderId="0" xfId="3" applyFont="1" applyFill="1" applyAlignment="1">
      <alignment horizontal="center" vertical="center" textRotation="90"/>
    </xf>
    <xf numFmtId="0" fontId="1" fillId="3" borderId="3" xfId="1" applyFont="1" applyFill="1" applyBorder="1" applyAlignment="1">
      <alignment vertical="top"/>
    </xf>
    <xf numFmtId="0" fontId="1" fillId="4" borderId="4" xfId="1" applyFont="1" applyFill="1" applyBorder="1" applyAlignment="1">
      <alignment horizontal="left" vertical="top"/>
    </xf>
    <xf numFmtId="0" fontId="1" fillId="3" borderId="0" xfId="1" applyFont="1" applyFill="1" applyAlignment="1">
      <alignment horizontal="left" vertical="top"/>
    </xf>
    <xf numFmtId="0" fontId="8" fillId="0" borderId="0" xfId="2" applyFont="1"/>
    <xf numFmtId="0" fontId="1" fillId="3" borderId="5" xfId="1" applyFont="1" applyFill="1" applyBorder="1" applyAlignment="1">
      <alignment vertical="top"/>
    </xf>
    <xf numFmtId="0" fontId="1" fillId="4" borderId="6" xfId="1" applyFont="1" applyFill="1" applyBorder="1" applyAlignment="1">
      <alignment horizontal="left" vertical="top"/>
    </xf>
    <xf numFmtId="0" fontId="8" fillId="0" borderId="0" xfId="3" applyFont="1"/>
    <xf numFmtId="0" fontId="9" fillId="0" borderId="0" xfId="1" applyFont="1" applyAlignment="1">
      <alignment horizontal="left" vertical="top" shrinkToFit="1"/>
    </xf>
    <xf numFmtId="0" fontId="8" fillId="0" borderId="0" xfId="3" applyFont="1" applyAlignment="1">
      <alignment vertical="center"/>
    </xf>
    <xf numFmtId="0" fontId="1" fillId="4" borderId="6" xfId="1" applyFont="1" applyFill="1" applyBorder="1" applyAlignment="1">
      <alignment horizontal="left" vertical="top" shrinkToFit="1"/>
    </xf>
    <xf numFmtId="0" fontId="0" fillId="3" borderId="3" xfId="1" applyFont="1" applyFill="1" applyBorder="1" applyAlignment="1">
      <alignment vertical="top"/>
    </xf>
    <xf numFmtId="0" fontId="1" fillId="0" borderId="0" xfId="1" applyFont="1" applyAlignment="1">
      <alignment horizontal="left" vertical="top"/>
    </xf>
    <xf numFmtId="3" fontId="11" fillId="0" borderId="0" xfId="4" applyNumberFormat="1" applyFont="1"/>
    <xf numFmtId="0" fontId="8" fillId="0" borderId="0" xfId="1" applyFont="1" applyAlignment="1">
      <alignment horizontal="center" vertical="top"/>
    </xf>
    <xf numFmtId="0" fontId="5" fillId="0" borderId="0" xfId="2"/>
    <xf numFmtId="0" fontId="8" fillId="0" borderId="7" xfId="1" applyFont="1" applyBorder="1" applyAlignment="1">
      <alignment horizontal="center" vertical="top"/>
    </xf>
    <xf numFmtId="0" fontId="8" fillId="0" borderId="12" xfId="1" applyFont="1" applyBorder="1" applyAlignment="1">
      <alignment horizontal="center" vertical="top"/>
    </xf>
    <xf numFmtId="0" fontId="8" fillId="0" borderId="14" xfId="1" applyFont="1" applyBorder="1" applyAlignment="1">
      <alignment horizontal="center" vertical="top"/>
    </xf>
    <xf numFmtId="0" fontId="8" fillId="0" borderId="15" xfId="1" applyFont="1" applyBorder="1" applyAlignment="1">
      <alignment horizontal="center" vertical="top"/>
    </xf>
    <xf numFmtId="0" fontId="8" fillId="3" borderId="8" xfId="1" applyFont="1" applyFill="1" applyBorder="1" applyAlignment="1">
      <alignment vertical="top"/>
    </xf>
    <xf numFmtId="0" fontId="8" fillId="3" borderId="9" xfId="1" applyFont="1" applyFill="1" applyBorder="1" applyAlignment="1">
      <alignment horizontal="center" vertical="top"/>
    </xf>
    <xf numFmtId="0" fontId="8" fillId="3" borderId="10" xfId="1" applyFont="1" applyFill="1" applyBorder="1" applyAlignment="1">
      <alignment horizontal="center" vertical="top"/>
    </xf>
    <xf numFmtId="0" fontId="8" fillId="3" borderId="11" xfId="1" applyFont="1" applyFill="1" applyBorder="1" applyAlignment="1">
      <alignment vertical="top"/>
    </xf>
    <xf numFmtId="0" fontId="8" fillId="6" borderId="7" xfId="1" applyFont="1" applyFill="1" applyBorder="1" applyAlignment="1">
      <alignment horizontal="left" vertical="top"/>
    </xf>
    <xf numFmtId="0" fontId="8" fillId="3" borderId="7" xfId="1" quotePrefix="1" applyFont="1" applyFill="1" applyBorder="1" applyAlignment="1">
      <alignment horizontal="left" vertical="top"/>
    </xf>
    <xf numFmtId="0" fontId="8" fillId="3" borderId="13" xfId="1" applyFont="1" applyFill="1" applyBorder="1" applyAlignment="1">
      <alignment vertical="top"/>
    </xf>
    <xf numFmtId="0" fontId="8" fillId="6" borderId="14" xfId="1" applyFont="1" applyFill="1" applyBorder="1" applyAlignment="1">
      <alignment horizontal="left" vertical="top"/>
    </xf>
    <xf numFmtId="0" fontId="8" fillId="3" borderId="14" xfId="1" quotePrefix="1" applyFont="1" applyFill="1" applyBorder="1" applyAlignment="1">
      <alignment horizontal="left" vertical="top"/>
    </xf>
    <xf numFmtId="0" fontId="0" fillId="0" borderId="0" xfId="0" applyAlignment="1">
      <alignment horizontal="left" vertical="top" textRotation="90"/>
    </xf>
  </cellXfs>
  <cellStyles count="5">
    <cellStyle name="Normal" xfId="0" builtinId="0"/>
    <cellStyle name="Normal 2" xfId="2" xr:uid="{40701F6E-59A5-4A41-9A3D-BF827E7F91C9}"/>
    <cellStyle name="Normal 3" xfId="3" xr:uid="{800D87C4-79AC-4F1C-B3B8-0D2E7EDA501C}"/>
    <cellStyle name="Normal 8" xfId="1" xr:uid="{733F192E-9158-4D36-961D-95F1FC1DFA07}"/>
    <cellStyle name="Normal_ED0D" xfId="4" xr:uid="{896827B7-E720-4786-8D3C-1C192F53484A}"/>
  </cellStyles>
  <dxfs count="18">
    <dxf>
      <font>
        <strike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27" formatCode="dd/mm/yyyy\ h:mm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fill>
        <patternFill patternType="solid">
          <fgColor indexed="64"/>
          <bgColor theme="0" tint="-0.499984740745262"/>
        </patternFill>
      </fill>
      <alignment vertical="top" indent="0" justifyLastLine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164" formatCode="dd/mm/yy\ hh:mm:ss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fill>
        <patternFill patternType="solid">
          <fgColor indexed="64"/>
          <bgColor rgb="FFFFFF00"/>
        </patternFill>
      </fill>
      <alignment vertical="top" indent="0" justifyLastLine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vertical="top" indent="0" justifyLastLine="0" readingOrder="0"/>
    </dxf>
    <dxf>
      <border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vertical="top" indent="0" justifyLastLine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132062-FC31-4C1D-B29F-4B66E487883B}" name="FilData" displayName="FilData" ref="B10:G13" totalsRowShown="0" headerRowDxfId="15" dataDxfId="13" headerRowBorderDxfId="14" tableBorderDxfId="12" totalsRowBorderDxfId="11">
  <autoFilter ref="B10:G13" xr:uid="{7208533D-FF39-41E3-AB10-6E02C80A58F9}"/>
  <tableColumns count="6">
    <tableColumn id="1" xr3:uid="{571B3577-D6B9-4564-BE8B-F9A2CCE8F37C}" name="Attribute" dataDxfId="10" dataCellStyle="Normal 8"/>
    <tableColumn id="2" xr3:uid="{FE6C9DF4-47E2-42F9-92B5-6C4BD9BF13C2}" name="Spain" dataDxfId="9" dataCellStyle="Normal 8"/>
    <tableColumn id="3" xr3:uid="{75271BD0-4CFB-4604-87B9-324882BF7255}" name="ValSp" dataDxfId="8"/>
    <tableColumn id="4" xr3:uid="{DF3E301F-F170-4EEE-8339-E1EABB098FDC}" name="Mexico" dataDxfId="7" dataCellStyle="Normal 8"/>
    <tableColumn id="5" xr3:uid="{280CD0FA-93E6-4638-B4F4-87C27AC6AA5D}" name="ValMx" dataDxfId="6" dataCellStyle="Normal 8"/>
    <tableColumn id="6" xr3:uid="{6D935B82-C9EA-412D-9692-DDBF0C4B0148}" name="Main" dataDxfId="5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C90123-398D-48A4-8099-6A2423075E07}" name="CstDet3" displayName="CstDet3" ref="N2:P215" totalsRowShown="0" headerRowDxfId="4" dataDxfId="3">
  <autoFilter ref="N2:P215" xr:uid="{84C90123-398D-48A4-8099-6A2423075E07}"/>
  <tableColumns count="3">
    <tableColumn id="1" xr3:uid="{E4D9342A-9972-4613-A1DC-A89EB3B0D03A}" name="ItmId" dataDxfId="2"/>
    <tableColumn id="2" xr3:uid="{478170BB-2714-416D-BF79-E99751F7F028}" name="AsgTyp" dataDxfId="1"/>
    <tableColumn id="3" xr3:uid="{D06971E9-ECC5-4D40-B17D-B7CE3C538022}" name="Cu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2EA8-3194-445B-9012-415CE4D6EEA3}">
  <sheetPr codeName="Sheet12"/>
  <dimension ref="A1:P215"/>
  <sheetViews>
    <sheetView tabSelected="1" topLeftCell="F1" zoomScale="156" workbookViewId="0">
      <selection activeCell="S2" sqref="S2"/>
    </sheetView>
  </sheetViews>
  <sheetFormatPr defaultColWidth="16" defaultRowHeight="11.25" x14ac:dyDescent="0.2"/>
  <cols>
    <col min="1" max="1" width="2.796875" style="1" bestFit="1" customWidth="1"/>
    <col min="2" max="2" width="14.19921875" style="7" customWidth="1"/>
    <col min="3" max="3" width="13.59765625" style="22" bestFit="1" customWidth="1"/>
    <col min="4" max="4" width="28.59765625" style="6" customWidth="1"/>
    <col min="5" max="5" width="11.59765625" style="6" bestFit="1" customWidth="1"/>
    <col min="6" max="6" width="10.59765625" style="22" bestFit="1" customWidth="1"/>
    <col min="7" max="7" width="8.19921875" style="6" customWidth="1"/>
    <col min="8" max="8" width="6" style="8" bestFit="1" customWidth="1"/>
    <col min="9" max="9" width="16" style="7"/>
    <col min="10" max="10" width="3.19921875" style="14" bestFit="1" customWidth="1"/>
    <col min="11" max="11" width="3.19921875" style="17" bestFit="1" customWidth="1"/>
    <col min="12" max="12" width="16" style="14"/>
    <col min="13" max="13" width="3.19921875" style="14" bestFit="1" customWidth="1"/>
    <col min="14" max="14" width="16" style="7"/>
    <col min="15" max="15" width="13" style="7" bestFit="1" customWidth="1"/>
    <col min="16" max="16" width="7.3984375" style="7" bestFit="1" customWidth="1"/>
    <col min="17" max="16384" width="16" style="7"/>
  </cols>
  <sheetData>
    <row r="1" spans="1:16" s="1" customFormat="1" ht="12.75" thickBot="1" x14ac:dyDescent="0.25">
      <c r="D1" s="2"/>
      <c r="E1" s="2"/>
      <c r="G1" s="2"/>
      <c r="H1" s="3"/>
      <c r="I1" s="1" t="s">
        <v>0</v>
      </c>
      <c r="K1" s="1" t="str">
        <f>IF(TRUE,"LNG","LNG")</f>
        <v>LNG</v>
      </c>
    </row>
    <row r="2" spans="1:16" ht="45.75" x14ac:dyDescent="0.2">
      <c r="B2" s="4" t="s">
        <v>1</v>
      </c>
      <c r="C2" s="5" t="str">
        <f ca="1">LEFT($D$5,FIND("[",$D$5)-1)</f>
        <v>C:\Users\127839\Downloads\Story\DataTracker\Projects\</v>
      </c>
      <c r="F2" s="7"/>
      <c r="G2" s="4" t="s">
        <v>2</v>
      </c>
      <c r="J2" s="9" t="s">
        <v>3</v>
      </c>
      <c r="K2" s="10" t="str">
        <f>IF(Detect_Language()=1033,"R","F")</f>
        <v>R</v>
      </c>
      <c r="L2" s="9"/>
      <c r="M2" s="9" t="s">
        <v>240</v>
      </c>
      <c r="N2" s="39" t="s">
        <v>22</v>
      </c>
      <c r="O2" s="39" t="s">
        <v>23</v>
      </c>
      <c r="P2" s="39" t="s">
        <v>237</v>
      </c>
    </row>
    <row r="3" spans="1:16" ht="12.75" x14ac:dyDescent="0.2">
      <c r="A3" s="1" t="s">
        <v>4</v>
      </c>
      <c r="B3" s="11" t="s">
        <v>5</v>
      </c>
      <c r="C3" s="12" t="b">
        <f>(OsyS&lt;&gt;"M")</f>
        <v>1</v>
      </c>
      <c r="F3" s="7"/>
      <c r="G3" s="13" t="str" cm="1">
        <f t="array" ref="G3:G5">_xlfn._xlws.SORT(_xlfn.UNIQUE(TRANSPOSE(_xlfn.TEXTSPLIT(PrjX_Id,":"))))</f>
        <v>31199</v>
      </c>
      <c r="K3" s="10" t="str" cm="1">
        <f t="array" ref="K3">LEFT(Detect_OS(),1)</f>
        <v>W</v>
      </c>
      <c r="N3" t="s">
        <v>62</v>
      </c>
      <c r="O3" t="s">
        <v>239</v>
      </c>
      <c r="P3">
        <v>3.5000000000000003E-2</v>
      </c>
    </row>
    <row r="4" spans="1:16" x14ac:dyDescent="0.2">
      <c r="B4" s="15" t="s">
        <v>6</v>
      </c>
      <c r="C4" s="16" t="b">
        <f>(LngS="R")</f>
        <v>1</v>
      </c>
      <c r="D4" s="8"/>
      <c r="E4" s="8"/>
      <c r="F4" s="7"/>
      <c r="G4" s="13" t="str">
        <v>31200</v>
      </c>
      <c r="N4" t="s">
        <v>38</v>
      </c>
      <c r="O4" t="s">
        <v>239</v>
      </c>
      <c r="P4">
        <v>1.2170000000000001</v>
      </c>
    </row>
    <row r="5" spans="1:16" ht="12.75" x14ac:dyDescent="0.2">
      <c r="B5" s="15" t="s">
        <v>7</v>
      </c>
      <c r="C5" s="16" t="str">
        <f ca="1">_xlfn.TEXTAFTER(D5,"]")</f>
        <v>InOutData</v>
      </c>
      <c r="D5" s="18" t="str" cm="1">
        <f t="array" aca="1" ref="D5" ca="1">CELL("filename",INDIRECT("A1"))</f>
        <v>C:\Users\127839\Downloads\Story\DataTracker\Projects\[ItmStd_V01.xlsm]InOutData</v>
      </c>
      <c r="F5" s="7"/>
      <c r="G5" s="13" t="str">
        <v>X</v>
      </c>
      <c r="K5" s="19"/>
      <c r="N5" t="s">
        <v>169</v>
      </c>
      <c r="O5" t="s">
        <v>239</v>
      </c>
      <c r="P5">
        <v>1.0999999999999999E-2</v>
      </c>
    </row>
    <row r="6" spans="1:16" ht="12.75" x14ac:dyDescent="0.2">
      <c r="B6" s="11" t="s">
        <v>8</v>
      </c>
      <c r="C6" s="20" t="str">
        <f>IF($D$11="X","X",Prj0_Id)&amp;":"&amp;IF($D$12="X","X",Prj1_Id)&amp;":"&amp;IF($D$13="X","X",Prj2_Id)</f>
        <v>31200:X:31199</v>
      </c>
      <c r="F6" s="7"/>
      <c r="K6" s="19"/>
      <c r="N6" t="s">
        <v>39</v>
      </c>
      <c r="O6" t="s">
        <v>239</v>
      </c>
      <c r="P6">
        <v>7.1099999999999997E-2</v>
      </c>
    </row>
    <row r="7" spans="1:16" ht="12.75" x14ac:dyDescent="0.2">
      <c r="B7" s="21" t="s">
        <v>9</v>
      </c>
      <c r="C7" s="20">
        <v>3</v>
      </c>
      <c r="F7" s="7"/>
      <c r="K7" s="19"/>
      <c r="N7" t="s">
        <v>74</v>
      </c>
      <c r="O7" t="s">
        <v>239</v>
      </c>
      <c r="P7">
        <v>1.45</v>
      </c>
    </row>
    <row r="8" spans="1:16" ht="12.75" x14ac:dyDescent="0.2">
      <c r="B8" s="21" t="s">
        <v>241</v>
      </c>
      <c r="C8" s="20">
        <v>1</v>
      </c>
      <c r="F8" s="7"/>
      <c r="K8" s="23"/>
      <c r="N8" t="s">
        <v>40</v>
      </c>
      <c r="O8" t="s">
        <v>239</v>
      </c>
      <c r="P8">
        <v>1.0699999999999999E-2</v>
      </c>
    </row>
    <row r="9" spans="1:16" ht="12.75" x14ac:dyDescent="0.2">
      <c r="K9" s="23"/>
      <c r="N9" t="s">
        <v>49</v>
      </c>
      <c r="O9" t="s">
        <v>239</v>
      </c>
      <c r="P9">
        <v>1.103</v>
      </c>
    </row>
    <row r="10" spans="1:16" x14ac:dyDescent="0.2">
      <c r="B10" s="30" t="s">
        <v>10</v>
      </c>
      <c r="C10" s="31" t="s">
        <v>11</v>
      </c>
      <c r="D10" s="31" t="s">
        <v>12</v>
      </c>
      <c r="E10" s="31" t="s">
        <v>13</v>
      </c>
      <c r="F10" s="31" t="s">
        <v>14</v>
      </c>
      <c r="G10" s="32" t="s">
        <v>15</v>
      </c>
      <c r="K10" s="23"/>
      <c r="N10" t="s">
        <v>41</v>
      </c>
      <c r="O10" t="s">
        <v>239</v>
      </c>
      <c r="P10">
        <v>3.0800000000000001E-2</v>
      </c>
    </row>
    <row r="11" spans="1:16" x14ac:dyDescent="0.2">
      <c r="B11" s="33" t="s">
        <v>16</v>
      </c>
      <c r="C11" s="34">
        <v>31200</v>
      </c>
      <c r="D11" s="26" t="s">
        <v>17</v>
      </c>
      <c r="E11" s="34" t="str">
        <f>Prj0_Id&amp;"M"</f>
        <v>31200M</v>
      </c>
      <c r="F11" s="26" t="s">
        <v>18</v>
      </c>
      <c r="G11" s="27"/>
      <c r="H11" s="24"/>
      <c r="N11" t="s">
        <v>42</v>
      </c>
      <c r="O11" t="s">
        <v>239</v>
      </c>
      <c r="P11">
        <v>4.9700000000000001E-2</v>
      </c>
    </row>
    <row r="12" spans="1:16" x14ac:dyDescent="0.2">
      <c r="B12" s="33" t="s">
        <v>19</v>
      </c>
      <c r="C12" s="34" t="s">
        <v>18</v>
      </c>
      <c r="D12" s="26" t="s">
        <v>18</v>
      </c>
      <c r="E12" s="35" t="str">
        <f>_xlfn.LET(_xlpm.x,Prj1_Id,IF(_xlpm.x="X","X",_xlpm.x&amp;"M"))</f>
        <v>X</v>
      </c>
      <c r="F12" s="26" t="s">
        <v>18</v>
      </c>
      <c r="G12" s="27"/>
      <c r="H12" s="24"/>
      <c r="N12" t="s">
        <v>238</v>
      </c>
      <c r="O12" t="s">
        <v>239</v>
      </c>
      <c r="P12">
        <v>2.2050000000000001</v>
      </c>
    </row>
    <row r="13" spans="1:16" x14ac:dyDescent="0.2">
      <c r="B13" s="36" t="s">
        <v>20</v>
      </c>
      <c r="C13" s="37" t="s">
        <v>21</v>
      </c>
      <c r="D13" s="28" t="s">
        <v>17</v>
      </c>
      <c r="E13" s="38" t="str">
        <f>Prj2_Id&amp;"M"</f>
        <v>31199M</v>
      </c>
      <c r="F13" s="28" t="s">
        <v>18</v>
      </c>
      <c r="G13" s="29"/>
      <c r="N13" t="s">
        <v>43</v>
      </c>
      <c r="O13" t="s">
        <v>239</v>
      </c>
      <c r="P13">
        <v>0.09</v>
      </c>
    </row>
    <row r="14" spans="1:16" ht="12.75" x14ac:dyDescent="0.2">
      <c r="N14" t="s">
        <v>44</v>
      </c>
      <c r="O14" t="s">
        <v>239</v>
      </c>
      <c r="P14">
        <v>0.214</v>
      </c>
    </row>
    <row r="15" spans="1:16" ht="12.75" x14ac:dyDescent="0.2">
      <c r="B15" s="25"/>
      <c r="C15" s="25"/>
      <c r="D15" s="25"/>
      <c r="E15" s="25"/>
      <c r="F15" s="25"/>
      <c r="G15" s="25"/>
      <c r="N15" t="s">
        <v>45</v>
      </c>
      <c r="O15" t="s">
        <v>239</v>
      </c>
      <c r="P15">
        <v>0.24</v>
      </c>
    </row>
    <row r="16" spans="1:16" ht="12.75" x14ac:dyDescent="0.2">
      <c r="B16" s="25"/>
      <c r="C16" s="25"/>
      <c r="D16" s="25"/>
      <c r="E16" s="25"/>
      <c r="F16" s="25"/>
      <c r="G16" s="25"/>
      <c r="K16" s="23"/>
      <c r="N16" t="s">
        <v>234</v>
      </c>
      <c r="O16" t="s">
        <v>239</v>
      </c>
      <c r="P16">
        <v>0.221</v>
      </c>
    </row>
    <row r="17" spans="2:16" ht="12.75" x14ac:dyDescent="0.2">
      <c r="B17" s="25"/>
      <c r="C17" s="25"/>
      <c r="D17" s="25"/>
      <c r="E17" s="25"/>
      <c r="F17" s="25"/>
      <c r="G17" s="25"/>
      <c r="K17" s="23"/>
      <c r="N17" t="s">
        <v>46</v>
      </c>
      <c r="O17" t="s">
        <v>239</v>
      </c>
      <c r="P17">
        <v>0.255</v>
      </c>
    </row>
    <row r="18" spans="2:16" ht="12.75" x14ac:dyDescent="0.2">
      <c r="B18" s="25"/>
      <c r="C18" s="25"/>
      <c r="D18" s="25"/>
      <c r="E18" s="25"/>
      <c r="F18" s="25"/>
      <c r="G18" s="25"/>
      <c r="N18" t="s">
        <v>198</v>
      </c>
      <c r="O18" t="s">
        <v>239</v>
      </c>
      <c r="P18">
        <v>2.1949999999999998</v>
      </c>
    </row>
    <row r="19" spans="2:16" ht="12.75" x14ac:dyDescent="0.2">
      <c r="B19" s="25"/>
      <c r="C19" s="25"/>
      <c r="D19" s="25"/>
      <c r="E19" s="25"/>
      <c r="F19" s="25"/>
      <c r="G19" s="25"/>
      <c r="N19" t="s">
        <v>47</v>
      </c>
      <c r="O19" t="s">
        <v>239</v>
      </c>
      <c r="P19">
        <v>0.28000000000000003</v>
      </c>
    </row>
    <row r="20" spans="2:16" ht="12.75" x14ac:dyDescent="0.2">
      <c r="B20" s="25"/>
      <c r="C20" s="25"/>
      <c r="D20" s="25"/>
      <c r="E20" s="25"/>
      <c r="F20" s="25"/>
      <c r="G20" s="25"/>
      <c r="N20" t="s">
        <v>202</v>
      </c>
      <c r="O20" t="s">
        <v>239</v>
      </c>
      <c r="P20">
        <v>0.189</v>
      </c>
    </row>
    <row r="21" spans="2:16" ht="12.75" x14ac:dyDescent="0.2">
      <c r="B21" s="25"/>
      <c r="C21" s="25"/>
      <c r="D21" s="25"/>
      <c r="E21" s="25"/>
      <c r="F21" s="25"/>
      <c r="G21" s="25"/>
      <c r="N21" t="s">
        <v>48</v>
      </c>
      <c r="O21" t="s">
        <v>239</v>
      </c>
      <c r="P21">
        <v>0.75700000000000001</v>
      </c>
    </row>
    <row r="22" spans="2:16" ht="12.75" x14ac:dyDescent="0.2">
      <c r="B22" s="25"/>
      <c r="C22" s="25"/>
      <c r="D22" s="25"/>
      <c r="E22" s="25"/>
      <c r="F22" s="25"/>
      <c r="G22" s="25"/>
      <c r="N22" t="s">
        <v>215</v>
      </c>
      <c r="O22" t="s">
        <v>239</v>
      </c>
      <c r="P22">
        <v>0.13</v>
      </c>
    </row>
    <row r="23" spans="2:16" ht="12.75" x14ac:dyDescent="0.2">
      <c r="B23" s="25"/>
      <c r="C23" s="25"/>
      <c r="D23" s="25"/>
      <c r="E23" s="25"/>
      <c r="F23" s="25"/>
      <c r="G23" s="25"/>
      <c r="N23" t="s">
        <v>218</v>
      </c>
      <c r="O23" t="s">
        <v>239</v>
      </c>
      <c r="P23">
        <v>3.5000000000000003E-2</v>
      </c>
    </row>
    <row r="24" spans="2:16" ht="12.75" x14ac:dyDescent="0.2">
      <c r="B24" s="25"/>
      <c r="C24" s="25"/>
      <c r="D24" s="25"/>
      <c r="E24" s="25"/>
      <c r="F24" s="25"/>
      <c r="G24" s="25"/>
      <c r="N24" t="s">
        <v>50</v>
      </c>
      <c r="O24" t="s">
        <v>239</v>
      </c>
      <c r="P24">
        <v>6.0000000000000001E-3</v>
      </c>
    </row>
    <row r="25" spans="2:16" ht="12.75" x14ac:dyDescent="0.2">
      <c r="B25" s="25"/>
      <c r="C25" s="25"/>
      <c r="D25" s="25"/>
      <c r="E25" s="25"/>
      <c r="F25" s="25"/>
      <c r="G25" s="25"/>
      <c r="N25" t="s">
        <v>217</v>
      </c>
      <c r="O25" t="s">
        <v>239</v>
      </c>
      <c r="P25">
        <v>0.04</v>
      </c>
    </row>
    <row r="26" spans="2:16" ht="12.75" x14ac:dyDescent="0.2">
      <c r="B26" s="25"/>
      <c r="C26" s="25"/>
      <c r="D26" s="25"/>
      <c r="E26" s="25"/>
      <c r="F26" s="25"/>
      <c r="G26" s="25"/>
      <c r="N26" t="s">
        <v>51</v>
      </c>
      <c r="O26" t="s">
        <v>239</v>
      </c>
      <c r="P26">
        <v>1E-3</v>
      </c>
    </row>
    <row r="27" spans="2:16" ht="12.75" x14ac:dyDescent="0.2">
      <c r="N27" t="s">
        <v>220</v>
      </c>
      <c r="O27" t="s">
        <v>239</v>
      </c>
      <c r="P27">
        <v>4.4999999999999998E-2</v>
      </c>
    </row>
    <row r="28" spans="2:16" ht="12.75" x14ac:dyDescent="0.2">
      <c r="N28" t="s">
        <v>52</v>
      </c>
      <c r="O28" t="s">
        <v>239</v>
      </c>
      <c r="P28">
        <v>2.3E-3</v>
      </c>
    </row>
    <row r="29" spans="2:16" ht="12.75" x14ac:dyDescent="0.2">
      <c r="N29" t="s">
        <v>216</v>
      </c>
      <c r="O29" t="s">
        <v>239</v>
      </c>
      <c r="P29">
        <v>0.04</v>
      </c>
    </row>
    <row r="30" spans="2:16" ht="12.75" x14ac:dyDescent="0.2">
      <c r="N30" t="s">
        <v>53</v>
      </c>
      <c r="O30" t="s">
        <v>239</v>
      </c>
      <c r="P30">
        <v>1.9E-3</v>
      </c>
    </row>
    <row r="31" spans="2:16" ht="12.75" x14ac:dyDescent="0.2">
      <c r="N31" t="s">
        <v>213</v>
      </c>
      <c r="O31" t="s">
        <v>239</v>
      </c>
      <c r="P31">
        <v>0.05</v>
      </c>
    </row>
    <row r="32" spans="2:16" ht="12.75" x14ac:dyDescent="0.2">
      <c r="N32" t="s">
        <v>54</v>
      </c>
      <c r="O32" t="s">
        <v>239</v>
      </c>
      <c r="P32">
        <v>4.7999999999999996E-3</v>
      </c>
    </row>
    <row r="33" spans="14:16" ht="12.75" x14ac:dyDescent="0.2">
      <c r="N33" t="s">
        <v>57</v>
      </c>
      <c r="O33" t="s">
        <v>239</v>
      </c>
      <c r="P33">
        <v>1.29E-2</v>
      </c>
    </row>
    <row r="34" spans="14:16" ht="12.75" x14ac:dyDescent="0.2">
      <c r="N34" t="s">
        <v>55</v>
      </c>
      <c r="O34" t="s">
        <v>239</v>
      </c>
      <c r="P34">
        <v>7.0000000000000001E-3</v>
      </c>
    </row>
    <row r="35" spans="14:16" ht="12.75" x14ac:dyDescent="0.2">
      <c r="N35" t="s">
        <v>159</v>
      </c>
      <c r="O35" t="s">
        <v>239</v>
      </c>
      <c r="P35">
        <v>0.2</v>
      </c>
    </row>
    <row r="36" spans="14:16" ht="12.75" x14ac:dyDescent="0.2">
      <c r="N36" t="s">
        <v>56</v>
      </c>
      <c r="O36" t="s">
        <v>239</v>
      </c>
      <c r="P36">
        <v>1.35E-2</v>
      </c>
    </row>
    <row r="37" spans="14:16" ht="12.75" x14ac:dyDescent="0.2">
      <c r="N37" t="s">
        <v>77</v>
      </c>
      <c r="O37" t="s">
        <v>239</v>
      </c>
      <c r="P37">
        <v>1.351</v>
      </c>
    </row>
    <row r="38" spans="14:16" ht="12.75" x14ac:dyDescent="0.2">
      <c r="N38" t="s">
        <v>161</v>
      </c>
      <c r="O38" t="s">
        <v>239</v>
      </c>
      <c r="P38">
        <v>1.35</v>
      </c>
    </row>
    <row r="39" spans="14:16" ht="12.75" x14ac:dyDescent="0.2">
      <c r="N39" t="s">
        <v>58</v>
      </c>
      <c r="O39" t="s">
        <v>239</v>
      </c>
      <c r="P39">
        <v>2.3E-2</v>
      </c>
    </row>
    <row r="40" spans="14:16" ht="12.75" x14ac:dyDescent="0.2">
      <c r="N40" t="s">
        <v>122</v>
      </c>
      <c r="O40" t="s">
        <v>239</v>
      </c>
      <c r="P40">
        <v>0.113</v>
      </c>
    </row>
    <row r="41" spans="14:16" ht="12.75" x14ac:dyDescent="0.2">
      <c r="N41" t="s">
        <v>59</v>
      </c>
      <c r="O41" t="s">
        <v>239</v>
      </c>
      <c r="P41">
        <v>2.5000000000000001E-2</v>
      </c>
    </row>
    <row r="42" spans="14:16" ht="12.75" x14ac:dyDescent="0.2">
      <c r="N42" t="s">
        <v>67</v>
      </c>
      <c r="O42" t="s">
        <v>239</v>
      </c>
      <c r="P42">
        <v>3.9E-2</v>
      </c>
    </row>
    <row r="43" spans="14:16" ht="12.75" x14ac:dyDescent="0.2">
      <c r="N43" t="s">
        <v>60</v>
      </c>
      <c r="O43" t="s">
        <v>239</v>
      </c>
      <c r="P43">
        <v>2.5000000000000001E-2</v>
      </c>
    </row>
    <row r="44" spans="14:16" ht="12.75" x14ac:dyDescent="0.2">
      <c r="N44" t="s">
        <v>61</v>
      </c>
      <c r="O44" t="s">
        <v>239</v>
      </c>
      <c r="P44">
        <v>3.6999999999999998E-2</v>
      </c>
    </row>
    <row r="45" spans="14:16" ht="12.75" x14ac:dyDescent="0.2">
      <c r="N45" t="s">
        <v>166</v>
      </c>
      <c r="O45" t="s">
        <v>239</v>
      </c>
      <c r="P45">
        <v>2.1999999999999999E-2</v>
      </c>
    </row>
    <row r="46" spans="14:16" ht="12.75" x14ac:dyDescent="0.2">
      <c r="N46" t="s">
        <v>133</v>
      </c>
      <c r="O46" t="s">
        <v>239</v>
      </c>
      <c r="P46">
        <v>0.02</v>
      </c>
    </row>
    <row r="47" spans="14:16" ht="12.75" x14ac:dyDescent="0.2">
      <c r="N47" t="s">
        <v>63</v>
      </c>
      <c r="O47" t="s">
        <v>239</v>
      </c>
      <c r="P47">
        <v>2.63E-2</v>
      </c>
    </row>
    <row r="48" spans="14:16" ht="12.75" x14ac:dyDescent="0.2">
      <c r="N48" t="s">
        <v>167</v>
      </c>
      <c r="O48" t="s">
        <v>239</v>
      </c>
      <c r="P48">
        <v>3.3000000000000002E-2</v>
      </c>
    </row>
    <row r="49" spans="14:16" ht="12.75" x14ac:dyDescent="0.2">
      <c r="N49" t="s">
        <v>64</v>
      </c>
      <c r="O49" t="s">
        <v>239</v>
      </c>
      <c r="P49">
        <v>3.2000000000000001E-2</v>
      </c>
    </row>
    <row r="50" spans="14:16" ht="12.75" x14ac:dyDescent="0.2">
      <c r="N50" t="s">
        <v>78</v>
      </c>
      <c r="O50" t="s">
        <v>239</v>
      </c>
      <c r="P50">
        <v>0.17069999999999999</v>
      </c>
    </row>
    <row r="51" spans="14:16" ht="12.75" x14ac:dyDescent="0.2">
      <c r="N51" t="s">
        <v>65</v>
      </c>
      <c r="O51" t="s">
        <v>239</v>
      </c>
      <c r="P51">
        <v>5.6000000000000001E-2</v>
      </c>
    </row>
    <row r="52" spans="14:16" ht="12.75" x14ac:dyDescent="0.2">
      <c r="N52" t="s">
        <v>192</v>
      </c>
      <c r="O52" t="s">
        <v>239</v>
      </c>
      <c r="P52">
        <v>0.115</v>
      </c>
    </row>
    <row r="53" spans="14:16" ht="12.75" x14ac:dyDescent="0.2">
      <c r="N53" t="s">
        <v>66</v>
      </c>
      <c r="O53" t="s">
        <v>239</v>
      </c>
      <c r="P53">
        <v>2.5499999999999998E-2</v>
      </c>
    </row>
    <row r="54" spans="14:16" ht="12.75" x14ac:dyDescent="0.2">
      <c r="N54" t="s">
        <v>168</v>
      </c>
      <c r="O54" t="s">
        <v>239</v>
      </c>
      <c r="P54">
        <v>0.68</v>
      </c>
    </row>
    <row r="55" spans="14:16" ht="12.75" x14ac:dyDescent="0.2">
      <c r="N55" t="s">
        <v>208</v>
      </c>
      <c r="O55" t="s">
        <v>239</v>
      </c>
      <c r="P55">
        <v>6.5000000000000002E-2</v>
      </c>
    </row>
    <row r="56" spans="14:16" ht="12.75" x14ac:dyDescent="0.2">
      <c r="N56" t="s">
        <v>68</v>
      </c>
      <c r="O56" t="s">
        <v>239</v>
      </c>
      <c r="P56">
        <v>3.3000000000000002E-2</v>
      </c>
    </row>
    <row r="57" spans="14:16" ht="12.75" x14ac:dyDescent="0.2">
      <c r="N57" t="s">
        <v>223</v>
      </c>
      <c r="O57" t="s">
        <v>239</v>
      </c>
      <c r="P57">
        <v>1.3033999999999999</v>
      </c>
    </row>
    <row r="58" spans="14:16" ht="12.75" x14ac:dyDescent="0.2">
      <c r="N58" t="s">
        <v>69</v>
      </c>
      <c r="O58" t="s">
        <v>239</v>
      </c>
      <c r="P58">
        <v>7.0000000000000001E-3</v>
      </c>
    </row>
    <row r="59" spans="14:16" ht="12.75" x14ac:dyDescent="0.2">
      <c r="N59" t="s">
        <v>76</v>
      </c>
      <c r="O59" t="s">
        <v>239</v>
      </c>
      <c r="P59">
        <v>5.83</v>
      </c>
    </row>
    <row r="60" spans="14:16" ht="12.75" x14ac:dyDescent="0.2">
      <c r="N60" t="s">
        <v>70</v>
      </c>
      <c r="O60" t="s">
        <v>239</v>
      </c>
      <c r="P60">
        <v>2.1999999999999999E-2</v>
      </c>
    </row>
    <row r="61" spans="14:16" ht="12.75" x14ac:dyDescent="0.2">
      <c r="N61" t="s">
        <v>170</v>
      </c>
      <c r="O61" t="s">
        <v>239</v>
      </c>
      <c r="P61">
        <v>1.0999999999999999E-2</v>
      </c>
    </row>
    <row r="62" spans="14:16" ht="12.75" x14ac:dyDescent="0.2">
      <c r="N62" t="s">
        <v>71</v>
      </c>
      <c r="O62" t="s">
        <v>239</v>
      </c>
      <c r="P62">
        <v>4.8899999999999999E-2</v>
      </c>
    </row>
    <row r="63" spans="14:16" ht="12.75" x14ac:dyDescent="0.2">
      <c r="N63" t="s">
        <v>72</v>
      </c>
      <c r="O63" t="s">
        <v>239</v>
      </c>
      <c r="P63">
        <v>0.72</v>
      </c>
    </row>
    <row r="64" spans="14:16" ht="12.75" x14ac:dyDescent="0.2">
      <c r="N64" t="s">
        <v>73</v>
      </c>
      <c r="O64" t="s">
        <v>239</v>
      </c>
      <c r="P64">
        <v>1.7175</v>
      </c>
    </row>
    <row r="65" spans="14:16" ht="12.75" x14ac:dyDescent="0.2">
      <c r="N65" t="s">
        <v>34</v>
      </c>
      <c r="O65" t="s">
        <v>25</v>
      </c>
      <c r="P65">
        <v>12.305</v>
      </c>
    </row>
    <row r="66" spans="14:16" ht="12.75" x14ac:dyDescent="0.2">
      <c r="N66" t="s">
        <v>232</v>
      </c>
      <c r="O66" t="s">
        <v>239</v>
      </c>
      <c r="P66">
        <v>0.32</v>
      </c>
    </row>
    <row r="67" spans="14:16" ht="12.75" x14ac:dyDescent="0.2">
      <c r="N67" t="s">
        <v>75</v>
      </c>
      <c r="O67" t="s">
        <v>239</v>
      </c>
      <c r="P67">
        <v>1.85</v>
      </c>
    </row>
    <row r="68" spans="14:16" ht="12.75" x14ac:dyDescent="0.2">
      <c r="N68" t="s">
        <v>29</v>
      </c>
      <c r="O68" t="s">
        <v>25</v>
      </c>
      <c r="P68">
        <v>36.08</v>
      </c>
    </row>
    <row r="69" spans="14:16" ht="12.75" x14ac:dyDescent="0.2">
      <c r="N69" t="s">
        <v>33</v>
      </c>
      <c r="O69" t="s">
        <v>25</v>
      </c>
      <c r="P69">
        <v>2.63</v>
      </c>
    </row>
    <row r="70" spans="14:16" ht="12.75" x14ac:dyDescent="0.2">
      <c r="N70" t="s">
        <v>35</v>
      </c>
      <c r="O70" t="s">
        <v>25</v>
      </c>
      <c r="P70">
        <v>33.340000000000003</v>
      </c>
    </row>
    <row r="71" spans="14:16" ht="12.75" x14ac:dyDescent="0.2">
      <c r="N71" t="s">
        <v>36</v>
      </c>
      <c r="O71" t="s">
        <v>25</v>
      </c>
      <c r="P71">
        <v>16.29</v>
      </c>
    </row>
    <row r="72" spans="14:16" ht="12.75" x14ac:dyDescent="0.2">
      <c r="N72" t="s">
        <v>79</v>
      </c>
      <c r="O72" t="s">
        <v>239</v>
      </c>
      <c r="P72">
        <v>2.4300000000000002</v>
      </c>
    </row>
    <row r="73" spans="14:16" ht="12.75" x14ac:dyDescent="0.2">
      <c r="N73" t="s">
        <v>37</v>
      </c>
      <c r="O73" t="s">
        <v>25</v>
      </c>
      <c r="P73">
        <v>291.31</v>
      </c>
    </row>
    <row r="74" spans="14:16" ht="12.75" x14ac:dyDescent="0.2">
      <c r="N74" t="s">
        <v>80</v>
      </c>
      <c r="O74" t="s">
        <v>239</v>
      </c>
      <c r="P74">
        <v>2.4</v>
      </c>
    </row>
    <row r="75" spans="14:16" ht="12.75" x14ac:dyDescent="0.2">
      <c r="N75" t="s">
        <v>222</v>
      </c>
      <c r="O75" t="s">
        <v>239</v>
      </c>
      <c r="P75">
        <v>3.75</v>
      </c>
    </row>
    <row r="76" spans="14:16" ht="12.75" x14ac:dyDescent="0.2">
      <c r="N76" t="s">
        <v>81</v>
      </c>
      <c r="O76" t="s">
        <v>239</v>
      </c>
      <c r="P76">
        <v>1.3</v>
      </c>
    </row>
    <row r="77" spans="14:16" ht="12.75" x14ac:dyDescent="0.2">
      <c r="N77" t="s">
        <v>154</v>
      </c>
      <c r="O77" t="s">
        <v>239</v>
      </c>
      <c r="P77">
        <v>0.4</v>
      </c>
    </row>
    <row r="78" spans="14:16" ht="12.75" x14ac:dyDescent="0.2">
      <c r="N78" t="s">
        <v>82</v>
      </c>
      <c r="O78" t="s">
        <v>239</v>
      </c>
      <c r="P78">
        <v>1.3</v>
      </c>
    </row>
    <row r="79" spans="14:16" ht="12.75" x14ac:dyDescent="0.2">
      <c r="N79" t="s">
        <v>210</v>
      </c>
      <c r="O79" t="s">
        <v>239</v>
      </c>
      <c r="P79">
        <v>2.15</v>
      </c>
    </row>
    <row r="80" spans="14:16" ht="12.75" x14ac:dyDescent="0.2">
      <c r="N80" t="s">
        <v>83</v>
      </c>
      <c r="O80" t="s">
        <v>239</v>
      </c>
      <c r="P80">
        <v>2</v>
      </c>
    </row>
    <row r="81" spans="14:16" ht="12.75" x14ac:dyDescent="0.2">
      <c r="N81" t="s">
        <v>193</v>
      </c>
      <c r="O81" t="s">
        <v>239</v>
      </c>
      <c r="P81">
        <v>0.21</v>
      </c>
    </row>
    <row r="82" spans="14:16" ht="12.75" x14ac:dyDescent="0.2">
      <c r="N82" t="s">
        <v>24</v>
      </c>
      <c r="O82" t="s">
        <v>25</v>
      </c>
      <c r="P82">
        <v>3.2759999999999998</v>
      </c>
    </row>
    <row r="83" spans="14:16" ht="12.75" x14ac:dyDescent="0.2">
      <c r="N83" t="s">
        <v>179</v>
      </c>
      <c r="O83" t="s">
        <v>239</v>
      </c>
      <c r="P83">
        <v>1.1299999999999999</v>
      </c>
    </row>
    <row r="84" spans="14:16" ht="12.75" x14ac:dyDescent="0.2">
      <c r="N84" t="s">
        <v>84</v>
      </c>
      <c r="O84" t="s">
        <v>239</v>
      </c>
      <c r="P84">
        <v>0.68</v>
      </c>
    </row>
    <row r="85" spans="14:16" ht="12.75" x14ac:dyDescent="0.2">
      <c r="N85" t="s">
        <v>209</v>
      </c>
      <c r="O85" t="s">
        <v>239</v>
      </c>
      <c r="P85">
        <v>5.25</v>
      </c>
    </row>
    <row r="86" spans="14:16" ht="12.75" x14ac:dyDescent="0.2">
      <c r="N86" t="s">
        <v>85</v>
      </c>
      <c r="O86" t="s">
        <v>239</v>
      </c>
      <c r="P86">
        <v>0.378</v>
      </c>
    </row>
    <row r="87" spans="14:16" ht="12.75" x14ac:dyDescent="0.2">
      <c r="N87" t="s">
        <v>221</v>
      </c>
      <c r="O87" t="s">
        <v>239</v>
      </c>
      <c r="P87">
        <v>0.21</v>
      </c>
    </row>
    <row r="88" spans="14:16" ht="12.75" x14ac:dyDescent="0.2">
      <c r="N88" t="s">
        <v>86</v>
      </c>
      <c r="O88" t="s">
        <v>239</v>
      </c>
      <c r="P88">
        <v>13.602</v>
      </c>
    </row>
    <row r="89" spans="14:16" ht="12.75" x14ac:dyDescent="0.2">
      <c r="N89" t="s">
        <v>177</v>
      </c>
      <c r="O89" t="s">
        <v>239</v>
      </c>
      <c r="P89">
        <v>5.9999999999999995E-4</v>
      </c>
    </row>
    <row r="90" spans="14:16" ht="12.75" x14ac:dyDescent="0.2">
      <c r="N90" t="s">
        <v>87</v>
      </c>
      <c r="O90" t="s">
        <v>239</v>
      </c>
      <c r="P90">
        <v>7.7610000000000001</v>
      </c>
    </row>
    <row r="91" spans="14:16" ht="12.75" x14ac:dyDescent="0.2">
      <c r="N91" t="s">
        <v>88</v>
      </c>
      <c r="O91" t="s">
        <v>239</v>
      </c>
      <c r="P91">
        <v>9.0839999999999996</v>
      </c>
    </row>
    <row r="92" spans="14:16" ht="12.75" x14ac:dyDescent="0.2">
      <c r="N92" t="s">
        <v>89</v>
      </c>
      <c r="O92" t="s">
        <v>239</v>
      </c>
      <c r="P92">
        <v>4.3819999999999997</v>
      </c>
    </row>
    <row r="93" spans="14:16" ht="12.75" x14ac:dyDescent="0.2">
      <c r="N93" t="s">
        <v>90</v>
      </c>
      <c r="O93" t="s">
        <v>239</v>
      </c>
      <c r="P93">
        <v>3.81</v>
      </c>
    </row>
    <row r="94" spans="14:16" ht="12.75" x14ac:dyDescent="0.2">
      <c r="N94" t="s">
        <v>132</v>
      </c>
      <c r="O94" t="s">
        <v>239</v>
      </c>
      <c r="P94">
        <v>0.67</v>
      </c>
    </row>
    <row r="95" spans="14:16" ht="12.75" x14ac:dyDescent="0.2">
      <c r="N95" t="s">
        <v>91</v>
      </c>
      <c r="O95" t="s">
        <v>239</v>
      </c>
      <c r="P95">
        <v>3.3660000000000001</v>
      </c>
    </row>
    <row r="96" spans="14:16" ht="12.75" x14ac:dyDescent="0.2">
      <c r="N96" t="s">
        <v>137</v>
      </c>
      <c r="O96" t="s">
        <v>239</v>
      </c>
      <c r="P96">
        <v>6.2799999999999995E-2</v>
      </c>
    </row>
    <row r="97" spans="14:16" ht="12.75" x14ac:dyDescent="0.2">
      <c r="N97" t="s">
        <v>92</v>
      </c>
      <c r="O97" t="s">
        <v>239</v>
      </c>
      <c r="P97">
        <v>8.8919999999999995</v>
      </c>
    </row>
    <row r="98" spans="14:16" ht="12.75" x14ac:dyDescent="0.2">
      <c r="N98" t="s">
        <v>136</v>
      </c>
      <c r="O98" t="s">
        <v>239</v>
      </c>
      <c r="P98">
        <v>2.5600000000000001E-2</v>
      </c>
    </row>
    <row r="99" spans="14:16" ht="12.75" x14ac:dyDescent="0.2">
      <c r="N99" t="s">
        <v>93</v>
      </c>
      <c r="O99" t="s">
        <v>239</v>
      </c>
      <c r="P99">
        <v>11.946</v>
      </c>
    </row>
    <row r="100" spans="14:16" ht="12.75" x14ac:dyDescent="0.2">
      <c r="N100" t="s">
        <v>94</v>
      </c>
      <c r="O100" t="s">
        <v>239</v>
      </c>
      <c r="P100">
        <v>5.8620000000000001</v>
      </c>
    </row>
    <row r="101" spans="14:16" ht="12.75" x14ac:dyDescent="0.2">
      <c r="N101" t="s">
        <v>95</v>
      </c>
      <c r="O101" t="s">
        <v>239</v>
      </c>
      <c r="P101">
        <v>5.0220000000000002</v>
      </c>
    </row>
    <row r="102" spans="14:16" ht="12.75" x14ac:dyDescent="0.2">
      <c r="N102" t="s">
        <v>109</v>
      </c>
      <c r="O102" t="s">
        <v>239</v>
      </c>
      <c r="P102">
        <v>2.0199999999999999E-2</v>
      </c>
    </row>
    <row r="103" spans="14:16" ht="12.75" x14ac:dyDescent="0.2">
      <c r="N103" t="s">
        <v>96</v>
      </c>
      <c r="O103" t="s">
        <v>239</v>
      </c>
      <c r="P103">
        <v>2.0939999999999999</v>
      </c>
    </row>
    <row r="104" spans="14:16" ht="12.75" x14ac:dyDescent="0.2">
      <c r="N104" t="s">
        <v>97</v>
      </c>
      <c r="O104" t="s">
        <v>239</v>
      </c>
      <c r="P104">
        <v>2.2559999999999998</v>
      </c>
    </row>
    <row r="105" spans="14:16" ht="12.75" x14ac:dyDescent="0.2">
      <c r="N105" t="s">
        <v>98</v>
      </c>
      <c r="O105" t="s">
        <v>239</v>
      </c>
      <c r="P105">
        <v>1.3919999999999999</v>
      </c>
    </row>
    <row r="106" spans="14:16" ht="12.75" x14ac:dyDescent="0.2">
      <c r="N106" t="s">
        <v>157</v>
      </c>
      <c r="O106" t="s">
        <v>239</v>
      </c>
      <c r="P106">
        <v>2.5000000000000001E-2</v>
      </c>
    </row>
    <row r="107" spans="14:16" ht="12.75" x14ac:dyDescent="0.2">
      <c r="N107" t="s">
        <v>99</v>
      </c>
      <c r="O107" t="s">
        <v>239</v>
      </c>
      <c r="P107">
        <v>6.9480000000000004</v>
      </c>
    </row>
    <row r="108" spans="14:16" ht="12.75" x14ac:dyDescent="0.2">
      <c r="N108" t="s">
        <v>100</v>
      </c>
      <c r="O108" t="s">
        <v>239</v>
      </c>
      <c r="P108">
        <v>4.2720000000000002</v>
      </c>
    </row>
    <row r="109" spans="14:16" ht="12.75" x14ac:dyDescent="0.2">
      <c r="N109" t="s">
        <v>113</v>
      </c>
      <c r="O109" t="s">
        <v>239</v>
      </c>
      <c r="P109">
        <v>4.4999999999999998E-2</v>
      </c>
    </row>
    <row r="110" spans="14:16" ht="12.75" x14ac:dyDescent="0.2">
      <c r="N110" t="s">
        <v>101</v>
      </c>
      <c r="O110" t="s">
        <v>239</v>
      </c>
      <c r="P110">
        <v>2.4780000000000002</v>
      </c>
    </row>
    <row r="111" spans="14:16" ht="12.75" x14ac:dyDescent="0.2">
      <c r="N111" t="s">
        <v>165</v>
      </c>
      <c r="O111" t="s">
        <v>239</v>
      </c>
      <c r="P111">
        <v>1.7999999999999999E-2</v>
      </c>
    </row>
    <row r="112" spans="14:16" ht="12.75" x14ac:dyDescent="0.2">
      <c r="N112" t="s">
        <v>102</v>
      </c>
      <c r="O112" t="s">
        <v>239</v>
      </c>
      <c r="P112">
        <v>2.5019999999999998</v>
      </c>
    </row>
    <row r="113" spans="14:16" ht="12.75" x14ac:dyDescent="0.2">
      <c r="N113" t="s">
        <v>164</v>
      </c>
      <c r="O113" t="s">
        <v>239</v>
      </c>
      <c r="P113">
        <v>0.04</v>
      </c>
    </row>
    <row r="114" spans="14:16" ht="12.75" x14ac:dyDescent="0.2">
      <c r="N114" t="s">
        <v>103</v>
      </c>
      <c r="O114" t="s">
        <v>239</v>
      </c>
      <c r="P114">
        <v>3.5579999999999998</v>
      </c>
    </row>
    <row r="115" spans="14:16" ht="12.75" x14ac:dyDescent="0.2">
      <c r="N115" t="s">
        <v>104</v>
      </c>
      <c r="O115" t="s">
        <v>239</v>
      </c>
      <c r="P115">
        <v>1.9319999999999999</v>
      </c>
    </row>
    <row r="116" spans="14:16" ht="12.75" x14ac:dyDescent="0.2">
      <c r="N116" t="s">
        <v>105</v>
      </c>
      <c r="O116" t="s">
        <v>239</v>
      </c>
      <c r="P116">
        <v>1.242</v>
      </c>
    </row>
    <row r="117" spans="14:16" ht="12.75" x14ac:dyDescent="0.2">
      <c r="N117" t="s">
        <v>118</v>
      </c>
      <c r="O117" t="s">
        <v>239</v>
      </c>
      <c r="P117">
        <v>7.0000000000000007E-2</v>
      </c>
    </row>
    <row r="118" spans="14:16" ht="12.75" x14ac:dyDescent="0.2">
      <c r="N118" t="s">
        <v>106</v>
      </c>
      <c r="O118" t="s">
        <v>239</v>
      </c>
      <c r="P118">
        <v>1.091</v>
      </c>
    </row>
    <row r="119" spans="14:16" ht="12.75" x14ac:dyDescent="0.2">
      <c r="N119" t="s">
        <v>124</v>
      </c>
      <c r="O119" t="s">
        <v>239</v>
      </c>
      <c r="P119">
        <v>0.15</v>
      </c>
    </row>
    <row r="120" spans="14:16" ht="12.75" x14ac:dyDescent="0.2">
      <c r="N120" t="s">
        <v>107</v>
      </c>
      <c r="O120" t="s">
        <v>239</v>
      </c>
      <c r="P120">
        <v>0.76400000000000001</v>
      </c>
    </row>
    <row r="121" spans="14:16" ht="12.75" x14ac:dyDescent="0.2">
      <c r="N121" t="s">
        <v>128</v>
      </c>
      <c r="O121" t="s">
        <v>239</v>
      </c>
      <c r="P121">
        <v>0.1804</v>
      </c>
    </row>
    <row r="122" spans="14:16" ht="12.75" x14ac:dyDescent="0.2">
      <c r="N122" t="s">
        <v>108</v>
      </c>
      <c r="O122" t="s">
        <v>239</v>
      </c>
      <c r="P122">
        <v>3.1600000000000003E-2</v>
      </c>
    </row>
    <row r="123" spans="14:16" ht="12.75" x14ac:dyDescent="0.2">
      <c r="N123" t="s">
        <v>171</v>
      </c>
      <c r="O123" t="s">
        <v>239</v>
      </c>
      <c r="P123">
        <v>6.6000000000000003E-2</v>
      </c>
    </row>
    <row r="124" spans="14:16" ht="12.75" x14ac:dyDescent="0.2">
      <c r="N124" t="s">
        <v>130</v>
      </c>
      <c r="O124" t="s">
        <v>239</v>
      </c>
      <c r="P124">
        <v>0.4118</v>
      </c>
    </row>
    <row r="125" spans="14:16" ht="12.75" x14ac:dyDescent="0.2">
      <c r="N125" t="s">
        <v>110</v>
      </c>
      <c r="O125" t="s">
        <v>239</v>
      </c>
      <c r="P125">
        <v>2.46E-2</v>
      </c>
    </row>
    <row r="126" spans="14:16" ht="12.75" x14ac:dyDescent="0.2">
      <c r="N126" t="s">
        <v>158</v>
      </c>
      <c r="O126" t="s">
        <v>239</v>
      </c>
      <c r="P126">
        <v>4.6600000000000003E-2</v>
      </c>
    </row>
    <row r="127" spans="14:16" ht="12.75" x14ac:dyDescent="0.2">
      <c r="N127" t="s">
        <v>111</v>
      </c>
      <c r="O127" t="s">
        <v>239</v>
      </c>
      <c r="P127">
        <v>3.6999999999999998E-2</v>
      </c>
    </row>
    <row r="128" spans="14:16" ht="12.75" x14ac:dyDescent="0.2">
      <c r="N128" t="s">
        <v>172</v>
      </c>
      <c r="O128" t="s">
        <v>239</v>
      </c>
      <c r="P128">
        <v>0.12</v>
      </c>
    </row>
    <row r="129" spans="14:16" ht="12.75" x14ac:dyDescent="0.2">
      <c r="N129" t="s">
        <v>112</v>
      </c>
      <c r="O129" t="s">
        <v>239</v>
      </c>
      <c r="P129">
        <v>4.2999999999999997E-2</v>
      </c>
    </row>
    <row r="130" spans="14:16" ht="12.75" x14ac:dyDescent="0.2">
      <c r="N130" t="s">
        <v>147</v>
      </c>
      <c r="O130" t="s">
        <v>239</v>
      </c>
      <c r="P130">
        <v>0.09</v>
      </c>
    </row>
    <row r="131" spans="14:16" ht="12.75" x14ac:dyDescent="0.2">
      <c r="N131" t="s">
        <v>146</v>
      </c>
      <c r="O131" t="s">
        <v>239</v>
      </c>
      <c r="P131">
        <v>9.8000000000000004E-2</v>
      </c>
    </row>
    <row r="132" spans="14:16" ht="12.75" x14ac:dyDescent="0.2">
      <c r="N132" t="s">
        <v>114</v>
      </c>
      <c r="O132" t="s">
        <v>239</v>
      </c>
      <c r="P132">
        <v>2.5999999999999999E-2</v>
      </c>
    </row>
    <row r="133" spans="14:16" ht="12.75" x14ac:dyDescent="0.2">
      <c r="N133" t="s">
        <v>115</v>
      </c>
      <c r="O133" t="s">
        <v>239</v>
      </c>
      <c r="P133">
        <v>0.05</v>
      </c>
    </row>
    <row r="134" spans="14:16" ht="12.75" x14ac:dyDescent="0.2">
      <c r="N134" t="s">
        <v>116</v>
      </c>
      <c r="O134" t="s">
        <v>239</v>
      </c>
      <c r="P134">
        <v>0.06</v>
      </c>
    </row>
    <row r="135" spans="14:16" ht="12.75" x14ac:dyDescent="0.2">
      <c r="N135" t="s">
        <v>119</v>
      </c>
      <c r="O135" t="s">
        <v>239</v>
      </c>
      <c r="P135">
        <v>7.4999999999999997E-2</v>
      </c>
    </row>
    <row r="136" spans="14:16" ht="12.75" x14ac:dyDescent="0.2">
      <c r="N136" t="s">
        <v>117</v>
      </c>
      <c r="O136" t="s">
        <v>239</v>
      </c>
      <c r="P136">
        <v>4.9599999999999998E-2</v>
      </c>
    </row>
    <row r="137" spans="14:16" ht="12.75" x14ac:dyDescent="0.2">
      <c r="N137" t="s">
        <v>120</v>
      </c>
      <c r="O137" t="s">
        <v>239</v>
      </c>
      <c r="P137">
        <v>0.09</v>
      </c>
    </row>
    <row r="138" spans="14:16" ht="12.75" x14ac:dyDescent="0.2">
      <c r="N138" t="s">
        <v>143</v>
      </c>
      <c r="O138" t="s">
        <v>239</v>
      </c>
      <c r="P138">
        <v>7.4999999999999997E-2</v>
      </c>
    </row>
    <row r="139" spans="14:16" ht="12.75" x14ac:dyDescent="0.2">
      <c r="N139" t="s">
        <v>142</v>
      </c>
      <c r="O139" t="s">
        <v>239</v>
      </c>
      <c r="P139">
        <v>9.5000000000000001E-2</v>
      </c>
    </row>
    <row r="140" spans="14:16" ht="12.75" x14ac:dyDescent="0.2">
      <c r="N140" t="s">
        <v>144</v>
      </c>
      <c r="O140" t="s">
        <v>239</v>
      </c>
      <c r="P140">
        <v>7.9000000000000001E-2</v>
      </c>
    </row>
    <row r="141" spans="14:16" ht="12.75" x14ac:dyDescent="0.2">
      <c r="N141" t="s">
        <v>121</v>
      </c>
      <c r="O141" t="s">
        <v>239</v>
      </c>
      <c r="P141">
        <v>0.2</v>
      </c>
    </row>
    <row r="142" spans="14:16" ht="12.75" x14ac:dyDescent="0.2">
      <c r="N142" t="s">
        <v>149</v>
      </c>
      <c r="O142" t="s">
        <v>239</v>
      </c>
      <c r="P142">
        <v>9.5000000000000001E-2</v>
      </c>
    </row>
    <row r="143" spans="14:16" ht="12.75" x14ac:dyDescent="0.2">
      <c r="N143" t="s">
        <v>131</v>
      </c>
      <c r="O143" t="s">
        <v>239</v>
      </c>
      <c r="P143">
        <v>0.35</v>
      </c>
    </row>
    <row r="144" spans="14:16" ht="12.75" x14ac:dyDescent="0.2">
      <c r="N144" t="s">
        <v>123</v>
      </c>
      <c r="O144" t="s">
        <v>239</v>
      </c>
      <c r="P144">
        <v>0.26600000000000001</v>
      </c>
    </row>
    <row r="145" spans="14:16" ht="12.75" x14ac:dyDescent="0.2">
      <c r="N145" t="s">
        <v>173</v>
      </c>
      <c r="O145" t="s">
        <v>239</v>
      </c>
      <c r="P145">
        <v>3.22</v>
      </c>
    </row>
    <row r="146" spans="14:16" ht="12.75" x14ac:dyDescent="0.2">
      <c r="N146" t="s">
        <v>125</v>
      </c>
      <c r="O146" t="s">
        <v>239</v>
      </c>
      <c r="P146">
        <v>0.13</v>
      </c>
    </row>
    <row r="147" spans="14:16" ht="12.75" x14ac:dyDescent="0.2">
      <c r="N147" t="s">
        <v>126</v>
      </c>
      <c r="O147" t="s">
        <v>239</v>
      </c>
      <c r="P147">
        <v>0.16</v>
      </c>
    </row>
    <row r="148" spans="14:16" ht="12.75" x14ac:dyDescent="0.2">
      <c r="N148" t="s">
        <v>127</v>
      </c>
      <c r="O148" t="s">
        <v>239</v>
      </c>
      <c r="P148">
        <v>0.1656</v>
      </c>
    </row>
    <row r="149" spans="14:16" ht="12.75" x14ac:dyDescent="0.2">
      <c r="N149" t="s">
        <v>148</v>
      </c>
      <c r="O149" t="s">
        <v>239</v>
      </c>
      <c r="P149">
        <v>0.13</v>
      </c>
    </row>
    <row r="150" spans="14:16" ht="12.75" x14ac:dyDescent="0.2">
      <c r="N150" t="s">
        <v>129</v>
      </c>
      <c r="O150" t="s">
        <v>239</v>
      </c>
      <c r="P150">
        <v>0.193</v>
      </c>
    </row>
    <row r="151" spans="14:16" ht="12.75" x14ac:dyDescent="0.2">
      <c r="N151" t="s">
        <v>160</v>
      </c>
      <c r="O151" t="s">
        <v>239</v>
      </c>
      <c r="P151">
        <v>0.34</v>
      </c>
    </row>
    <row r="152" spans="14:16" ht="12.75" x14ac:dyDescent="0.2">
      <c r="N152" t="s">
        <v>134</v>
      </c>
      <c r="O152" t="s">
        <v>239</v>
      </c>
      <c r="P152">
        <v>3.2500000000000001E-2</v>
      </c>
    </row>
    <row r="153" spans="14:16" ht="12.75" x14ac:dyDescent="0.2">
      <c r="N153" t="s">
        <v>135</v>
      </c>
      <c r="O153" t="s">
        <v>239</v>
      </c>
      <c r="P153">
        <v>0.03</v>
      </c>
    </row>
    <row r="154" spans="14:16" ht="12.75" x14ac:dyDescent="0.2">
      <c r="N154" t="s">
        <v>186</v>
      </c>
      <c r="O154" t="s">
        <v>239</v>
      </c>
      <c r="P154">
        <v>14.3</v>
      </c>
    </row>
    <row r="155" spans="14:16" ht="12.75" x14ac:dyDescent="0.2">
      <c r="N155" t="s">
        <v>138</v>
      </c>
      <c r="O155" t="s">
        <v>239</v>
      </c>
      <c r="P155">
        <v>5.5E-2</v>
      </c>
    </row>
    <row r="156" spans="14:16" ht="12.75" x14ac:dyDescent="0.2">
      <c r="N156" t="s">
        <v>139</v>
      </c>
      <c r="O156" t="s">
        <v>239</v>
      </c>
      <c r="P156">
        <v>5.79E-2</v>
      </c>
    </row>
    <row r="157" spans="14:16" ht="12.75" x14ac:dyDescent="0.2">
      <c r="N157" t="s">
        <v>140</v>
      </c>
      <c r="O157" t="s">
        <v>239</v>
      </c>
      <c r="P157">
        <v>0.03</v>
      </c>
    </row>
    <row r="158" spans="14:16" ht="12.75" x14ac:dyDescent="0.2">
      <c r="N158" t="s">
        <v>145</v>
      </c>
      <c r="O158" t="s">
        <v>239</v>
      </c>
      <c r="P158">
        <v>0.14000000000000001</v>
      </c>
    </row>
    <row r="159" spans="14:16" ht="12.75" x14ac:dyDescent="0.2">
      <c r="N159" t="s">
        <v>155</v>
      </c>
      <c r="O159" t="s">
        <v>239</v>
      </c>
      <c r="P159">
        <v>0.01</v>
      </c>
    </row>
    <row r="160" spans="14:16" ht="12.75" x14ac:dyDescent="0.2">
      <c r="N160" t="s">
        <v>150</v>
      </c>
      <c r="O160" t="s">
        <v>239</v>
      </c>
      <c r="P160">
        <v>0.16800000000000001</v>
      </c>
    </row>
    <row r="161" spans="14:16" ht="12.75" x14ac:dyDescent="0.2">
      <c r="N161" t="s">
        <v>28</v>
      </c>
      <c r="O161" t="s">
        <v>25</v>
      </c>
      <c r="P161">
        <v>1.74</v>
      </c>
    </row>
    <row r="162" spans="14:16" ht="12.75" x14ac:dyDescent="0.2">
      <c r="N162" t="s">
        <v>151</v>
      </c>
      <c r="O162" t="s">
        <v>239</v>
      </c>
      <c r="P162">
        <v>0.188</v>
      </c>
    </row>
    <row r="163" spans="14:16" ht="12.75" x14ac:dyDescent="0.2">
      <c r="N163" t="s">
        <v>229</v>
      </c>
      <c r="O163" t="s">
        <v>239</v>
      </c>
      <c r="P163">
        <v>6.86</v>
      </c>
    </row>
    <row r="164" spans="14:16" ht="12.75" x14ac:dyDescent="0.2">
      <c r="N164" t="s">
        <v>152</v>
      </c>
      <c r="O164" t="s">
        <v>239</v>
      </c>
      <c r="P164">
        <v>0.15</v>
      </c>
    </row>
    <row r="165" spans="14:16" ht="12.75" x14ac:dyDescent="0.2">
      <c r="N165" t="s">
        <v>228</v>
      </c>
      <c r="O165" t="s">
        <v>239</v>
      </c>
      <c r="P165">
        <v>29.762</v>
      </c>
    </row>
    <row r="166" spans="14:16" ht="12.75" x14ac:dyDescent="0.2">
      <c r="N166" t="s">
        <v>153</v>
      </c>
      <c r="O166" t="s">
        <v>239</v>
      </c>
      <c r="P166">
        <v>0.155</v>
      </c>
    </row>
    <row r="167" spans="14:16" ht="12.75" x14ac:dyDescent="0.2">
      <c r="N167" t="s">
        <v>195</v>
      </c>
      <c r="O167" t="s">
        <v>239</v>
      </c>
      <c r="P167">
        <v>0.51300000000000001</v>
      </c>
    </row>
    <row r="168" spans="14:16" ht="12.75" x14ac:dyDescent="0.2">
      <c r="N168" t="s">
        <v>156</v>
      </c>
      <c r="O168" t="s">
        <v>239</v>
      </c>
      <c r="P168">
        <v>1.7999999999999999E-2</v>
      </c>
    </row>
    <row r="169" spans="14:16" ht="12.75" x14ac:dyDescent="0.2">
      <c r="N169" t="s">
        <v>236</v>
      </c>
      <c r="O169" t="s">
        <v>239</v>
      </c>
      <c r="P169">
        <v>0.57999999999999996</v>
      </c>
    </row>
    <row r="170" spans="14:16" ht="12.75" x14ac:dyDescent="0.2">
      <c r="N170" t="s">
        <v>178</v>
      </c>
      <c r="O170" t="s">
        <v>239</v>
      </c>
      <c r="P170">
        <v>2.2999999999999998</v>
      </c>
    </row>
    <row r="171" spans="14:16" ht="12.75" x14ac:dyDescent="0.2">
      <c r="N171" t="s">
        <v>197</v>
      </c>
      <c r="O171" t="s">
        <v>239</v>
      </c>
      <c r="P171">
        <v>0.33</v>
      </c>
    </row>
    <row r="172" spans="14:16" ht="12.75" x14ac:dyDescent="0.2">
      <c r="N172" t="s">
        <v>200</v>
      </c>
      <c r="O172" t="s">
        <v>239</v>
      </c>
      <c r="P172">
        <v>0.153</v>
      </c>
    </row>
    <row r="173" spans="14:16" ht="12.75" x14ac:dyDescent="0.2">
      <c r="N173" t="s">
        <v>162</v>
      </c>
      <c r="O173" t="s">
        <v>239</v>
      </c>
      <c r="P173">
        <v>0.30730000000000002</v>
      </c>
    </row>
    <row r="174" spans="14:16" ht="12.75" x14ac:dyDescent="0.2">
      <c r="N174" t="s">
        <v>201</v>
      </c>
      <c r="O174" t="s">
        <v>239</v>
      </c>
      <c r="P174">
        <v>0.16700000000000001</v>
      </c>
    </row>
    <row r="175" spans="14:16" ht="12.75" x14ac:dyDescent="0.2">
      <c r="N175" t="s">
        <v>163</v>
      </c>
      <c r="O175" t="s">
        <v>239</v>
      </c>
      <c r="P175">
        <v>0.34089999999999998</v>
      </c>
    </row>
    <row r="176" spans="14:16" ht="12.75" x14ac:dyDescent="0.2">
      <c r="N176" t="s">
        <v>227</v>
      </c>
      <c r="O176" t="s">
        <v>239</v>
      </c>
      <c r="P176">
        <v>3.7730000000000001</v>
      </c>
    </row>
    <row r="177" spans="14:16" ht="12.75" x14ac:dyDescent="0.2">
      <c r="N177" t="s">
        <v>206</v>
      </c>
      <c r="O177" t="s">
        <v>239</v>
      </c>
      <c r="P177">
        <v>0.62</v>
      </c>
    </row>
    <row r="178" spans="14:16" ht="12.75" x14ac:dyDescent="0.2">
      <c r="N178" t="s">
        <v>225</v>
      </c>
      <c r="O178" t="s">
        <v>239</v>
      </c>
      <c r="P178">
        <v>7.5460000000000003</v>
      </c>
    </row>
    <row r="179" spans="14:16" ht="12.75" x14ac:dyDescent="0.2">
      <c r="N179" t="s">
        <v>205</v>
      </c>
      <c r="O179" t="s">
        <v>239</v>
      </c>
      <c r="P179">
        <v>8.0500000000000007</v>
      </c>
    </row>
    <row r="180" spans="14:16" ht="12.75" x14ac:dyDescent="0.2">
      <c r="N180" t="s">
        <v>174</v>
      </c>
      <c r="O180" t="s">
        <v>239</v>
      </c>
      <c r="P180">
        <v>7.0380000000000003</v>
      </c>
    </row>
    <row r="181" spans="14:16" ht="12.75" x14ac:dyDescent="0.2">
      <c r="N181" t="s">
        <v>175</v>
      </c>
      <c r="O181" t="s">
        <v>239</v>
      </c>
      <c r="P181">
        <v>3.7559999999999998</v>
      </c>
    </row>
    <row r="182" spans="14:16" ht="12.75" x14ac:dyDescent="0.2">
      <c r="N182" t="s">
        <v>176</v>
      </c>
      <c r="O182" t="s">
        <v>239</v>
      </c>
      <c r="P182">
        <v>5.8000000000000003E-2</v>
      </c>
    </row>
    <row r="183" spans="14:16" ht="12.75" x14ac:dyDescent="0.2">
      <c r="N183" t="s">
        <v>191</v>
      </c>
      <c r="O183" t="s">
        <v>239</v>
      </c>
      <c r="P183">
        <v>2.3490000000000002</v>
      </c>
    </row>
    <row r="184" spans="14:16" ht="12.75" x14ac:dyDescent="0.2">
      <c r="N184" t="s">
        <v>231</v>
      </c>
      <c r="O184" t="s">
        <v>239</v>
      </c>
      <c r="P184">
        <v>4.2370000000000001</v>
      </c>
    </row>
    <row r="185" spans="14:16" ht="12.75" x14ac:dyDescent="0.2">
      <c r="N185" t="s">
        <v>180</v>
      </c>
      <c r="O185" t="s">
        <v>239</v>
      </c>
      <c r="P185">
        <v>0.03</v>
      </c>
    </row>
    <row r="186" spans="14:16" ht="12.75" x14ac:dyDescent="0.2">
      <c r="N186" t="s">
        <v>181</v>
      </c>
      <c r="O186" t="s">
        <v>239</v>
      </c>
      <c r="P186">
        <v>4.46</v>
      </c>
    </row>
    <row r="187" spans="14:16" ht="12.75" x14ac:dyDescent="0.2">
      <c r="N187" t="s">
        <v>182</v>
      </c>
      <c r="O187" t="s">
        <v>239</v>
      </c>
      <c r="P187">
        <v>8.9</v>
      </c>
    </row>
    <row r="188" spans="14:16" ht="12.75" x14ac:dyDescent="0.2">
      <c r="N188" t="s">
        <v>183</v>
      </c>
      <c r="O188" t="s">
        <v>239</v>
      </c>
      <c r="P188">
        <v>16.5</v>
      </c>
    </row>
    <row r="189" spans="14:16" ht="12.75" x14ac:dyDescent="0.2">
      <c r="N189" t="s">
        <v>184</v>
      </c>
      <c r="O189" t="s">
        <v>239</v>
      </c>
      <c r="P189">
        <v>8.2200000000000006</v>
      </c>
    </row>
    <row r="190" spans="14:16" ht="12.75" x14ac:dyDescent="0.2">
      <c r="N190" t="s">
        <v>194</v>
      </c>
      <c r="O190" t="s">
        <v>239</v>
      </c>
      <c r="P190">
        <v>3.4200000000000001E-2</v>
      </c>
    </row>
    <row r="191" spans="14:16" ht="12.75" x14ac:dyDescent="0.2">
      <c r="N191" t="s">
        <v>185</v>
      </c>
      <c r="O191" t="s">
        <v>239</v>
      </c>
      <c r="P191">
        <v>12.9</v>
      </c>
    </row>
    <row r="192" spans="14:16" ht="12.75" x14ac:dyDescent="0.2">
      <c r="N192" t="s">
        <v>187</v>
      </c>
      <c r="O192" t="s">
        <v>239</v>
      </c>
      <c r="P192">
        <v>0.2</v>
      </c>
    </row>
    <row r="193" spans="14:16" ht="12.75" x14ac:dyDescent="0.2">
      <c r="N193" t="s">
        <v>188</v>
      </c>
      <c r="O193" t="s">
        <v>239</v>
      </c>
      <c r="P193">
        <v>1.38</v>
      </c>
    </row>
    <row r="194" spans="14:16" ht="12.75" x14ac:dyDescent="0.2">
      <c r="N194" t="s">
        <v>189</v>
      </c>
      <c r="O194" t="s">
        <v>239</v>
      </c>
      <c r="P194">
        <v>1.143</v>
      </c>
    </row>
    <row r="195" spans="14:16" ht="12.75" x14ac:dyDescent="0.2">
      <c r="N195" t="s">
        <v>190</v>
      </c>
      <c r="O195" t="s">
        <v>239</v>
      </c>
      <c r="P195">
        <v>1.7509999999999999</v>
      </c>
    </row>
    <row r="196" spans="14:16" ht="12.75" x14ac:dyDescent="0.2">
      <c r="N196" t="s">
        <v>211</v>
      </c>
      <c r="O196" t="s">
        <v>239</v>
      </c>
      <c r="P196">
        <v>2.88</v>
      </c>
    </row>
    <row r="197" spans="14:16" ht="12.75" x14ac:dyDescent="0.2">
      <c r="N197" t="s">
        <v>196</v>
      </c>
      <c r="O197" t="s">
        <v>239</v>
      </c>
      <c r="P197">
        <v>0.182</v>
      </c>
    </row>
    <row r="198" spans="14:16" ht="12.75" x14ac:dyDescent="0.2">
      <c r="N198" t="s">
        <v>207</v>
      </c>
      <c r="O198" t="s">
        <v>239</v>
      </c>
      <c r="P198">
        <v>6.601</v>
      </c>
    </row>
    <row r="199" spans="14:16" ht="12.75" x14ac:dyDescent="0.2">
      <c r="N199" t="s">
        <v>32</v>
      </c>
      <c r="O199" t="s">
        <v>25</v>
      </c>
      <c r="P199">
        <v>68</v>
      </c>
    </row>
    <row r="200" spans="14:16" ht="12.75" x14ac:dyDescent="0.2">
      <c r="N200" t="s">
        <v>199</v>
      </c>
      <c r="O200" t="s">
        <v>239</v>
      </c>
      <c r="P200">
        <v>0.126</v>
      </c>
    </row>
    <row r="201" spans="14:16" ht="12.75" x14ac:dyDescent="0.2">
      <c r="N201" t="s">
        <v>203</v>
      </c>
      <c r="O201" t="s">
        <v>239</v>
      </c>
      <c r="P201">
        <v>0.55800000000000005</v>
      </c>
    </row>
    <row r="202" spans="14:16" ht="12.75" x14ac:dyDescent="0.2">
      <c r="N202" t="s">
        <v>204</v>
      </c>
      <c r="O202" t="s">
        <v>239</v>
      </c>
      <c r="P202">
        <v>1.5840000000000001</v>
      </c>
    </row>
    <row r="203" spans="14:16" ht="12.75" x14ac:dyDescent="0.2">
      <c r="N203" t="s">
        <v>219</v>
      </c>
      <c r="O203" t="s">
        <v>239</v>
      </c>
      <c r="P203">
        <v>0.61</v>
      </c>
    </row>
    <row r="204" spans="14:16" ht="12.75" x14ac:dyDescent="0.2">
      <c r="N204" t="s">
        <v>212</v>
      </c>
      <c r="O204" t="s">
        <v>239</v>
      </c>
      <c r="P204">
        <v>0.74</v>
      </c>
    </row>
    <row r="205" spans="14:16" ht="12.75" x14ac:dyDescent="0.2">
      <c r="N205" t="s">
        <v>214</v>
      </c>
      <c r="O205" t="s">
        <v>239</v>
      </c>
      <c r="P205">
        <v>0.15</v>
      </c>
    </row>
    <row r="206" spans="14:16" ht="12.75" x14ac:dyDescent="0.2">
      <c r="N206" t="s">
        <v>235</v>
      </c>
      <c r="O206" t="s">
        <v>239</v>
      </c>
      <c r="P206">
        <v>0.95</v>
      </c>
    </row>
    <row r="207" spans="14:16" ht="12.75" x14ac:dyDescent="0.2">
      <c r="N207" t="s">
        <v>31</v>
      </c>
      <c r="O207" t="s">
        <v>25</v>
      </c>
      <c r="P207">
        <v>6</v>
      </c>
    </row>
    <row r="208" spans="14:16" ht="12.75" x14ac:dyDescent="0.2">
      <c r="N208" t="s">
        <v>30</v>
      </c>
      <c r="O208" t="s">
        <v>25</v>
      </c>
      <c r="P208">
        <v>7.7</v>
      </c>
    </row>
    <row r="209" spans="14:16" ht="12.75" x14ac:dyDescent="0.2">
      <c r="N209" t="s">
        <v>141</v>
      </c>
      <c r="O209" t="s">
        <v>239</v>
      </c>
      <c r="P209">
        <v>4.3999999999999997E-2</v>
      </c>
    </row>
    <row r="210" spans="14:16" ht="12.75" x14ac:dyDescent="0.2">
      <c r="N210" t="s">
        <v>26</v>
      </c>
      <c r="O210" t="s">
        <v>25</v>
      </c>
      <c r="P210">
        <v>0.85</v>
      </c>
    </row>
    <row r="211" spans="14:16" ht="12.75" x14ac:dyDescent="0.2">
      <c r="N211" t="s">
        <v>27</v>
      </c>
      <c r="O211" t="s">
        <v>25</v>
      </c>
      <c r="P211">
        <v>11.64</v>
      </c>
    </row>
    <row r="212" spans="14:16" ht="12.75" x14ac:dyDescent="0.2">
      <c r="N212" t="s">
        <v>224</v>
      </c>
      <c r="O212" t="s">
        <v>239</v>
      </c>
      <c r="P212">
        <v>13.303000000000001</v>
      </c>
    </row>
    <row r="213" spans="14:16" ht="12.75" x14ac:dyDescent="0.2">
      <c r="N213" t="s">
        <v>226</v>
      </c>
      <c r="O213" t="s">
        <v>239</v>
      </c>
      <c r="P213">
        <v>4.8609999999999998</v>
      </c>
    </row>
    <row r="214" spans="14:16" ht="12.75" x14ac:dyDescent="0.2">
      <c r="N214" t="s">
        <v>230</v>
      </c>
      <c r="O214" t="s">
        <v>239</v>
      </c>
      <c r="P214">
        <v>2.95</v>
      </c>
    </row>
    <row r="215" spans="14:16" ht="12.75" x14ac:dyDescent="0.2">
      <c r="N215" t="s">
        <v>233</v>
      </c>
      <c r="O215" t="s">
        <v>239</v>
      </c>
      <c r="P215">
        <v>1.3720000000000001</v>
      </c>
    </row>
  </sheetData>
  <dataConsolidate link="1"/>
  <conditionalFormatting sqref="C11:G13">
    <cfRule type="cellIs" dxfId="17" priority="1" operator="equal">
      <formula>"X"</formula>
    </cfRule>
    <cfRule type="expression" dxfId="16" priority="2">
      <formula>(C11&lt;&gt;"X")</formula>
    </cfRule>
  </conditionalFormatting>
  <dataValidations count="3">
    <dataValidation type="list" allowBlank="1" showInputMessage="1" showErrorMessage="1" sqref="H11:H12 D11:D13 F11:F13" xr:uid="{CCCE3354-C7AF-47B6-AB34-7E012BDF1583}">
      <formula1>"O,X"</formula1>
    </dataValidation>
    <dataValidation type="list" allowBlank="1" showInputMessage="1" showErrorMessage="1" sqref="C12:C13" xr:uid="{E50CEF0E-A6C8-4CC7-B097-809395FAB6DB}">
      <formula1>_xlfn.ANCHORARRAY($G$3)</formula1>
    </dataValidation>
    <dataValidation type="list" allowBlank="1" showInputMessage="1" showErrorMessage="1" sqref="G11:G13" xr:uid="{3BD75947-1577-442F-B577-74BE95C54D3D}">
      <formula1>"X,O"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C9B1FC-C776-4330-934C-80826AFF5B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InOutData</vt:lpstr>
      <vt:lpstr>LngS</vt:lpstr>
      <vt:lpstr>LvE</vt:lpstr>
      <vt:lpstr>OsyS</vt:lpstr>
      <vt:lpstr>Prj0_Id</vt:lpstr>
      <vt:lpstr>Prj0M_Id</vt:lpstr>
      <vt:lpstr>Prj1_Id</vt:lpstr>
      <vt:lpstr>Prj1M_Id</vt:lpstr>
      <vt:lpstr>Prj2_Id</vt:lpstr>
      <vt:lpstr>Prj2M_Id</vt:lpstr>
      <vt:lpstr>PrjX_Id</vt:lpstr>
      <vt:lpstr>Pth</vt:lpstr>
      <vt:lpstr>Vrs</vt:lpstr>
      <vt:lpstr>VrsXpl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PEREZ GIL, DIEGO</cp:lastModifiedBy>
  <dcterms:created xsi:type="dcterms:W3CDTF">2024-12-02T12:26:15Z</dcterms:created>
  <dcterms:modified xsi:type="dcterms:W3CDTF">2025-01-16T16:42:17Z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2024-12-02T12:54:44Z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7ffaac7a-6162-428b-93d4-c94c0b0bb193</vt:lpwstr>
  </property>
  <property fmtid="{D5CDD505-2E9C-101B-9397-08002B2CF9AE}" pid="8" name="MSIP_Label_5c37234c-be34-48e6-861e-3e7763cedb77_ContentBits">
    <vt:lpwstr>2</vt:lpwstr>
  </property>
</Properties>
</file>