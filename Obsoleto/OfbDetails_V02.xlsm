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702CC959-010A-4808-94FC-DD113E6A62EC}" xr6:coauthVersionLast="47" xr6:coauthVersionMax="47" xr10:uidLastSave="{00000000-0000-0000-0000-000000000000}"/>
  <bookViews>
    <workbookView xWindow="-120" yWindow="-120" windowWidth="29040" windowHeight="16440" xr2:uid="{1DED43E1-C979-419C-90BB-6D754B3B8A13}"/>
  </bookViews>
  <sheets>
    <sheet name="InOutData" sheetId="4" r:id="rId1"/>
  </sheets>
  <functionGroups builtInGroupCount="19"/>
  <definedNames>
    <definedName name="_xlnm._FilterDatabase" localSheetId="0" hidden="1">InOutData!#REF!</definedName>
    <definedName name="_xlpm.x" hidden="1" xlm="1">#NAME?</definedName>
    <definedName name="ExternalData_1" localSheetId="0" hidden="1">InOutData!$C$20:$H$21</definedName>
    <definedName name="ExternalData_2" localSheetId="0" hidden="1">InOutData!$U$2:$V$225</definedName>
    <definedName name="ExternalData_3" localSheetId="0" hidden="1">InOutData!#REF!</definedName>
    <definedName name="LngS">InOutData!$R$2</definedName>
    <definedName name="LvE">InOutData!$C$4</definedName>
    <definedName name="OsyS">InOutData!$R$3</definedName>
    <definedName name="Prj0_Id">InOutData!$C$11</definedName>
    <definedName name="Prj0M_Id">InOutData!$L$11</definedName>
    <definedName name="Prj1_Id">InOutData!$C$12</definedName>
    <definedName name="Prj1M_Id">InOutData!$L$12</definedName>
    <definedName name="Prj2_Id">InOutData!$C$13</definedName>
    <definedName name="Prj2M_Id">InOutData!$L$13</definedName>
    <definedName name="PrjX_Id">InOutData!$C$6</definedName>
    <definedName name="Pth">InOutData!$C$2</definedName>
    <definedName name="Vrs">InOutData!$C$7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" i="4" l="1"/>
  <c r="L13" i="4"/>
  <c r="L12" i="4"/>
  <c r="R2" i="4"/>
  <c r="R3" i="4" a="1"/>
  <c r="I5" i="4" a="1"/>
  <c r="I5" i="4" l="1"/>
  <c r="R3" i="4"/>
  <c r="C3" i="4" s="1"/>
  <c r="C4" i="4"/>
  <c r="C2" i="4" l="1"/>
  <c r="C5" i="4"/>
  <c r="L11" i="4" l="1"/>
  <c r="C6" i="4"/>
  <c r="N3" i="4" s="1" a="1"/>
  <c r="N3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B2F8E6-D3B6-4E1E-8F70-69C1F4A7E42E}" keepAlive="1" name="Query - _GetPath" description="Connection to the '_GetPath' query in the workbook." type="5" refreshedVersion="0" background="1">
    <dbPr connection="Provider=Microsoft.Mashup.OleDb.1;Data Source=$Workbook$;Location=_GetPath;Extended Properties=&quot;&quot;" command="SELECT * FROM [_GetPath]"/>
  </connection>
  <connection id="2" xr16:uid="{7A38988B-C5D1-473F-ACC2-A6A7D6428D71}" keepAlive="1" name="Query - BdD1" description="Connection to the 'BdD1' query in the workbook." type="5" refreshedVersion="0" background="1">
    <dbPr connection="Provider=Microsoft.Mashup.OleDb.1;Data Source=$Workbook$;Location=BdD1;Extended Properties=&quot;&quot;" command="SELECT * FROM [BdD1]"/>
  </connection>
  <connection id="3" xr16:uid="{546B368A-0261-41B6-A1DA-836C9375325C}" keepAlive="1" name="Query - CntGEn" description="Connection to the 'CntGEn' query in the workbook." type="5" refreshedVersion="0" background="1">
    <dbPr connection="Provider=Microsoft.Mashup.OleDb.1;Data Source=$Workbook$;Location=CntGEn;Extended Properties=&quot;&quot;" command="SELECT * FROM [CntGEn]"/>
  </connection>
  <connection id="4" xr16:uid="{C6B3D2A1-EFED-493C-855C-4317D65CEC3B}" keepAlive="1" name="Query - DetailsCst5" description="Connection to the 'DetailsCst5' query in the workbook." type="5" refreshedVersion="8" background="1" saveData="1">
    <dbPr connection="Provider=Microsoft.Mashup.OleDb.1;Data Source=$Workbook$;Location=DetailsCst5;Extended Properties=&quot;&quot;" command="SELECT * FROM [DetailsCst5]"/>
  </connection>
  <connection id="5" xr16:uid="{32D70CDB-4A0A-4D1A-98C5-970E6B291B4A}" keepAlive="1" name="Query - DetGEn4" description="Connection to the 'DetGEn4' query in the workbook." type="5" refreshedVersion="0" background="1">
    <dbPr connection="Provider=Microsoft.Mashup.OleDb.1;Data Source=$Workbook$;Location=DetGEn4;Extended Properties=&quot;&quot;" command="SELECT * FROM [DetGEn4]"/>
  </connection>
  <connection id="6" xr16:uid="{57133165-6099-4538-9D11-CE6401729077}" keepAlive="1" name="Query - DetGEn5" description="Connection to the 'DetGEn5' query in the workbook." type="5" refreshedVersion="8" background="1" saveData="1">
    <dbPr connection="Provider=Microsoft.Mashup.OleDb.1;Data Source=$Workbook$;Location=DetGEn5;Extended Properties=&quot;&quot;" command="SELECT * FROM [DetGEn5]"/>
  </connection>
  <connection id="7" xr16:uid="{D08EF113-A0C7-4685-AB93-53A304883808}" keepAlive="1" name="Query - DetGEn6" description="Connection to the 'DetGEn6' query in the workbook." type="5" refreshedVersion="8" background="1" saveData="1">
    <dbPr connection="Provider=Microsoft.Mashup.OleDb.1;Data Source=$Workbook$;Location=DetGEn6;Extended Properties=&quot;&quot;" command="SELECT * FROM [DetGEn6]"/>
  </connection>
  <connection id="8" xr16:uid="{28BB02EF-6978-4663-BE30-7CDA0C97D1A1}" keepAlive="1" name="Query - DetGEn7" description="Connection to the 'DetGEn7' query in the workbook." type="5" refreshedVersion="8" background="1" saveData="1">
    <dbPr connection="Provider=Microsoft.Mashup.OleDb.1;Data Source=$Workbook$;Location=DetGEn7;Extended Properties=&quot;&quot;" command="SELECT * FROM [DetGEn7]"/>
  </connection>
  <connection id="9" xr16:uid="{9C0BE895-DE98-414E-AF51-0AF08BEFC384}" keepAlive="1" name="Query - DhB0" description="Connection to the 'DhB0' query in the workbook." type="5" refreshedVersion="0" background="1">
    <dbPr connection="Provider=Microsoft.Mashup.OleDb.1;Data Source=$Workbook$;Location=DhB0;Extended Properties=&quot;&quot;" command="SELECT * FROM [DhB0]"/>
  </connection>
  <connection id="10" xr16:uid="{210C37F9-4C74-4176-B927-EEE95F416030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11" xr16:uid="{F608EC58-2D5B-43AE-AE6B-7DBF7726FC6F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12" xr16:uid="{146D658D-E28E-4F54-A903-922F8881E326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13" xr16:uid="{AF919484-8460-4D6D-B285-26191E6CFD9D}" keepAlive="1" name="Query - FilDAsg0" description="Connection to the 'FilDAsg0' query in the workbook." type="5" refreshedVersion="0" background="1">
    <dbPr connection="Provider=Microsoft.Mashup.OleDb.1;Data Source=$Workbook$;Location=FilDAsg0;Extended Properties=&quot;&quot;" command="SELECT * FROM [FilDAsg0]"/>
  </connection>
  <connection id="14" xr16:uid="{571055C8-EA8C-4ECB-BC08-AB8BC38D9D11}" keepAlive="1" name="Query - FilDASg1" description="Connection to the 'FilDASg1' query in the workbook." type="5" refreshedVersion="8" background="1" saveData="1">
    <dbPr connection="Provider=Microsoft.Mashup.OleDb.1;Data Source=$Workbook$;Location=FilDASg1;Extended Properties=&quot;&quot;" command="SELECT * FROM [FilDASg1]"/>
  </connection>
  <connection id="15" xr16:uid="{A61A92F8-E630-45DD-95FF-3336BD3444AF}" keepAlive="1" name="Query - FilDAsg2" description="Connection to the 'FilDAsg2' query in the workbook." type="5" refreshedVersion="8" background="1" saveData="1">
    <dbPr connection="Provider=Microsoft.Mashup.OleDb.1;Data Source=$Workbook$;Location=FilDAsg2;Extended Properties=&quot;&quot;" command="SELECT * FROM [FilDAsg2]"/>
  </connection>
  <connection id="16" xr16:uid="{6408294A-F8A2-48EE-9B1A-1217AE53338A}" keepAlive="1" name="Query - FilData0" description="Connection to the 'FilData0' query in the workbook." type="5" refreshedVersion="0" background="1">
    <dbPr connection="Provider=Microsoft.Mashup.OleDb.1;Data Source=$Workbook$;Location=FilData0;Extended Properties=&quot;&quot;" command="SELECT * FROM [FilData0]"/>
  </connection>
  <connection id="17" xr16:uid="{B84ADE30-3DA3-4D79-96D8-C0FDB8D7049D}" keepAlive="1" name="Query - FilData1" description="Connection to the 'FilData1' query in the workbook." type="5" refreshedVersion="8" background="1" saveData="1">
    <dbPr connection="Provider=Microsoft.Mashup.OleDb.1;Data Source=$Workbook$;Location=FilData1;Extended Properties=&quot;&quot;" command="SELECT * FROM [FilData1]"/>
  </connection>
  <connection id="18" xr16:uid="{716B3A68-D688-4694-9C61-52CA9BA4B372}" keepAlive="1" name="Query - FilDet" description="Connection to the 'FilDet' query in the workbook." type="5" refreshedVersion="0" background="1">
    <dbPr connection="Provider=Microsoft.Mashup.OleDb.1;Data Source=$Workbook$;Location=FilDet;Extended Properties=&quot;&quot;" command="SELECT * FROM [FilDet]"/>
  </connection>
  <connection id="19" xr16:uid="{A2E45655-7076-48C3-BF84-7AA425ED6BC0}" keepAlive="1" name="Query - FilDGEn0" description="Connection to the 'FilDGEn0' query in the workbook." type="5" refreshedVersion="0" background="1">
    <dbPr connection="Provider=Microsoft.Mashup.OleDb.1;Data Source=$Workbook$;Location=FilDGEn0;Extended Properties=&quot;&quot;" command="SELECT * FROM [FilDGEn0]"/>
  </connection>
  <connection id="20" xr16:uid="{E80904FF-7002-4CA5-BBE5-323773F54364}" keepAlive="1" name="Query - FilDGEn1" description="Connection to the 'FilDGEn1' query in the workbook." type="5" refreshedVersion="0" background="1">
    <dbPr connection="Provider=Microsoft.Mashup.OleDb.1;Data Source=$Workbook$;Location=FilDGEn1;Extended Properties=&quot;&quot;" command="SELECT * FROM [FilDGEn1]"/>
  </connection>
  <connection id="21" xr16:uid="{B677B82F-6A45-40E7-BD1F-9019B2A9DAA9}" keepAlive="1" name="Query - FilDGEn2" description="Connection to the 'FilDGEn2' query in the workbook." type="5" refreshedVersion="0" background="1">
    <dbPr connection="Provider=Microsoft.Mashup.OleDb.1;Data Source=$Workbook$;Location=FilDGEn2;Extended Properties=&quot;&quot;" command="SELECT * FROM [FilDGEn2]"/>
  </connection>
  <connection id="22" xr16:uid="{37EB9028-283A-4AC2-B1A6-F54089D24D5F}" keepAlive="1" name="Query - FilDItm0" description="Connection to the 'FilDItm0' query in the workbook." type="5" refreshedVersion="0" background="1">
    <dbPr connection="Provider=Microsoft.Mashup.OleDb.1;Data Source=$Workbook$;Location=FilDItm0;Extended Properties=&quot;&quot;" command="SELECT * FROM [FilDItm0]"/>
  </connection>
  <connection id="23" xr16:uid="{285A9125-1665-4DAE-8612-E1C997180636}" keepAlive="1" name="Query - FilDItm1" description="Connection to the 'FilDItm1' query in the workbook." type="5" refreshedVersion="8" background="1" saveData="1">
    <dbPr connection="Provider=Microsoft.Mashup.OleDb.1;Data Source=$Workbook$;Location=FilDItm1;Extended Properties=&quot;&quot;" command="SELECT * FROM [FilDItm1]"/>
  </connection>
  <connection id="24" xr16:uid="{4FCD8611-8F47-450B-878F-EE7034FFD9AD}" keepAlive="1" name="Query - FilDMod" description="Connection to the 'FilDMod' query in the workbook." type="5" refreshedVersion="0" background="1">
    <dbPr connection="Provider=Microsoft.Mashup.OleDb.1;Data Source=$Workbook$;Location=FilDMod;Extended Properties=&quot;&quot;" command="SELECT * FROM [FilDMod]"/>
  </connection>
  <connection id="25" xr16:uid="{ED02E08F-E026-437E-839C-EE6863677809}" keepAlive="1" name="Query - FilDSTk" description="Connection to the 'FilDSTk' query in the workbook." type="5" refreshedVersion="8" background="1" saveData="1">
    <dbPr connection="Provider=Microsoft.Mashup.OleDb.1;Data Source=$Workbook$;Location=FilDSTk;Extended Properties=&quot;&quot;" command="SELECT * FROM [FilDSTk]"/>
  </connection>
  <connection id="26" xr16:uid="{F5C35402-E4BB-4635-B96E-B1897F994EC5}" keepAlive="1" name="Query - ParamD1" description="Connection to the 'ParamD1' query in the workbook." type="5" refreshedVersion="0" background="1">
    <dbPr connection="Provider=Microsoft.Mashup.OleDb.1;Data Source=$Workbook$;Location=ParamD1;Extended Properties=&quot;&quot;" command="SELECT * FROM [ParamD1]"/>
  </connection>
  <connection id="27" xr16:uid="{D846246C-7F82-4AF7-9D19-795B39750E41}" keepAlive="1" name="Query - SampleD1" description="Connection to the 'SampleD1' query in the workbook." type="5" refreshedVersion="0" background="1">
    <dbPr connection="Provider=Microsoft.Mashup.OleDb.1;Data Source=$Workbook$;Location=SampleD1;Extended Properties=&quot;&quot;" command="SELECT * FROM [SampleD1]"/>
  </connection>
  <connection id="28" xr16:uid="{B7812FB5-F340-4EFA-8AD2-212CE7F75367}" keepAlive="1" name="Query - TrfD1" description="Connection to the 'TrfD1' query in the workbook." type="5" refreshedVersion="0" background="1">
    <dbPr connection="Provider=Microsoft.Mashup.OleDb.1;Data Source=$Workbook$;Location=TrfD1;Extended Properties=&quot;&quot;" command="SELECT * FROM [TrfD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<sst xmlns="http://schemas.openxmlformats.org/spreadsheetml/2006/main" count="493" uniqueCount="269">
  <si>
    <t>EOL</t>
  </si>
  <si>
    <t>PathName</t>
  </si>
  <si>
    <t>SelPrj</t>
  </si>
  <si>
    <t>SOR</t>
  </si>
  <si>
    <t>Windows System</t>
  </si>
  <si>
    <t>English Version</t>
  </si>
  <si>
    <t>Sheet Name</t>
  </si>
  <si>
    <t>Multi</t>
  </si>
  <si>
    <t>Attribute</t>
  </si>
  <si>
    <t>Spain</t>
  </si>
  <si>
    <t>ValSp</t>
  </si>
  <si>
    <t>Mexico</t>
  </si>
  <si>
    <t>ValMx</t>
  </si>
  <si>
    <t>Main</t>
  </si>
  <si>
    <t>Auxiliary 0</t>
  </si>
  <si>
    <t>O</t>
  </si>
  <si>
    <t>X</t>
  </si>
  <si>
    <t>Auxiliary 1</t>
  </si>
  <si>
    <t>Auxiliary 2</t>
  </si>
  <si>
    <t>31199</t>
  </si>
  <si>
    <t>LngS</t>
  </si>
  <si>
    <t>N02</t>
  </si>
  <si>
    <t>624323.0010</t>
  </si>
  <si>
    <t>Version</t>
  </si>
  <si>
    <t>DetailsCst5</t>
  </si>
  <si>
    <t>000:001</t>
  </si>
  <si>
    <t>001037=(51890,16)</t>
  </si>
  <si>
    <t>Column1</t>
  </si>
  <si>
    <t>Column2</t>
  </si>
  <si>
    <t>Operación</t>
  </si>
  <si>
    <t>101448</t>
  </si>
  <si>
    <t>Estándar</t>
  </si>
  <si>
    <t>109117</t>
  </si>
  <si>
    <t>101601</t>
  </si>
  <si>
    <t>101306</t>
  </si>
  <si>
    <t>66016</t>
  </si>
  <si>
    <t>Compra</t>
  </si>
  <si>
    <t>66017</t>
  </si>
  <si>
    <t>66018</t>
  </si>
  <si>
    <t>Rec.Plan. OC</t>
  </si>
  <si>
    <t>66019</t>
  </si>
  <si>
    <t>66020</t>
  </si>
  <si>
    <t>30991.00.419.000</t>
  </si>
  <si>
    <t>123191</t>
  </si>
  <si>
    <t>123207</t>
  </si>
  <si>
    <t>132970</t>
  </si>
  <si>
    <t>134545</t>
  </si>
  <si>
    <t>133813</t>
  </si>
  <si>
    <t>142076</t>
  </si>
  <si>
    <t>132975</t>
  </si>
  <si>
    <t>131368</t>
  </si>
  <si>
    <t>101404</t>
  </si>
  <si>
    <t>105280</t>
  </si>
  <si>
    <t>103133</t>
  </si>
  <si>
    <t>105284</t>
  </si>
  <si>
    <t>104662</t>
  </si>
  <si>
    <t>101458</t>
  </si>
  <si>
    <t>101376</t>
  </si>
  <si>
    <t>105977</t>
  </si>
  <si>
    <t>104815</t>
  </si>
  <si>
    <t>105978</t>
  </si>
  <si>
    <t>103147</t>
  </si>
  <si>
    <t>118970</t>
  </si>
  <si>
    <t>109064</t>
  </si>
  <si>
    <t>126192</t>
  </si>
  <si>
    <t>21020.00.201.201</t>
  </si>
  <si>
    <t>101609</t>
  </si>
  <si>
    <t>109118</t>
  </si>
  <si>
    <t>101263</t>
  </si>
  <si>
    <t>Transfer. Stock</t>
  </si>
  <si>
    <t>101377</t>
  </si>
  <si>
    <t>141728</t>
  </si>
  <si>
    <t>21020.00.401.430</t>
  </si>
  <si>
    <t>139609</t>
  </si>
  <si>
    <t>141614</t>
  </si>
  <si>
    <t>142314</t>
  </si>
  <si>
    <t>142333</t>
  </si>
  <si>
    <t>143030</t>
  </si>
  <si>
    <t>21006.00.001.004</t>
  </si>
  <si>
    <t>105073</t>
  </si>
  <si>
    <t>126209</t>
  </si>
  <si>
    <t>120687</t>
  </si>
  <si>
    <t>114743</t>
  </si>
  <si>
    <t>126208</t>
  </si>
  <si>
    <t>143073</t>
  </si>
  <si>
    <t>111997</t>
  </si>
  <si>
    <t>66022</t>
  </si>
  <si>
    <t>66023</t>
  </si>
  <si>
    <t>66024</t>
  </si>
  <si>
    <t>104744</t>
  </si>
  <si>
    <t>104839</t>
  </si>
  <si>
    <t>104832</t>
  </si>
  <si>
    <t>101374</t>
  </si>
  <si>
    <t>101445</t>
  </si>
  <si>
    <t>104606</t>
  </si>
  <si>
    <t>101450</t>
  </si>
  <si>
    <t>101378</t>
  </si>
  <si>
    <t>105242</t>
  </si>
  <si>
    <t>101444</t>
  </si>
  <si>
    <t>104620</t>
  </si>
  <si>
    <t>105976</t>
  </si>
  <si>
    <t>105974</t>
  </si>
  <si>
    <t>101451</t>
  </si>
  <si>
    <t>101452</t>
  </si>
  <si>
    <t>104652</t>
  </si>
  <si>
    <t>104670</t>
  </si>
  <si>
    <t>104690</t>
  </si>
  <si>
    <t>110595</t>
  </si>
  <si>
    <t>104724</t>
  </si>
  <si>
    <t>105244</t>
  </si>
  <si>
    <t>110597</t>
  </si>
  <si>
    <t>105050</t>
  </si>
  <si>
    <t>105049</t>
  </si>
  <si>
    <t>101471</t>
  </si>
  <si>
    <t>101447</t>
  </si>
  <si>
    <t>104654</t>
  </si>
  <si>
    <t>104656</t>
  </si>
  <si>
    <t>105040</t>
  </si>
  <si>
    <t>105039</t>
  </si>
  <si>
    <t>105041</t>
  </si>
  <si>
    <t>105052</t>
  </si>
  <si>
    <t>104725</t>
  </si>
  <si>
    <t>110646</t>
  </si>
  <si>
    <t>104672</t>
  </si>
  <si>
    <t>104250</t>
  </si>
  <si>
    <t>104675</t>
  </si>
  <si>
    <t>104674</t>
  </si>
  <si>
    <t>105051</t>
  </si>
  <si>
    <t>104253</t>
  </si>
  <si>
    <t>104150</t>
  </si>
  <si>
    <t>104227</t>
  </si>
  <si>
    <t>104189</t>
  </si>
  <si>
    <t>105281</t>
  </si>
  <si>
    <t>104242</t>
  </si>
  <si>
    <t>104202</t>
  </si>
  <si>
    <t>116472</t>
  </si>
  <si>
    <t>101446</t>
  </si>
  <si>
    <t>104619</t>
  </si>
  <si>
    <t>104639</t>
  </si>
  <si>
    <t>104636</t>
  </si>
  <si>
    <t>104635</t>
  </si>
  <si>
    <t>104608</t>
  </si>
  <si>
    <t>104659</t>
  </si>
  <si>
    <t>101375</t>
  </si>
  <si>
    <t>101472</t>
  </si>
  <si>
    <t>105144</t>
  </si>
  <si>
    <t>101473</t>
  </si>
  <si>
    <t>104637</t>
  </si>
  <si>
    <t>104607</t>
  </si>
  <si>
    <t>139196</t>
  </si>
  <si>
    <t>21020.00.400.011</t>
  </si>
  <si>
    <t>21020.00.400.010</t>
  </si>
  <si>
    <t>123172</t>
  </si>
  <si>
    <t>104447</t>
  </si>
  <si>
    <t>104825</t>
  </si>
  <si>
    <t>94500.10.671.002</t>
  </si>
  <si>
    <t>105058</t>
  </si>
  <si>
    <t>113104</t>
  </si>
  <si>
    <t>104304</t>
  </si>
  <si>
    <t>123184</t>
  </si>
  <si>
    <t>123199</t>
  </si>
  <si>
    <t>123200</t>
  </si>
  <si>
    <t>21020.00.300.610</t>
  </si>
  <si>
    <t>101331</t>
  </si>
  <si>
    <t>125853</t>
  </si>
  <si>
    <t>21020.00.300.210</t>
  </si>
  <si>
    <t>104831</t>
  </si>
  <si>
    <t>104303</t>
  </si>
  <si>
    <t>104292</t>
  </si>
  <si>
    <t>125211</t>
  </si>
  <si>
    <t>100977</t>
  </si>
  <si>
    <t>100979</t>
  </si>
  <si>
    <t>100980</t>
  </si>
  <si>
    <t>105065</t>
  </si>
  <si>
    <t>101457</t>
  </si>
  <si>
    <t>117356</t>
  </si>
  <si>
    <t>104153</t>
  </si>
  <si>
    <t>21020.00.401.420</t>
  </si>
  <si>
    <t>101282</t>
  </si>
  <si>
    <t>101287</t>
  </si>
  <si>
    <t>101289</t>
  </si>
  <si>
    <t>101290</t>
  </si>
  <si>
    <t>101291</t>
  </si>
  <si>
    <t>123065</t>
  </si>
  <si>
    <t>104693</t>
  </si>
  <si>
    <t>105307</t>
  </si>
  <si>
    <t>104666</t>
  </si>
  <si>
    <t>105437</t>
  </si>
  <si>
    <t>101373</t>
  </si>
  <si>
    <t>116021</t>
  </si>
  <si>
    <t>104600</t>
  </si>
  <si>
    <t>116571</t>
  </si>
  <si>
    <t>111988</t>
  </si>
  <si>
    <t>104267</t>
  </si>
  <si>
    <t>128588</t>
  </si>
  <si>
    <t>100954</t>
  </si>
  <si>
    <t>126030</t>
  </si>
  <si>
    <t>141144</t>
  </si>
  <si>
    <t>C405/6-00-000</t>
  </si>
  <si>
    <t>C410-00-000-1+1</t>
  </si>
  <si>
    <t>105028</t>
  </si>
  <si>
    <t>100752</t>
  </si>
  <si>
    <t>105202</t>
  </si>
  <si>
    <t>101299</t>
  </si>
  <si>
    <t>123182</t>
  </si>
  <si>
    <t>123198</t>
  </si>
  <si>
    <t>123231</t>
  </si>
  <si>
    <t>105057</t>
  </si>
  <si>
    <t>104843</t>
  </si>
  <si>
    <t>137115</t>
  </si>
  <si>
    <t>105063</t>
  </si>
  <si>
    <t>101602</t>
  </si>
  <si>
    <t>101600</t>
  </si>
  <si>
    <t>101599</t>
  </si>
  <si>
    <t>104840</t>
  </si>
  <si>
    <t>105045</t>
  </si>
  <si>
    <t>104075</t>
  </si>
  <si>
    <t>104283</t>
  </si>
  <si>
    <t>111097</t>
  </si>
  <si>
    <t>111098</t>
  </si>
  <si>
    <t>116238</t>
  </si>
  <si>
    <t>116239</t>
  </si>
  <si>
    <t>116240</t>
  </si>
  <si>
    <t>116470</t>
  </si>
  <si>
    <t>116471</t>
  </si>
  <si>
    <t>104175</t>
  </si>
  <si>
    <t>101462</t>
  </si>
  <si>
    <t>104280</t>
  </si>
  <si>
    <t>104249</t>
  </si>
  <si>
    <t>104207</t>
  </si>
  <si>
    <t>104284</t>
  </si>
  <si>
    <t>117352</t>
  </si>
  <si>
    <t>104148</t>
  </si>
  <si>
    <t>117346</t>
  </si>
  <si>
    <t>104161</t>
  </si>
  <si>
    <t>117037</t>
  </si>
  <si>
    <t>131028</t>
  </si>
  <si>
    <t>104226</t>
  </si>
  <si>
    <t>104244</t>
  </si>
  <si>
    <t>132962</t>
  </si>
  <si>
    <t>104224</t>
  </si>
  <si>
    <t>104186</t>
  </si>
  <si>
    <t>104240</t>
  </si>
  <si>
    <t>123216</t>
  </si>
  <si>
    <t>104241</t>
  </si>
  <si>
    <t>104201</t>
  </si>
  <si>
    <t>71254.02.210.016</t>
  </si>
  <si>
    <t>104448</t>
  </si>
  <si>
    <t>140937</t>
  </si>
  <si>
    <t>140841</t>
  </si>
  <si>
    <t>105034</t>
  </si>
  <si>
    <t>117340</t>
  </si>
  <si>
    <t>126940</t>
  </si>
  <si>
    <t>21020.00.300.011</t>
  </si>
  <si>
    <t>21020.00.300.411</t>
  </si>
  <si>
    <t>21020.00.400.401</t>
  </si>
  <si>
    <t>21020.00.401.810</t>
  </si>
  <si>
    <t>ItmId</t>
  </si>
  <si>
    <t>AsgTyp</t>
  </si>
  <si>
    <t>Cls</t>
  </si>
  <si>
    <t>Qty</t>
  </si>
  <si>
    <t>Cur</t>
  </si>
  <si>
    <t>Xpl</t>
  </si>
  <si>
    <t>TypAsg</t>
  </si>
  <si>
    <t>Column3</t>
  </si>
  <si>
    <t>Column4</t>
  </si>
  <si>
    <t>Column5</t>
  </si>
  <si>
    <t>Column6</t>
  </si>
  <si>
    <t>Column7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</si>
</sst>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0"/>
      <name val="Arial Nova Cond Light"/>
      <family val="2"/>
    </font>
    <font>
      <sz val="11"/>
      <color theme="1"/>
      <name val="Aptos Narrow"/>
      <family val="2"/>
      <scheme val="minor"/>
    </font>
    <font>
      <sz val="4"/>
      <color theme="1"/>
      <name val="Arial Nova Cond Light"/>
      <family val="2"/>
    </font>
    <font>
      <sz val="10"/>
      <name val="Arial"/>
      <family val="2"/>
    </font>
    <font>
      <sz val="4"/>
      <name val="Arial Nova Cond Light"/>
      <family val="2"/>
    </font>
    <font>
      <sz val="10"/>
      <name val="Arial Nova Cond Light"/>
      <family val="2"/>
    </font>
    <font>
      <sz val="8"/>
      <name val="Arial Nova Cond Light"/>
      <family val="2"/>
    </font>
    <font>
      <sz val="8"/>
      <color theme="0" tint="-0.499984740745262"/>
      <name val="Arial Nova Cond Light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color indexed="24"/>
      <name val="Times New Roman"/>
      <family val="1"/>
    </font>
    <font>
      <sz val="8"/>
      <color indexed="24"/>
      <name val="Arial Nova Cond Light"/>
      <family val="2"/>
    </font>
    <font>
      <b/>
      <sz val="8"/>
      <name val="Arial Nova Cond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7">
    <xf numFmtId="0" fontId="0" fillId="0" borderId="0"/>
    <xf numFmtId="0" fontId="3" fillId="0" borderId="0"/>
    <xf numFmtId="0" fontId="5" fillId="0" borderId="0"/>
    <xf numFmtId="0" fontId="10" fillId="0" borderId="0"/>
    <xf numFmtId="0" fontId="11" fillId="0" borderId="0"/>
    <xf numFmtId="0" fontId="12" fillId="0" borderId="0"/>
    <xf numFmtId="0" fontId="13" fillId="0" borderId="0"/>
  </cellStyleXfs>
  <cellXfs count="53">
    <xf numFmtId="0" fontId="0" fillId="0" borderId="0" xfId="0"/>
    <xf numFmtId="0" fontId="4" fillId="2" borderId="0" xfId="1" applyFont="1" applyFill="1" applyAlignment="1">
      <alignment horizontal="center" vertical="top" textRotation="90"/>
    </xf>
    <xf numFmtId="0" fontId="6" fillId="2" borderId="0" xfId="2" applyFont="1" applyFill="1" applyAlignment="1">
      <alignment horizontal="center" vertical="top" textRotation="90"/>
    </xf>
    <xf numFmtId="0" fontId="6" fillId="2" borderId="0" xfId="1" applyFont="1" applyFill="1" applyAlignment="1">
      <alignment horizontal="center" vertical="top" textRotation="90"/>
    </xf>
    <xf numFmtId="0" fontId="1" fillId="3" borderId="1" xfId="1" applyFont="1" applyFill="1" applyBorder="1" applyAlignment="1">
      <alignment horizontal="left" vertical="top" textRotation="90"/>
    </xf>
    <xf numFmtId="0" fontId="1" fillId="4" borderId="2" xfId="1" applyFont="1" applyFill="1" applyBorder="1" applyAlignment="1">
      <alignment horizontal="left" vertical="top" textRotation="90" wrapText="1"/>
    </xf>
    <xf numFmtId="0" fontId="7" fillId="0" borderId="0" xfId="2" applyFont="1" applyAlignment="1">
      <alignment vertical="top"/>
    </xf>
    <xf numFmtId="0" fontId="1" fillId="0" borderId="0" xfId="1" applyFont="1" applyAlignment="1">
      <alignment vertical="top"/>
    </xf>
    <xf numFmtId="0" fontId="8" fillId="0" borderId="0" xfId="1" applyFont="1" applyAlignment="1">
      <alignment vertical="top"/>
    </xf>
    <xf numFmtId="0" fontId="1" fillId="3" borderId="3" xfId="1" applyFont="1" applyFill="1" applyBorder="1" applyAlignment="1">
      <alignment vertical="top"/>
    </xf>
    <xf numFmtId="0" fontId="1" fillId="4" borderId="4" xfId="1" applyFont="1" applyFill="1" applyBorder="1" applyAlignment="1">
      <alignment horizontal="left" vertical="top"/>
    </xf>
    <xf numFmtId="0" fontId="1" fillId="3" borderId="5" xfId="1" applyFont="1" applyFill="1" applyBorder="1" applyAlignment="1">
      <alignment vertical="top"/>
    </xf>
    <xf numFmtId="0" fontId="1" fillId="4" borderId="6" xfId="1" applyFont="1" applyFill="1" applyBorder="1" applyAlignment="1">
      <alignment horizontal="left" vertical="top"/>
    </xf>
    <xf numFmtId="0" fontId="1" fillId="4" borderId="6" xfId="1" applyFont="1" applyFill="1" applyBorder="1" applyAlignment="1">
      <alignment horizontal="left" vertical="top" shrinkToFit="1"/>
    </xf>
    <xf numFmtId="0" fontId="1" fillId="0" borderId="0" xfId="1" applyFont="1" applyAlignment="1">
      <alignment horizontal="left" vertical="top"/>
    </xf>
    <xf numFmtId="0" fontId="8" fillId="0" borderId="0" xfId="1" applyFont="1" applyAlignment="1">
      <alignment horizontal="center" vertical="top"/>
    </xf>
    <xf numFmtId="0" fontId="1" fillId="0" borderId="0" xfId="1" applyFont="1" applyAlignment="1">
      <alignment horizontal="left" vertical="top" textRotation="90"/>
    </xf>
    <xf numFmtId="0" fontId="8" fillId="0" borderId="0" xfId="2" applyFont="1" applyAlignment="1">
      <alignment horizontal="left" vertical="top" textRotation="90"/>
    </xf>
    <xf numFmtId="0" fontId="8" fillId="0" borderId="0" xfId="1" applyFont="1" applyAlignment="1">
      <alignment horizontal="left" vertical="top" textRotation="90"/>
    </xf>
    <xf numFmtId="0" fontId="8" fillId="0" borderId="0" xfId="4" applyFont="1" applyAlignment="1">
      <alignment horizontal="left" vertical="top" textRotation="90"/>
    </xf>
    <xf numFmtId="0" fontId="0" fillId="3" borderId="3" xfId="1" applyFont="1" applyFill="1" applyBorder="1" applyAlignment="1">
      <alignment vertical="top"/>
    </xf>
    <xf numFmtId="0" fontId="4" fillId="2" borderId="0" xfId="1" applyFont="1" applyFill="1" applyAlignment="1">
      <alignment horizontal="left" vertical="top" textRotation="90"/>
    </xf>
    <xf numFmtId="0" fontId="1" fillId="3" borderId="7" xfId="1" applyFont="1" applyFill="1" applyBorder="1" applyAlignment="1">
      <alignment horizontal="left" vertical="top" textRotation="90"/>
    </xf>
    <xf numFmtId="0" fontId="0" fillId="0" borderId="0" xfId="0" applyAlignment="1">
      <alignment horizontal="left" vertical="top" textRotation="90"/>
    </xf>
    <xf numFmtId="0" fontId="2" fillId="6" borderId="0" xfId="4" applyFont="1" applyFill="1" applyAlignment="1">
      <alignment horizontal="center" vertical="top" textRotation="90"/>
    </xf>
    <xf numFmtId="0" fontId="8" fillId="0" borderId="0" xfId="2" applyFont="1" applyAlignment="1">
      <alignment vertical="top"/>
    </xf>
    <xf numFmtId="0" fontId="8" fillId="0" borderId="0" xfId="4" applyFont="1" applyAlignment="1">
      <alignment vertical="top"/>
    </xf>
    <xf numFmtId="3" fontId="14" fillId="0" borderId="0" xfId="6" applyNumberFormat="1" applyFont="1" applyAlignment="1">
      <alignment vertical="top"/>
    </xf>
    <xf numFmtId="0" fontId="5" fillId="0" borderId="0" xfId="2" applyAlignment="1">
      <alignment vertical="top"/>
    </xf>
    <xf numFmtId="0" fontId="0" fillId="0" borderId="0" xfId="0" applyAlignment="1">
      <alignment vertical="top"/>
    </xf>
    <xf numFmtId="0" fontId="1" fillId="3" borderId="8" xfId="1" applyFont="1" applyFill="1" applyBorder="1" applyAlignment="1">
      <alignment horizontal="left" vertical="top"/>
    </xf>
    <xf numFmtId="0" fontId="1" fillId="3" borderId="9" xfId="1" applyFont="1" applyFill="1" applyBorder="1" applyAlignment="1">
      <alignment horizontal="left" vertical="top"/>
    </xf>
    <xf numFmtId="0" fontId="15" fillId="3" borderId="11" xfId="1" applyFont="1" applyFill="1" applyBorder="1" applyAlignment="1">
      <alignment vertical="top"/>
    </xf>
    <xf numFmtId="0" fontId="15" fillId="3" borderId="12" xfId="1" applyFont="1" applyFill="1" applyBorder="1" applyAlignment="1">
      <alignment horizontal="center" vertical="top"/>
    </xf>
    <xf numFmtId="0" fontId="15" fillId="3" borderId="13" xfId="1" applyFont="1" applyFill="1" applyBorder="1" applyAlignment="1">
      <alignment horizontal="center" vertical="top"/>
    </xf>
    <xf numFmtId="0" fontId="1" fillId="3" borderId="14" xfId="1" applyFont="1" applyFill="1" applyBorder="1" applyAlignment="1">
      <alignment vertical="top"/>
    </xf>
    <xf numFmtId="0" fontId="1" fillId="5" borderId="10" xfId="1" applyFont="1" applyFill="1" applyBorder="1" applyAlignment="1">
      <alignment horizontal="left" vertical="top"/>
    </xf>
    <xf numFmtId="0" fontId="8" fillId="0" borderId="10" xfId="1" applyFont="1" applyBorder="1" applyAlignment="1">
      <alignment horizontal="center" vertical="top"/>
    </xf>
    <xf numFmtId="0" fontId="8" fillId="0" borderId="15" xfId="1" applyFont="1" applyBorder="1" applyAlignment="1">
      <alignment horizontal="center" vertical="top"/>
    </xf>
    <xf numFmtId="0" fontId="1" fillId="3" borderId="10" xfId="1" quotePrefix="1" applyFont="1" applyFill="1" applyBorder="1" applyAlignment="1">
      <alignment horizontal="left" vertical="top"/>
    </xf>
    <xf numFmtId="0" fontId="1" fillId="3" borderId="16" xfId="1" applyFont="1" applyFill="1" applyBorder="1" applyAlignment="1">
      <alignment vertical="top"/>
    </xf>
    <xf numFmtId="0" fontId="1" fillId="5" borderId="17" xfId="1" applyFont="1" applyFill="1" applyBorder="1" applyAlignment="1">
      <alignment horizontal="left" vertical="top"/>
    </xf>
    <xf numFmtId="0" fontId="8" fillId="0" borderId="17" xfId="1" applyFont="1" applyBorder="1" applyAlignment="1">
      <alignment horizontal="center" vertical="top"/>
    </xf>
    <xf numFmtId="0" fontId="1" fillId="3" borderId="17" xfId="1" quotePrefix="1" applyFont="1" applyFill="1" applyBorder="1" applyAlignment="1">
      <alignment horizontal="left" vertical="top"/>
    </xf>
    <xf numFmtId="0" fontId="8" fillId="0" borderId="18" xfId="1" applyFont="1" applyBorder="1" applyAlignment="1">
      <alignment horizontal="center" vertical="top"/>
    </xf>
    <xf numFmtId="0" fontId="9" fillId="0" borderId="0" xfId="1" applyFont="1" applyAlignment="1">
      <alignment horizontal="left" vertical="top"/>
    </xf>
    <xf numFmtId="0" fontId="0" fillId="0" borderId="0" xfId="0" applyNumberFormat="1"/>
    <xf numFmtId="0" fontId="1" fillId="4" borderId="0" xfId="1" applyFont="1" applyFill="1" applyBorder="1" applyAlignment="1">
      <alignment horizontal="left" vertical="top" textRotation="90" wrapText="1"/>
    </xf>
    <xf numFmtId="0" fontId="1" fillId="4" borderId="0" xfId="1" applyFont="1" applyFill="1" applyBorder="1" applyAlignment="1">
      <alignment horizontal="left" vertical="top"/>
    </xf>
    <xf numFmtId="0" fontId="1" fillId="4" borderId="0" xfId="1" applyFont="1" applyFill="1" applyBorder="1" applyAlignment="1">
      <alignment horizontal="left" vertical="top" shrinkToFit="1"/>
    </xf>
    <xf numFmtId="0" fontId="1" fillId="0" borderId="0" xfId="1" applyNumberFormat="1" applyFont="1" applyAlignment="1">
      <alignment vertical="top"/>
    </xf>
    <xf numFmtId="0" fontId="1" fillId="0" borderId="0" xfId="1" applyNumberFormat="1" applyFont="1" applyAlignment="1">
      <alignment horizontal="left" vertical="top" textRotation="90"/>
    </xf>
    <xf numFmtId="0" fontId="0" fillId="0" borderId="0" xfId="1" applyFont="1" applyFill="1" applyAlignment="1">
      <alignment vertical="top"/>
    </xf>
  </cellXfs>
  <cellStyles count="7">
    <cellStyle name="Normal" xfId="0" builtinId="0"/>
    <cellStyle name="Normal 2" xfId="2" xr:uid="{035232CD-C3BA-4991-9538-636AD6F0ED55}"/>
    <cellStyle name="Normal 2 2" xfId="3" xr:uid="{E13ED41A-C206-48F6-8DD6-A0FDC241B051}"/>
    <cellStyle name="Normal 2 3" xfId="5" xr:uid="{88A39880-62DA-40DD-9E88-E11303EC21D0}"/>
    <cellStyle name="Normal 3" xfId="4" xr:uid="{218F9211-56AE-44DF-8440-5B5EABC8AA68}"/>
    <cellStyle name="Normal 8" xfId="1" xr:uid="{3EFC7D9F-21E3-492C-8291-E0E2C8D649F6}"/>
    <cellStyle name="Normal_ED0D" xfId="6" xr:uid="{97B5C73F-F931-4819-9890-4B49FB06288F}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00B0F0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vertical="top" indent="0" justifyLastLine="0" readingOrder="0"/>
    </dxf>
    <dxf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27" formatCode="dd/mm/yyyy\ h:mm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 tint="0.499984740745262"/>
        <name val="Arial Nova Cond Light"/>
        <family val="2"/>
        <scheme val="none"/>
      </font>
      <fill>
        <patternFill patternType="solid">
          <fgColor indexed="64"/>
          <bgColor theme="0" tint="-0.499984740745262"/>
        </patternFill>
      </fill>
      <alignment vertical="top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164" formatCode="dd/mm/yy\ hh:mm:ss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FFFF00"/>
        </patternFill>
      </fill>
      <alignment vertical="top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name val="Arial Nova Cond Light"/>
        <family val="2"/>
        <scheme val="none"/>
      </font>
      <alignment vertical="top" indent="0" justifyLastLine="0" readingOrder="0"/>
    </dxf>
    <dxf>
      <border>
        <bottom style="hair">
          <color auto="1"/>
        </bottom>
      </border>
    </dxf>
    <dxf>
      <font>
        <b/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vertical="top" indent="0" justifyLastLine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EE16220-5DF9-4391-9CD1-72F387DC394A}" autoFormatId="16" applyNumberFormats="0" applyBorderFormats="0" applyFontFormats="0" applyPatternFormats="0" applyAlignmentFormats="0" applyWidthHeightFormats="0">
  <queryTableRefresh nextId="20">
    <queryTableFields count="6">
      <queryTableField id="10" name="Cls" tableColumnId="1"/>
      <queryTableField id="11" name="Qty" tableColumnId="3"/>
      <queryTableField id="12" name="Cur" tableColumnId="4"/>
      <queryTableField id="13" name="Xpl" tableColumnId="5"/>
      <queryTableField id="14" name="TypAsg" tableColumnId="6"/>
      <queryTableField id="2" name="N0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5" xr16:uid="{F323C4AE-5BC2-4390-9F8A-83BF0A8BC22B}" autoFormatId="16" applyNumberFormats="0" applyBorderFormats="0" applyFontFormats="0" applyPatternFormats="0" applyAlignmentFormats="0" applyWidthHeightFormats="0">
  <queryTableRefresh nextId="3">
    <queryTableFields count="2">
      <queryTableField id="1" name="ItmId" tableColumnId="1"/>
      <queryTableField id="2" name="AsgTyp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F03166-69CC-4588-800A-0EC03A0D9F64}" name="FilData" displayName="FilData" ref="B10:N13" totalsRowShown="0" headerRowDxfId="29" dataDxfId="27" headerRowBorderDxfId="28" tableBorderDxfId="26" totalsRowBorderDxfId="25">
  <autoFilter ref="B10:N13" xr:uid="{7208533D-FF39-41E3-AB10-6E02C80A58F9}"/>
  <tableColumns count="13">
    <tableColumn id="1" xr3:uid="{E2D857EA-9513-49B2-9E37-3C998866836D}" name="Attribute" dataDxfId="24" dataCellStyle="Normal 8"/>
    <tableColumn id="2" xr3:uid="{60D9C90C-8593-4F8D-8ACD-0FC6F6431190}" name="Spain" dataDxfId="23" dataCellStyle="Normal 8"/>
    <tableColumn id="9" xr3:uid="{FF05332B-2B52-4F2A-899F-E077D4BA8E8C}" name="Column3" dataDxfId="14" dataCellStyle="Normal 8"/>
    <tableColumn id="10" xr3:uid="{02B9A7BF-3F3A-4E36-8B32-714FB1A1D3D5}" name="Column4" dataDxfId="13" dataCellStyle="Normal 8"/>
    <tableColumn id="11" xr3:uid="{DDC6610F-1D8C-4075-AE82-5CE2D8386101}" name="Column5" dataDxfId="12" dataCellStyle="Normal 8"/>
    <tableColumn id="12" xr3:uid="{7FA96F6C-8E8B-40FE-9F75-5F4D85033581}" name="Column6" dataDxfId="11" dataCellStyle="Normal 8"/>
    <tableColumn id="13" xr3:uid="{F8D86B75-2A69-4FDB-B4DB-AA1762408185}" name="Column7" dataDxfId="10" dataCellStyle="Normal 8"/>
    <tableColumn id="3" xr3:uid="{8B6FA7B0-22A4-49F8-987F-5B66F0CC7FB5}" name="ValSp" dataDxfId="22"/>
    <tableColumn id="7" xr3:uid="{12E8E871-31B8-4828-A9DC-2A51E2DA1E12}" name="Column1" dataDxfId="21" dataCellStyle="Normal 8"/>
    <tableColumn id="8" xr3:uid="{3D891028-5016-40B2-B962-0A7F7951C9A0}" name="Column2" dataDxfId="20" dataCellStyle="Normal 8"/>
    <tableColumn id="4" xr3:uid="{25C7C505-ED5B-4ECB-A960-064C1C48678A}" name="Mexico" dataDxfId="19" dataCellStyle="Normal 8"/>
    <tableColumn id="5" xr3:uid="{A1146798-37E0-4F92-A897-2ED52E114868}" name="ValMx" dataDxfId="18" dataCellStyle="Normal 8"/>
    <tableColumn id="6" xr3:uid="{207C4970-2D53-493B-95C9-03B5E88396F6}" name="Main" dataDxfId="17" dataCellStyle="Normal 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44CE37-FE9F-47FB-985E-146E63267379}" name="DetailsCst5" displayName="DetailsCst5" ref="C20:H21" tableType="queryTable" totalsRowShown="0" headerRowDxfId="16" dataDxfId="15">
  <autoFilter ref="C20:H21" xr:uid="{4A44CE37-FE9F-47FB-985E-146E63267379}"/>
  <tableColumns count="6">
    <tableColumn id="1" xr3:uid="{DD3344D1-508B-425A-A565-D910B54374E7}" uniqueName="1" name="Cls" queryTableFieldId="10" dataDxfId="7" dataCellStyle="Normal 8"/>
    <tableColumn id="3" xr3:uid="{1AF41620-7AF7-4822-A7A9-66257B839CB5}" uniqueName="3" name="Qty" queryTableFieldId="11"/>
    <tableColumn id="4" xr3:uid="{D0346168-5E78-4729-9929-1F3C27071A7B}" uniqueName="4" name="Cur" queryTableFieldId="12"/>
    <tableColumn id="5" xr3:uid="{366F966B-4EFF-4EAA-9E9C-211B9E932445}" uniqueName="5" name="Xpl" queryTableFieldId="13" dataDxfId="6"/>
    <tableColumn id="6" xr3:uid="{6D537D56-CDC3-4C91-86D9-0B1252CDA400}" uniqueName="6" name="TypAsg" queryTableFieldId="14" dataDxfId="5"/>
    <tableColumn id="2" xr3:uid="{8CBF16EA-3F60-47F2-A660-C3EB9EF32F81}" uniqueName="2" name="N02" queryTableFieldId="2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D01BA68-4DAF-49B6-8DBE-13459189228E}" name="FilDAsg2" displayName="FilDAsg2" ref="U2:V225" tableType="queryTable" totalsRowShown="0" headerRowDxfId="2" dataDxfId="3" headerRowCellStyle="Normal 8" dataCellStyle="Normal 8">
  <autoFilter ref="U2:V225" xr:uid="{4D01BA68-4DAF-49B6-8DBE-13459189228E}"/>
  <tableColumns count="2">
    <tableColumn id="1" xr3:uid="{0C7C7489-DCAB-4C9A-A6BA-E9B37486185A}" uniqueName="1" name="ItmId" queryTableFieldId="1" dataDxfId="1" dataCellStyle="Normal 8"/>
    <tableColumn id="2" xr3:uid="{822D00AB-37A5-4C2D-A9F7-3304DF8A3AFE}" uniqueName="2" name="AsgTyp" queryTableFieldId="2" dataDxfId="0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1174-F169-4C52-942F-2AFAC6A89600}">
  <sheetPr codeName="Sheet12"/>
  <dimension ref="A1:V225"/>
  <sheetViews>
    <sheetView tabSelected="1" topLeftCell="F1" zoomScale="175" zoomScaleNormal="175" workbookViewId="0">
      <selection activeCell="J2" sqref="J2"/>
    </sheetView>
  </sheetViews>
  <sheetFormatPr defaultColWidth="16" defaultRowHeight="12.75" x14ac:dyDescent="0.2"/>
  <cols>
    <col min="1" max="1" width="2.796875" style="1" bestFit="1" customWidth="1"/>
    <col min="2" max="2" width="12.59765625" style="7" bestFit="1" customWidth="1"/>
    <col min="3" max="3" width="8" style="14" bestFit="1" customWidth="1"/>
    <col min="4" max="4" width="7.19921875" style="14" bestFit="1" customWidth="1"/>
    <col min="5" max="5" width="9.59765625" style="14" bestFit="1" customWidth="1"/>
    <col min="6" max="6" width="17.3984375" style="14" bestFit="1" customWidth="1"/>
    <col min="7" max="7" width="11.19921875" style="14" bestFit="1" customWidth="1"/>
    <col min="8" max="8" width="12" style="14" bestFit="1" customWidth="1"/>
    <col min="9" max="9" width="10.3984375" style="6" bestFit="1" customWidth="1"/>
    <col min="10" max="10" width="17.3984375" style="6" bestFit="1" customWidth="1"/>
    <col min="11" max="11" width="12" style="6" bestFit="1" customWidth="1"/>
    <col min="12" max="12" width="26" style="6" customWidth="1"/>
    <col min="13" max="13" width="26" style="14" customWidth="1"/>
    <col min="14" max="14" width="26" style="6" customWidth="1"/>
    <col min="15" max="15" width="6" style="8" bestFit="1" customWidth="1"/>
    <col min="16" max="16" width="2.59765625" style="7" bestFit="1" customWidth="1"/>
    <col min="17" max="17" width="3.19921875" style="25" bestFit="1" customWidth="1"/>
    <col min="18" max="18" width="3.19921875" style="26" bestFit="1" customWidth="1"/>
    <col min="19" max="19" width="12.796875" style="25"/>
    <col min="20" max="20" width="16" style="7"/>
    <col min="21" max="21" width="16.19921875" style="7" bestFit="1" customWidth="1"/>
    <col min="22" max="22" width="12.796875" style="7" bestFit="1" customWidth="1"/>
    <col min="23" max="16384" width="16" style="7"/>
  </cols>
  <sheetData>
    <row r="1" spans="1:22" s="1" customFormat="1" thickBot="1" x14ac:dyDescent="0.25">
      <c r="I1" s="2"/>
      <c r="J1" s="2"/>
      <c r="K1" s="2"/>
      <c r="L1" s="2"/>
      <c r="N1" s="2"/>
      <c r="O1" s="3"/>
      <c r="P1" s="1" t="s">
        <v>0</v>
      </c>
      <c r="R1" s="1" t="str">
        <f>IF(TRUE,"LNG","LNG")</f>
        <v>LNG</v>
      </c>
    </row>
    <row r="2" spans="1:22" ht="87" x14ac:dyDescent="0.2">
      <c r="B2" s="4" t="s">
        <v>1</v>
      </c>
      <c r="C2" s="5" t="str">
        <f ca="1">LEFT($I$5,FIND("[",$I$5)-1)</f>
        <v>C:\Users\127839\Downloads\Story\DataTracker\Projects\</v>
      </c>
      <c r="D2" s="47"/>
      <c r="E2" s="47"/>
      <c r="F2" s="47"/>
      <c r="G2" s="47"/>
      <c r="H2" s="47"/>
      <c r="M2" s="7"/>
      <c r="N2" s="22" t="s">
        <v>2</v>
      </c>
      <c r="Q2" s="17" t="s">
        <v>20</v>
      </c>
      <c r="R2" s="24" t="str">
        <f>IF(Detect_Language()=1033,"R","F")</f>
        <v>R</v>
      </c>
      <c r="S2" s="17"/>
      <c r="U2" s="52" t="s">
        <v>257</v>
      </c>
      <c r="V2" s="52" t="s">
        <v>258</v>
      </c>
    </row>
    <row r="3" spans="1:22" x14ac:dyDescent="0.2">
      <c r="A3" s="1" t="s">
        <v>3</v>
      </c>
      <c r="B3" s="9" t="s">
        <v>4</v>
      </c>
      <c r="C3" s="10" t="b">
        <f>(OsyS&lt;&gt;"M")</f>
        <v>1</v>
      </c>
      <c r="D3" s="48"/>
      <c r="E3" s="48"/>
      <c r="F3" s="48"/>
      <c r="G3" s="48"/>
      <c r="H3" s="48"/>
      <c r="M3" s="7"/>
      <c r="N3" s="30" t="str" cm="1">
        <f t="array" ref="N3:N5">_xlfn._xlws.SORT(_xlfn.UNIQUE(TRANSPOSE(_xlfn.TEXTSPLIT(PrjX_Id,":"))))</f>
        <v>31199</v>
      </c>
      <c r="R3" s="24" t="str" cm="1">
        <f t="array" ref="R3">LEFT(Detect_OS(),1)</f>
        <v>W</v>
      </c>
      <c r="U3" s="50" t="s">
        <v>30</v>
      </c>
      <c r="V3" s="50" t="s">
        <v>31</v>
      </c>
    </row>
    <row r="4" spans="1:22" ht="11.25" x14ac:dyDescent="0.2">
      <c r="B4" s="11" t="s">
        <v>5</v>
      </c>
      <c r="C4" s="12" t="b">
        <f>(LngS="R")</f>
        <v>1</v>
      </c>
      <c r="D4" s="48"/>
      <c r="E4" s="48"/>
      <c r="F4" s="48"/>
      <c r="G4" s="48"/>
      <c r="H4" s="48"/>
      <c r="I4" s="8"/>
      <c r="J4" s="8"/>
      <c r="K4" s="8"/>
      <c r="L4" s="8"/>
      <c r="M4" s="7"/>
      <c r="N4" s="30" t="str">
        <v>31200</v>
      </c>
      <c r="U4" s="50" t="s">
        <v>32</v>
      </c>
      <c r="V4" s="50" t="s">
        <v>31</v>
      </c>
    </row>
    <row r="5" spans="1:22" x14ac:dyDescent="0.2">
      <c r="B5" s="11" t="s">
        <v>6</v>
      </c>
      <c r="C5" s="12" t="str">
        <f ca="1">_xlfn.TEXTAFTER(I5,"]")</f>
        <v>InOutData</v>
      </c>
      <c r="D5" s="48"/>
      <c r="E5" s="48"/>
      <c r="F5" s="48"/>
      <c r="G5" s="48"/>
      <c r="H5" s="48"/>
      <c r="I5" s="45" t="str" cm="1">
        <f t="array" aca="1" ref="I5" ca="1">CELL("filename",INDIRECT("A1"))</f>
        <v>C:\Users\127839\Downloads\Story\DataTracker\Projects\[OfbDetails_V02.xlsm]InOutData</v>
      </c>
      <c r="J5" s="45"/>
      <c r="K5" s="45"/>
      <c r="M5" s="7"/>
      <c r="N5" s="30" t="str">
        <v>X</v>
      </c>
      <c r="U5" s="50" t="s">
        <v>33</v>
      </c>
      <c r="V5" s="50" t="s">
        <v>31</v>
      </c>
    </row>
    <row r="6" spans="1:22" x14ac:dyDescent="0.2">
      <c r="B6" s="9" t="s">
        <v>7</v>
      </c>
      <c r="C6" s="13" t="str">
        <f>IF($I$11="X","X",Prj0_Id)&amp;":"&amp;IF($I$12="X","X",Prj1_Id)&amp;":"&amp;IF($I$13="X","X",Prj2_Id)</f>
        <v>31200:X:31199</v>
      </c>
      <c r="D6" s="49"/>
      <c r="E6" s="49"/>
      <c r="F6" s="49"/>
      <c r="G6" s="49"/>
      <c r="H6" s="49"/>
      <c r="M6" s="7"/>
      <c r="N6" s="30"/>
      <c r="U6" s="50" t="s">
        <v>34</v>
      </c>
      <c r="V6" s="50" t="s">
        <v>31</v>
      </c>
    </row>
    <row r="7" spans="1:22" x14ac:dyDescent="0.2">
      <c r="B7" s="20" t="s">
        <v>23</v>
      </c>
      <c r="C7" s="13">
        <v>3</v>
      </c>
      <c r="D7" s="49"/>
      <c r="E7" s="49"/>
      <c r="F7" s="49"/>
      <c r="G7" s="49"/>
      <c r="H7" s="49"/>
      <c r="M7" s="7"/>
      <c r="N7" s="31"/>
      <c r="U7" s="50" t="s">
        <v>35</v>
      </c>
      <c r="V7" s="50" t="s">
        <v>36</v>
      </c>
    </row>
    <row r="8" spans="1:22" x14ac:dyDescent="0.2">
      <c r="M8" s="7"/>
      <c r="R8" s="27"/>
      <c r="U8" s="50" t="s">
        <v>37</v>
      </c>
      <c r="V8" s="50" t="s">
        <v>36</v>
      </c>
    </row>
    <row r="9" spans="1:22" x14ac:dyDescent="0.2">
      <c r="R9" s="27"/>
      <c r="U9" s="50" t="s">
        <v>38</v>
      </c>
      <c r="V9" s="50" t="s">
        <v>36</v>
      </c>
    </row>
    <row r="10" spans="1:22" ht="11.25" x14ac:dyDescent="0.2">
      <c r="B10" s="32" t="s">
        <v>8</v>
      </c>
      <c r="C10" s="33" t="s">
        <v>9</v>
      </c>
      <c r="D10" s="33" t="s">
        <v>264</v>
      </c>
      <c r="E10" s="33" t="s">
        <v>265</v>
      </c>
      <c r="F10" s="33" t="s">
        <v>266</v>
      </c>
      <c r="G10" s="33" t="s">
        <v>267</v>
      </c>
      <c r="H10" s="33" t="s">
        <v>268</v>
      </c>
      <c r="I10" s="33" t="s">
        <v>10</v>
      </c>
      <c r="J10" s="33" t="s">
        <v>27</v>
      </c>
      <c r="K10" s="33" t="s">
        <v>28</v>
      </c>
      <c r="L10" s="33" t="s">
        <v>11</v>
      </c>
      <c r="M10" s="33" t="s">
        <v>12</v>
      </c>
      <c r="N10" s="34" t="s">
        <v>13</v>
      </c>
      <c r="R10" s="27"/>
      <c r="U10" s="50" t="s">
        <v>40</v>
      </c>
      <c r="V10" s="50" t="s">
        <v>36</v>
      </c>
    </row>
    <row r="11" spans="1:22" ht="11.25" x14ac:dyDescent="0.2">
      <c r="B11" s="35" t="s">
        <v>14</v>
      </c>
      <c r="C11" s="36">
        <v>31200</v>
      </c>
      <c r="D11" s="36"/>
      <c r="E11" s="36"/>
      <c r="F11" s="36"/>
      <c r="G11" s="36"/>
      <c r="H11" s="36"/>
      <c r="I11" s="37" t="s">
        <v>15</v>
      </c>
      <c r="J11" s="37"/>
      <c r="K11" s="37"/>
      <c r="L11" s="36" t="str">
        <f>Prj0_Id&amp;"M"</f>
        <v>31200M</v>
      </c>
      <c r="M11" s="37" t="s">
        <v>16</v>
      </c>
      <c r="N11" s="38"/>
      <c r="O11" s="15"/>
      <c r="U11" s="50" t="s">
        <v>41</v>
      </c>
      <c r="V11" s="50" t="s">
        <v>36</v>
      </c>
    </row>
    <row r="12" spans="1:22" ht="11.25" x14ac:dyDescent="0.2">
      <c r="B12" s="35" t="s">
        <v>17</v>
      </c>
      <c r="C12" s="36" t="s">
        <v>16</v>
      </c>
      <c r="D12" s="36"/>
      <c r="E12" s="36"/>
      <c r="F12" s="36"/>
      <c r="G12" s="36"/>
      <c r="H12" s="36"/>
      <c r="I12" s="37" t="s">
        <v>16</v>
      </c>
      <c r="J12" s="37"/>
      <c r="K12" s="37"/>
      <c r="L12" s="39" t="str">
        <f>_xlfn.LET(_xlpm.x,Prj1_Id,IF(_xlpm.x="X","X",_xlpm.x&amp;"M"))</f>
        <v>X</v>
      </c>
      <c r="M12" s="37" t="s">
        <v>16</v>
      </c>
      <c r="N12" s="38"/>
      <c r="O12" s="15"/>
      <c r="U12" s="50" t="s">
        <v>42</v>
      </c>
      <c r="V12" s="50" t="s">
        <v>31</v>
      </c>
    </row>
    <row r="13" spans="1:22" ht="11.25" x14ac:dyDescent="0.2">
      <c r="B13" s="40" t="s">
        <v>18</v>
      </c>
      <c r="C13" s="41" t="s">
        <v>19</v>
      </c>
      <c r="D13" s="41"/>
      <c r="E13" s="41"/>
      <c r="F13" s="41"/>
      <c r="G13" s="41"/>
      <c r="H13" s="41"/>
      <c r="I13" s="42" t="s">
        <v>15</v>
      </c>
      <c r="J13" s="42"/>
      <c r="K13" s="42"/>
      <c r="L13" s="43" t="str">
        <f>Prj2_Id&amp;"M"</f>
        <v>31199M</v>
      </c>
      <c r="M13" s="42" t="s">
        <v>16</v>
      </c>
      <c r="N13" s="44"/>
      <c r="U13" s="50" t="s">
        <v>43</v>
      </c>
      <c r="V13" s="50" t="s">
        <v>31</v>
      </c>
    </row>
    <row r="14" spans="1:22" x14ac:dyDescent="0.2">
      <c r="U14" s="50" t="s">
        <v>44</v>
      </c>
      <c r="V14" s="50" t="s">
        <v>31</v>
      </c>
    </row>
    <row r="15" spans="1:22" x14ac:dyDescent="0.2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U15" s="50" t="s">
        <v>45</v>
      </c>
      <c r="V15" s="50" t="s">
        <v>31</v>
      </c>
    </row>
    <row r="16" spans="1:22" x14ac:dyDescent="0.2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R16" s="27"/>
      <c r="U16" s="50" t="s">
        <v>46</v>
      </c>
      <c r="V16" s="50" t="s">
        <v>31</v>
      </c>
    </row>
    <row r="17" spans="1:22" x14ac:dyDescent="0.2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R17" s="27"/>
      <c r="U17" s="50" t="s">
        <v>47</v>
      </c>
      <c r="V17" s="50" t="s">
        <v>31</v>
      </c>
    </row>
    <row r="18" spans="1:22" x14ac:dyDescent="0.2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U18" s="50" t="s">
        <v>48</v>
      </c>
      <c r="V18" s="50" t="s">
        <v>31</v>
      </c>
    </row>
    <row r="19" spans="1:22" x14ac:dyDescent="0.2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U19" s="50" t="s">
        <v>49</v>
      </c>
      <c r="V19" s="50" t="s">
        <v>31</v>
      </c>
    </row>
    <row r="20" spans="1:22" s="16" customFormat="1" ht="36.75" x14ac:dyDescent="0.2">
      <c r="A20" s="21"/>
      <c r="B20" s="16" t="s">
        <v>24</v>
      </c>
      <c r="C20" t="s">
        <v>259</v>
      </c>
      <c r="D20" t="s">
        <v>260</v>
      </c>
      <c r="E20" t="s">
        <v>261</v>
      </c>
      <c r="F20" t="s">
        <v>262</v>
      </c>
      <c r="G20" t="s">
        <v>263</v>
      </c>
      <c r="H20" s="23" t="s">
        <v>21</v>
      </c>
      <c r="I20" s="18"/>
      <c r="K20" s="17"/>
      <c r="L20" s="19"/>
      <c r="M20" s="17"/>
      <c r="U20" s="51" t="s">
        <v>50</v>
      </c>
      <c r="V20" s="51" t="s">
        <v>31</v>
      </c>
    </row>
    <row r="21" spans="1:22" ht="11.25" x14ac:dyDescent="0.2">
      <c r="C21" s="46" t="s">
        <v>25</v>
      </c>
      <c r="D21">
        <v>1052</v>
      </c>
      <c r="E21">
        <v>51890.16</v>
      </c>
      <c r="F21" s="46" t="s">
        <v>26</v>
      </c>
      <c r="G21" s="46" t="s">
        <v>29</v>
      </c>
      <c r="H21" s="29" t="s">
        <v>22</v>
      </c>
      <c r="I21" s="8"/>
      <c r="J21" s="7"/>
      <c r="K21" s="25"/>
      <c r="L21" s="26"/>
      <c r="M21" s="25"/>
      <c r="N21" s="7"/>
      <c r="O21" s="7"/>
      <c r="Q21" s="7"/>
      <c r="R21" s="7"/>
      <c r="S21" s="7"/>
      <c r="U21" s="50" t="s">
        <v>51</v>
      </c>
      <c r="V21" s="50" t="s">
        <v>31</v>
      </c>
    </row>
    <row r="22" spans="1:22" x14ac:dyDescent="0.2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U22" s="50" t="s">
        <v>52</v>
      </c>
      <c r="V22" s="50" t="s">
        <v>31</v>
      </c>
    </row>
    <row r="23" spans="1:22" x14ac:dyDescent="0.2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U23" s="50" t="s">
        <v>53</v>
      </c>
      <c r="V23" s="50" t="s">
        <v>31</v>
      </c>
    </row>
    <row r="24" spans="1:22" x14ac:dyDescent="0.2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U24" s="50" t="s">
        <v>54</v>
      </c>
      <c r="V24" s="50" t="s">
        <v>31</v>
      </c>
    </row>
    <row r="25" spans="1:22" x14ac:dyDescent="0.2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U25" s="50" t="s">
        <v>55</v>
      </c>
      <c r="V25" s="50" t="s">
        <v>31</v>
      </c>
    </row>
    <row r="26" spans="1:22" x14ac:dyDescent="0.2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U26" s="50" t="s">
        <v>56</v>
      </c>
      <c r="V26" s="50" t="s">
        <v>31</v>
      </c>
    </row>
    <row r="27" spans="1:22" x14ac:dyDescent="0.2">
      <c r="U27" s="50" t="s">
        <v>57</v>
      </c>
      <c r="V27" s="50" t="s">
        <v>31</v>
      </c>
    </row>
    <row r="28" spans="1:22" x14ac:dyDescent="0.2">
      <c r="U28" s="50" t="s">
        <v>58</v>
      </c>
      <c r="V28" s="50" t="s">
        <v>31</v>
      </c>
    </row>
    <row r="29" spans="1:22" x14ac:dyDescent="0.2">
      <c r="U29" s="50" t="s">
        <v>59</v>
      </c>
      <c r="V29" s="50" t="s">
        <v>31</v>
      </c>
    </row>
    <row r="30" spans="1:22" x14ac:dyDescent="0.2">
      <c r="U30" s="50" t="s">
        <v>60</v>
      </c>
      <c r="V30" s="50" t="s">
        <v>31</v>
      </c>
    </row>
    <row r="31" spans="1:22" x14ac:dyDescent="0.2">
      <c r="U31" s="50" t="s">
        <v>61</v>
      </c>
      <c r="V31" s="50" t="s">
        <v>31</v>
      </c>
    </row>
    <row r="32" spans="1:22" x14ac:dyDescent="0.2">
      <c r="U32" s="50" t="s">
        <v>62</v>
      </c>
      <c r="V32" s="50" t="s">
        <v>31</v>
      </c>
    </row>
    <row r="33" spans="21:22" x14ac:dyDescent="0.2">
      <c r="U33" s="50" t="s">
        <v>63</v>
      </c>
      <c r="V33" s="50" t="s">
        <v>31</v>
      </c>
    </row>
    <row r="34" spans="21:22" x14ac:dyDescent="0.2">
      <c r="U34" s="50" t="s">
        <v>64</v>
      </c>
      <c r="V34" s="50" t="s">
        <v>31</v>
      </c>
    </row>
    <row r="35" spans="21:22" x14ac:dyDescent="0.2">
      <c r="U35" s="50" t="s">
        <v>65</v>
      </c>
      <c r="V35" s="50" t="s">
        <v>31</v>
      </c>
    </row>
    <row r="36" spans="21:22" x14ac:dyDescent="0.2">
      <c r="U36" s="50" t="s">
        <v>66</v>
      </c>
      <c r="V36" s="50" t="s">
        <v>31</v>
      </c>
    </row>
    <row r="37" spans="21:22" x14ac:dyDescent="0.2">
      <c r="U37" s="50" t="s">
        <v>67</v>
      </c>
      <c r="V37" s="50" t="s">
        <v>31</v>
      </c>
    </row>
    <row r="38" spans="21:22" x14ac:dyDescent="0.2">
      <c r="U38" s="50" t="s">
        <v>68</v>
      </c>
      <c r="V38" s="50" t="s">
        <v>31</v>
      </c>
    </row>
    <row r="39" spans="21:22" x14ac:dyDescent="0.2">
      <c r="U39" s="50" t="s">
        <v>70</v>
      </c>
      <c r="V39" s="50" t="s">
        <v>31</v>
      </c>
    </row>
    <row r="40" spans="21:22" x14ac:dyDescent="0.2">
      <c r="U40" s="50" t="s">
        <v>71</v>
      </c>
      <c r="V40" s="50" t="s">
        <v>69</v>
      </c>
    </row>
    <row r="41" spans="21:22" x14ac:dyDescent="0.2">
      <c r="U41" s="50" t="s">
        <v>72</v>
      </c>
      <c r="V41" s="50" t="s">
        <v>31</v>
      </c>
    </row>
    <row r="42" spans="21:22" x14ac:dyDescent="0.2">
      <c r="U42" s="50" t="s">
        <v>73</v>
      </c>
      <c r="V42" s="50" t="s">
        <v>69</v>
      </c>
    </row>
    <row r="43" spans="21:22" x14ac:dyDescent="0.2">
      <c r="U43" s="50" t="s">
        <v>74</v>
      </c>
      <c r="V43" s="50" t="s">
        <v>69</v>
      </c>
    </row>
    <row r="44" spans="21:22" x14ac:dyDescent="0.2">
      <c r="U44" s="50" t="s">
        <v>75</v>
      </c>
      <c r="V44" s="50" t="s">
        <v>69</v>
      </c>
    </row>
    <row r="45" spans="21:22" x14ac:dyDescent="0.2">
      <c r="U45" s="50" t="s">
        <v>76</v>
      </c>
      <c r="V45" s="50" t="s">
        <v>69</v>
      </c>
    </row>
    <row r="46" spans="21:22" x14ac:dyDescent="0.2">
      <c r="U46" s="50" t="s">
        <v>77</v>
      </c>
      <c r="V46" s="50" t="s">
        <v>69</v>
      </c>
    </row>
    <row r="47" spans="21:22" x14ac:dyDescent="0.2">
      <c r="U47" s="50" t="s">
        <v>78</v>
      </c>
      <c r="V47" s="50" t="s">
        <v>31</v>
      </c>
    </row>
    <row r="48" spans="21:22" x14ac:dyDescent="0.2">
      <c r="U48" s="50" t="s">
        <v>79</v>
      </c>
      <c r="V48" s="50" t="s">
        <v>31</v>
      </c>
    </row>
    <row r="49" spans="21:22" x14ac:dyDescent="0.2">
      <c r="U49" s="50" t="s">
        <v>80</v>
      </c>
      <c r="V49" s="50" t="s">
        <v>31</v>
      </c>
    </row>
    <row r="50" spans="21:22" x14ac:dyDescent="0.2">
      <c r="U50" s="50" t="s">
        <v>81</v>
      </c>
      <c r="V50" s="50" t="s">
        <v>31</v>
      </c>
    </row>
    <row r="51" spans="21:22" x14ac:dyDescent="0.2">
      <c r="U51" s="50" t="s">
        <v>82</v>
      </c>
      <c r="V51" s="50" t="s">
        <v>31</v>
      </c>
    </row>
    <row r="52" spans="21:22" x14ac:dyDescent="0.2">
      <c r="U52" s="50" t="s">
        <v>83</v>
      </c>
      <c r="V52" s="50" t="s">
        <v>31</v>
      </c>
    </row>
    <row r="53" spans="21:22" x14ac:dyDescent="0.2">
      <c r="U53" s="50" t="s">
        <v>84</v>
      </c>
      <c r="V53" s="50" t="s">
        <v>31</v>
      </c>
    </row>
    <row r="54" spans="21:22" x14ac:dyDescent="0.2">
      <c r="U54" s="50" t="s">
        <v>85</v>
      </c>
      <c r="V54" s="50" t="s">
        <v>31</v>
      </c>
    </row>
    <row r="55" spans="21:22" x14ac:dyDescent="0.2">
      <c r="U55" s="50" t="s">
        <v>86</v>
      </c>
      <c r="V55" s="50" t="s">
        <v>36</v>
      </c>
    </row>
    <row r="56" spans="21:22" x14ac:dyDescent="0.2">
      <c r="U56" s="50" t="s">
        <v>87</v>
      </c>
      <c r="V56" s="50" t="s">
        <v>36</v>
      </c>
    </row>
    <row r="57" spans="21:22" x14ac:dyDescent="0.2">
      <c r="U57" s="50" t="s">
        <v>88</v>
      </c>
      <c r="V57" s="50" t="s">
        <v>36</v>
      </c>
    </row>
    <row r="58" spans="21:22" x14ac:dyDescent="0.2">
      <c r="U58" s="50" t="s">
        <v>89</v>
      </c>
      <c r="V58" s="50" t="s">
        <v>31</v>
      </c>
    </row>
    <row r="59" spans="21:22" x14ac:dyDescent="0.2">
      <c r="U59" s="50" t="s">
        <v>90</v>
      </c>
      <c r="V59" s="50" t="s">
        <v>31</v>
      </c>
    </row>
    <row r="60" spans="21:22" x14ac:dyDescent="0.2">
      <c r="U60" s="50" t="s">
        <v>91</v>
      </c>
      <c r="V60" s="50" t="s">
        <v>31</v>
      </c>
    </row>
    <row r="61" spans="21:22" x14ac:dyDescent="0.2">
      <c r="U61" s="50" t="s">
        <v>92</v>
      </c>
      <c r="V61" s="50" t="s">
        <v>31</v>
      </c>
    </row>
    <row r="62" spans="21:22" x14ac:dyDescent="0.2">
      <c r="U62" s="50" t="s">
        <v>93</v>
      </c>
      <c r="V62" s="50" t="s">
        <v>31</v>
      </c>
    </row>
    <row r="63" spans="21:22" x14ac:dyDescent="0.2">
      <c r="U63" s="50" t="s">
        <v>94</v>
      </c>
      <c r="V63" s="50" t="s">
        <v>31</v>
      </c>
    </row>
    <row r="64" spans="21:22" x14ac:dyDescent="0.2">
      <c r="U64" s="50" t="s">
        <v>95</v>
      </c>
      <c r="V64" s="50" t="s">
        <v>31</v>
      </c>
    </row>
    <row r="65" spans="21:22" x14ac:dyDescent="0.2">
      <c r="U65" s="50" t="s">
        <v>96</v>
      </c>
      <c r="V65" s="50" t="s">
        <v>31</v>
      </c>
    </row>
    <row r="66" spans="21:22" x14ac:dyDescent="0.2">
      <c r="U66" s="50" t="s">
        <v>97</v>
      </c>
      <c r="V66" s="50" t="s">
        <v>31</v>
      </c>
    </row>
    <row r="67" spans="21:22" x14ac:dyDescent="0.2">
      <c r="U67" s="50" t="s">
        <v>98</v>
      </c>
      <c r="V67" s="50" t="s">
        <v>31</v>
      </c>
    </row>
    <row r="68" spans="21:22" x14ac:dyDescent="0.2">
      <c r="U68" s="50" t="s">
        <v>99</v>
      </c>
      <c r="V68" s="50" t="s">
        <v>31</v>
      </c>
    </row>
    <row r="69" spans="21:22" x14ac:dyDescent="0.2">
      <c r="U69" s="50" t="s">
        <v>100</v>
      </c>
      <c r="V69" s="50" t="s">
        <v>31</v>
      </c>
    </row>
    <row r="70" spans="21:22" x14ac:dyDescent="0.2">
      <c r="U70" s="50" t="s">
        <v>101</v>
      </c>
      <c r="V70" s="50" t="s">
        <v>31</v>
      </c>
    </row>
    <row r="71" spans="21:22" x14ac:dyDescent="0.2">
      <c r="U71" s="50" t="s">
        <v>102</v>
      </c>
      <c r="V71" s="50" t="s">
        <v>31</v>
      </c>
    </row>
    <row r="72" spans="21:22" x14ac:dyDescent="0.2">
      <c r="U72" s="50" t="s">
        <v>103</v>
      </c>
      <c r="V72" s="50" t="s">
        <v>31</v>
      </c>
    </row>
    <row r="73" spans="21:22" x14ac:dyDescent="0.2">
      <c r="U73" s="50" t="s">
        <v>104</v>
      </c>
      <c r="V73" s="50" t="s">
        <v>31</v>
      </c>
    </row>
    <row r="74" spans="21:22" x14ac:dyDescent="0.2">
      <c r="U74" s="50" t="s">
        <v>105</v>
      </c>
      <c r="V74" s="50" t="s">
        <v>31</v>
      </c>
    </row>
    <row r="75" spans="21:22" x14ac:dyDescent="0.2">
      <c r="U75" s="50" t="s">
        <v>106</v>
      </c>
      <c r="V75" s="50" t="s">
        <v>31</v>
      </c>
    </row>
    <row r="76" spans="21:22" x14ac:dyDescent="0.2">
      <c r="U76" s="50" t="s">
        <v>107</v>
      </c>
      <c r="V76" s="50" t="s">
        <v>31</v>
      </c>
    </row>
    <row r="77" spans="21:22" x14ac:dyDescent="0.2">
      <c r="U77" s="50" t="s">
        <v>108</v>
      </c>
      <c r="V77" s="50" t="s">
        <v>31</v>
      </c>
    </row>
    <row r="78" spans="21:22" x14ac:dyDescent="0.2">
      <c r="U78" s="50" t="s">
        <v>109</v>
      </c>
      <c r="V78" s="50" t="s">
        <v>31</v>
      </c>
    </row>
    <row r="79" spans="21:22" x14ac:dyDescent="0.2">
      <c r="U79" s="50" t="s">
        <v>110</v>
      </c>
      <c r="V79" s="50" t="s">
        <v>31</v>
      </c>
    </row>
    <row r="80" spans="21:22" x14ac:dyDescent="0.2">
      <c r="U80" s="50" t="s">
        <v>111</v>
      </c>
      <c r="V80" s="50" t="s">
        <v>31</v>
      </c>
    </row>
    <row r="81" spans="21:22" x14ac:dyDescent="0.2">
      <c r="U81" s="50" t="s">
        <v>112</v>
      </c>
      <c r="V81" s="50" t="s">
        <v>31</v>
      </c>
    </row>
    <row r="82" spans="21:22" x14ac:dyDescent="0.2">
      <c r="U82" s="50" t="s">
        <v>113</v>
      </c>
      <c r="V82" s="50" t="s">
        <v>31</v>
      </c>
    </row>
    <row r="83" spans="21:22" x14ac:dyDescent="0.2">
      <c r="U83" s="50" t="s">
        <v>114</v>
      </c>
      <c r="V83" s="50" t="s">
        <v>31</v>
      </c>
    </row>
    <row r="84" spans="21:22" x14ac:dyDescent="0.2">
      <c r="U84" s="50" t="s">
        <v>115</v>
      </c>
      <c r="V84" s="50" t="s">
        <v>31</v>
      </c>
    </row>
    <row r="85" spans="21:22" x14ac:dyDescent="0.2">
      <c r="U85" s="50" t="s">
        <v>116</v>
      </c>
      <c r="V85" s="50" t="s">
        <v>31</v>
      </c>
    </row>
    <row r="86" spans="21:22" x14ac:dyDescent="0.2">
      <c r="U86" s="50" t="s">
        <v>117</v>
      </c>
      <c r="V86" s="50" t="s">
        <v>31</v>
      </c>
    </row>
    <row r="87" spans="21:22" x14ac:dyDescent="0.2">
      <c r="U87" s="50" t="s">
        <v>118</v>
      </c>
      <c r="V87" s="50" t="s">
        <v>31</v>
      </c>
    </row>
    <row r="88" spans="21:22" x14ac:dyDescent="0.2">
      <c r="U88" s="50" t="s">
        <v>119</v>
      </c>
      <c r="V88" s="50" t="s">
        <v>31</v>
      </c>
    </row>
    <row r="89" spans="21:22" x14ac:dyDescent="0.2">
      <c r="U89" s="50" t="s">
        <v>120</v>
      </c>
      <c r="V89" s="50" t="s">
        <v>31</v>
      </c>
    </row>
    <row r="90" spans="21:22" x14ac:dyDescent="0.2">
      <c r="U90" s="50" t="s">
        <v>121</v>
      </c>
      <c r="V90" s="50" t="s">
        <v>31</v>
      </c>
    </row>
    <row r="91" spans="21:22" x14ac:dyDescent="0.2">
      <c r="U91" s="50" t="s">
        <v>122</v>
      </c>
      <c r="V91" s="50" t="s">
        <v>31</v>
      </c>
    </row>
    <row r="92" spans="21:22" x14ac:dyDescent="0.2">
      <c r="U92" s="50" t="s">
        <v>123</v>
      </c>
      <c r="V92" s="50" t="s">
        <v>31</v>
      </c>
    </row>
    <row r="93" spans="21:22" x14ac:dyDescent="0.2">
      <c r="U93" s="50" t="s">
        <v>124</v>
      </c>
      <c r="V93" s="50" t="s">
        <v>31</v>
      </c>
    </row>
    <row r="94" spans="21:22" x14ac:dyDescent="0.2">
      <c r="U94" s="50" t="s">
        <v>125</v>
      </c>
      <c r="V94" s="50" t="s">
        <v>31</v>
      </c>
    </row>
    <row r="95" spans="21:22" x14ac:dyDescent="0.2">
      <c r="U95" s="50" t="s">
        <v>126</v>
      </c>
      <c r="V95" s="50" t="s">
        <v>31</v>
      </c>
    </row>
    <row r="96" spans="21:22" x14ac:dyDescent="0.2">
      <c r="U96" s="50" t="s">
        <v>127</v>
      </c>
      <c r="V96" s="50" t="s">
        <v>31</v>
      </c>
    </row>
    <row r="97" spans="21:22" x14ac:dyDescent="0.2">
      <c r="U97" s="50" t="s">
        <v>128</v>
      </c>
      <c r="V97" s="50" t="s">
        <v>31</v>
      </c>
    </row>
    <row r="98" spans="21:22" x14ac:dyDescent="0.2">
      <c r="U98" s="50" t="s">
        <v>129</v>
      </c>
      <c r="V98" s="50" t="s">
        <v>31</v>
      </c>
    </row>
    <row r="99" spans="21:22" x14ac:dyDescent="0.2">
      <c r="U99" s="50" t="s">
        <v>130</v>
      </c>
      <c r="V99" s="50" t="s">
        <v>31</v>
      </c>
    </row>
    <row r="100" spans="21:22" x14ac:dyDescent="0.2">
      <c r="U100" s="50" t="s">
        <v>131</v>
      </c>
      <c r="V100" s="50" t="s">
        <v>31</v>
      </c>
    </row>
    <row r="101" spans="21:22" x14ac:dyDescent="0.2">
      <c r="U101" s="50" t="s">
        <v>132</v>
      </c>
      <c r="V101" s="50" t="s">
        <v>31</v>
      </c>
    </row>
    <row r="102" spans="21:22" x14ac:dyDescent="0.2">
      <c r="U102" s="50" t="s">
        <v>133</v>
      </c>
      <c r="V102" s="50" t="s">
        <v>31</v>
      </c>
    </row>
    <row r="103" spans="21:22" x14ac:dyDescent="0.2">
      <c r="U103" s="50" t="s">
        <v>134</v>
      </c>
      <c r="V103" s="50" t="s">
        <v>31</v>
      </c>
    </row>
    <row r="104" spans="21:22" x14ac:dyDescent="0.2">
      <c r="U104" s="50" t="s">
        <v>135</v>
      </c>
      <c r="V104" s="50" t="s">
        <v>31</v>
      </c>
    </row>
    <row r="105" spans="21:22" x14ac:dyDescent="0.2">
      <c r="U105" s="50" t="s">
        <v>136</v>
      </c>
      <c r="V105" s="50" t="s">
        <v>31</v>
      </c>
    </row>
    <row r="106" spans="21:22" x14ac:dyDescent="0.2">
      <c r="U106" s="50" t="s">
        <v>137</v>
      </c>
      <c r="V106" s="50" t="s">
        <v>31</v>
      </c>
    </row>
    <row r="107" spans="21:22" x14ac:dyDescent="0.2">
      <c r="U107" s="50" t="s">
        <v>138</v>
      </c>
      <c r="V107" s="50" t="s">
        <v>31</v>
      </c>
    </row>
    <row r="108" spans="21:22" x14ac:dyDescent="0.2">
      <c r="U108" s="50" t="s">
        <v>139</v>
      </c>
      <c r="V108" s="50" t="s">
        <v>31</v>
      </c>
    </row>
    <row r="109" spans="21:22" x14ac:dyDescent="0.2">
      <c r="U109" s="50" t="s">
        <v>140</v>
      </c>
      <c r="V109" s="50" t="s">
        <v>31</v>
      </c>
    </row>
    <row r="110" spans="21:22" x14ac:dyDescent="0.2">
      <c r="U110" s="50" t="s">
        <v>141</v>
      </c>
      <c r="V110" s="50" t="s">
        <v>31</v>
      </c>
    </row>
    <row r="111" spans="21:22" x14ac:dyDescent="0.2">
      <c r="U111" s="50" t="s">
        <v>142</v>
      </c>
      <c r="V111" s="50" t="s">
        <v>31</v>
      </c>
    </row>
    <row r="112" spans="21:22" x14ac:dyDescent="0.2">
      <c r="U112" s="50" t="s">
        <v>143</v>
      </c>
      <c r="V112" s="50" t="s">
        <v>31</v>
      </c>
    </row>
    <row r="113" spans="21:22" x14ac:dyDescent="0.2">
      <c r="U113" s="50" t="s">
        <v>144</v>
      </c>
      <c r="V113" s="50" t="s">
        <v>31</v>
      </c>
    </row>
    <row r="114" spans="21:22" x14ac:dyDescent="0.2">
      <c r="U114" s="50" t="s">
        <v>145</v>
      </c>
      <c r="V114" s="50" t="s">
        <v>31</v>
      </c>
    </row>
    <row r="115" spans="21:22" x14ac:dyDescent="0.2">
      <c r="U115" s="50" t="s">
        <v>146</v>
      </c>
      <c r="V115" s="50" t="s">
        <v>31</v>
      </c>
    </row>
    <row r="116" spans="21:22" x14ac:dyDescent="0.2">
      <c r="U116" s="50" t="s">
        <v>147</v>
      </c>
      <c r="V116" s="50" t="s">
        <v>31</v>
      </c>
    </row>
    <row r="117" spans="21:22" x14ac:dyDescent="0.2">
      <c r="U117" s="50" t="s">
        <v>148</v>
      </c>
      <c r="V117" s="50" t="s">
        <v>31</v>
      </c>
    </row>
    <row r="118" spans="21:22" x14ac:dyDescent="0.2">
      <c r="U118" s="50" t="s">
        <v>149</v>
      </c>
      <c r="V118" s="50" t="s">
        <v>69</v>
      </c>
    </row>
    <row r="119" spans="21:22" x14ac:dyDescent="0.2">
      <c r="U119" s="50" t="s">
        <v>150</v>
      </c>
      <c r="V119" s="50" t="s">
        <v>31</v>
      </c>
    </row>
    <row r="120" spans="21:22" x14ac:dyDescent="0.2">
      <c r="U120" s="50" t="s">
        <v>151</v>
      </c>
      <c r="V120" s="50" t="s">
        <v>31</v>
      </c>
    </row>
    <row r="121" spans="21:22" x14ac:dyDescent="0.2">
      <c r="U121" s="50" t="s">
        <v>152</v>
      </c>
      <c r="V121" s="50" t="s">
        <v>31</v>
      </c>
    </row>
    <row r="122" spans="21:22" x14ac:dyDescent="0.2">
      <c r="U122" s="50" t="s">
        <v>153</v>
      </c>
      <c r="V122" s="50" t="s">
        <v>31</v>
      </c>
    </row>
    <row r="123" spans="21:22" x14ac:dyDescent="0.2">
      <c r="U123" s="50" t="s">
        <v>154</v>
      </c>
      <c r="V123" s="50" t="s">
        <v>31</v>
      </c>
    </row>
    <row r="124" spans="21:22" x14ac:dyDescent="0.2">
      <c r="U124" s="50" t="s">
        <v>155</v>
      </c>
      <c r="V124" s="50" t="s">
        <v>31</v>
      </c>
    </row>
    <row r="125" spans="21:22" x14ac:dyDescent="0.2">
      <c r="U125" s="50" t="s">
        <v>156</v>
      </c>
      <c r="V125" s="50" t="s">
        <v>31</v>
      </c>
    </row>
    <row r="126" spans="21:22" x14ac:dyDescent="0.2">
      <c r="U126" s="50" t="s">
        <v>157</v>
      </c>
      <c r="V126" s="50" t="s">
        <v>31</v>
      </c>
    </row>
    <row r="127" spans="21:22" x14ac:dyDescent="0.2">
      <c r="U127" s="50" t="s">
        <v>158</v>
      </c>
      <c r="V127" s="50" t="s">
        <v>31</v>
      </c>
    </row>
    <row r="128" spans="21:22" x14ac:dyDescent="0.2">
      <c r="U128" s="50" t="s">
        <v>159</v>
      </c>
      <c r="V128" s="50" t="s">
        <v>31</v>
      </c>
    </row>
    <row r="129" spans="21:22" x14ac:dyDescent="0.2">
      <c r="U129" s="50" t="s">
        <v>160</v>
      </c>
      <c r="V129" s="50" t="s">
        <v>31</v>
      </c>
    </row>
    <row r="130" spans="21:22" x14ac:dyDescent="0.2">
      <c r="U130" s="50" t="s">
        <v>161</v>
      </c>
      <c r="V130" s="50" t="s">
        <v>31</v>
      </c>
    </row>
    <row r="131" spans="21:22" x14ac:dyDescent="0.2">
      <c r="U131" s="50" t="s">
        <v>162</v>
      </c>
      <c r="V131" s="50" t="s">
        <v>31</v>
      </c>
    </row>
    <row r="132" spans="21:22" x14ac:dyDescent="0.2">
      <c r="U132" s="50" t="s">
        <v>163</v>
      </c>
      <c r="V132" s="50" t="s">
        <v>31</v>
      </c>
    </row>
    <row r="133" spans="21:22" x14ac:dyDescent="0.2">
      <c r="U133" s="50" t="s">
        <v>164</v>
      </c>
      <c r="V133" s="50" t="s">
        <v>31</v>
      </c>
    </row>
    <row r="134" spans="21:22" x14ac:dyDescent="0.2">
      <c r="U134" s="50" t="s">
        <v>165</v>
      </c>
      <c r="V134" s="50" t="s">
        <v>31</v>
      </c>
    </row>
    <row r="135" spans="21:22" x14ac:dyDescent="0.2">
      <c r="U135" s="50" t="s">
        <v>166</v>
      </c>
      <c r="V135" s="50" t="s">
        <v>31</v>
      </c>
    </row>
    <row r="136" spans="21:22" x14ac:dyDescent="0.2">
      <c r="U136" s="50" t="s">
        <v>167</v>
      </c>
      <c r="V136" s="50" t="s">
        <v>31</v>
      </c>
    </row>
    <row r="137" spans="21:22" x14ac:dyDescent="0.2">
      <c r="U137" s="50" t="s">
        <v>168</v>
      </c>
      <c r="V137" s="50" t="s">
        <v>31</v>
      </c>
    </row>
    <row r="138" spans="21:22" x14ac:dyDescent="0.2">
      <c r="U138" s="50" t="s">
        <v>169</v>
      </c>
      <c r="V138" s="50" t="s">
        <v>31</v>
      </c>
    </row>
    <row r="139" spans="21:22" x14ac:dyDescent="0.2">
      <c r="U139" s="50" t="s">
        <v>170</v>
      </c>
      <c r="V139" s="50" t="s">
        <v>31</v>
      </c>
    </row>
    <row r="140" spans="21:22" x14ac:dyDescent="0.2">
      <c r="U140" s="50" t="s">
        <v>171</v>
      </c>
      <c r="V140" s="50" t="s">
        <v>31</v>
      </c>
    </row>
    <row r="141" spans="21:22" x14ac:dyDescent="0.2">
      <c r="U141" s="50" t="s">
        <v>172</v>
      </c>
      <c r="V141" s="50" t="s">
        <v>31</v>
      </c>
    </row>
    <row r="142" spans="21:22" x14ac:dyDescent="0.2">
      <c r="U142" s="50" t="s">
        <v>173</v>
      </c>
      <c r="V142" s="50" t="s">
        <v>31</v>
      </c>
    </row>
    <row r="143" spans="21:22" x14ac:dyDescent="0.2">
      <c r="U143" s="50" t="s">
        <v>174</v>
      </c>
      <c r="V143" s="50" t="s">
        <v>31</v>
      </c>
    </row>
    <row r="144" spans="21:22" x14ac:dyDescent="0.2">
      <c r="U144" s="50" t="s">
        <v>175</v>
      </c>
      <c r="V144" s="50" t="s">
        <v>31</v>
      </c>
    </row>
    <row r="145" spans="21:22" x14ac:dyDescent="0.2">
      <c r="U145" s="50" t="s">
        <v>176</v>
      </c>
      <c r="V145" s="50" t="s">
        <v>31</v>
      </c>
    </row>
    <row r="146" spans="21:22" x14ac:dyDescent="0.2">
      <c r="U146" s="50" t="s">
        <v>177</v>
      </c>
      <c r="V146" s="50" t="s">
        <v>31</v>
      </c>
    </row>
    <row r="147" spans="21:22" x14ac:dyDescent="0.2">
      <c r="U147" s="50" t="s">
        <v>178</v>
      </c>
      <c r="V147" s="50" t="s">
        <v>31</v>
      </c>
    </row>
    <row r="148" spans="21:22" x14ac:dyDescent="0.2">
      <c r="U148" s="50" t="s">
        <v>179</v>
      </c>
      <c r="V148" s="50" t="s">
        <v>31</v>
      </c>
    </row>
    <row r="149" spans="21:22" x14ac:dyDescent="0.2">
      <c r="U149" s="50" t="s">
        <v>180</v>
      </c>
      <c r="V149" s="50" t="s">
        <v>31</v>
      </c>
    </row>
    <row r="150" spans="21:22" x14ac:dyDescent="0.2">
      <c r="U150" s="50" t="s">
        <v>181</v>
      </c>
      <c r="V150" s="50" t="s">
        <v>31</v>
      </c>
    </row>
    <row r="151" spans="21:22" x14ac:dyDescent="0.2">
      <c r="U151" s="50" t="s">
        <v>182</v>
      </c>
      <c r="V151" s="50" t="s">
        <v>31</v>
      </c>
    </row>
    <row r="152" spans="21:22" x14ac:dyDescent="0.2">
      <c r="U152" s="50" t="s">
        <v>183</v>
      </c>
      <c r="V152" s="50" t="s">
        <v>31</v>
      </c>
    </row>
    <row r="153" spans="21:22" x14ac:dyDescent="0.2">
      <c r="U153" s="50" t="s">
        <v>184</v>
      </c>
      <c r="V153" s="50" t="s">
        <v>31</v>
      </c>
    </row>
    <row r="154" spans="21:22" x14ac:dyDescent="0.2">
      <c r="U154" s="50" t="s">
        <v>185</v>
      </c>
      <c r="V154" s="50" t="s">
        <v>31</v>
      </c>
    </row>
    <row r="155" spans="21:22" x14ac:dyDescent="0.2">
      <c r="U155" s="50" t="s">
        <v>186</v>
      </c>
      <c r="V155" s="50" t="s">
        <v>31</v>
      </c>
    </row>
    <row r="156" spans="21:22" x14ac:dyDescent="0.2">
      <c r="U156" s="50" t="s">
        <v>187</v>
      </c>
      <c r="V156" s="50" t="s">
        <v>31</v>
      </c>
    </row>
    <row r="157" spans="21:22" x14ac:dyDescent="0.2">
      <c r="U157" s="50" t="s">
        <v>188</v>
      </c>
      <c r="V157" s="50" t="s">
        <v>31</v>
      </c>
    </row>
    <row r="158" spans="21:22" x14ac:dyDescent="0.2">
      <c r="U158" s="50" t="s">
        <v>189</v>
      </c>
      <c r="V158" s="50" t="s">
        <v>31</v>
      </c>
    </row>
    <row r="159" spans="21:22" x14ac:dyDescent="0.2">
      <c r="U159" s="50" t="s">
        <v>190</v>
      </c>
      <c r="V159" s="50" t="s">
        <v>31</v>
      </c>
    </row>
    <row r="160" spans="21:22" x14ac:dyDescent="0.2">
      <c r="U160" s="50" t="s">
        <v>191</v>
      </c>
      <c r="V160" s="50" t="s">
        <v>31</v>
      </c>
    </row>
    <row r="161" spans="21:22" x14ac:dyDescent="0.2">
      <c r="U161" s="50" t="s">
        <v>192</v>
      </c>
      <c r="V161" s="50" t="s">
        <v>31</v>
      </c>
    </row>
    <row r="162" spans="21:22" x14ac:dyDescent="0.2">
      <c r="U162" s="50" t="s">
        <v>193</v>
      </c>
      <c r="V162" s="50" t="s">
        <v>31</v>
      </c>
    </row>
    <row r="163" spans="21:22" x14ac:dyDescent="0.2">
      <c r="U163" s="50" t="s">
        <v>194</v>
      </c>
      <c r="V163" s="50" t="s">
        <v>31</v>
      </c>
    </row>
    <row r="164" spans="21:22" x14ac:dyDescent="0.2">
      <c r="U164" s="50" t="s">
        <v>195</v>
      </c>
      <c r="V164" s="50" t="s">
        <v>31</v>
      </c>
    </row>
    <row r="165" spans="21:22" x14ac:dyDescent="0.2">
      <c r="U165" s="50" t="s">
        <v>196</v>
      </c>
      <c r="V165" s="50" t="s">
        <v>31</v>
      </c>
    </row>
    <row r="166" spans="21:22" x14ac:dyDescent="0.2">
      <c r="U166" s="50" t="s">
        <v>197</v>
      </c>
      <c r="V166" s="50" t="s">
        <v>69</v>
      </c>
    </row>
    <row r="167" spans="21:22" x14ac:dyDescent="0.2">
      <c r="U167" s="50" t="s">
        <v>198</v>
      </c>
      <c r="V167" s="50" t="s">
        <v>39</v>
      </c>
    </row>
    <row r="168" spans="21:22" x14ac:dyDescent="0.2">
      <c r="U168" s="50" t="s">
        <v>199</v>
      </c>
      <c r="V168" s="50" t="s">
        <v>39</v>
      </c>
    </row>
    <row r="169" spans="21:22" x14ac:dyDescent="0.2">
      <c r="U169" s="50" t="s">
        <v>200</v>
      </c>
      <c r="V169" s="50" t="s">
        <v>31</v>
      </c>
    </row>
    <row r="170" spans="21:22" x14ac:dyDescent="0.2">
      <c r="U170" s="50" t="s">
        <v>201</v>
      </c>
      <c r="V170" s="50" t="s">
        <v>31</v>
      </c>
    </row>
    <row r="171" spans="21:22" x14ac:dyDescent="0.2">
      <c r="U171" s="50" t="s">
        <v>202</v>
      </c>
      <c r="V171" s="50" t="s">
        <v>31</v>
      </c>
    </row>
    <row r="172" spans="21:22" x14ac:dyDescent="0.2">
      <c r="U172" s="50" t="s">
        <v>203</v>
      </c>
      <c r="V172" s="50" t="s">
        <v>31</v>
      </c>
    </row>
    <row r="173" spans="21:22" x14ac:dyDescent="0.2">
      <c r="U173" s="50" t="s">
        <v>204</v>
      </c>
      <c r="V173" s="50" t="s">
        <v>31</v>
      </c>
    </row>
    <row r="174" spans="21:22" x14ac:dyDescent="0.2">
      <c r="U174" s="50" t="s">
        <v>205</v>
      </c>
      <c r="V174" s="50" t="s">
        <v>31</v>
      </c>
    </row>
    <row r="175" spans="21:22" x14ac:dyDescent="0.2">
      <c r="U175" s="50" t="s">
        <v>206</v>
      </c>
      <c r="V175" s="50" t="s">
        <v>31</v>
      </c>
    </row>
    <row r="176" spans="21:22" x14ac:dyDescent="0.2">
      <c r="U176" s="50" t="s">
        <v>207</v>
      </c>
      <c r="V176" s="50" t="s">
        <v>31</v>
      </c>
    </row>
    <row r="177" spans="21:22" x14ac:dyDescent="0.2">
      <c r="U177" s="50" t="s">
        <v>208</v>
      </c>
      <c r="V177" s="50" t="s">
        <v>31</v>
      </c>
    </row>
    <row r="178" spans="21:22" x14ac:dyDescent="0.2">
      <c r="U178" s="50" t="s">
        <v>209</v>
      </c>
      <c r="V178" s="50" t="s">
        <v>31</v>
      </c>
    </row>
    <row r="179" spans="21:22" x14ac:dyDescent="0.2">
      <c r="U179" s="50" t="s">
        <v>210</v>
      </c>
      <c r="V179" s="50" t="s">
        <v>31</v>
      </c>
    </row>
    <row r="180" spans="21:22" x14ac:dyDescent="0.2">
      <c r="U180" s="50" t="s">
        <v>211</v>
      </c>
      <c r="V180" s="50" t="s">
        <v>31</v>
      </c>
    </row>
    <row r="181" spans="21:22" x14ac:dyDescent="0.2">
      <c r="U181" s="50" t="s">
        <v>212</v>
      </c>
      <c r="V181" s="50" t="s">
        <v>31</v>
      </c>
    </row>
    <row r="182" spans="21:22" x14ac:dyDescent="0.2">
      <c r="U182" s="50" t="s">
        <v>213</v>
      </c>
      <c r="V182" s="50" t="s">
        <v>31</v>
      </c>
    </row>
    <row r="183" spans="21:22" x14ac:dyDescent="0.2">
      <c r="U183" s="50" t="s">
        <v>214</v>
      </c>
      <c r="V183" s="50" t="s">
        <v>31</v>
      </c>
    </row>
    <row r="184" spans="21:22" x14ac:dyDescent="0.2">
      <c r="U184" s="50" t="s">
        <v>215</v>
      </c>
      <c r="V184" s="50" t="s">
        <v>31</v>
      </c>
    </row>
    <row r="185" spans="21:22" x14ac:dyDescent="0.2">
      <c r="U185" s="50" t="s">
        <v>216</v>
      </c>
      <c r="V185" s="50" t="s">
        <v>31</v>
      </c>
    </row>
    <row r="186" spans="21:22" x14ac:dyDescent="0.2">
      <c r="U186" s="50" t="s">
        <v>217</v>
      </c>
      <c r="V186" s="50" t="s">
        <v>31</v>
      </c>
    </row>
    <row r="187" spans="21:22" x14ac:dyDescent="0.2">
      <c r="U187" s="50" t="s">
        <v>218</v>
      </c>
      <c r="V187" s="50" t="s">
        <v>31</v>
      </c>
    </row>
    <row r="188" spans="21:22" x14ac:dyDescent="0.2">
      <c r="U188" s="50" t="s">
        <v>219</v>
      </c>
      <c r="V188" s="50" t="s">
        <v>31</v>
      </c>
    </row>
    <row r="189" spans="21:22" x14ac:dyDescent="0.2">
      <c r="U189" s="50" t="s">
        <v>220</v>
      </c>
      <c r="V189" s="50" t="s">
        <v>31</v>
      </c>
    </row>
    <row r="190" spans="21:22" x14ac:dyDescent="0.2">
      <c r="U190" s="50" t="s">
        <v>221</v>
      </c>
      <c r="V190" s="50" t="s">
        <v>31</v>
      </c>
    </row>
    <row r="191" spans="21:22" x14ac:dyDescent="0.2">
      <c r="U191" s="50" t="s">
        <v>222</v>
      </c>
      <c r="V191" s="50" t="s">
        <v>31</v>
      </c>
    </row>
    <row r="192" spans="21:22" x14ac:dyDescent="0.2">
      <c r="U192" s="50" t="s">
        <v>223</v>
      </c>
      <c r="V192" s="50" t="s">
        <v>31</v>
      </c>
    </row>
    <row r="193" spans="21:22" x14ac:dyDescent="0.2">
      <c r="U193" s="50" t="s">
        <v>224</v>
      </c>
      <c r="V193" s="50" t="s">
        <v>31</v>
      </c>
    </row>
    <row r="194" spans="21:22" x14ac:dyDescent="0.2">
      <c r="U194" s="50" t="s">
        <v>225</v>
      </c>
      <c r="V194" s="50" t="s">
        <v>69</v>
      </c>
    </row>
    <row r="195" spans="21:22" x14ac:dyDescent="0.2">
      <c r="U195" s="50" t="s">
        <v>226</v>
      </c>
      <c r="V195" s="50" t="s">
        <v>31</v>
      </c>
    </row>
    <row r="196" spans="21:22" x14ac:dyDescent="0.2">
      <c r="U196" s="50" t="s">
        <v>227</v>
      </c>
      <c r="V196" s="50" t="s">
        <v>31</v>
      </c>
    </row>
    <row r="197" spans="21:22" x14ac:dyDescent="0.2">
      <c r="U197" s="50" t="s">
        <v>228</v>
      </c>
      <c r="V197" s="50" t="s">
        <v>31</v>
      </c>
    </row>
    <row r="198" spans="21:22" x14ac:dyDescent="0.2">
      <c r="U198" s="50" t="s">
        <v>229</v>
      </c>
      <c r="V198" s="50" t="s">
        <v>31</v>
      </c>
    </row>
    <row r="199" spans="21:22" x14ac:dyDescent="0.2">
      <c r="U199" s="50" t="s">
        <v>230</v>
      </c>
      <c r="V199" s="50" t="s">
        <v>31</v>
      </c>
    </row>
    <row r="200" spans="21:22" x14ac:dyDescent="0.2">
      <c r="U200" s="50" t="s">
        <v>231</v>
      </c>
      <c r="V200" s="50" t="s">
        <v>31</v>
      </c>
    </row>
    <row r="201" spans="21:22" x14ac:dyDescent="0.2">
      <c r="U201" s="50" t="s">
        <v>232</v>
      </c>
      <c r="V201" s="50" t="s">
        <v>31</v>
      </c>
    </row>
    <row r="202" spans="21:22" x14ac:dyDescent="0.2">
      <c r="U202" s="50" t="s">
        <v>233</v>
      </c>
      <c r="V202" s="50" t="s">
        <v>31</v>
      </c>
    </row>
    <row r="203" spans="21:22" x14ac:dyDescent="0.2">
      <c r="U203" s="50" t="s">
        <v>234</v>
      </c>
      <c r="V203" s="50" t="s">
        <v>31</v>
      </c>
    </row>
    <row r="204" spans="21:22" x14ac:dyDescent="0.2">
      <c r="U204" s="50" t="s">
        <v>235</v>
      </c>
      <c r="V204" s="50" t="s">
        <v>31</v>
      </c>
    </row>
    <row r="205" spans="21:22" x14ac:dyDescent="0.2">
      <c r="U205" s="50" t="s">
        <v>236</v>
      </c>
      <c r="V205" s="50" t="s">
        <v>31</v>
      </c>
    </row>
    <row r="206" spans="21:22" x14ac:dyDescent="0.2">
      <c r="U206" s="50" t="s">
        <v>237</v>
      </c>
      <c r="V206" s="50" t="s">
        <v>31</v>
      </c>
    </row>
    <row r="207" spans="21:22" x14ac:dyDescent="0.2">
      <c r="U207" s="50" t="s">
        <v>238</v>
      </c>
      <c r="V207" s="50" t="s">
        <v>31</v>
      </c>
    </row>
    <row r="208" spans="21:22" x14ac:dyDescent="0.2">
      <c r="U208" s="50" t="s">
        <v>239</v>
      </c>
      <c r="V208" s="50" t="s">
        <v>31</v>
      </c>
    </row>
    <row r="209" spans="21:22" x14ac:dyDescent="0.2">
      <c r="U209" s="50" t="s">
        <v>240</v>
      </c>
      <c r="V209" s="50" t="s">
        <v>31</v>
      </c>
    </row>
    <row r="210" spans="21:22" x14ac:dyDescent="0.2">
      <c r="U210" s="50" t="s">
        <v>241</v>
      </c>
      <c r="V210" s="50" t="s">
        <v>31</v>
      </c>
    </row>
    <row r="211" spans="21:22" x14ac:dyDescent="0.2">
      <c r="U211" s="50" t="s">
        <v>242</v>
      </c>
      <c r="V211" s="50" t="s">
        <v>31</v>
      </c>
    </row>
    <row r="212" spans="21:22" x14ac:dyDescent="0.2">
      <c r="U212" s="50" t="s">
        <v>243</v>
      </c>
      <c r="V212" s="50" t="s">
        <v>31</v>
      </c>
    </row>
    <row r="213" spans="21:22" x14ac:dyDescent="0.2">
      <c r="U213" s="50" t="s">
        <v>244</v>
      </c>
      <c r="V213" s="50" t="s">
        <v>31</v>
      </c>
    </row>
    <row r="214" spans="21:22" x14ac:dyDescent="0.2">
      <c r="U214" s="50" t="s">
        <v>245</v>
      </c>
      <c r="V214" s="50" t="s">
        <v>31</v>
      </c>
    </row>
    <row r="215" spans="21:22" x14ac:dyDescent="0.2">
      <c r="U215" s="50" t="s">
        <v>246</v>
      </c>
      <c r="V215" s="50" t="s">
        <v>31</v>
      </c>
    </row>
    <row r="216" spans="21:22" x14ac:dyDescent="0.2">
      <c r="U216" s="50" t="s">
        <v>247</v>
      </c>
      <c r="V216" s="50" t="s">
        <v>31</v>
      </c>
    </row>
    <row r="217" spans="21:22" x14ac:dyDescent="0.2">
      <c r="U217" s="50" t="s">
        <v>248</v>
      </c>
      <c r="V217" s="50" t="s">
        <v>69</v>
      </c>
    </row>
    <row r="218" spans="21:22" x14ac:dyDescent="0.2">
      <c r="U218" s="50" t="s">
        <v>249</v>
      </c>
      <c r="V218" s="50" t="s">
        <v>69</v>
      </c>
    </row>
    <row r="219" spans="21:22" x14ac:dyDescent="0.2">
      <c r="U219" s="50" t="s">
        <v>250</v>
      </c>
      <c r="V219" s="50" t="s">
        <v>31</v>
      </c>
    </row>
    <row r="220" spans="21:22" x14ac:dyDescent="0.2">
      <c r="U220" s="50" t="s">
        <v>251</v>
      </c>
      <c r="V220" s="50" t="s">
        <v>69</v>
      </c>
    </row>
    <row r="221" spans="21:22" x14ac:dyDescent="0.2">
      <c r="U221" s="50" t="s">
        <v>252</v>
      </c>
      <c r="V221" s="50" t="s">
        <v>69</v>
      </c>
    </row>
    <row r="222" spans="21:22" x14ac:dyDescent="0.2">
      <c r="U222" s="50" t="s">
        <v>253</v>
      </c>
      <c r="V222" s="50" t="s">
        <v>31</v>
      </c>
    </row>
    <row r="223" spans="21:22" x14ac:dyDescent="0.2">
      <c r="U223" s="50" t="s">
        <v>254</v>
      </c>
      <c r="V223" s="50" t="s">
        <v>31</v>
      </c>
    </row>
    <row r="224" spans="21:22" x14ac:dyDescent="0.2">
      <c r="U224" s="50" t="s">
        <v>255</v>
      </c>
      <c r="V224" s="50" t="s">
        <v>31</v>
      </c>
    </row>
    <row r="225" spans="21:22" x14ac:dyDescent="0.2">
      <c r="U225" s="50" t="s">
        <v>256</v>
      </c>
      <c r="V225" s="50" t="s">
        <v>31</v>
      </c>
    </row>
  </sheetData>
  <dataConsolidate link="1"/>
  <phoneticPr fontId="8" type="noConversion"/>
  <conditionalFormatting sqref="C11:N13">
    <cfRule type="cellIs" dxfId="9" priority="1" operator="equal">
      <formula>"X"</formula>
    </cfRule>
    <cfRule type="expression" dxfId="8" priority="2">
      <formula>(C11&lt;&gt;"X")</formula>
    </cfRule>
  </conditionalFormatting>
  <dataValidations count="3">
    <dataValidation type="list" allowBlank="1" showInputMessage="1" showErrorMessage="1" sqref="N11:N13" xr:uid="{C2D0060C-3E53-4BC1-BD14-9A438B18774C}">
      <formula1>"X,O"</formula1>
    </dataValidation>
    <dataValidation type="list" allowBlank="1" showInputMessage="1" showErrorMessage="1" sqref="C12:H13" xr:uid="{05A4D004-954C-42B4-A277-6D2F54B86498}">
      <formula1>_xlfn.ANCHORARRAY($N$3)</formula1>
    </dataValidation>
    <dataValidation type="list" allowBlank="1" showInputMessage="1" showErrorMessage="1" sqref="O11:O12 I11:K13 M11:M13" xr:uid="{7CDE8A36-724B-4925-A61E-74AA45AC6735}">
      <formula1>"O,X"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&amp;C_x000D_&amp;1#&amp;"Calibri"&amp;8&amp;K000000 Aernnova Group confidential information. Limited use on a need-to-know basis. All rights reserved.</oddFooter>
  </headerFooter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9D80E-A159-48DF-8B3B-CCA7AC0E8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InOutData</vt:lpstr>
      <vt:lpstr>LngS</vt:lpstr>
      <vt:lpstr>LvE</vt:lpstr>
      <vt:lpstr>OsyS</vt:lpstr>
      <vt:lpstr>Prj0_Id</vt:lpstr>
      <vt:lpstr>Prj0M_Id</vt:lpstr>
      <vt:lpstr>Prj1_Id</vt:lpstr>
      <vt:lpstr>Prj1M_Id</vt:lpstr>
      <vt:lpstr>Prj2_Id</vt:lpstr>
      <vt:lpstr>Prj2M_Id</vt:lpstr>
      <vt:lpstr>PrjX_Id</vt:lpstr>
      <vt:lpstr>Pth</vt:lpstr>
      <vt:lpstr>Vrs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GIL, DIEGO</dc:creator>
  <cp:lastModifiedBy>PEREZ GIL, DIEGO</cp:lastModifiedBy>
  <dcterms:created xsi:type="dcterms:W3CDTF">2024-11-27T21:01:14Z</dcterms:created>
  <dcterms:modified xsi:type="dcterms:W3CDTF">2024-12-02T22:10:48Z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2024-11-27T21:12:17Z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df13cce9-065a-45f2-a3a1-b0c78434566d</vt:lpwstr>
  </property>
  <property fmtid="{D5CDD505-2E9C-101B-9397-08002B2CF9AE}" pid="8" name="MSIP_Label_5c37234c-be34-48e6-861e-3e7763cedb77_ContentBits">
    <vt:lpwstr>2</vt:lpwstr>
  </property>
</Properties>
</file>