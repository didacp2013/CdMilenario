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5" codeName="{6A26FB3C-EA34-E94E-B44F-155022A03E1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/Users/didac/Downloads/Story/DataTracker/Projects/"/>
    </mc:Choice>
  </mc:AlternateContent>
  <xr:revisionPtr revIDLastSave="0" documentId="13_ncr:1_{19466A8E-702C-3746-8F94-ECD5B06D8872}" xr6:coauthVersionLast="47" xr6:coauthVersionMax="47" xr10:uidLastSave="{00000000-0000-0000-0000-000000000000}"/>
  <bookViews>
    <workbookView xWindow="-5660" yWindow="-21100" windowWidth="38400" windowHeight="21100" activeTab="1" xr2:uid="{EDAD35E9-EC97-4654-B180-E6FDDD7C6CE2}"/>
  </bookViews>
  <sheets>
    <sheet name="StdData" sheetId="58883" r:id="rId1"/>
    <sheet name="InOutData" sheetId="58853" r:id="rId2"/>
    <sheet name="Sheet1" sheetId="58885" r:id="rId3"/>
    <sheet name="OutData" sheetId="58858" r:id="rId4"/>
  </sheets>
  <functionGroups builtInGroupCount="19"/>
  <externalReferences>
    <externalReference r:id="rId5"/>
  </externalReferences>
  <definedNames>
    <definedName name="_xlnm._FilterDatabase" localSheetId="1" hidden="1">InOutData!#REF!</definedName>
    <definedName name="_xlnm._FilterDatabase" localSheetId="2" hidden="1">Sheet1!$B$2:$H$1002</definedName>
    <definedName name="_xlpm.v" hidden="1" xlm="1">#NAME?</definedName>
    <definedName name="_xlpm.w" hidden="1" xlm="1">#NAME?</definedName>
    <definedName name="_xlpm.x" hidden="1" xlm="1">#NAME?</definedName>
    <definedName name="_xlpm.y" hidden="1" xlm="1">#NAME?</definedName>
    <definedName name="_xlpm.yA" hidden="1" xlm="1">#NAME?</definedName>
    <definedName name="_xlpm.yB" hidden="1" xlm="1">#NAME?</definedName>
    <definedName name="_xlpm.yC" hidden="1" xlm="1">#NAME?</definedName>
    <definedName name="_xlpm.yD" hidden="1" xlm="1">#NAME?</definedName>
    <definedName name="_xlpm.yE" hidden="1" xlm="1">#NAME?</definedName>
    <definedName name="_xlpm.z" hidden="1" xlm="1">#NAME?</definedName>
    <definedName name="DinamicRange">OFFSET([1]PRP!$A$1,0,0,MATCH("EOE",#REF!,0),MATCH("EOL",#REF!,0))</definedName>
    <definedName name="ExternalData_1" localSheetId="1" hidden="1">InOutData!$M$2:$P$2063</definedName>
    <definedName name="ExternalData_10" localSheetId="3" hidden="1">OutData!#REF!</definedName>
    <definedName name="ExternalData_11" localSheetId="3" hidden="1">OutData!#REF!</definedName>
    <definedName name="ExternalData_12" localSheetId="3" hidden="1">OutData!#REF!</definedName>
    <definedName name="ExternalData_13" localSheetId="3" hidden="1">OutData!#REF!</definedName>
    <definedName name="ExternalData_14" localSheetId="3" hidden="1">OutData!#REF!</definedName>
    <definedName name="ExternalData_15" localSheetId="3" hidden="1">OutData!#REF!</definedName>
    <definedName name="ExternalData_16" localSheetId="3" hidden="1">OutData!#REF!</definedName>
    <definedName name="ExternalData_17" localSheetId="3" hidden="1">OutData!#REF!</definedName>
    <definedName name="ExternalData_18" localSheetId="1" hidden="1">InOutData!#REF!</definedName>
    <definedName name="ExternalData_19" localSheetId="1" hidden="1">InOutData!#REF!</definedName>
    <definedName name="ExternalData_2" localSheetId="3" hidden="1">OutData!#REF!</definedName>
    <definedName name="ExternalData_20" localSheetId="3" hidden="1">OutData!#REF!</definedName>
    <definedName name="ExternalData_21" localSheetId="3" hidden="1">OutData!#REF!</definedName>
    <definedName name="ExternalData_24" localSheetId="3" hidden="1">OutData!#REF!</definedName>
    <definedName name="ExternalData_25" localSheetId="3" hidden="1">OutData!#REF!</definedName>
    <definedName name="ExternalData_28" localSheetId="3" hidden="1">OutData!#REF!</definedName>
    <definedName name="ExternalData_29" localSheetId="3" hidden="1">OutData!#REF!</definedName>
    <definedName name="ExternalData_3" localSheetId="1" hidden="1">InOutData!#REF!</definedName>
    <definedName name="ExternalData_30" localSheetId="1" hidden="1">InOutData!#REF!</definedName>
    <definedName name="ExternalData_33" localSheetId="1" hidden="1">InOutData!#REF!</definedName>
    <definedName name="ExternalData_34" localSheetId="1" hidden="1">InOutData!#REF!</definedName>
    <definedName name="ExternalData_34" localSheetId="3" hidden="1">OutData!#REF!</definedName>
    <definedName name="ExternalData_35" localSheetId="1" hidden="1">InOutData!#REF!</definedName>
    <definedName name="ExternalData_35" localSheetId="3" hidden="1">OutData!#REF!</definedName>
    <definedName name="ExternalData_37" localSheetId="3" hidden="1">OutData!#REF!</definedName>
    <definedName name="ExternalData_4" localSheetId="1" hidden="1">InOutData!#REF!</definedName>
    <definedName name="ExternalData_4" localSheetId="3" hidden="1">OutData!#REF!</definedName>
    <definedName name="ExternalData_5" localSheetId="3" hidden="1">OutData!#REF!</definedName>
    <definedName name="ExternalData_7" localSheetId="3" hidden="1">OutData!#REF!</definedName>
    <definedName name="ExternalData_9" localSheetId="3" hidden="1">OutData!#REF!</definedName>
    <definedName name="LngS">StdData!#REF!</definedName>
    <definedName name="LvE">InOutData!$C$4</definedName>
    <definedName name="OsyS">InOutData!$F$3</definedName>
    <definedName name="Prj0_Id">InOutData!$C$11</definedName>
    <definedName name="Prj0M_Id">InOutData!$E$11</definedName>
    <definedName name="Prj1_Id">InOutData!$C$12</definedName>
    <definedName name="Prj1M_Id">InOutData!$E$12</definedName>
    <definedName name="Prj2_Id">InOutData!$C$13</definedName>
    <definedName name="Prj2M_Id">InOutData!$E$13</definedName>
    <definedName name="PrjX_Id">InOutData!$C$6</definedName>
    <definedName name="Pth">InOutData!$C$2</definedName>
    <definedName name="Vrs">InOutData!$C$7</definedName>
  </definedNames>
  <calcPr calcId="191029" calcMode="manual"/>
  <customWorkbookViews>
    <customWorkbookView name="JSOLDEVI - Personal View" guid="{A6A3454B-DDBC-4A33-99EC-1DC9146C3DAD}" mergeInterval="0" personalView="1" maximized="1" windowWidth="1020" windowHeight="554" activeSheetId="3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58853" l="1"/>
  <c r="C3" i="58853"/>
  <c r="F1" i="58853"/>
  <c r="B1" i="58853" a="1"/>
  <c r="B1" i="58853" s="1"/>
  <c r="F2" i="58853" a="1"/>
  <c r="F2" i="58853" l="1"/>
  <c r="C5" i="58853"/>
  <c r="C2" i="58853"/>
  <c r="F3" i="58853" s="1"/>
  <c r="BJ5" i="58883" a="1"/>
  <c r="BJ5" i="58883" s="1"/>
  <c r="BJ3" i="58883" s="1" a="1"/>
  <c r="BJ3" i="58883" s="1"/>
  <c r="AY19" i="58883"/>
  <c r="AY18" i="58883"/>
  <c r="AY17" i="58883"/>
  <c r="AY16" i="58883"/>
  <c r="AY15" i="58883"/>
  <c r="AY14" i="58883"/>
  <c r="AY13" i="58883"/>
  <c r="AY12" i="58883"/>
  <c r="AY11" i="58883"/>
  <c r="L40" i="58883" l="1"/>
  <c r="L39" i="58883"/>
  <c r="L37" i="58883"/>
  <c r="L35" i="58883"/>
  <c r="L33" i="58883"/>
  <c r="L32" i="58883"/>
  <c r="L31" i="58883"/>
  <c r="L30" i="58883"/>
  <c r="N29" i="58883"/>
  <c r="L29" i="58883"/>
  <c r="L28" i="58883"/>
  <c r="L27" i="58883"/>
  <c r="L26" i="58883"/>
  <c r="L25" i="58883"/>
  <c r="L23" i="58883"/>
  <c r="L22" i="58883"/>
  <c r="L21" i="58883"/>
  <c r="L20" i="58883"/>
  <c r="L19" i="58883"/>
  <c r="L18" i="58883"/>
  <c r="L17" i="58883"/>
  <c r="L16" i="58883"/>
  <c r="L15" i="58883"/>
  <c r="L14" i="58883"/>
  <c r="L13" i="58883"/>
  <c r="L12" i="58883"/>
  <c r="D12" i="58883"/>
  <c r="L11" i="58883"/>
  <c r="D11" i="58883"/>
  <c r="L10" i="58883"/>
  <c r="D10" i="58883"/>
  <c r="L9" i="58883"/>
  <c r="L8" i="58883"/>
  <c r="L7" i="58883"/>
  <c r="L6" i="58883"/>
  <c r="L5" i="58883"/>
  <c r="L4" i="58883"/>
  <c r="L3" i="58883"/>
  <c r="B2" i="58858" a="1"/>
  <c r="B2" i="58858" l="1"/>
  <c r="BJ296" i="58883" a="1"/>
  <c r="BJ296" i="5888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2F75A1E-1B83-4740-9AEB-4726E96BB3BA}" keepAlive="1" name="Query - _IsoWeek" description="Connection to the '_IsoWeek' query in the workbook." type="5" refreshedVersion="0" background="1">
    <dbPr connection="Provider=Microsoft.Mashup.OleDb.1;Data Source=$Workbook$;Location=_IsoWeek;Extended Properties=&quot;&quot;" command="SELECT * FROM [_IsoWeek]"/>
  </connection>
  <connection id="2" xr16:uid="{ED32ACDA-F517-4668-AF78-FD5155FB74A3}" keepAlive="1" name="Query - CDc0_Tot" description="Connection to the 'CDc0_Tot' query in the workbook." type="5" refreshedVersion="0" background="1">
    <dbPr connection="Provider=Microsoft.Mashup.OleDb.1;Data Source=$Workbook$;Location=CDc0_Tot;Extended Properties=&quot;&quot;" command="SELECT * FROM [CDc0_Tot]"/>
  </connection>
  <connection id="3" xr16:uid="{F5CD3415-4A4C-490D-8F65-73C9D48C944B}" keepAlive="1" name="Query - DhB0" description="Connection to the 'DhB0' query in the workbook." type="5" refreshedVersion="8" background="1" saveData="1">
    <dbPr connection="Provider=Microsoft.Mashup.OleDb.1;Data Source=$Workbook$;Location=DhB0;Extended Properties=&quot;&quot;" command="SELECT * FROM [DhB0]"/>
  </connection>
  <connection id="4" xr16:uid="{53B52B73-6F68-4A9E-BECC-409F416A8BBB}" keepAlive="1" name="Query - DhB1" description="Connection to the 'DhB1' query in the workbook." type="5" refreshedVersion="0" background="1">
    <dbPr connection="Provider=Microsoft.Mashup.OleDb.1;Data Source=$Workbook$;Location=DhB1;Extended Properties=&quot;&quot;" command="SELECT * FROM [DhB1]"/>
  </connection>
  <connection id="5" xr16:uid="{0BDA86E1-48DB-4325-AC30-7FC7A3484695}" keepAlive="1" name="Query - DhB2" description="Connection to the 'DhB2' query in the workbook." type="5" refreshedVersion="0" background="1">
    <dbPr connection="Provider=Microsoft.Mashup.OleDb.1;Data Source=$Workbook$;Location=DhB2;Extended Properties=&quot;&quot;" command="SELECT * FROM [DhB2]"/>
  </connection>
  <connection id="6" xr16:uid="{CCC0B00F-0F5B-4F5A-B95A-58D2C35B04A8}" keepAlive="1" name="Query - DhB3" description="Connection to the 'DhB3' query in the workbook." type="5" refreshedVersion="0" background="1">
    <dbPr connection="Provider=Microsoft.Mashup.OleDb.1;Data Source=$Workbook$;Location=DhB3;Extended Properties=&quot;&quot;" command="SELECT * FROM [DhB3]"/>
  </connection>
  <connection id="7" xr16:uid="{CDB90F31-52F8-42B3-933F-036CE72FB9D1}" keepAlive="1" name="Query - DhB4" description="Connection to the 'DhB4' query in the workbook." type="5" refreshedVersion="0" background="1">
    <dbPr connection="Provider=Microsoft.Mashup.OleDb.1;Data Source=$Workbook$;Location=DhB4;Extended Properties=&quot;&quot;" command="SELECT * FROM [DhB4]"/>
  </connection>
  <connection id="8" xr16:uid="{5839F313-7179-4FE3-B7FA-9EBA6EF8C834}" keepAlive="1" name="Query - DhB5" description="Connection to the 'DhB5' query in the workbook." type="5" refreshedVersion="0" background="1">
    <dbPr connection="Provider=Microsoft.Mashup.OleDb.1;Data Source=$Workbook$;Location=DhB5;Extended Properties=&quot;&quot;" command="SELECT * FROM [DhB5]"/>
  </connection>
  <connection id="9" xr16:uid="{8EA966A2-DF8E-4714-9A82-27935D709F11}" keepAlive="1" name="Query - FilD_ASP" description="Connection to the 'FilD_ASP' query in the workbook." type="5" refreshedVersion="8" background="1" saveData="1">
    <dbPr connection="Provider=Microsoft.Mashup.OleDb.1;Data Source=$Workbook$;Location=FilD_ASP;Extended Properties=&quot;&quot;" command="SELECT * FROM [FilD_ASP]"/>
  </connection>
  <connection id="10" xr16:uid="{8B05A9D8-8A3A-4287-BBC0-B60FD333FDBA}" keepAlive="1" name="Query - FilD_XPE0" description="Connection to the 'FilD_XPE0' query in the workbook." type="5" refreshedVersion="0" background="1">
    <dbPr connection="Provider=Microsoft.Mashup.OleDb.1;Data Source=$Workbook$;Location=FilD_XPE0;Extended Properties=&quot;&quot;" command="SELECT * FROM [FilD_XPE0]"/>
  </connection>
  <connection id="11" xr16:uid="{C4176FBE-0814-48DA-9299-F1847F0588DF}" keepAlive="1" name="Query - FilD_XPE1" description="Connection to the 'FilD_XPE1' query in the workbook." type="5" refreshedVersion="8" background="1" saveData="1">
    <dbPr connection="Provider=Microsoft.Mashup.OleDb.1;Data Source=$Workbook$;Location=FilD_XPE1;Extended Properties=&quot;&quot;" command="SELECT * FROM [FilD_XPE1]"/>
  </connection>
  <connection id="12" xr16:uid="{5F4194C5-6129-42B5-A1DC-0F66C73A1A5E}" keepAlive="1" name="Query - FilD0" description="Connection to the 'FilD0' query in the workbook." type="5" refreshedVersion="0" background="1">
    <dbPr connection="Provider=Microsoft.Mashup.OleDb.1;Data Source=$Workbook$;Location=FilD0;Extended Properties=&quot;&quot;" command="SELECT * FROM [FilD0]"/>
  </connection>
  <connection id="13" xr16:uid="{90116E05-EA2A-4183-8555-D85F6E2CC7FF}" keepAlive="1" name="Query - FilDCDc0" description="Connection to the 'FilDCDc0' query in the workbook." type="5" refreshedVersion="0" background="1">
    <dbPr connection="Provider=Microsoft.Mashup.OleDb.1;Data Source=$Workbook$;Location=FilDCDc0;Extended Properties=&quot;&quot;" command="SELECT * FROM [FilDCDc0]"/>
  </connection>
  <connection id="14" xr16:uid="{0A7E4E30-8C96-4AB9-8E11-5FD379AA4C95}" keepAlive="1" name="Query - FilDCDc1" description="Connection to the 'FilDCDc1' query in the workbook." type="5" refreshedVersion="0" background="1">
    <dbPr connection="Provider=Microsoft.Mashup.OleDb.1;Data Source=$Workbook$;Location=FilDCDc1;Extended Properties=&quot;&quot;" command="SELECT * FROM [FilDCDc1]"/>
  </connection>
  <connection id="15" xr16:uid="{CCBD3171-13AD-450C-A786-369740313DF7}" keepAlive="1" name="Query - FilDCDc2" description="Connection to the 'FilDCDc2' query in the workbook." type="5" refreshedVersion="0" background="1">
    <dbPr connection="Provider=Microsoft.Mashup.OleDb.1;Data Source=$Workbook$;Location=FilDCDc2;Extended Properties=&quot;&quot;" command="SELECT * FROM [FilDCDc2]"/>
  </connection>
  <connection id="16" xr16:uid="{D2C60C16-8F38-4B6B-A210-CE1F35AE3D0B}" keepAlive="1" name="Query - FilDCDc3" description="Connection to the 'FilDCDc3' query in the workbook." type="5" refreshedVersion="0" background="1">
    <dbPr connection="Provider=Microsoft.Mashup.OleDb.1;Data Source=$Workbook$;Location=FilDCDc3;Extended Properties=&quot;&quot;" command="SELECT * FROM [FilDCDc3]"/>
  </connection>
  <connection id="17" xr16:uid="{A47F0DB8-1A08-48B6-A30B-AABFCE7EAF8B}" keepAlive="1" name="Query - FilDCsv" description="Connection to the 'FilDCsv' query in the workbook." type="5" refreshedVersion="0" background="1">
    <dbPr connection="Provider=Microsoft.Mashup.OleDb.1;Data Source=$Workbook$;Location=FilDCsv;Extended Properties=&quot;&quot;" command="SELECT * FROM [FilDCsv]"/>
  </connection>
  <connection id="18" xr16:uid="{C9B8ADC1-21B1-461D-8A24-6F856AC363E2}" keepAlive="1" name="Query - FilDGEn0" description="Connection to the 'FilDGEn0' query in the workbook." type="5" refreshedVersion="8" background="1" saveData="1">
    <dbPr connection="Provider=Microsoft.Mashup.OleDb.1;Data Source=$Workbook$;Location=FilDGEn0;Extended Properties=&quot;&quot;" command="SELECT * FROM [FilDGEn0]"/>
  </connection>
  <connection id="19" xr16:uid="{C4E2BE22-8673-4E1C-9001-C03CE45EAAC8}" keepAlive="1" name="Query - FilDGEn1" description="Connection to the 'FilDGEn1' query in the workbook." type="5" refreshedVersion="8" background="1" saveData="1">
    <dbPr connection="Provider=Microsoft.Mashup.OleDb.1;Data Source=$Workbook$;Location=FilDGEn1;Extended Properties=&quot;&quot;" command="SELECT * FROM [FilDGEn1]"/>
  </connection>
  <connection id="20" xr16:uid="{BE71BCCB-B805-496D-85D6-D45ECCC274A8}" keepAlive="1" name="Query - FilDGEn2" description="Connection to the 'FilDGEn2' query in the workbook." type="5" refreshedVersion="8" background="1" saveData="1">
    <dbPr connection="Provider=Microsoft.Mashup.OleDb.1;Data Source=$Workbook$;Location=FilDGEn2;Extended Properties=&quot;&quot;" command="SELECT * FROM [FilDGEn2]"/>
  </connection>
  <connection id="21" xr16:uid="{AA48903E-DF51-4D46-A569-74440538B1D0}" keepAlive="1" name="Query - FilDGEn3" description="Connection to the 'FilDGEn3' query in the workbook." type="5" refreshedVersion="8" background="1" saveData="1">
    <dbPr connection="Provider=Microsoft.Mashup.OleDb.1;Data Source=$Workbook$;Location=FilDGEn3;Extended Properties=&quot;&quot;" command="SELECT * FROM [FilDGEn3]"/>
  </connection>
  <connection id="22" xr16:uid="{01C8C239-BA09-4B8F-A3C7-85EDA974822C}" keepAlive="1" name="Query - FilDGEn4" description="Connection to the 'FilDGEn4' query in the workbook." type="5" refreshedVersion="0" background="1">
    <dbPr connection="Provider=Microsoft.Mashup.OleDb.1;Data Source=$Workbook$;Location=FilDGEn4;Extended Properties=&quot;&quot;" command="SELECT * FROM [FilDGEn4]"/>
  </connection>
  <connection id="23" xr16:uid="{29B44186-5217-4E2B-AFFE-74EF51D8BCEB}" keepAlive="1" name="Query - FilDOFb0" description="Connection to the 'FilDOFb0' query in the workbook." type="5" refreshedVersion="0" background="1">
    <dbPr connection="Provider=Microsoft.Mashup.OleDb.1;Data Source=$Workbook$;Location=FilDOFb0;Extended Properties=&quot;&quot;" command="SELECT * FROM [FilDOFb0]"/>
  </connection>
  <connection id="24" xr16:uid="{A2A3F5DC-767C-4C40-8B66-9E8C550EAFC2}" keepAlive="1" name="Query - FilDOFb1" description="Connection to the 'FilDOFb1' query in the workbook." type="5" refreshedVersion="8" background="1" saveData="1">
    <dbPr connection="Provider=Microsoft.Mashup.OleDb.1;Data Source=$Workbook$;Location=FilDOFb1;Extended Properties=&quot;&quot;" command="SELECT * FROM [FilDOFb1]"/>
  </connection>
  <connection id="25" xr16:uid="{248AA9E2-52F0-4BF0-B71A-3CC8653749D9}" keepAlive="1" name="Query - FilDOFb2" description="Connection to the 'FilDOFb2' query in the workbook." type="5" refreshedVersion="0" background="1">
    <dbPr connection="Provider=Microsoft.Mashup.OleDb.1;Data Source=$Workbook$;Location=FilDOFb2;Extended Properties=&quot;&quot;" command="SELECT * FROM [FilDOFb2]"/>
  </connection>
  <connection id="26" xr16:uid="{45839686-40C0-4B51-9AFD-5169E03B8C28}" keepAlive="1" name="Query - FilDOFb3" description="Connection to the 'FilDOFb3' query in the workbook." type="5" refreshedVersion="0" background="1">
    <dbPr connection="Provider=Microsoft.Mashup.OleDb.1;Data Source=$Workbook$;Location=FilDOFb3;Extended Properties=&quot;&quot;" command="SELECT * FROM [FilDOFb3]"/>
  </connection>
  <connection id="27" xr16:uid="{4F63123E-5660-4C04-A570-6AF08EA8178F}" keepAlive="1" name="Query - FilDOFb4" description="Connection to the 'FilDOFb4' query in the workbook." type="5" refreshedVersion="8" background="1" saveData="1">
    <dbPr connection="Provider=Microsoft.Mashup.OleDb.1;Data Source=$Workbook$;Location=FilDOFb4;Extended Properties=&quot;&quot;" command="SELECT * FROM [FilDOFb4]"/>
  </connection>
  <connection id="28" xr16:uid="{21E3CE4A-68C4-4A0B-98F0-55AB20B1F992}" keepAlive="1" name="Query - FilDOFs0" description="Connection to the 'FilDOFs0' query in the workbook." type="5" refreshedVersion="0" background="1">
    <dbPr connection="Provider=Microsoft.Mashup.OleDb.1;Data Source=$Workbook$;Location=FilDOFs0;Extended Properties=&quot;&quot;" command="SELECT * FROM [FilDOFs0]"/>
  </connection>
  <connection id="29" xr16:uid="{0BD9F1EA-D69C-4E35-B7B1-87EC639D27D2}" keepAlive="1" name="Query - FilDOFs1" description="Connection to the 'FilDOFs1' query in the workbook." type="5" refreshedVersion="0" background="1">
    <dbPr connection="Provider=Microsoft.Mashup.OleDb.1;Data Source=$Workbook$;Location=FilDOFs1;Extended Properties=&quot;&quot;" command="SELECT * FROM [FilDOFs1]"/>
  </connection>
  <connection id="30" xr16:uid="{D58958B2-C0BE-44E4-B103-75AF9A41B2ED}" keepAlive="1" name="Query - FilDOFs2" description="Connection to the 'FilDOFs2' query in the workbook." type="5" refreshedVersion="0" background="1">
    <dbPr connection="Provider=Microsoft.Mashup.OleDb.1;Data Source=$Workbook$;Location=FilDOFs2;Extended Properties=&quot;&quot;" command="SELECT * FROM [FilDOFs2]"/>
  </connection>
  <connection id="31" xr16:uid="{D190B548-94D8-4DB8-862F-7A322C624D03}" keepAlive="1" name="Query - FilDXls" description="Connection to the 'FilDXls' query in the workbook." type="5" refreshedVersion="0" background="1">
    <dbPr connection="Provider=Microsoft.Mashup.OleDb.1;Data Source=$Workbook$;Location=FilDXls;Extended Properties=&quot;&quot;" command="SELECT * FROM [FilDXls]"/>
  </connection>
  <connection id="32" xr16:uid="{4C483B8B-5EA9-4513-B0F0-C66FB85EB920}" keepAlive="1" name="Query - FilOFb0" description="Connection to the 'FilOFb0' query in the workbook." type="5" refreshedVersion="0" background="1">
    <dbPr connection="Provider=Microsoft.Mashup.OleDb.1;Data Source=$Workbook$;Location=FilOFb0;Extended Properties=&quot;&quot;" command="SELECT * FROM [FilOFb0]"/>
  </connection>
  <connection id="33" xr16:uid="{11D4FD57-CDBF-4A63-9777-0BEDA1E2A46F}" keepAlive="1" name="Query - FilRT11" description="Connection to the 'FilRT11' query in the workbook." type="5" refreshedVersion="8" background="1" saveData="1">
    <dbPr connection="Provider=Microsoft.Mashup.OleDb.1;Data Source=$Workbook$;Location=FilRT11;Extended Properties=&quot;&quot;" command="SELECT * FROM [FilRT11]"/>
  </connection>
  <connection id="34" xr16:uid="{ED15B482-B0C2-462B-99C1-F7C0A5C7F5F0}" keepAlive="1" name="Query - FrmAll" description="Connection to the 'FrmAll' query in the workbook." type="5" refreshedVersion="8" background="1" saveData="1">
    <dbPr connection="Provider=Microsoft.Mashup.OleDb.1;Data Source=$Workbook$;Location=FrmAll;Extended Properties=&quot;&quot;" command="SELECT * FROM [FrmAll]"/>
  </connection>
  <connection id="35" xr16:uid="{0A8E0167-432E-428C-884D-AF39A629D41B}" keepAlive="1" name="Query - FrmBB_0" description="Connection to the 'FrmBB_0' query in the workbook." type="5" refreshedVersion="8" background="1" saveData="1">
    <dbPr connection="Provider=Microsoft.Mashup.OleDb.1;Data Source=$Workbook$;Location=FrmBB_0;Extended Properties=&quot;&quot;" command="SELECT * FROM [FrmBB_0]"/>
  </connection>
  <connection id="36" xr16:uid="{BB8C64A5-E95F-42CB-909C-82FB88691A7B}" keepAlive="1" name="Query - FrmBD_0" description="Connection to the 'FrmBD_0' query in the workbook." type="5" refreshedVersion="8" background="1" saveData="1">
    <dbPr connection="Provider=Microsoft.Mashup.OleDb.1;Data Source=$Workbook$;Location=FrmBD_0;Extended Properties=&quot;&quot;" command="SELECT * FROM [FrmBD_0]"/>
  </connection>
  <connection id="37" xr16:uid="{91BC309F-418A-4749-9C5D-A0F0CCF545C5}" keepAlive="1" name="Query - FrmBH_0" description="Connection to the 'FrmBH_0' query in the workbook." type="5" refreshedVersion="0" background="1">
    <dbPr connection="Provider=Microsoft.Mashup.OleDb.1;Data Source=$Workbook$;Location=FrmBH_0;Extended Properties=&quot;&quot;" command="SELECT * FROM [FrmBH_0]"/>
  </connection>
  <connection id="38" xr16:uid="{965F24A8-1738-44EF-9B57-A14F7B788DD3}" keepAlive="1" name="Query - Limits" description="Connection to the 'Limits' query in the workbook." type="5" refreshedVersion="8" background="1" saveData="1">
    <dbPr connection="Provider=Microsoft.Mashup.OleDb.1;Data Source=$Workbook$;Location=Limits;Extended Properties=&quot;&quot;" command="SELECT * FROM [Limits]"/>
  </connection>
  <connection id="39" xr16:uid="{298DC523-7C64-41B0-BB45-7ADDADDF548D}" keepAlive="1" name="Query - P_DCsv" description="Connection to the 'P_DCsv' query in the workbook." type="5" refreshedVersion="0" background="1">
    <dbPr connection="Provider=Microsoft.Mashup.OleDb.1;Data Source=$Workbook$;Location=P_DCsv;Extended Properties=&quot;&quot;" command="SELECT * FROM [P_DCsv]"/>
  </connection>
  <connection id="40" xr16:uid="{2A58B69A-AB7A-4947-9BBD-0692907D1F0E}" keepAlive="1" name="Query - P_DXls" description="Connection to the 'P_DXls' query in the workbook." type="5" refreshedVersion="0" background="1">
    <dbPr connection="Provider=Microsoft.Mashup.OleDb.1;Data Source=$Workbook$;Location=P_DXls;Extended Properties=&quot;&quot;" command="SELECT * FROM [P_DXls]"/>
  </connection>
  <connection id="41" xr16:uid="{0C70C391-C724-45D2-8407-E341961C3387}" keepAlive="1" name="Query - S_DCsv" description="Connection to the 'S_DCsv' query in the workbook." type="5" refreshedVersion="0" background="1">
    <dbPr connection="Provider=Microsoft.Mashup.OleDb.1;Data Source=$Workbook$;Location=S_DCsv;Extended Properties=&quot;&quot;" command="SELECT * FROM [S_DCsv]"/>
  </connection>
  <connection id="42" xr16:uid="{3FB29BA4-4CCF-4544-999F-AE4113245A6F}" keepAlive="1" name="Query - S_DXls" description="Connection to the 'S_DXls' query in the workbook." type="5" refreshedVersion="0" background="1">
    <dbPr connection="Provider=Microsoft.Mashup.OleDb.1;Data Source=$Workbook$;Location=S_DXls;Extended Properties=&quot;&quot;" command="SELECT * FROM [S_DXls]"/>
  </connection>
  <connection id="43" xr16:uid="{383EBDBD-7CE1-4DAC-B506-78D366000C6A}" keepAlive="1" name="Query - TF_DCsv" description="Connection to the 'TF_DCsv' query in the workbook." type="5" refreshedVersion="0" background="1">
    <dbPr connection="Provider=Microsoft.Mashup.OleDb.1;Data Source=$Workbook$;Location=TF_DCsv;Extended Properties=&quot;&quot;" command="SELECT * FROM [TF_DCsv]"/>
  </connection>
  <connection id="44" xr16:uid="{6EBB0336-3472-42C6-B84B-B5C9B0729921}" keepAlive="1" name="Query - TF_DXls" description="Connection to the 'TF_DXls' query in the workbook." type="5" refreshedVersion="0" background="1">
    <dbPr connection="Provider=Microsoft.Mashup.OleDb.1;Data Source=$Workbook$;Location=TF_DXls;Extended Properties=&quot;&quot;" command="SELECT * FROM [TF_DXls]"/>
  </connection>
  <connection id="45" xr16:uid="{71D2B38F-18C0-4A10-82CC-7AAA3D6DB131}" keepAlive="1" name="Query - Tot_GEn" description="Connection to the 'Tot_GEn' query in the workbook." type="5" refreshedVersion="0" background="1">
    <dbPr connection="Provider=Microsoft.Mashup.OleDb.1;Data Source=$Workbook$;Location=Tot_GEn;Extended Properties=&quot;&quot;" command="SELECT * FROM [Tot_GEn]"/>
  </connection>
  <connection id="46" xr16:uid="{AD739868-371F-4261-B4CF-9BE67D34F85D}" keepAlive="1" name="Query - Transform SampleCD2" description="Connection to the 'Transform SampleCD2' query in the workbook." type="5" refreshedVersion="0" background="1">
    <dbPr connection="Provider=Microsoft.Mashup.OleDb.1;Data Source=$Workbook$;Location=&quot;Transform SampleCD2&quot;;Extended Properties=&quot;&quot;" command="SELECT * FROM [Transform SampleCD2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<sst xmlns="http://schemas.openxmlformats.org/spreadsheetml/2006/main" count="9267" uniqueCount="1308">
  <si>
    <t/>
  </si>
  <si>
    <t>Metrología</t>
  </si>
  <si>
    <t>Montaje Mecánico</t>
  </si>
  <si>
    <t>Robcad</t>
  </si>
  <si>
    <t>Robótica</t>
  </si>
  <si>
    <t>Diseño Eléctrico</t>
  </si>
  <si>
    <t>Fabricación Mecánica</t>
  </si>
  <si>
    <t>Fabricación Eléctrica</t>
  </si>
  <si>
    <t>Instalación Eléctrica</t>
  </si>
  <si>
    <t>Instalación NR</t>
  </si>
  <si>
    <t>Procesos</t>
  </si>
  <si>
    <t>Gestión Mecánica</t>
  </si>
  <si>
    <t>Diseño  Mecánico</t>
  </si>
  <si>
    <t>Diseño NR</t>
  </si>
  <si>
    <t>Asist. Técnica</t>
  </si>
  <si>
    <t>Material  Mecánico +%</t>
  </si>
  <si>
    <t>Material  Eléctrico +%</t>
  </si>
  <si>
    <t>Material Fluidos +%</t>
  </si>
  <si>
    <t>Transp. &amp; Desplaz.</t>
  </si>
  <si>
    <t>Robots</t>
  </si>
  <si>
    <t>Gestión de Proyectos</t>
  </si>
  <si>
    <t>Instalación E.N.R.</t>
  </si>
  <si>
    <t>P11</t>
  </si>
  <si>
    <t>P12</t>
  </si>
  <si>
    <t>Mecanización</t>
  </si>
  <si>
    <t>Taller ENR</t>
  </si>
  <si>
    <t>A.T.</t>
  </si>
  <si>
    <t>Adicionales</t>
  </si>
  <si>
    <t>Transp + Dieta</t>
  </si>
  <si>
    <t>OTM (Diseño)</t>
  </si>
  <si>
    <t>GP</t>
  </si>
  <si>
    <t>OTM (Gestión)</t>
  </si>
  <si>
    <t>OT Eléctrica</t>
  </si>
  <si>
    <t>OT N.R.</t>
  </si>
  <si>
    <t>Montaje Mec.</t>
  </si>
  <si>
    <t>MAT. MEC</t>
  </si>
  <si>
    <t>MAT. ELEC</t>
  </si>
  <si>
    <t>MAT. N.R.</t>
  </si>
  <si>
    <t>Material  Eléctrico</t>
  </si>
  <si>
    <t>Fabricación Mecánica Ext.</t>
  </si>
  <si>
    <t>Montaje Mecánico Ext.</t>
  </si>
  <si>
    <t>Gestión Mecánica Ext.</t>
  </si>
  <si>
    <t>Diseño Eléctrico Ext.</t>
  </si>
  <si>
    <t>Robótica Ext.</t>
  </si>
  <si>
    <t>Asist. Técnica Ext.</t>
  </si>
  <si>
    <t>Instalación E.N.R. Ext.</t>
  </si>
  <si>
    <t>Metrología Ext.</t>
  </si>
  <si>
    <t>Fabricación Eléctrica Ext.</t>
  </si>
  <si>
    <t>Material Fluidos</t>
  </si>
  <si>
    <t>M10</t>
  </si>
  <si>
    <t>10</t>
  </si>
  <si>
    <t>11</t>
  </si>
  <si>
    <t>12</t>
  </si>
  <si>
    <t>13</t>
  </si>
  <si>
    <t>15</t>
  </si>
  <si>
    <t>16</t>
  </si>
  <si>
    <t>111</t>
  </si>
  <si>
    <t>121</t>
  </si>
  <si>
    <t>131</t>
  </si>
  <si>
    <t>133</t>
  </si>
  <si>
    <t>141</t>
  </si>
  <si>
    <t>211</t>
  </si>
  <si>
    <t>213</t>
  </si>
  <si>
    <t>221</t>
  </si>
  <si>
    <t>223</t>
  </si>
  <si>
    <t>231</t>
  </si>
  <si>
    <t>241</t>
  </si>
  <si>
    <t>311</t>
  </si>
  <si>
    <t>421</t>
  </si>
  <si>
    <t>423</t>
  </si>
  <si>
    <t>431</t>
  </si>
  <si>
    <t>433</t>
  </si>
  <si>
    <t>441</t>
  </si>
  <si>
    <t>443</t>
  </si>
  <si>
    <t>451</t>
  </si>
  <si>
    <t>453</t>
  </si>
  <si>
    <t>461</t>
  </si>
  <si>
    <t>471</t>
  </si>
  <si>
    <t>473</t>
  </si>
  <si>
    <t>491</t>
  </si>
  <si>
    <t>511</t>
  </si>
  <si>
    <t>521</t>
  </si>
  <si>
    <t>523</t>
  </si>
  <si>
    <t>531</t>
  </si>
  <si>
    <t>533</t>
  </si>
  <si>
    <t>541</t>
  </si>
  <si>
    <t>543</t>
  </si>
  <si>
    <t>553</t>
  </si>
  <si>
    <t>561</t>
  </si>
  <si>
    <t>563</t>
  </si>
  <si>
    <t>571</t>
  </si>
  <si>
    <t>573</t>
  </si>
  <si>
    <t>583</t>
  </si>
  <si>
    <t>711</t>
  </si>
  <si>
    <t>713</t>
  </si>
  <si>
    <t>721</t>
  </si>
  <si>
    <t>723</t>
  </si>
  <si>
    <t>724</t>
  </si>
  <si>
    <t>731</t>
  </si>
  <si>
    <t>733</t>
  </si>
  <si>
    <t>734</t>
  </si>
  <si>
    <t>741</t>
  </si>
  <si>
    <t>743</t>
  </si>
  <si>
    <t>744</t>
  </si>
  <si>
    <t>751</t>
  </si>
  <si>
    <t>753</t>
  </si>
  <si>
    <t>761</t>
  </si>
  <si>
    <t>763</t>
  </si>
  <si>
    <t>771</t>
  </si>
  <si>
    <t>773</t>
  </si>
  <si>
    <t>781</t>
  </si>
  <si>
    <t>5A1</t>
  </si>
  <si>
    <t>5B3</t>
  </si>
  <si>
    <t>5C3</t>
  </si>
  <si>
    <t>5B1</t>
  </si>
  <si>
    <t>5C1</t>
  </si>
  <si>
    <t>5D1</t>
  </si>
  <si>
    <t>5D3</t>
  </si>
  <si>
    <t>A10</t>
  </si>
  <si>
    <t>M20</t>
  </si>
  <si>
    <t>M30</t>
  </si>
  <si>
    <t>E10</t>
  </si>
  <si>
    <t>5E2</t>
  </si>
  <si>
    <t>5E3</t>
  </si>
  <si>
    <t>5E4</t>
  </si>
  <si>
    <t>5E1</t>
  </si>
  <si>
    <t>5D2</t>
  </si>
  <si>
    <t>5D4</t>
  </si>
  <si>
    <t>5B2</t>
  </si>
  <si>
    <t>5B4</t>
  </si>
  <si>
    <t>5A2</t>
  </si>
  <si>
    <t>5A3</t>
  </si>
  <si>
    <t>5A4</t>
  </si>
  <si>
    <t>5C2</t>
  </si>
  <si>
    <t>5C4</t>
  </si>
  <si>
    <t>5ZZ</t>
  </si>
  <si>
    <t>A40</t>
  </si>
  <si>
    <t>Controles STD</t>
  </si>
  <si>
    <t>242</t>
  </si>
  <si>
    <t>243</t>
  </si>
  <si>
    <t>244</t>
  </si>
  <si>
    <t>782</t>
  </si>
  <si>
    <t>783</t>
  </si>
  <si>
    <t>784</t>
  </si>
  <si>
    <t>E50</t>
  </si>
  <si>
    <t>Garras</t>
  </si>
  <si>
    <t>E30</t>
  </si>
  <si>
    <t>A60</t>
  </si>
  <si>
    <t>PMS</t>
  </si>
  <si>
    <t>492</t>
  </si>
  <si>
    <t>493</t>
  </si>
  <si>
    <t>494</t>
  </si>
  <si>
    <t>P00</t>
  </si>
  <si>
    <t>Puestos</t>
  </si>
  <si>
    <t>E40</t>
  </si>
  <si>
    <t>A22</t>
  </si>
  <si>
    <t>Subconjuntos Eléctricos</t>
  </si>
  <si>
    <t>A21</t>
  </si>
  <si>
    <t>Subconjuntos Mecánicos</t>
  </si>
  <si>
    <t>A23</t>
  </si>
  <si>
    <t>Subconjuntos NR</t>
  </si>
  <si>
    <t>A30</t>
  </si>
  <si>
    <t>Subcontratación completa</t>
  </si>
  <si>
    <t>591</t>
  </si>
  <si>
    <t>592</t>
  </si>
  <si>
    <t>593</t>
  </si>
  <si>
    <t>594</t>
  </si>
  <si>
    <t>A50</t>
  </si>
  <si>
    <t>Transformadores STD</t>
  </si>
  <si>
    <t>E20</t>
  </si>
  <si>
    <t>A42</t>
  </si>
  <si>
    <t>A45</t>
  </si>
  <si>
    <t>Máquinas STD</t>
  </si>
  <si>
    <t>A46</t>
  </si>
  <si>
    <t>Pinzas de soldadura STD</t>
  </si>
  <si>
    <t>A47</t>
  </si>
  <si>
    <t>Alimentadores STD</t>
  </si>
  <si>
    <t>100</t>
  </si>
  <si>
    <t>472</t>
  </si>
  <si>
    <t>474</t>
  </si>
  <si>
    <t>462</t>
  </si>
  <si>
    <t>463</t>
  </si>
  <si>
    <t>464</t>
  </si>
  <si>
    <t>481</t>
  </si>
  <si>
    <t>482</t>
  </si>
  <si>
    <t>483</t>
  </si>
  <si>
    <t>484</t>
  </si>
  <si>
    <t>200</t>
  </si>
  <si>
    <t>212</t>
  </si>
  <si>
    <t>214</t>
  </si>
  <si>
    <t>232</t>
  </si>
  <si>
    <t>233</t>
  </si>
  <si>
    <t>234</t>
  </si>
  <si>
    <t>222</t>
  </si>
  <si>
    <t>224</t>
  </si>
  <si>
    <t>752</t>
  </si>
  <si>
    <t>754</t>
  </si>
  <si>
    <t>722</t>
  </si>
  <si>
    <t>142</t>
  </si>
  <si>
    <t>143</t>
  </si>
  <si>
    <t>144</t>
  </si>
  <si>
    <t>132</t>
  </si>
  <si>
    <t>134</t>
  </si>
  <si>
    <t>113</t>
  </si>
  <si>
    <t>112</t>
  </si>
  <si>
    <t>114</t>
  </si>
  <si>
    <t>123</t>
  </si>
  <si>
    <t>122</t>
  </si>
  <si>
    <t>124</t>
  </si>
  <si>
    <t>712</t>
  </si>
  <si>
    <t>714</t>
  </si>
  <si>
    <t>762</t>
  </si>
  <si>
    <t>764</t>
  </si>
  <si>
    <t>772</t>
  </si>
  <si>
    <t>774</t>
  </si>
  <si>
    <t>742</t>
  </si>
  <si>
    <t>732</t>
  </si>
  <si>
    <t>400</t>
  </si>
  <si>
    <t>452</t>
  </si>
  <si>
    <t>454</t>
  </si>
  <si>
    <t>422</t>
  </si>
  <si>
    <t>424</t>
  </si>
  <si>
    <t>442</t>
  </si>
  <si>
    <t>444</t>
  </si>
  <si>
    <t>411</t>
  </si>
  <si>
    <t>412</t>
  </si>
  <si>
    <t>413</t>
  </si>
  <si>
    <t>414</t>
  </si>
  <si>
    <t>432</t>
  </si>
  <si>
    <t>434</t>
  </si>
  <si>
    <t>572</t>
  </si>
  <si>
    <t>574</t>
  </si>
  <si>
    <t>562</t>
  </si>
  <si>
    <t>564</t>
  </si>
  <si>
    <t>581</t>
  </si>
  <si>
    <t>582</t>
  </si>
  <si>
    <t>584</t>
  </si>
  <si>
    <t>300</t>
  </si>
  <si>
    <t>313</t>
  </si>
  <si>
    <t>554</t>
  </si>
  <si>
    <t>551</t>
  </si>
  <si>
    <t>552</t>
  </si>
  <si>
    <t>542</t>
  </si>
  <si>
    <t>544</t>
  </si>
  <si>
    <t>522</t>
  </si>
  <si>
    <t>524</t>
  </si>
  <si>
    <t>512</t>
  </si>
  <si>
    <t>513</t>
  </si>
  <si>
    <t>514</t>
  </si>
  <si>
    <t>532</t>
  </si>
  <si>
    <t>534</t>
  </si>
  <si>
    <t>500</t>
  </si>
  <si>
    <t>261</t>
  </si>
  <si>
    <t>Robcad EXT.</t>
  </si>
  <si>
    <t>14</t>
  </si>
  <si>
    <t>COSTES EVITABLES</t>
  </si>
  <si>
    <t>GRANDES COMPRAS</t>
  </si>
  <si>
    <t>SUBCONTRATACION COMPLETA</t>
  </si>
  <si>
    <t>Subcontratación Completa</t>
  </si>
  <si>
    <t>Fabricación Mecánica (INCLUYE MATERIAS PRIMAS)</t>
  </si>
  <si>
    <t>Material  Mecánico (SOLO COMERCIO)</t>
  </si>
  <si>
    <t>Materia Prima</t>
  </si>
  <si>
    <t>RECEPCION UTILES</t>
  </si>
  <si>
    <t>TRANSPORTES Y EMBALAJES</t>
  </si>
  <si>
    <t>GASTOS DE DESPLAZAMIENTO</t>
  </si>
  <si>
    <t>OTA</t>
  </si>
  <si>
    <t>OTM</t>
  </si>
  <si>
    <t>Diseño NR Ext.</t>
  </si>
  <si>
    <t>Gestión de Proyectos Ext.</t>
  </si>
  <si>
    <t>251</t>
  </si>
  <si>
    <t>7D1</t>
  </si>
  <si>
    <t>7C1</t>
  </si>
  <si>
    <t>Implantación general</t>
  </si>
  <si>
    <t>GESTION Y COORDINACION</t>
  </si>
  <si>
    <t>ROBCAD</t>
  </si>
  <si>
    <t>ARMARIOS ELECTRICOS</t>
  </si>
  <si>
    <t>FABRICACION ELEMENTOS IMPLANTA</t>
  </si>
  <si>
    <t>ROBÓTICA</t>
  </si>
  <si>
    <t>METROLOGÍA</t>
  </si>
  <si>
    <t>X</t>
  </si>
  <si>
    <t>DISEÑO ELÉCTRICO</t>
  </si>
  <si>
    <t>DISEÑO NR</t>
  </si>
  <si>
    <t>FABRICACIÓN MECÁNICA</t>
  </si>
  <si>
    <t>MONTAJE MECÁNICO</t>
  </si>
  <si>
    <t>FABRICACIÓN ELÉCTRICA</t>
  </si>
  <si>
    <t>INSTALACIÓN ELÉCTRICA</t>
  </si>
  <si>
    <t>INSTALACIÓN NR</t>
  </si>
  <si>
    <t>ASIST. TÉCNICA</t>
  </si>
  <si>
    <t>GESTIÓN DE PROYECTOS</t>
  </si>
  <si>
    <t>SUBCONTRATACIÓN COMPLETA</t>
  </si>
  <si>
    <t>SOR</t>
  </si>
  <si>
    <t>Row</t>
  </si>
  <si>
    <t>Column</t>
  </si>
  <si>
    <t>Nature</t>
  </si>
  <si>
    <t>ADR</t>
  </si>
  <si>
    <t>P40</t>
  </si>
  <si>
    <t>P41</t>
  </si>
  <si>
    <t>GDG</t>
  </si>
  <si>
    <t>GDA</t>
  </si>
  <si>
    <t>GDT</t>
  </si>
  <si>
    <t>GDD</t>
  </si>
  <si>
    <t>Origin</t>
  </si>
  <si>
    <t>DESMONTAJE</t>
  </si>
  <si>
    <t>REMONTAJE</t>
  </si>
  <si>
    <t>Gestión Procesos INT.</t>
  </si>
  <si>
    <t>Gestión Ing. Mec. INT.</t>
  </si>
  <si>
    <t>Gestión Ing. Aut. INT.</t>
  </si>
  <si>
    <t>DISEÑO HARDWARE</t>
  </si>
  <si>
    <t>Diseño NR INT.</t>
  </si>
  <si>
    <t>DISEÑO SOFTWARE</t>
  </si>
  <si>
    <t>Diseño Robótica INT.</t>
  </si>
  <si>
    <t>Robcad INT.</t>
  </si>
  <si>
    <t>003</t>
  </si>
  <si>
    <t>Subconjuntos</t>
  </si>
  <si>
    <t>Ing. Mecánica-Diseño INT.</t>
  </si>
  <si>
    <t>Ing. Mecánica-Diseño EXT.</t>
  </si>
  <si>
    <t>Material mecánico</t>
  </si>
  <si>
    <t>Material eléctrico</t>
  </si>
  <si>
    <t>Material fluidos</t>
  </si>
  <si>
    <t>Diseño Software INT.</t>
  </si>
  <si>
    <t>PrjId</t>
  </si>
  <si>
    <t>CstId</t>
  </si>
  <si>
    <t>CPE</t>
  </si>
  <si>
    <t>CDC</t>
  </si>
  <si>
    <t>041</t>
  </si>
  <si>
    <t>045</t>
  </si>
  <si>
    <t>081</t>
  </si>
  <si>
    <t>040</t>
  </si>
  <si>
    <t>035</t>
  </si>
  <si>
    <t>099</t>
  </si>
  <si>
    <t>008</t>
  </si>
  <si>
    <t>PathName</t>
  </si>
  <si>
    <t>RowId</t>
  </si>
  <si>
    <t>Material Eléctrico +%</t>
  </si>
  <si>
    <t>Assign</t>
  </si>
  <si>
    <t>CstS</t>
  </si>
  <si>
    <t>CstNam</t>
  </si>
  <si>
    <t>GrpInE</t>
  </si>
  <si>
    <t>CstTyp</t>
  </si>
  <si>
    <t>CstGrpS</t>
  </si>
  <si>
    <t>CstGrpId</t>
  </si>
  <si>
    <t>Order</t>
  </si>
  <si>
    <t>OTAOffer</t>
  </si>
  <si>
    <t>TskS</t>
  </si>
  <si>
    <t>TskId</t>
  </si>
  <si>
    <t>TskNam</t>
  </si>
  <si>
    <t>TskNmo</t>
  </si>
  <si>
    <t>TskTyp</t>
  </si>
  <si>
    <t>CtrS</t>
  </si>
  <si>
    <t>CtrId</t>
  </si>
  <si>
    <t>001</t>
  </si>
  <si>
    <t>Materiales</t>
  </si>
  <si>
    <t>Material</t>
  </si>
  <si>
    <t>GPR</t>
  </si>
  <si>
    <t>01</t>
  </si>
  <si>
    <t>Gestión Ing. Procesos (ESP)</t>
  </si>
  <si>
    <t>GESTIÓN ING. PRO</t>
  </si>
  <si>
    <t>Op.No Mec.</t>
  </si>
  <si>
    <t>2DA</t>
  </si>
  <si>
    <t xml:space="preserve"> 10</t>
  </si>
  <si>
    <t>Windows System</t>
  </si>
  <si>
    <t>002</t>
  </si>
  <si>
    <t>Materiales alto valor</t>
  </si>
  <si>
    <t>Gestión Ing. Procesos (PNS)</t>
  </si>
  <si>
    <t>ING.PROCESOS PNS</t>
  </si>
  <si>
    <t>FAB</t>
  </si>
  <si>
    <t xml:space="preserve"> 20</t>
  </si>
  <si>
    <t>English Version</t>
  </si>
  <si>
    <t>02</t>
  </si>
  <si>
    <t>Gestión Ing. Procesos (AERO)</t>
  </si>
  <si>
    <t>3DA</t>
  </si>
  <si>
    <t xml:space="preserve"> 11</t>
  </si>
  <si>
    <t>004</t>
  </si>
  <si>
    <t>Gestión Ing. Procesos (STD)</t>
  </si>
  <si>
    <t>ATA</t>
  </si>
  <si>
    <t xml:space="preserve"> 26</t>
  </si>
  <si>
    <t>005</t>
  </si>
  <si>
    <t>Controles Serra</t>
  </si>
  <si>
    <t>Diseño Mecánico</t>
  </si>
  <si>
    <t>03</t>
  </si>
  <si>
    <t>Planificación / Producción STD</t>
  </si>
  <si>
    <t>PLANIFICACIÓN /</t>
  </si>
  <si>
    <t>IEA</t>
  </si>
  <si>
    <t xml:space="preserve"> 13</t>
  </si>
  <si>
    <t>DISEÑO ROBÓTICA</t>
  </si>
  <si>
    <t>006</t>
  </si>
  <si>
    <t>Transformadores Serra</t>
  </si>
  <si>
    <t>Proyecto mecánico (ESP)</t>
  </si>
  <si>
    <t>PROYECTO MECÁNIC</t>
  </si>
  <si>
    <t>MEA</t>
  </si>
  <si>
    <t xml:space="preserve"> 24</t>
  </si>
  <si>
    <t>007</t>
  </si>
  <si>
    <t>Materiales subcontratados</t>
  </si>
  <si>
    <t>Operación</t>
  </si>
  <si>
    <t>04</t>
  </si>
  <si>
    <t>Proyecto mecánico (PNS)</t>
  </si>
  <si>
    <t>PROYECTO MEC.PNS</t>
  </si>
  <si>
    <t>MMA</t>
  </si>
  <si>
    <t xml:space="preserve"> 22</t>
  </si>
  <si>
    <t>General</t>
  </si>
  <si>
    <t>Proyecto mecánico (STD)</t>
  </si>
  <si>
    <t>PROYECTO MEC.STD</t>
  </si>
  <si>
    <t>RBA</t>
  </si>
  <si>
    <t xml:space="preserve"> 50</t>
  </si>
  <si>
    <t>009</t>
  </si>
  <si>
    <t>05</t>
  </si>
  <si>
    <t>Gestion Ing.Mecánica (ESP)</t>
  </si>
  <si>
    <t>GESTION ING.MECÁ</t>
  </si>
  <si>
    <t>XI1</t>
  </si>
  <si>
    <t>010</t>
  </si>
  <si>
    <t>Gestion Ing.Mecánica (AERO)</t>
  </si>
  <si>
    <t>XI2</t>
  </si>
  <si>
    <t>011</t>
  </si>
  <si>
    <t>Horas Robcad Serra</t>
  </si>
  <si>
    <t>06</t>
  </si>
  <si>
    <t>DN</t>
  </si>
  <si>
    <t>Diseño 2D mecánico (ESP)</t>
  </si>
  <si>
    <t>DISEÑO 2D MECÁNI</t>
  </si>
  <si>
    <t>XI3</t>
  </si>
  <si>
    <t>012</t>
  </si>
  <si>
    <t>Horas OTM E.T.T.</t>
  </si>
  <si>
    <t>Diseño 2D mecánico (PNS)</t>
  </si>
  <si>
    <t>DISEÑO 2D PNS</t>
  </si>
  <si>
    <t>XI4</t>
  </si>
  <si>
    <t>013</t>
  </si>
  <si>
    <t>Horas OTA Serra</t>
  </si>
  <si>
    <t>Diseño 2D mecánico (STD)</t>
  </si>
  <si>
    <t>DISEÑO 2D STD</t>
  </si>
  <si>
    <t>XT1</t>
  </si>
  <si>
    <t>014</t>
  </si>
  <si>
    <t>Horas OTA E.T.T.</t>
  </si>
  <si>
    <t>Diseño 3D mecánico (ESP)</t>
  </si>
  <si>
    <t>DISEÑO 3D MECÁNI</t>
  </si>
  <si>
    <t>XT2</t>
  </si>
  <si>
    <t>015</t>
  </si>
  <si>
    <t>Horas Procesos+Produc.+Planif.</t>
  </si>
  <si>
    <t>08</t>
  </si>
  <si>
    <t>Diseño 3D mecánico (PNS)</t>
  </si>
  <si>
    <t>DISEÑO 3D PNS</t>
  </si>
  <si>
    <t>XT3</t>
  </si>
  <si>
    <t>016</t>
  </si>
  <si>
    <t>Horas OTM EXTERIOR</t>
  </si>
  <si>
    <t>XT4</t>
  </si>
  <si>
    <t>017</t>
  </si>
  <si>
    <t>Horas OTA EXTERIOR</t>
  </si>
  <si>
    <t>09</t>
  </si>
  <si>
    <t>Diseño 3D mecánico (AERO)</t>
  </si>
  <si>
    <t>A11</t>
  </si>
  <si>
    <t>018</t>
  </si>
  <si>
    <t>Horas OTM AUXILIAR</t>
  </si>
  <si>
    <t>Diseño Hardware (ESP)</t>
  </si>
  <si>
    <t>A12</t>
  </si>
  <si>
    <t>019</t>
  </si>
  <si>
    <t>Horas OTA AUXILIAR</t>
  </si>
  <si>
    <t>Diseño NR (ESP)</t>
  </si>
  <si>
    <t>DISEÑO NR (ESP)</t>
  </si>
  <si>
    <t>A1T</t>
  </si>
  <si>
    <t>020</t>
  </si>
  <si>
    <t>Horas Fabricación SERRA</t>
  </si>
  <si>
    <t>Diseño Software (ESP)</t>
  </si>
  <si>
    <t>021</t>
  </si>
  <si>
    <t>Horas Fabricación AUXILIAR</t>
  </si>
  <si>
    <t>Gestión Ing.Automatismos(STD)</t>
  </si>
  <si>
    <t>GESTIÓN ING.AUTO</t>
  </si>
  <si>
    <t>022</t>
  </si>
  <si>
    <t>Horas Montaje mec. SERRA</t>
  </si>
  <si>
    <t>TF</t>
  </si>
  <si>
    <t>Diseño Hardware (AERO)</t>
  </si>
  <si>
    <t>A2T</t>
  </si>
  <si>
    <t>023</t>
  </si>
  <si>
    <t>Horas Montaje mec. AUXILIAR</t>
  </si>
  <si>
    <t>Diseño NR (AERO)</t>
  </si>
  <si>
    <t>DISEÑO NR (AERO)</t>
  </si>
  <si>
    <t>A31</t>
  </si>
  <si>
    <t>024</t>
  </si>
  <si>
    <t>Horas Mont. eléctr./ENR SERRA</t>
  </si>
  <si>
    <t>TI</t>
  </si>
  <si>
    <t>Diseño Software (AERO)</t>
  </si>
  <si>
    <t>A32</t>
  </si>
  <si>
    <t>025</t>
  </si>
  <si>
    <t>Horas Mont. eléctr./ENR AUX.</t>
  </si>
  <si>
    <t>Gestión Ing.Automatismos(AERO)</t>
  </si>
  <si>
    <t>A3T</t>
  </si>
  <si>
    <t>026</t>
  </si>
  <si>
    <t>Horas AT SERRA</t>
  </si>
  <si>
    <t>TIN</t>
  </si>
  <si>
    <t>Proyecto eléctrico (PNS)</t>
  </si>
  <si>
    <t>PROYECTO ELÉCTRI</t>
  </si>
  <si>
    <t>A41</t>
  </si>
  <si>
    <t>027</t>
  </si>
  <si>
    <t>Horas AT AUXILIAR</t>
  </si>
  <si>
    <t>Programación automatas  (PNS)</t>
  </si>
  <si>
    <t>PROGRAMACIÓN AUT</t>
  </si>
  <si>
    <t>028</t>
  </si>
  <si>
    <t>Horas Fabricación EXTERIOR</t>
  </si>
  <si>
    <t>Proyecto N/R (PNS)</t>
  </si>
  <si>
    <t>PROYECTO N/R (PN</t>
  </si>
  <si>
    <t>B11</t>
  </si>
  <si>
    <t>029</t>
  </si>
  <si>
    <t>Horas Montaje mec. EXTERIOR</t>
  </si>
  <si>
    <t>Proyecto eléctrico (STD)</t>
  </si>
  <si>
    <t>C11</t>
  </si>
  <si>
    <t>030</t>
  </si>
  <si>
    <t>Horas Mont. eléctr./ENR EXT.</t>
  </si>
  <si>
    <t>Material Mecánico +%</t>
  </si>
  <si>
    <t>Laboratorio I+D</t>
  </si>
  <si>
    <t>LABORATORIO I+D</t>
  </si>
  <si>
    <t>C21</t>
  </si>
  <si>
    <t>031</t>
  </si>
  <si>
    <t>Horas AT EXTERIOR</t>
  </si>
  <si>
    <t>Calderería</t>
  </si>
  <si>
    <t>CALDERERÍA</t>
  </si>
  <si>
    <t>C31</t>
  </si>
  <si>
    <t>032</t>
  </si>
  <si>
    <t>Horas Fabricacion E.T.T.</t>
  </si>
  <si>
    <t>Mecanización general</t>
  </si>
  <si>
    <t>MECANIZACIÓN GEN</t>
  </si>
  <si>
    <t>C41</t>
  </si>
  <si>
    <t>033</t>
  </si>
  <si>
    <t>Horas Montaje mec. E.T.T.</t>
  </si>
  <si>
    <t>17</t>
  </si>
  <si>
    <t>Mecanizazión CNC</t>
  </si>
  <si>
    <t>MECANIZAZIÓN CNC</t>
  </si>
  <si>
    <t>C51</t>
  </si>
  <si>
    <t>034</t>
  </si>
  <si>
    <t>Gastos Facturas AEUS</t>
  </si>
  <si>
    <t>18</t>
  </si>
  <si>
    <t>Programación CAM</t>
  </si>
  <si>
    <t>PROGRAMACIÓN CAM</t>
  </si>
  <si>
    <t>C61</t>
  </si>
  <si>
    <t>Compensación Hrs Taller E.T.T.</t>
  </si>
  <si>
    <t>Fabric. eléctrica STANDARD</t>
  </si>
  <si>
    <t>FABRIC. ELÉCTRIC</t>
  </si>
  <si>
    <t>C71</t>
  </si>
  <si>
    <t>036</t>
  </si>
  <si>
    <t>Horas Mont. eléctr./ENR E.T.T.</t>
  </si>
  <si>
    <t>Ing. Fabricación eléctrica</t>
  </si>
  <si>
    <t>ING. FABR. ELEC.</t>
  </si>
  <si>
    <t>E13</t>
  </si>
  <si>
    <t>037</t>
  </si>
  <si>
    <t>Horas AT E.T.T.</t>
  </si>
  <si>
    <t>Montaje Transformadores</t>
  </si>
  <si>
    <t>MONTAJE TRANSFOR</t>
  </si>
  <si>
    <t>E23</t>
  </si>
  <si>
    <t>038</t>
  </si>
  <si>
    <t>Desplazam. Talleres Aux.</t>
  </si>
  <si>
    <t>Transp. &amp; Desplaz. Ext.</t>
  </si>
  <si>
    <t>Montaje mecánico STD</t>
  </si>
  <si>
    <t>MONTAJE MEC. STD</t>
  </si>
  <si>
    <t>E33</t>
  </si>
  <si>
    <t>039</t>
  </si>
  <si>
    <t>Robcad EXTERIOR</t>
  </si>
  <si>
    <t>Robcad Ext.</t>
  </si>
  <si>
    <t>Montaje mecánico (ESP)</t>
  </si>
  <si>
    <t>E43</t>
  </si>
  <si>
    <t>Dietas y desplazamientos</t>
  </si>
  <si>
    <t>Montaje mecánico (PNS)</t>
  </si>
  <si>
    <t>E53</t>
  </si>
  <si>
    <t>Transportes de Compra</t>
  </si>
  <si>
    <t>Montaje eléctrico (PNS)</t>
  </si>
  <si>
    <t>MONTAJE ELÉCTRIC</t>
  </si>
  <si>
    <t>E63</t>
  </si>
  <si>
    <t>042</t>
  </si>
  <si>
    <t>Otros Gastos de venta</t>
  </si>
  <si>
    <t>ASISTENCIA PHARMA</t>
  </si>
  <si>
    <t>ASISTENCIA PHARM</t>
  </si>
  <si>
    <t>E73</t>
  </si>
  <si>
    <t>043</t>
  </si>
  <si>
    <t>Comisiones</t>
  </si>
  <si>
    <t>Metrología 3D</t>
  </si>
  <si>
    <t>METROLOGÍA 3D</t>
  </si>
  <si>
    <t>F11</t>
  </si>
  <si>
    <t>044</t>
  </si>
  <si>
    <t>Gastos financieros</t>
  </si>
  <si>
    <t>Instalaciones E.N.R.</t>
  </si>
  <si>
    <t>INSTALACIONES E.</t>
  </si>
  <si>
    <t>M11</t>
  </si>
  <si>
    <t>Transportes de Venta</t>
  </si>
  <si>
    <t>A.T. y Postventa</t>
  </si>
  <si>
    <t>A.T. Y POSTVENTA</t>
  </si>
  <si>
    <t>M21</t>
  </si>
  <si>
    <t>046</t>
  </si>
  <si>
    <t>Embalajes</t>
  </si>
  <si>
    <t>Diseño Robótica</t>
  </si>
  <si>
    <t>M31</t>
  </si>
  <si>
    <t>050</t>
  </si>
  <si>
    <t>Horas Robótica SERRA</t>
  </si>
  <si>
    <t>Coste Calidad Ing.Mec.(AUTO)</t>
  </si>
  <si>
    <t>COSTE CALIDAD IN</t>
  </si>
  <si>
    <t>M41</t>
  </si>
  <si>
    <t>051</t>
  </si>
  <si>
    <t>Horas Robótica E.T.T.</t>
  </si>
  <si>
    <t>Coste Calidad Ing.Aut.(AUTO)</t>
  </si>
  <si>
    <t>M51</t>
  </si>
  <si>
    <t>052</t>
  </si>
  <si>
    <t>Horas Robótica AUXILIAR</t>
  </si>
  <si>
    <t>Coste Calidad Ing.Pro.(AUTO)</t>
  </si>
  <si>
    <t>M61</t>
  </si>
  <si>
    <t>053</t>
  </si>
  <si>
    <t>Horas Robótica EXTERIOR</t>
  </si>
  <si>
    <t>Coste Calidad ROBCAD AUTO</t>
  </si>
  <si>
    <t>COSTE CALIDAD RO</t>
  </si>
  <si>
    <t>M71</t>
  </si>
  <si>
    <t>068</t>
  </si>
  <si>
    <t>Desplaz. Exteriores NO CALIDAD</t>
  </si>
  <si>
    <t>Coste Calidad Ing.Aut.(PNS)</t>
  </si>
  <si>
    <t>P1A</t>
  </si>
  <si>
    <t>070</t>
  </si>
  <si>
    <t>Dietas y desplaz. NO CALIDAD</t>
  </si>
  <si>
    <t>Coste Calidad Ing.Pro.(PNS)</t>
  </si>
  <si>
    <t>R11</t>
  </si>
  <si>
    <t>071</t>
  </si>
  <si>
    <t>Transportes Compra NO CALIDAD</t>
  </si>
  <si>
    <t>Coste Calidad Ing.Mec.(STD)</t>
  </si>
  <si>
    <t>R21</t>
  </si>
  <si>
    <t>075</t>
  </si>
  <si>
    <t>Transportes Ventas NO CALIDAD</t>
  </si>
  <si>
    <t>Coste Calidad Ing.Elec.(STD)</t>
  </si>
  <si>
    <t>R31</t>
  </si>
  <si>
    <t>076</t>
  </si>
  <si>
    <t>Embalajes NO CALIDAD</t>
  </si>
  <si>
    <t>Coste Calidad Ing.Elec.(FAB)</t>
  </si>
  <si>
    <t>R41</t>
  </si>
  <si>
    <t>080</t>
  </si>
  <si>
    <t>Corrección por dif. de coste</t>
  </si>
  <si>
    <t>Coste Calidad Fab.Elec.(FAB)</t>
  </si>
  <si>
    <t>COSTE CALIDAD FA</t>
  </si>
  <si>
    <t>CNC</t>
  </si>
  <si>
    <t>Gastos aduanales</t>
  </si>
  <si>
    <t>Coste Calidad Transformadores</t>
  </si>
  <si>
    <t>COSTE CALIDAD TR</t>
  </si>
  <si>
    <t>TRD</t>
  </si>
  <si>
    <t>082</t>
  </si>
  <si>
    <t>Impuestos aduanales</t>
  </si>
  <si>
    <t>Coste Calidad Mon.Mec.(AUTO)</t>
  </si>
  <si>
    <t>COSTE CALIDAD MO</t>
  </si>
  <si>
    <t>I+D</t>
  </si>
  <si>
    <t>Costos generales</t>
  </si>
  <si>
    <t>Coste Calidad Mon.(STD)</t>
  </si>
  <si>
    <t>M12</t>
  </si>
  <si>
    <t>ANT</t>
  </si>
  <si>
    <t>ANTICIPOS</t>
  </si>
  <si>
    <t>Coste Calidad Mon.(PNS)</t>
  </si>
  <si>
    <t>A15</t>
  </si>
  <si>
    <t>Coste Calidad Metrologia AUTO</t>
  </si>
  <si>
    <t>COSTE CALIDAD ME</t>
  </si>
  <si>
    <t>999</t>
  </si>
  <si>
    <t xml:space="preserve"> 07</t>
  </si>
  <si>
    <t>A20</t>
  </si>
  <si>
    <t>Subconjuntos Completos</t>
  </si>
  <si>
    <t>Coste Calidad Inst.ENR (AUTO)</t>
  </si>
  <si>
    <t>M22</t>
  </si>
  <si>
    <t>7E1</t>
  </si>
  <si>
    <t>Conjunto</t>
  </si>
  <si>
    <t>Coste Calidad Asist.Tec.AUTO</t>
  </si>
  <si>
    <t>COSTE CALIDAD AS</t>
  </si>
  <si>
    <t>Coste Calidad Robotica AUTO</t>
  </si>
  <si>
    <t>C13</t>
  </si>
  <si>
    <t>Coste Calidad Planif.AUTO</t>
  </si>
  <si>
    <t>COSTE CALIDAD PL</t>
  </si>
  <si>
    <t>Coste Calidad Caldereria</t>
  </si>
  <si>
    <t>COSTE CALIDAD CA</t>
  </si>
  <si>
    <t>E21</t>
  </si>
  <si>
    <t>Coste Calidad Mecanizacion</t>
  </si>
  <si>
    <t>Armarios STD</t>
  </si>
  <si>
    <t>Coste Calidad Verif. Dim.AUTO</t>
  </si>
  <si>
    <t>COSTE CALIDAD VE</t>
  </si>
  <si>
    <t>Coste Calidad Gestión AERO</t>
  </si>
  <si>
    <t>COSTE CALIDAD GE</t>
  </si>
  <si>
    <t>Coste Calidad Ing.Aut.(AERO)</t>
  </si>
  <si>
    <t>Coste Calidad Ing.Mec.(AERO)</t>
  </si>
  <si>
    <t>Coste Calidad Ing.Pro.(AERO)</t>
  </si>
  <si>
    <t>Materiales Exterior (M,E,NR)</t>
  </si>
  <si>
    <t>Coste Calidad Calidad(AERO)</t>
  </si>
  <si>
    <t>A98</t>
  </si>
  <si>
    <t>Taller Auxiliares 1998</t>
  </si>
  <si>
    <t>Coste Calidad Mon.Mec.(AERO)</t>
  </si>
  <si>
    <t>Armarios Eléctricos</t>
  </si>
  <si>
    <t>Coste Calidad Metrologia AERO</t>
  </si>
  <si>
    <t>Vallados y seguridades</t>
  </si>
  <si>
    <t>Coste Calidad Inst.ENR (AERO)</t>
  </si>
  <si>
    <t>Coste Calidad Asist.Tec.AERO</t>
  </si>
  <si>
    <t>Coste Calidad Robotica AERO</t>
  </si>
  <si>
    <t>Coste Calidad Planif.AERO</t>
  </si>
  <si>
    <t>G98</t>
  </si>
  <si>
    <t>Gastos Obras 1998</t>
  </si>
  <si>
    <t>Coste Calidad Verif. Dim.AERO</t>
  </si>
  <si>
    <t>H98</t>
  </si>
  <si>
    <t>Horas Oficina Tecnica 1998</t>
  </si>
  <si>
    <t>Coste Calidad Materiales Subco</t>
  </si>
  <si>
    <t>COSTE CALIDAD MA</t>
  </si>
  <si>
    <t>Material subcontratado</t>
  </si>
  <si>
    <t>MATERIAL SUBCONT</t>
  </si>
  <si>
    <t>Gestion de Proyectos AUTO</t>
  </si>
  <si>
    <t>GESTION DE PROYE</t>
  </si>
  <si>
    <t>Gestion de Proyectos (AERO)</t>
  </si>
  <si>
    <t>M98</t>
  </si>
  <si>
    <t>Material Obras 1998</t>
  </si>
  <si>
    <t>Gestion Planif./Produc.AUTO</t>
  </si>
  <si>
    <t>GESTION PLANIF./</t>
  </si>
  <si>
    <t>O98</t>
  </si>
  <si>
    <t>Horas Oficina Tec. exterior 98</t>
  </si>
  <si>
    <t>Gestion Planif./Produc.AERO</t>
  </si>
  <si>
    <t>Gestion Compras AERO</t>
  </si>
  <si>
    <t>GESTION COMPRAS</t>
  </si>
  <si>
    <t>P03</t>
  </si>
  <si>
    <t>Materiales alto valor3 (Pres.)</t>
  </si>
  <si>
    <t>Gestion de Calidad AUTO</t>
  </si>
  <si>
    <t>GESTION DE CALID</t>
  </si>
  <si>
    <t>Dietas y Desplazam.(Presup.)</t>
  </si>
  <si>
    <t>Gestion de Calidad (AERO)</t>
  </si>
  <si>
    <t>Tptes. y Embalajes (Presup.)</t>
  </si>
  <si>
    <t>Definicion de Ing.Mec.AUTO</t>
  </si>
  <si>
    <t>DEFINICION DE IN</t>
  </si>
  <si>
    <t>T98</t>
  </si>
  <si>
    <t>Horas Taller 1998</t>
  </si>
  <si>
    <t>Layout y simulaciones</t>
  </si>
  <si>
    <t>LAYOUT Y SIMULAC</t>
  </si>
  <si>
    <t>Coordinación y Gestión</t>
  </si>
  <si>
    <t>Definicion de Ing.Mec.(AERO)</t>
  </si>
  <si>
    <t>Gestion de Ing.Autom.auto</t>
  </si>
  <si>
    <t>GESTION DE ING.A</t>
  </si>
  <si>
    <t>Gestión Procesos ETT.</t>
  </si>
  <si>
    <t>Gestion de Ing.Autom.AERO</t>
  </si>
  <si>
    <t>Gestion Procesos EXT.</t>
  </si>
  <si>
    <t>Gestion Montaje mecánico AUTO</t>
  </si>
  <si>
    <t>GESTION MONTAJE</t>
  </si>
  <si>
    <t>Gestión Procesos AUX.</t>
  </si>
  <si>
    <t>Gestion Metrologia AUTO</t>
  </si>
  <si>
    <t>GESTION METROLOG</t>
  </si>
  <si>
    <t>Gestión Producción INT.</t>
  </si>
  <si>
    <t>Gestion Montaje mecánico AERO</t>
  </si>
  <si>
    <t>Gestión Producción ETT.</t>
  </si>
  <si>
    <t>Gestion Metrologia AERO</t>
  </si>
  <si>
    <t>Gestión Producción EXT.</t>
  </si>
  <si>
    <t>Gestion Instalacion ENR AUTO</t>
  </si>
  <si>
    <t>GESTION INSTALAC</t>
  </si>
  <si>
    <t>Gestión Producción AUX.</t>
  </si>
  <si>
    <t>Gestion Instalacion ENR AERO</t>
  </si>
  <si>
    <t>Gestion Robotica AUTO</t>
  </si>
  <si>
    <t>GESTION ROBOTICA</t>
  </si>
  <si>
    <t>Gestión Ing. Mec. ETT.</t>
  </si>
  <si>
    <t>Gestion Robotica AERO</t>
  </si>
  <si>
    <t>Gestión Ing. Mec. EXT.</t>
  </si>
  <si>
    <t>Jefes equipo Mecanizacion</t>
  </si>
  <si>
    <t>JEFES EQUIPO MEC</t>
  </si>
  <si>
    <t>Gestión Ing. Mec. AUX.</t>
  </si>
  <si>
    <t>Gestion de Cálculo Mec.AUTO</t>
  </si>
  <si>
    <t>GESTION DE CÁLCU</t>
  </si>
  <si>
    <t>Gestion de Cálculo Mec.AERO</t>
  </si>
  <si>
    <t>Gestión Ing. Aut. ETT.</t>
  </si>
  <si>
    <t>Diseño Hardware AUTO</t>
  </si>
  <si>
    <t>Gestión Ing. Aut. EXT.</t>
  </si>
  <si>
    <t>Diseño Hardware AERO</t>
  </si>
  <si>
    <t>Gestión Ing. Aut. AUX.</t>
  </si>
  <si>
    <t>Diseño Software AUTO</t>
  </si>
  <si>
    <t>Diseño Automatismos</t>
  </si>
  <si>
    <t>Diseño Software AERO</t>
  </si>
  <si>
    <t>Diseño Hardware INT.</t>
  </si>
  <si>
    <t>Diseño NR AUTO</t>
  </si>
  <si>
    <t>DISEÑO NR AUTO</t>
  </si>
  <si>
    <t>Diseño Hardware ETT.</t>
  </si>
  <si>
    <t>Diseño NR AERO</t>
  </si>
  <si>
    <t>DISEÑO NR AERO</t>
  </si>
  <si>
    <t>Diseño Hardware EXT.</t>
  </si>
  <si>
    <t>Diseño Robótica AUTO</t>
  </si>
  <si>
    <t>Diseño Hardware AUX.</t>
  </si>
  <si>
    <t>Diseño Robótica AERO</t>
  </si>
  <si>
    <t>Ingenieria mecánica (STD)</t>
  </si>
  <si>
    <t>INGENIERIA MECÁN</t>
  </si>
  <si>
    <t>Diseño Software ETT.</t>
  </si>
  <si>
    <t>Ingenieria electrica (STD)</t>
  </si>
  <si>
    <t>INGENIERIA ELECT</t>
  </si>
  <si>
    <t>Diseño Software EXT.</t>
  </si>
  <si>
    <t>Robcad Preestudios Basic.AUTO</t>
  </si>
  <si>
    <t>ROBCAD PREESTUDI</t>
  </si>
  <si>
    <t>Diseño Software AUX.</t>
  </si>
  <si>
    <t>Robcad Preestudios Basic.AERO</t>
  </si>
  <si>
    <t>Robcad Verif.Tray.por zona AUT</t>
  </si>
  <si>
    <t>ROBCAD VERIF.TRA</t>
  </si>
  <si>
    <t>Diseño NR ETT.</t>
  </si>
  <si>
    <t>Robcad Prog.Offline AUTO</t>
  </si>
  <si>
    <t>ROBCAD PROG.OFFL</t>
  </si>
  <si>
    <t>Diseño NR EXT.</t>
  </si>
  <si>
    <t>Robcad Est.viab.Layout AUTO</t>
  </si>
  <si>
    <t>ROBCAD EST.VIAB.</t>
  </si>
  <si>
    <t>Diseño NR AUX.</t>
  </si>
  <si>
    <t>PMS Gestion Proyectos AUTO</t>
  </si>
  <si>
    <t>PMS GESTION PROY</t>
  </si>
  <si>
    <t>PMS Gestion Proyectos AERO</t>
  </si>
  <si>
    <t>Diseño Robótica ETT.</t>
  </si>
  <si>
    <t>PMS Ing.Automatismos AUTO</t>
  </si>
  <si>
    <t>PMS ING.AUTOMATI</t>
  </si>
  <si>
    <t>Diseño Robótica EXT.</t>
  </si>
  <si>
    <t>PMS Ing.Automatismos AERO</t>
  </si>
  <si>
    <t>Diseño Robótica AUX.</t>
  </si>
  <si>
    <t>PMS Robotica AUTO</t>
  </si>
  <si>
    <t>PMS ROBOTICA AUT</t>
  </si>
  <si>
    <t>Ingeniería mecánica STD INT.</t>
  </si>
  <si>
    <t>PMS Robotica AERO</t>
  </si>
  <si>
    <t>PMS ROBOTICA AER</t>
  </si>
  <si>
    <t>252</t>
  </si>
  <si>
    <t>Ingeniería mecánica STD ETT.</t>
  </si>
  <si>
    <t>PMS Montaje Mecanico AUTO</t>
  </si>
  <si>
    <t>PMS MONTAJE MECA</t>
  </si>
  <si>
    <t>253</t>
  </si>
  <si>
    <t>Ingeniería mecánica STD EXT.</t>
  </si>
  <si>
    <t>PMS Montaje Mecanico AERO</t>
  </si>
  <si>
    <t>254</t>
  </si>
  <si>
    <t>Ingeniería mecánica STD AUX.</t>
  </si>
  <si>
    <t>METALOGRAFIA</t>
  </si>
  <si>
    <t>Ingeniería eléctrica STD INT.</t>
  </si>
  <si>
    <t>PMS Asistencia Tecnica AUTO</t>
  </si>
  <si>
    <t>PMS ASISTENCIA T</t>
  </si>
  <si>
    <t>262</t>
  </si>
  <si>
    <t>Ingeniería eléctrica STD ETT.</t>
  </si>
  <si>
    <t>PMS Asistencia Tecnica AERO</t>
  </si>
  <si>
    <t>263</t>
  </si>
  <si>
    <t>Ingeniería eléctrica STD EXT.</t>
  </si>
  <si>
    <t>Desmontaje mecanico AUTO</t>
  </si>
  <si>
    <t>DESMONTAJE MECAN</t>
  </si>
  <si>
    <t>264</t>
  </si>
  <si>
    <t>Ingeniería eléctrica STD AUX.</t>
  </si>
  <si>
    <t>Desmontaje mecanico AERO</t>
  </si>
  <si>
    <t>271</t>
  </si>
  <si>
    <t>Ingeniería electrónica STD INT</t>
  </si>
  <si>
    <t>Desmontaje electrico AUTO</t>
  </si>
  <si>
    <t>DESMONTAJE ELECT</t>
  </si>
  <si>
    <t>272</t>
  </si>
  <si>
    <t>Ingeniería electrónica STD ETT</t>
  </si>
  <si>
    <t>Desmontaje electrico AERO</t>
  </si>
  <si>
    <t>273</t>
  </si>
  <si>
    <t>Ingeniería electrónica STD EXT</t>
  </si>
  <si>
    <t>Desmontaje NR AUTO</t>
  </si>
  <si>
    <t>DESMONTAJE NR AU</t>
  </si>
  <si>
    <t>274</t>
  </si>
  <si>
    <t>Ingeniería electrónica STD AUX</t>
  </si>
  <si>
    <t>Desmontaje NR AERO</t>
  </si>
  <si>
    <t>DESMONTAJE NR AE</t>
  </si>
  <si>
    <t>PMS Ing.Mecanica AUTO</t>
  </si>
  <si>
    <t>PMS ING.MECANICA</t>
  </si>
  <si>
    <t>PMS Ing.Mecanica AERO</t>
  </si>
  <si>
    <t>312</t>
  </si>
  <si>
    <t>Robcad ETT.</t>
  </si>
  <si>
    <t>Tr.Planta Gestion Proy.AUTO</t>
  </si>
  <si>
    <t>TR.PLANTA GESTIO</t>
  </si>
  <si>
    <t>Desplazamientos Ges.Proy.AUTO</t>
  </si>
  <si>
    <t>DESPLAZAMIENTOS</t>
  </si>
  <si>
    <t>314</t>
  </si>
  <si>
    <t>Robcad AUX.</t>
  </si>
  <si>
    <t>Tr.Planta Gestion Proy.AERO</t>
  </si>
  <si>
    <t>Trabajos Planta Ing.Autom.AUTO</t>
  </si>
  <si>
    <t>TRABAJOS PLANTA</t>
  </si>
  <si>
    <t>PMS Procesos INT.</t>
  </si>
  <si>
    <t>Desplaz.Ing.Automatism AUTO</t>
  </si>
  <si>
    <t>DESPLAZ.ING.AUTO</t>
  </si>
  <si>
    <t>PMS Procesos ETT.</t>
  </si>
  <si>
    <t>Trabajos Planta Ing.Autom.AERO</t>
  </si>
  <si>
    <t>PMS Procesos EXT.</t>
  </si>
  <si>
    <t>Trabajos Planta Robotica AUTO</t>
  </si>
  <si>
    <t>PMS Procesos AUX.</t>
  </si>
  <si>
    <t>Desplazamientos Robotica AUTO</t>
  </si>
  <si>
    <t>PMS Automatismos INT.</t>
  </si>
  <si>
    <t>Trabajos Planta Robotica AERO</t>
  </si>
  <si>
    <t>PMS Automatismos ETT.</t>
  </si>
  <si>
    <t>Trabajos Planta Mon.Mec.AUTO</t>
  </si>
  <si>
    <t>PMS Automatismos EXT.</t>
  </si>
  <si>
    <t>Desplazamientos Mon.Mec.AUTO</t>
  </si>
  <si>
    <t>PMS Automatismos AUX.</t>
  </si>
  <si>
    <t>Trabajos Planta Mon.Mec.AERO</t>
  </si>
  <si>
    <t>PMS Robótica INT.</t>
  </si>
  <si>
    <t>Trabajos Planta Asis.Tec.AUTO</t>
  </si>
  <si>
    <t>PMS Robótica ETT.</t>
  </si>
  <si>
    <t>Desplazamientos Asis.Tec.AUTO</t>
  </si>
  <si>
    <t>PMS Robótica EXT.</t>
  </si>
  <si>
    <t>Trabajos Planta Asis.Tec.AERO</t>
  </si>
  <si>
    <t>PMS Robótica AUX.</t>
  </si>
  <si>
    <t>Remontaje mecanico AUTO</t>
  </si>
  <si>
    <t>REMONTAJE MECANI</t>
  </si>
  <si>
    <t>PMS Montaje Mec. INT.</t>
  </si>
  <si>
    <t>Remontaje mecanico AERO</t>
  </si>
  <si>
    <t>PMS Montaje Mec. ETT.</t>
  </si>
  <si>
    <t>Remontaje electrico AUTO</t>
  </si>
  <si>
    <t>REMONTAJE ELECTR</t>
  </si>
  <si>
    <t>PMS Montaje Mec. EXT.</t>
  </si>
  <si>
    <t>Desplazamientos ENR AUTO</t>
  </si>
  <si>
    <t>PMS Montaje Mec. AUX.</t>
  </si>
  <si>
    <t>Remontaje electrico AERO</t>
  </si>
  <si>
    <t>PMS A.T. INT.</t>
  </si>
  <si>
    <t>Remontaje NR AUTO</t>
  </si>
  <si>
    <t>REMONTAJE NR AUT</t>
  </si>
  <si>
    <t>PMS A.T. ETT.</t>
  </si>
  <si>
    <t>Remontaje NR AERO</t>
  </si>
  <si>
    <t>REMONTAJE NR AER</t>
  </si>
  <si>
    <t>PMS A.T. EXT.</t>
  </si>
  <si>
    <t>Trabajos Planta Ing.Mec.AUTO</t>
  </si>
  <si>
    <t>PMS A.T. AUX.</t>
  </si>
  <si>
    <t>Desplazamientos Ing.Mec.AUTO</t>
  </si>
  <si>
    <t>Desmontaje Mecánico INT.</t>
  </si>
  <si>
    <t>Trabajos Planta Ing.Mec.AERO</t>
  </si>
  <si>
    <t>Desmontaje Mecánico ETT.</t>
  </si>
  <si>
    <t>Asist.Planta Ges.Proy.AUTO</t>
  </si>
  <si>
    <t>ASIST.PLANTA GES</t>
  </si>
  <si>
    <t>Desmontaje Mecánico EXT.</t>
  </si>
  <si>
    <t>Asist.Planta Ges.Proy.AERO</t>
  </si>
  <si>
    <t>Desmontaje Mecánico AUX.</t>
  </si>
  <si>
    <t>Asistencia Planta Ing.Aut.AUTO</t>
  </si>
  <si>
    <t>ASISTENCIA PLANT</t>
  </si>
  <si>
    <t>Desmontaje Eléctrico INT.</t>
  </si>
  <si>
    <t>Asistencia Planta Ing.Aut.AERO</t>
  </si>
  <si>
    <t>Desmontaje Eléctrico ETT.</t>
  </si>
  <si>
    <t>Asistencia Planta Robotica AUT</t>
  </si>
  <si>
    <t>Desmontaje Eléctrico EXT.</t>
  </si>
  <si>
    <t>Asistencia Planta Robotica AER</t>
  </si>
  <si>
    <t>Desmontaje Eléctrico AUX.</t>
  </si>
  <si>
    <t>Asistencia Planta Mon.Mec.AUTO</t>
  </si>
  <si>
    <t>Desmontaje NR INT.</t>
  </si>
  <si>
    <t>Asistencia Planta Mon.Mec.AERO</t>
  </si>
  <si>
    <t>Desmontaje NR ETT.</t>
  </si>
  <si>
    <t>Asistencia Planta Asis.Tec.AUT</t>
  </si>
  <si>
    <t>Desmontaje NR EXT.</t>
  </si>
  <si>
    <t>Asistencia Planta Asis.Tec.AER</t>
  </si>
  <si>
    <t>Desmontaje NR AUX.</t>
  </si>
  <si>
    <t>Asistencia Planta Inst.ENR AUT</t>
  </si>
  <si>
    <t>PMS Ing. Mec. INT.</t>
  </si>
  <si>
    <t>Asistencia Planta Inst.ENR AER</t>
  </si>
  <si>
    <t>PMS Ing. Mec. ETT.</t>
  </si>
  <si>
    <t>Diseño Ing.Mecanica AUTO</t>
  </si>
  <si>
    <t>DISEÑO ING.MECAN</t>
  </si>
  <si>
    <t>PMS Ing. Mec. EXT.</t>
  </si>
  <si>
    <t>Diseño Ing.Mecanica (AERO)</t>
  </si>
  <si>
    <t>PMS Ing. Mec. AUX.</t>
  </si>
  <si>
    <t>Cálculo Mecánico AUTO</t>
  </si>
  <si>
    <t>CÁLCULO MECÁNICO</t>
  </si>
  <si>
    <t>Asist. planta Procesos INT.</t>
  </si>
  <si>
    <t>Cálculo Mecánico AERO</t>
  </si>
  <si>
    <t>Asist. planta Procesos ETT.</t>
  </si>
  <si>
    <t>Asist. planta Procesos EXT.</t>
  </si>
  <si>
    <t>Asist. planta Procesos AUX.</t>
  </si>
  <si>
    <t>Ajuste</t>
  </si>
  <si>
    <t>AJUSTE</t>
  </si>
  <si>
    <t>Asist. planta OTE/Aut. INT.</t>
  </si>
  <si>
    <t>Mecanización CAM</t>
  </si>
  <si>
    <t>MECANIZACIÓN CAM</t>
  </si>
  <si>
    <t>Asist. planta OTE/Aut. ETT.</t>
  </si>
  <si>
    <t>Pintura</t>
  </si>
  <si>
    <t>PINTURA</t>
  </si>
  <si>
    <t>Asist. planta OTE/Aut. EXT.</t>
  </si>
  <si>
    <t>Montaje mecánico AUTO</t>
  </si>
  <si>
    <t>Asist. planta OTE/Aut. AUX.</t>
  </si>
  <si>
    <t>Montaje mecánico AERO</t>
  </si>
  <si>
    <t>Asist. planta Robótica INT.</t>
  </si>
  <si>
    <t>Metrología 3D AUTO</t>
  </si>
  <si>
    <t>METROLOGÍA 3D AU</t>
  </si>
  <si>
    <t>Asist. planta Robótica ETT.</t>
  </si>
  <si>
    <t>Metrología 3D AERO</t>
  </si>
  <si>
    <t>METROLOGÍA 3D AE</t>
  </si>
  <si>
    <t>Asist. planta Robótica EXT.</t>
  </si>
  <si>
    <t>Fabric.Elec.Armarios AUTO</t>
  </si>
  <si>
    <t>FABRIC.ELEC.ARMA</t>
  </si>
  <si>
    <t>Asist. planta Robótica AUX.</t>
  </si>
  <si>
    <t>Fabric.Elec.Armarios AERO</t>
  </si>
  <si>
    <t>Asist. planta Mont. Mec. INT.</t>
  </si>
  <si>
    <t>Instalacion Electrica AUTO</t>
  </si>
  <si>
    <t>INSTALACION ELEC</t>
  </si>
  <si>
    <t>Asist. planta Mont. Mec. ETT.</t>
  </si>
  <si>
    <t>Instalacion Electrica AERO</t>
  </si>
  <si>
    <t>Asist. planta Mont. Mec. EXT.</t>
  </si>
  <si>
    <t>Instalacion NR AUTO</t>
  </si>
  <si>
    <t>INSTALACION NR A</t>
  </si>
  <si>
    <t>Asist. planta Mont. Mec. AUX.</t>
  </si>
  <si>
    <t>Instalacion NR AERO</t>
  </si>
  <si>
    <t>Asist. planta A.T. INT.</t>
  </si>
  <si>
    <t>Programacion CAM</t>
  </si>
  <si>
    <t>PROGRAMACION CAM</t>
  </si>
  <si>
    <t>Asist. planta A.T. ETT.</t>
  </si>
  <si>
    <t>Verificación Dimensional AUTO</t>
  </si>
  <si>
    <t>VERIFICACIÓN DIM</t>
  </si>
  <si>
    <t>Asist. planta A.T. EXT.</t>
  </si>
  <si>
    <t>Verificación Dimensional AERO</t>
  </si>
  <si>
    <t>Asist. planta A.T. AUX.</t>
  </si>
  <si>
    <t>Montaje mecanico STD</t>
  </si>
  <si>
    <t>MONTAJE MECANICO</t>
  </si>
  <si>
    <t>Asistencia en planta</t>
  </si>
  <si>
    <t>Verificacion Maquinas STD</t>
  </si>
  <si>
    <t>VERIFICACION MAQ</t>
  </si>
  <si>
    <t>Trabajos en Planta</t>
  </si>
  <si>
    <t>Verificacion Electronica</t>
  </si>
  <si>
    <t>VERIFICACION ELE</t>
  </si>
  <si>
    <t>Trab. Planta Procesos INT.</t>
  </si>
  <si>
    <t>ASUNTOS SINDICALES</t>
  </si>
  <si>
    <t>ASUNTOS SINDICAL</t>
  </si>
  <si>
    <t>Trab. Planta Procesos ETT.</t>
  </si>
  <si>
    <t>Horas directas improductivas</t>
  </si>
  <si>
    <t>HORAS DIRECTAS I</t>
  </si>
  <si>
    <t>Trab. Planta Procesos EXT.</t>
  </si>
  <si>
    <t>VACACIONES</t>
  </si>
  <si>
    <t>Ausencia</t>
  </si>
  <si>
    <t>Trab. Planta Procesos AUX.</t>
  </si>
  <si>
    <t>BAJA TEMPORAL</t>
  </si>
  <si>
    <t>Trab. Planta OTE/Auto. INT.</t>
  </si>
  <si>
    <t>ASUNTOS PARTICULARES</t>
  </si>
  <si>
    <t>ASUNTOS PARTICUL</t>
  </si>
  <si>
    <t>Trab. Planta OTE/Auto. ETT.</t>
  </si>
  <si>
    <t>VISITA AL MEDICO</t>
  </si>
  <si>
    <t>Trab. Planta OTE/Auto. EXT.</t>
  </si>
  <si>
    <t>CURSILLOS EXTERIORES</t>
  </si>
  <si>
    <t>CURSILLOS EXTERI</t>
  </si>
  <si>
    <t>Trab. Planta OTE/Auto. AUX.</t>
  </si>
  <si>
    <t>Trab. Planta Robótica INT.</t>
  </si>
  <si>
    <t>REGULACIÓN DE EMPLEO</t>
  </si>
  <si>
    <t>REGULACIÓN EMPL</t>
  </si>
  <si>
    <t>Trab. Planta Robótica ETT.</t>
  </si>
  <si>
    <t>Trab. Planta Robótica EXT.</t>
  </si>
  <si>
    <t>Trab. Planta Robótica AUX.</t>
  </si>
  <si>
    <t>Trab. Planta Mont. Mec. INT.</t>
  </si>
  <si>
    <t>Trab. Planta Mont. Mec. ETT.</t>
  </si>
  <si>
    <t>Trab. Planta Mont. Mec. EXT.</t>
  </si>
  <si>
    <t>Trab. Planta Mont. Mec. AUX.</t>
  </si>
  <si>
    <t>Trab. Planta A.T. INT.</t>
  </si>
  <si>
    <t>Trab. Planta A.T. ETT.</t>
  </si>
  <si>
    <t>Trab. Planta A.T. EXT.</t>
  </si>
  <si>
    <t>Trab. Planta A.T. AUX.</t>
  </si>
  <si>
    <t>Remontaje Mecánico INT.</t>
  </si>
  <si>
    <t>Remontaje Mecánico ETT.</t>
  </si>
  <si>
    <t>Remontaje Mecánico EXT.</t>
  </si>
  <si>
    <t>Remontaje Mecánico AUX.</t>
  </si>
  <si>
    <t>Remontaje Eléctrico INT.</t>
  </si>
  <si>
    <t>Remontaje Eléctrico ETT.</t>
  </si>
  <si>
    <t>Remontaje Eléctrico EXT.</t>
  </si>
  <si>
    <t>Remontaje Eléctrico AUX.</t>
  </si>
  <si>
    <t>Remontaje NR INT.</t>
  </si>
  <si>
    <t>Remontaje NR ETT.</t>
  </si>
  <si>
    <t>Remontaje NR EXT.</t>
  </si>
  <si>
    <t>Remontaje NR AUX.</t>
  </si>
  <si>
    <t>Trab. planta Ing. Mec. INT</t>
  </si>
  <si>
    <t>Trab. planta Ing. Mec. ETT</t>
  </si>
  <si>
    <t>Trab. planta Ing. Mec. EXT</t>
  </si>
  <si>
    <t>Trab. planta Ing. Mec. AUX</t>
  </si>
  <si>
    <t>7A1</t>
  </si>
  <si>
    <t>Fabricación eléctrica STD INT.</t>
  </si>
  <si>
    <t>7A2</t>
  </si>
  <si>
    <t>Fabricación eléctrica STD ETT.</t>
  </si>
  <si>
    <t>7A3</t>
  </si>
  <si>
    <t>Fabricación eléctrica STD EXT.</t>
  </si>
  <si>
    <t>7A4</t>
  </si>
  <si>
    <t>Fabricación eléctrica STD AUX.</t>
  </si>
  <si>
    <t>7B1</t>
  </si>
  <si>
    <t>Montaje trafos STD INT.</t>
  </si>
  <si>
    <t>7B2</t>
  </si>
  <si>
    <t>Montaje trafos STD ETT.</t>
  </si>
  <si>
    <t>7B3</t>
  </si>
  <si>
    <t>Montaje trafos STD EXT.</t>
  </si>
  <si>
    <t>7B4</t>
  </si>
  <si>
    <t>Montaje trafos STD AUX.</t>
  </si>
  <si>
    <t>Montaje mecánico STD INT.</t>
  </si>
  <si>
    <t>7C2</t>
  </si>
  <si>
    <t>Montaje mecánico STD ETT.</t>
  </si>
  <si>
    <t>7C3</t>
  </si>
  <si>
    <t>Montaje mecánico STD EXT.</t>
  </si>
  <si>
    <t>7C4</t>
  </si>
  <si>
    <t>Montaje mecánico STD AUX.</t>
  </si>
  <si>
    <t>7C5</t>
  </si>
  <si>
    <t>Montaje mecánico STD Comun</t>
  </si>
  <si>
    <t>Instalación eléctrica STD INT.</t>
  </si>
  <si>
    <t>7D2</t>
  </si>
  <si>
    <t>Instalación eléctrica STD ETT.</t>
  </si>
  <si>
    <t>7D3</t>
  </si>
  <si>
    <t>Instalación eléctrica STD EXT.</t>
  </si>
  <si>
    <t>7D4</t>
  </si>
  <si>
    <t>Instalación eléctrica STD AUX.</t>
  </si>
  <si>
    <t>Verificación máquinas STD INT.</t>
  </si>
  <si>
    <t>7E2</t>
  </si>
  <si>
    <t>Verificación máquinas STD ETT.</t>
  </si>
  <si>
    <t>7E3</t>
  </si>
  <si>
    <t>Verificación máquinas STD EXT.</t>
  </si>
  <si>
    <t>7E4</t>
  </si>
  <si>
    <t>Verificación máquinas STD AUX.</t>
  </si>
  <si>
    <t>Ing. Mecánica-Diseño ETT.</t>
  </si>
  <si>
    <t>Ing. Mecánica-Diseño AUX.</t>
  </si>
  <si>
    <t>Fabricación Mecánica INT.</t>
  </si>
  <si>
    <t>Fabricación Mecánica ETT.</t>
  </si>
  <si>
    <t>Fabricación Mecánica EXT.</t>
  </si>
  <si>
    <t>Fabricación Mecánica AUX.</t>
  </si>
  <si>
    <t>Montaje Mecánico INT.</t>
  </si>
  <si>
    <t>Montaje Mecánico ETT.</t>
  </si>
  <si>
    <t>Montaje Mecánico EXT.</t>
  </si>
  <si>
    <t>Montaje Mecánico AUX.</t>
  </si>
  <si>
    <t>740</t>
  </si>
  <si>
    <t>Metrología INT.</t>
  </si>
  <si>
    <t>Metrología ETT.</t>
  </si>
  <si>
    <t>Metrología EXT.</t>
  </si>
  <si>
    <t>Metrología AUX.</t>
  </si>
  <si>
    <t>Fabric. Elétr. Armarios INT.</t>
  </si>
  <si>
    <t>Fabric. Elétr. Armarios ETT.</t>
  </si>
  <si>
    <t>Fabric. Elétr. Armarios EXT.</t>
  </si>
  <si>
    <t>Fabric. Elétr. Armarios AUX.</t>
  </si>
  <si>
    <t>Instalación Eléctrica INT.</t>
  </si>
  <si>
    <t>Instalación Eléctrica ETT.</t>
  </si>
  <si>
    <t>Instalación Eléctrica EXT.</t>
  </si>
  <si>
    <t>Instalación Eléctrica AUX.</t>
  </si>
  <si>
    <t>Instalación NR INT.</t>
  </si>
  <si>
    <t>Instalación NR ETT.</t>
  </si>
  <si>
    <t>Instalación NR EXT.</t>
  </si>
  <si>
    <t>Instalación NR AUX.</t>
  </si>
  <si>
    <t>Fabricación CNC INT.</t>
  </si>
  <si>
    <t>Fabricación CNC ETT.</t>
  </si>
  <si>
    <t>Fabricación CNC EXT.</t>
  </si>
  <si>
    <t>Fabricación CNC AUX.</t>
  </si>
  <si>
    <t>GASTOS GENERALES</t>
  </si>
  <si>
    <t>GASTOS ADUANALES</t>
  </si>
  <si>
    <t>CUADRANTES CD2</t>
  </si>
  <si>
    <t>CUADRANTE ESTRUCTURADO</t>
  </si>
  <si>
    <t>GtoCuaId</t>
  </si>
  <si>
    <t>GtoCuaNam</t>
  </si>
  <si>
    <t>07</t>
  </si>
  <si>
    <t>Material Fluidos Ext.</t>
  </si>
  <si>
    <t>Subcontratación Completa Ext.</t>
  </si>
  <si>
    <t>Transp. &amp; Desplaz. Serra</t>
  </si>
  <si>
    <t>Robcad Serra</t>
  </si>
  <si>
    <t>Diseño Eléctrico Serra</t>
  </si>
  <si>
    <t>Gestión de Proyectos Serra</t>
  </si>
  <si>
    <t>Fabricación Mecánica Serra</t>
  </si>
  <si>
    <t>Instalación E.N.R. Serra</t>
  </si>
  <si>
    <t>Asist. Técnica Serra</t>
  </si>
  <si>
    <t>Diseño NR Serra</t>
  </si>
  <si>
    <t>Fabricación Eléctrica Serra</t>
  </si>
  <si>
    <t>Gestión Mecánica Serra</t>
  </si>
  <si>
    <t>Metrología Serra</t>
  </si>
  <si>
    <t>Robótica Serra</t>
  </si>
  <si>
    <t>Material Mecánico Ext.</t>
  </si>
  <si>
    <t>Montaje Mecánico Serra</t>
  </si>
  <si>
    <t>DISEÑO MECÁNICO</t>
  </si>
  <si>
    <t>Material Eléctrico Ext.</t>
  </si>
  <si>
    <t>Diseño Mecánico Serra</t>
  </si>
  <si>
    <t>Diseño Mecánico Ext.</t>
  </si>
  <si>
    <t>PUESTA EN MARCHA EN SERRA</t>
  </si>
  <si>
    <t>COSTES EVITABLES PROVEEDORES</t>
  </si>
  <si>
    <t>DISEÑO ELEMENTOS IMPLANTACION</t>
  </si>
  <si>
    <t>A</t>
  </si>
  <si>
    <t>Value</t>
  </si>
  <si>
    <t>OFb</t>
  </si>
  <si>
    <t>GEn</t>
  </si>
  <si>
    <t>CDc</t>
  </si>
  <si>
    <t>GtoCua</t>
  </si>
  <si>
    <t>GtoCuaPrt</t>
  </si>
  <si>
    <t>MONTAJE EN SERRA</t>
  </si>
  <si>
    <t>PROGRAMA STD PLC SIEMENS</t>
  </si>
  <si>
    <t>31200</t>
  </si>
  <si>
    <t>PUESTA EN MARCHA EN PLANTA</t>
  </si>
  <si>
    <t>DISEÑO UTILES/GARRAS</t>
  </si>
  <si>
    <t>FABRICACION UTILES/GARRAS</t>
  </si>
  <si>
    <t>ENR. UTILES/GARRAS</t>
  </si>
  <si>
    <t>MATERIAL SERRA UNP</t>
  </si>
  <si>
    <t>Site</t>
  </si>
  <si>
    <t>Amortz.</t>
  </si>
  <si>
    <t>GrpPpto</t>
  </si>
  <si>
    <t>GrpPrv</t>
  </si>
  <si>
    <t>Hrs</t>
  </si>
  <si>
    <t>Mat</t>
  </si>
  <si>
    <t>Gto</t>
  </si>
  <si>
    <t>Diseño Fluidos</t>
  </si>
  <si>
    <t>Gestión Proyectos</t>
  </si>
  <si>
    <t>Definición</t>
  </si>
  <si>
    <t>Automatismos</t>
  </si>
  <si>
    <t>Instalación ENR</t>
  </si>
  <si>
    <t>INGENIERÍA DEFINICIÓN</t>
  </si>
  <si>
    <t>MATERIAL MECÁNICO +%</t>
  </si>
  <si>
    <t>GrpRates</t>
  </si>
  <si>
    <t>GprDest</t>
  </si>
  <si>
    <t>COORDINACIÓN PROYECTO</t>
  </si>
  <si>
    <t>GESTION MECANICA</t>
  </si>
  <si>
    <t>GESTION AUTOMATISMOS</t>
  </si>
  <si>
    <t>RowGrp</t>
  </si>
  <si>
    <t>Material Mecánico (SOLO COMERCIO)</t>
  </si>
  <si>
    <t>Material Eléctrico</t>
  </si>
  <si>
    <t>Sheet Name</t>
  </si>
  <si>
    <t>XA</t>
  </si>
  <si>
    <t>XH</t>
  </si>
  <si>
    <t>XB</t>
  </si>
  <si>
    <t>XC</t>
  </si>
  <si>
    <t>XD</t>
  </si>
  <si>
    <t>XE</t>
  </si>
  <si>
    <t>S</t>
  </si>
  <si>
    <t>I</t>
  </si>
  <si>
    <t>M</t>
  </si>
  <si>
    <t>P</t>
  </si>
  <si>
    <t>E</t>
  </si>
  <si>
    <t>C</t>
  </si>
  <si>
    <t>T</t>
  </si>
  <si>
    <t>XF</t>
  </si>
  <si>
    <t>LngS</t>
  </si>
  <si>
    <t>Dptm</t>
  </si>
  <si>
    <t>CstOrig</t>
  </si>
  <si>
    <t>OFbNames</t>
  </si>
  <si>
    <t>TbStd</t>
  </si>
  <si>
    <t>GrpCTs</t>
  </si>
  <si>
    <t>H</t>
  </si>
  <si>
    <t>GSMT</t>
  </si>
  <si>
    <t>GDHR</t>
  </si>
  <si>
    <t>GSGT</t>
  </si>
  <si>
    <t>TRMT</t>
  </si>
  <si>
    <t>TRHR</t>
  </si>
  <si>
    <t>CTCT</t>
  </si>
  <si>
    <t>CTBA</t>
  </si>
  <si>
    <t>DISC</t>
  </si>
  <si>
    <t>DIST</t>
  </si>
  <si>
    <t>FABC</t>
  </si>
  <si>
    <t>FABT</t>
  </si>
  <si>
    <t>IMCS</t>
  </si>
  <si>
    <t>IMTS</t>
  </si>
  <si>
    <t>PMCS</t>
  </si>
  <si>
    <t>PMTS</t>
  </si>
  <si>
    <t>PMXP</t>
  </si>
  <si>
    <t>RowPI</t>
  </si>
  <si>
    <t>RowPpto</t>
  </si>
  <si>
    <t>G003</t>
  </si>
  <si>
    <t>G004</t>
  </si>
  <si>
    <t>G009</t>
  </si>
  <si>
    <t>G008</t>
  </si>
  <si>
    <t>G006</t>
  </si>
  <si>
    <t>G007</t>
  </si>
  <si>
    <t>G011</t>
  </si>
  <si>
    <t>E001</t>
  </si>
  <si>
    <t>G010</t>
  </si>
  <si>
    <t>G005</t>
  </si>
  <si>
    <t>E011</t>
  </si>
  <si>
    <t>E003</t>
  </si>
  <si>
    <t>G001</t>
  </si>
  <si>
    <t>G002</t>
  </si>
  <si>
    <t>G012</t>
  </si>
  <si>
    <t>E005</t>
  </si>
  <si>
    <t>E002</t>
  </si>
  <si>
    <t>E004</t>
  </si>
  <si>
    <t>A00X</t>
  </si>
  <si>
    <t>PEXX</t>
  </si>
  <si>
    <t>WSM</t>
  </si>
  <si>
    <t>WSA</t>
  </si>
  <si>
    <t>MTM</t>
  </si>
  <si>
    <t>MTA</t>
  </si>
  <si>
    <t>AEC</t>
  </si>
  <si>
    <t>AssignCst</t>
  </si>
  <si>
    <t>AecAsgn</t>
  </si>
  <si>
    <t>(C) ell
(T) ool</t>
  </si>
  <si>
    <t>Wks</t>
  </si>
  <si>
    <t>OFbStd</t>
  </si>
  <si>
    <t>Management &amp; Definition Hours</t>
  </si>
  <si>
    <t>Management &amp; Definition Materials</t>
  </si>
  <si>
    <t>Management &amp; Definition Expenses</t>
  </si>
  <si>
    <t>Design &amp; Simulation Cells</t>
  </si>
  <si>
    <t>Design &amp; Simulation Tools</t>
  </si>
  <si>
    <t>Manufacturing Cells</t>
  </si>
  <si>
    <t>Manufacturing Tools</t>
  </si>
  <si>
    <t>Installation Cells @SERRA</t>
  </si>
  <si>
    <t>Installation Tools @SERRA</t>
  </si>
  <si>
    <t>Start-Up Cells @SERRA</t>
  </si>
  <si>
    <t>Start-Up Tools @SERRA</t>
  </si>
  <si>
    <t>Start-Up Cells @PLANT</t>
  </si>
  <si>
    <t>IMCP</t>
  </si>
  <si>
    <t>Installation Cells @PLANT</t>
  </si>
  <si>
    <t>Expenses Material</t>
  </si>
  <si>
    <t>Expenses Hours</t>
  </si>
  <si>
    <t>Errors Cost</t>
  </si>
  <si>
    <t>BaaN Cost</t>
  </si>
  <si>
    <t>SchPdt1</t>
  </si>
  <si>
    <t>Montaje Mecánico (solo útiles)</t>
  </si>
  <si>
    <t>GESH</t>
  </si>
  <si>
    <t>GESM</t>
  </si>
  <si>
    <t>GESG</t>
  </si>
  <si>
    <t>IMPC</t>
  </si>
  <si>
    <t>IMPT</t>
  </si>
  <si>
    <t>PEMC</t>
  </si>
  <si>
    <t>PEMT</t>
  </si>
  <si>
    <t>GESC</t>
  </si>
  <si>
    <t>Nature3</t>
  </si>
  <si>
    <t>Row5</t>
  </si>
  <si>
    <t>RowMcroId</t>
  </si>
  <si>
    <t>RowMacroName</t>
  </si>
  <si>
    <t>RMG</t>
  </si>
  <si>
    <t>TbRowMacro</t>
  </si>
  <si>
    <t>DISEÑO TOOL/SOFTWARE</t>
  </si>
  <si>
    <t>DISEÑO CELL/HARDWARE</t>
  </si>
  <si>
    <t>GRAN COMPRA/GEST.MATERIALES</t>
  </si>
  <si>
    <t>GASTOS GRAL/EN PLANTA</t>
  </si>
  <si>
    <t>FABRICACION CELL/ARM.ENR</t>
  </si>
  <si>
    <t>IMPLANTACION CELDA/MONTAJE SERRA</t>
  </si>
  <si>
    <t>GESTION/COORDINACION</t>
  </si>
  <si>
    <t>FABRICACION TOOL</t>
  </si>
  <si>
    <t>IMPLANTACION TOOL/ENR</t>
  </si>
  <si>
    <t>PUESTA EN MARCHA CELDA/PROCESO</t>
  </si>
  <si>
    <t>PUESTA EN MARCHA TOOL/RECEPCION</t>
  </si>
  <si>
    <t>GESTION COSTES EVIT./DESCUADRES</t>
  </si>
  <si>
    <t>PrjPrt</t>
  </si>
  <si>
    <t>Sp</t>
  </si>
  <si>
    <t>Cia</t>
  </si>
  <si>
    <t>TRANSP. &amp; DESPLAZ.</t>
  </si>
  <si>
    <t>GESTIÓN MECÁNICA</t>
  </si>
  <si>
    <t>MATERIAL MECÁNICO</t>
  </si>
  <si>
    <t>INSTALACIÓN E.N.R.</t>
  </si>
  <si>
    <t>MATERIAL ELÉCTRICO</t>
  </si>
  <si>
    <t>MATERIAL FLUIDOS</t>
  </si>
  <si>
    <t>Cur</t>
  </si>
  <si>
    <t>Date</t>
  </si>
  <si>
    <t>FrmBB_0</t>
  </si>
  <si>
    <t>Osy</t>
  </si>
  <si>
    <t>Project</t>
  </si>
  <si>
    <t>Vrs DashBoard</t>
  </si>
  <si>
    <t>Vrs Std.Prices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</si>
</sst>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#,##0\ &quot;€&quot;;[Red]\-#,##0\ &quot;€&quot;"/>
    <numFmt numFmtId="165" formatCode="#,##0\ &quot;€&quot;"/>
    <numFmt numFmtId="166" formatCode="_-* #,##0.00\ [$€]_-;\-* #,##0.00\ [$€]_-;_-* &quot;-&quot;??\ [$€]_-;_-@_-"/>
    <numFmt numFmtId="167" formatCode="#,##0\ &quot;h&quot;"/>
    <numFmt numFmtId="168" formatCode="dd/mm/yy\ hh:mm:ss"/>
    <numFmt numFmtId="169" formatCode="_-* #,##0.00\ [$€-C0A]_-;\-* #,##0.00\ [$€-C0A]_-;_-* &quot;-&quot;??\ [$€-C0A]_-;_-@_-"/>
  </numFmts>
  <fonts count="43" x14ac:knownFonts="1">
    <font>
      <sz val="10"/>
      <name val="Arial"/>
    </font>
    <font>
      <sz val="8"/>
      <color theme="1"/>
      <name val="Arial Nova Cond Light"/>
      <family val="2"/>
    </font>
    <font>
      <sz val="8"/>
      <color theme="1"/>
      <name val="Arial Nova Cond Light"/>
      <family val="2"/>
    </font>
    <font>
      <sz val="8"/>
      <color theme="1"/>
      <name val="Arial Nova Cond Light"/>
      <family val="2"/>
    </font>
    <font>
      <sz val="8"/>
      <color theme="1"/>
      <name val="Arial Nova Cond Light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2"/>
      <color indexed="24"/>
      <name val="Times New Roman"/>
      <family val="1"/>
    </font>
    <font>
      <sz val="8"/>
      <name val="Arial"/>
      <family val="2"/>
    </font>
    <font>
      <sz val="12"/>
      <name val="Arial"/>
      <family val="2"/>
    </font>
    <font>
      <b/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Arial Nova Cond Light"/>
      <family val="2"/>
    </font>
    <font>
      <sz val="8"/>
      <color theme="0"/>
      <name val="Arial Nova Cond Light"/>
      <family val="2"/>
    </font>
    <font>
      <sz val="4"/>
      <name val="Arial Nova Cond Light"/>
      <family val="2"/>
    </font>
    <font>
      <sz val="8"/>
      <color indexed="24"/>
      <name val="Arial Nova Cond Light"/>
      <family val="2"/>
    </font>
    <font>
      <sz val="8"/>
      <color indexed="8"/>
      <name val="Arial Nova Cond Light"/>
      <family val="2"/>
    </font>
    <font>
      <sz val="8"/>
      <color rgb="FFFF0000"/>
      <name val="Arial Nova Cond Light"/>
      <family val="2"/>
    </font>
    <font>
      <sz val="8"/>
      <name val="Arial"/>
      <family val="2"/>
    </font>
    <font>
      <b/>
      <sz val="8"/>
      <color indexed="8"/>
      <name val="Arial Nova Cond Light"/>
      <family val="2"/>
    </font>
    <font>
      <i/>
      <sz val="8"/>
      <color indexed="23"/>
      <name val="Arial Nova Cond Light"/>
      <family val="2"/>
    </font>
    <font>
      <b/>
      <sz val="8"/>
      <color theme="0"/>
      <name val="Arial Nova Cond Light"/>
      <family val="2"/>
    </font>
    <font>
      <sz val="4"/>
      <color theme="1"/>
      <name val="Arial Nova Cond Light"/>
      <family val="2"/>
    </font>
    <font>
      <sz val="8"/>
      <name val="Arial"/>
      <family val="2"/>
    </font>
    <font>
      <b/>
      <sz val="10"/>
      <name val="Arial"/>
      <family val="2"/>
    </font>
  </fonts>
  <fills count="3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0" tint="-0.14999847407452621"/>
        <bgColor theme="0" tint="-0.14999847407452621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medium">
        <color auto="1"/>
      </right>
      <top style="hair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medium">
        <color theme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11">
    <xf numFmtId="0" fontId="0" fillId="0" borderId="0"/>
    <xf numFmtId="166" fontId="10" fillId="0" borderId="0" applyFont="0" applyFill="0" applyBorder="0" applyAlignment="0" applyProtection="0"/>
    <xf numFmtId="0" fontId="10" fillId="0" borderId="0"/>
    <xf numFmtId="0" fontId="12" fillId="0" borderId="0"/>
    <xf numFmtId="0" fontId="10" fillId="0" borderId="0"/>
    <xf numFmtId="0" fontId="15" fillId="0" borderId="0" applyNumberFormat="0" applyFill="0" applyBorder="0" applyAlignment="0" applyProtection="0"/>
    <xf numFmtId="0" fontId="16" fillId="0" borderId="1" applyNumberFormat="0" applyFill="0" applyAlignment="0" applyProtection="0"/>
    <xf numFmtId="0" fontId="17" fillId="0" borderId="2" applyNumberFormat="0" applyFill="0" applyAlignment="0" applyProtection="0"/>
    <xf numFmtId="0" fontId="18" fillId="0" borderId="3" applyNumberFormat="0" applyFill="0" applyAlignment="0" applyProtection="0"/>
    <xf numFmtId="0" fontId="18" fillId="0" borderId="0" applyNumberFormat="0" applyFill="0" applyBorder="0" applyAlignment="0" applyProtection="0"/>
    <xf numFmtId="0" fontId="19" fillId="3" borderId="0" applyNumberFormat="0" applyBorder="0" applyAlignment="0" applyProtection="0"/>
    <xf numFmtId="0" fontId="20" fillId="4" borderId="0" applyNumberFormat="0" applyBorder="0" applyAlignment="0" applyProtection="0"/>
    <xf numFmtId="0" fontId="21" fillId="5" borderId="0" applyNumberFormat="0" applyBorder="0" applyAlignment="0" applyProtection="0"/>
    <xf numFmtId="0" fontId="22" fillId="6" borderId="4" applyNumberFormat="0" applyAlignment="0" applyProtection="0"/>
    <xf numFmtId="0" fontId="23" fillId="7" borderId="5" applyNumberFormat="0" applyAlignment="0" applyProtection="0"/>
    <xf numFmtId="0" fontId="24" fillId="7" borderId="4" applyNumberFormat="0" applyAlignment="0" applyProtection="0"/>
    <xf numFmtId="0" fontId="25" fillId="0" borderId="6" applyNumberFormat="0" applyFill="0" applyAlignment="0" applyProtection="0"/>
    <xf numFmtId="0" fontId="26" fillId="8" borderId="7" applyNumberFormat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4" fillId="0" borderId="9" applyNumberFormat="0" applyFill="0" applyAlignment="0" applyProtection="0"/>
    <xf numFmtId="0" fontId="2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2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2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2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2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8" borderId="0" applyNumberFormat="0" applyBorder="0" applyAlignment="0" applyProtection="0"/>
    <xf numFmtId="0" fontId="9" fillId="29" borderId="0" applyNumberFormat="0" applyBorder="0" applyAlignment="0" applyProtection="0"/>
    <xf numFmtId="0" fontId="2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2" borderId="0" applyNumberFormat="0" applyBorder="0" applyAlignment="0" applyProtection="0"/>
    <xf numFmtId="0" fontId="9" fillId="33" borderId="0" applyNumberFormat="0" applyBorder="0" applyAlignment="0" applyProtection="0"/>
    <xf numFmtId="9" fontId="12" fillId="0" borderId="0" applyFont="0" applyFill="0" applyBorder="0" applyAlignment="0" applyProtection="0"/>
    <xf numFmtId="0" fontId="9" fillId="0" borderId="0"/>
    <xf numFmtId="0" fontId="9" fillId="9" borderId="8" applyNumberFormat="0" applyFont="0" applyAlignment="0" applyProtection="0"/>
    <xf numFmtId="0" fontId="8" fillId="0" borderId="0"/>
    <xf numFmtId="0" fontId="8" fillId="9" borderId="8" applyNumberFormat="0" applyFont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3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7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5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29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0" fontId="8" fillId="33" borderId="0" applyNumberFormat="0" applyBorder="0" applyAlignment="0" applyProtection="0"/>
    <xf numFmtId="0" fontId="7" fillId="0" borderId="0"/>
    <xf numFmtId="0" fontId="7" fillId="9" borderId="8" applyNumberFormat="0" applyFont="0" applyAlignment="0" applyProtection="0"/>
    <xf numFmtId="0" fontId="7" fillId="11" borderId="0" applyNumberFormat="0" applyBorder="0" applyAlignment="0" applyProtection="0"/>
    <xf numFmtId="0" fontId="7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9" borderId="0" applyNumberFormat="0" applyBorder="0" applyAlignment="0" applyProtection="0"/>
    <xf numFmtId="0" fontId="7" fillId="20" borderId="0" applyNumberFormat="0" applyBorder="0" applyAlignment="0" applyProtection="0"/>
    <xf numFmtId="0" fontId="7" fillId="21" borderId="0" applyNumberFormat="0" applyBorder="0" applyAlignment="0" applyProtection="0"/>
    <xf numFmtId="0" fontId="7" fillId="23" borderId="0" applyNumberFormat="0" applyBorder="0" applyAlignment="0" applyProtection="0"/>
    <xf numFmtId="0" fontId="7" fillId="24" borderId="0" applyNumberFormat="0" applyBorder="0" applyAlignment="0" applyProtection="0"/>
    <xf numFmtId="0" fontId="7" fillId="25" borderId="0" applyNumberFormat="0" applyBorder="0" applyAlignment="0" applyProtection="0"/>
    <xf numFmtId="0" fontId="7" fillId="27" borderId="0" applyNumberFormat="0" applyBorder="0" applyAlignment="0" applyProtection="0"/>
    <xf numFmtId="0" fontId="7" fillId="28" borderId="0" applyNumberFormat="0" applyBorder="0" applyAlignment="0" applyProtection="0"/>
    <xf numFmtId="0" fontId="7" fillId="29" borderId="0" applyNumberFormat="0" applyBorder="0" applyAlignment="0" applyProtection="0"/>
    <xf numFmtId="0" fontId="7" fillId="31" borderId="0" applyNumberFormat="0" applyBorder="0" applyAlignment="0" applyProtection="0"/>
    <xf numFmtId="0" fontId="7" fillId="32" borderId="0" applyNumberFormat="0" applyBorder="0" applyAlignment="0" applyProtection="0"/>
    <xf numFmtId="0" fontId="7" fillId="33" borderId="0" applyNumberFormat="0" applyBorder="0" applyAlignment="0" applyProtection="0"/>
    <xf numFmtId="0" fontId="6" fillId="0" borderId="0"/>
    <xf numFmtId="0" fontId="6" fillId="9" borderId="8" applyNumberFormat="0" applyFont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3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6" fillId="25" borderId="0" applyNumberFormat="0" applyBorder="0" applyAlignment="0" applyProtection="0"/>
    <xf numFmtId="0" fontId="6" fillId="27" borderId="0" applyNumberFormat="0" applyBorder="0" applyAlignment="0" applyProtection="0"/>
    <xf numFmtId="0" fontId="6" fillId="28" borderId="0" applyNumberFormat="0" applyBorder="0" applyAlignment="0" applyProtection="0"/>
    <xf numFmtId="0" fontId="6" fillId="29" borderId="0" applyNumberFormat="0" applyBorder="0" applyAlignment="0" applyProtection="0"/>
    <xf numFmtId="0" fontId="6" fillId="31" borderId="0" applyNumberFormat="0" applyBorder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11" fillId="0" borderId="0"/>
    <xf numFmtId="0" fontId="5" fillId="0" borderId="0"/>
    <xf numFmtId="0" fontId="13" fillId="0" borderId="0"/>
  </cellStyleXfs>
  <cellXfs count="89">
    <xf numFmtId="0" fontId="0" fillId="0" borderId="0" xfId="0"/>
    <xf numFmtId="0" fontId="30" fillId="0" borderId="0" xfId="4" applyFont="1"/>
    <xf numFmtId="0" fontId="30" fillId="0" borderId="0" xfId="4" applyFont="1" applyAlignment="1">
      <alignment horizontal="left" vertical="top" textRotation="90"/>
    </xf>
    <xf numFmtId="0" fontId="30" fillId="0" borderId="0" xfId="0" applyFont="1"/>
    <xf numFmtId="0" fontId="30" fillId="0" borderId="0" xfId="109" applyFont="1"/>
    <xf numFmtId="0" fontId="34" fillId="0" borderId="0" xfId="110" applyFont="1" applyAlignment="1" applyProtection="1">
      <alignment horizontal="center" vertical="top" textRotation="90"/>
      <protection locked="0"/>
    </xf>
    <xf numFmtId="49" fontId="37" fillId="0" borderId="0" xfId="110" applyNumberFormat="1" applyFont="1" applyAlignment="1">
      <alignment horizontal="center" vertical="top" textRotation="90"/>
    </xf>
    <xf numFmtId="0" fontId="34" fillId="0" borderId="0" xfId="110" applyFont="1" applyAlignment="1" applyProtection="1">
      <alignment horizontal="center" vertical="top" textRotation="90" wrapText="1"/>
      <protection locked="0"/>
    </xf>
    <xf numFmtId="0" fontId="30" fillId="0" borderId="0" xfId="109" applyFont="1" applyAlignment="1">
      <alignment horizontal="left" vertical="top" textRotation="90"/>
    </xf>
    <xf numFmtId="0" fontId="34" fillId="0" borderId="0" xfId="110" applyFont="1" applyAlignment="1" applyProtection="1">
      <alignment horizontal="left" vertical="top"/>
      <protection locked="0"/>
    </xf>
    <xf numFmtId="49" fontId="35" fillId="0" borderId="0" xfId="110" applyNumberFormat="1" applyFont="1" applyAlignment="1" applyProtection="1">
      <alignment horizontal="left" vertical="top"/>
      <protection locked="0"/>
    </xf>
    <xf numFmtId="0" fontId="34" fillId="0" borderId="0" xfId="110" applyFont="1" applyAlignment="1" applyProtection="1">
      <alignment horizontal="center" vertical="top"/>
      <protection locked="0"/>
    </xf>
    <xf numFmtId="165" fontId="30" fillId="0" borderId="0" xfId="2" applyNumberFormat="1" applyFont="1" applyAlignment="1">
      <alignment horizontal="left" vertical="top"/>
    </xf>
    <xf numFmtId="165" fontId="38" fillId="0" borderId="0" xfId="2" applyNumberFormat="1" applyFont="1" applyAlignment="1">
      <alignment horizontal="left" vertical="top"/>
    </xf>
    <xf numFmtId="1" fontId="34" fillId="0" borderId="0" xfId="109" applyNumberFormat="1" applyFont="1"/>
    <xf numFmtId="0" fontId="34" fillId="0" borderId="0" xfId="109" applyFont="1"/>
    <xf numFmtId="49" fontId="34" fillId="0" borderId="0" xfId="109" applyNumberFormat="1" applyFont="1"/>
    <xf numFmtId="49" fontId="34" fillId="0" borderId="0" xfId="110" applyNumberFormat="1" applyFont="1" applyAlignment="1" applyProtection="1">
      <alignment horizontal="left" vertical="top"/>
      <protection locked="0"/>
    </xf>
    <xf numFmtId="165" fontId="38" fillId="0" borderId="0" xfId="2" quotePrefix="1" applyNumberFormat="1" applyFont="1" applyAlignment="1">
      <alignment horizontal="left" vertical="top"/>
    </xf>
    <xf numFmtId="167" fontId="30" fillId="0" borderId="0" xfId="2" applyNumberFormat="1" applyFont="1" applyAlignment="1">
      <alignment horizontal="left" vertical="top"/>
    </xf>
    <xf numFmtId="165" fontId="30" fillId="0" borderId="0" xfId="2" applyNumberFormat="1" applyFont="1" applyAlignment="1" applyProtection="1">
      <alignment horizontal="left" vertical="top"/>
      <protection locked="0"/>
    </xf>
    <xf numFmtId="164" fontId="30" fillId="0" borderId="0" xfId="2" applyNumberFormat="1" applyFont="1" applyAlignment="1" applyProtection="1">
      <alignment horizontal="left" vertical="top"/>
      <protection locked="0"/>
    </xf>
    <xf numFmtId="165" fontId="30" fillId="0" borderId="0" xfId="109" applyNumberFormat="1" applyFont="1" applyAlignment="1">
      <alignment horizontal="left" vertical="top"/>
    </xf>
    <xf numFmtId="0" fontId="30" fillId="0" borderId="0" xfId="109" applyFont="1" applyAlignment="1">
      <alignment horizontal="left" vertical="top"/>
    </xf>
    <xf numFmtId="0" fontId="30" fillId="0" borderId="0" xfId="110" applyFont="1"/>
    <xf numFmtId="49" fontId="30" fillId="0" borderId="0" xfId="110" applyNumberFormat="1" applyFont="1"/>
    <xf numFmtId="49" fontId="30" fillId="0" borderId="0" xfId="110" applyNumberFormat="1" applyFont="1" applyAlignment="1" applyProtection="1">
      <alignment horizontal="left" vertical="top"/>
      <protection locked="0"/>
    </xf>
    <xf numFmtId="49" fontId="30" fillId="2" borderId="0" xfId="110" applyNumberFormat="1" applyFont="1" applyFill="1" applyAlignment="1" applyProtection="1">
      <alignment horizontal="left" vertical="top"/>
      <protection locked="0"/>
    </xf>
    <xf numFmtId="0" fontId="30" fillId="0" borderId="0" xfId="0" applyFont="1" applyAlignment="1">
      <alignment horizontal="left" vertical="top" textRotation="90"/>
    </xf>
    <xf numFmtId="0" fontId="30" fillId="0" borderId="0" xfId="109" applyFont="1" applyAlignment="1">
      <alignment horizontal="right" vertical="top" textRotation="90"/>
    </xf>
    <xf numFmtId="0" fontId="10" fillId="0" borderId="0" xfId="0" applyFont="1"/>
    <xf numFmtId="0" fontId="30" fillId="0" borderId="0" xfId="109" applyFont="1" applyAlignment="1">
      <alignment vertical="top"/>
    </xf>
    <xf numFmtId="0" fontId="31" fillId="0" borderId="0" xfId="109" applyFont="1" applyAlignment="1">
      <alignment horizontal="center" vertical="top" textRotation="90"/>
    </xf>
    <xf numFmtId="49" fontId="31" fillId="0" borderId="0" xfId="109" applyNumberFormat="1" applyFont="1" applyAlignment="1">
      <alignment horizontal="center" vertical="top" textRotation="90"/>
    </xf>
    <xf numFmtId="0" fontId="31" fillId="34" borderId="0" xfId="4" applyFont="1" applyFill="1" applyAlignment="1">
      <alignment horizontal="center" vertical="top" textRotation="90"/>
    </xf>
    <xf numFmtId="0" fontId="30" fillId="0" borderId="0" xfId="0" applyFont="1" applyAlignment="1">
      <alignment vertical="top"/>
    </xf>
    <xf numFmtId="0" fontId="4" fillId="0" borderId="0" xfId="109" applyFont="1" applyAlignment="1">
      <alignment horizontal="left" vertical="top" textRotation="90"/>
    </xf>
    <xf numFmtId="0" fontId="4" fillId="0" borderId="0" xfId="109" applyFont="1"/>
    <xf numFmtId="49" fontId="4" fillId="0" borderId="0" xfId="109" applyNumberFormat="1" applyFont="1"/>
    <xf numFmtId="165" fontId="30" fillId="0" borderId="0" xfId="2" applyNumberFormat="1" applyFont="1" applyAlignment="1">
      <alignment horizontal="left" vertical="center"/>
    </xf>
    <xf numFmtId="167" fontId="30" fillId="0" borderId="0" xfId="2" applyNumberFormat="1" applyFont="1" applyAlignment="1">
      <alignment horizontal="left" vertical="center"/>
    </xf>
    <xf numFmtId="165" fontId="30" fillId="0" borderId="0" xfId="2" applyNumberFormat="1" applyFont="1" applyAlignment="1" applyProtection="1">
      <alignment horizontal="left" vertical="center"/>
      <protection locked="0"/>
    </xf>
    <xf numFmtId="49" fontId="30" fillId="0" borderId="0" xfId="4" applyNumberFormat="1" applyFont="1" applyAlignment="1">
      <alignment horizontal="left" vertical="top" textRotation="90"/>
    </xf>
    <xf numFmtId="0" fontId="30" fillId="2" borderId="0" xfId="0" applyFont="1" applyFill="1" applyAlignment="1">
      <alignment horizontal="left" vertical="top" textRotation="90" shrinkToFit="1"/>
    </xf>
    <xf numFmtId="0" fontId="30" fillId="2" borderId="0" xfId="0" applyFont="1" applyFill="1" applyAlignment="1">
      <alignment horizontal="left" shrinkToFit="1"/>
    </xf>
    <xf numFmtId="0" fontId="30" fillId="36" borderId="0" xfId="0" applyFont="1" applyFill="1" applyAlignment="1">
      <alignment horizontal="center" vertical="center" textRotation="90"/>
    </xf>
    <xf numFmtId="0" fontId="12" fillId="0" borderId="0" xfId="0" applyFont="1"/>
    <xf numFmtId="0" fontId="30" fillId="36" borderId="0" xfId="4" applyFont="1" applyFill="1"/>
    <xf numFmtId="0" fontId="40" fillId="0" borderId="0" xfId="109" applyFont="1" applyAlignment="1">
      <alignment vertical="top"/>
    </xf>
    <xf numFmtId="0" fontId="40" fillId="0" borderId="0" xfId="109" applyFont="1" applyAlignment="1">
      <alignment horizontal="left" vertical="top" textRotation="90"/>
    </xf>
    <xf numFmtId="168" fontId="40" fillId="0" borderId="0" xfId="109" applyNumberFormat="1" applyFont="1" applyAlignment="1">
      <alignment horizontal="left" vertical="top"/>
    </xf>
    <xf numFmtId="0" fontId="40" fillId="0" borderId="0" xfId="109" applyFont="1" applyAlignment="1">
      <alignment horizontal="left" vertical="top"/>
    </xf>
    <xf numFmtId="0" fontId="3" fillId="0" borderId="0" xfId="109" applyFont="1" applyAlignment="1">
      <alignment vertical="top"/>
    </xf>
    <xf numFmtId="0" fontId="40" fillId="36" borderId="0" xfId="109" applyFont="1" applyFill="1" applyAlignment="1">
      <alignment horizontal="center" vertical="top" textRotation="90"/>
    </xf>
    <xf numFmtId="0" fontId="32" fillId="36" borderId="0" xfId="109" applyFont="1" applyFill="1" applyAlignment="1">
      <alignment horizontal="center" vertical="top" textRotation="90"/>
    </xf>
    <xf numFmtId="0" fontId="34" fillId="0" borderId="0" xfId="3" applyFont="1" applyAlignment="1" applyProtection="1">
      <alignment horizontal="left" vertical="top"/>
      <protection locked="0"/>
    </xf>
    <xf numFmtId="0" fontId="34" fillId="0" borderId="16" xfId="3" applyFont="1" applyBorder="1" applyAlignment="1" applyProtection="1">
      <alignment horizontal="center" vertical="top" textRotation="90"/>
      <protection locked="0"/>
    </xf>
    <xf numFmtId="49" fontId="30" fillId="0" borderId="0" xfId="4" applyNumberFormat="1" applyFont="1"/>
    <xf numFmtId="49" fontId="30" fillId="0" borderId="0" xfId="4" applyNumberFormat="1" applyFont="1" applyAlignment="1">
      <alignment horizontal="left" vertical="top" textRotation="90" wrapText="1"/>
    </xf>
    <xf numFmtId="0" fontId="2" fillId="0" borderId="0" xfId="109" applyFont="1" applyAlignment="1">
      <alignment vertical="top"/>
    </xf>
    <xf numFmtId="0" fontId="30" fillId="0" borderId="0" xfId="109" applyFont="1" applyAlignment="1">
      <alignment horizontal="center" vertical="top"/>
    </xf>
    <xf numFmtId="0" fontId="1" fillId="38" borderId="0" xfId="0" applyFont="1" applyFill="1"/>
    <xf numFmtId="0" fontId="1" fillId="0" borderId="0" xfId="0" applyFont="1"/>
    <xf numFmtId="0" fontId="39" fillId="37" borderId="17" xfId="0" applyFont="1" applyFill="1" applyBorder="1" applyAlignment="1">
      <alignment horizontal="left" vertical="top" textRotation="90"/>
    </xf>
    <xf numFmtId="49" fontId="31" fillId="34" borderId="0" xfId="110" applyNumberFormat="1" applyFont="1" applyFill="1" applyAlignment="1" applyProtection="1">
      <alignment horizontal="left" vertical="top"/>
      <protection locked="0"/>
    </xf>
    <xf numFmtId="0" fontId="30" fillId="36" borderId="0" xfId="0" applyFont="1" applyFill="1" applyAlignment="1">
      <alignment horizontal="left" vertical="top" textRotation="90"/>
    </xf>
    <xf numFmtId="0" fontId="30" fillId="36" borderId="0" xfId="0" applyFont="1" applyFill="1" applyAlignment="1">
      <alignment vertical="top"/>
    </xf>
    <xf numFmtId="2" fontId="30" fillId="0" borderId="0" xfId="0" applyNumberFormat="1" applyFont="1" applyAlignment="1">
      <alignment horizontal="left" vertical="top" textRotation="90"/>
    </xf>
    <xf numFmtId="2" fontId="30" fillId="0" borderId="0" xfId="0" applyNumberFormat="1" applyFont="1" applyAlignment="1">
      <alignment vertical="top"/>
    </xf>
    <xf numFmtId="169" fontId="30" fillId="0" borderId="0" xfId="0" applyNumberFormat="1" applyFont="1" applyAlignment="1">
      <alignment horizontal="left" vertical="top" textRotation="90"/>
    </xf>
    <xf numFmtId="169" fontId="30" fillId="0" borderId="0" xfId="0" applyNumberFormat="1" applyFont="1" applyAlignment="1">
      <alignment vertical="top"/>
    </xf>
    <xf numFmtId="0" fontId="42" fillId="0" borderId="18" xfId="0" applyFont="1" applyBorder="1" applyAlignment="1">
      <alignment horizontal="center" vertical="center" wrapText="1"/>
    </xf>
    <xf numFmtId="0" fontId="0" fillId="0" borderId="18" xfId="0" applyBorder="1" applyAlignment="1">
      <alignment vertical="center" wrapText="1"/>
    </xf>
    <xf numFmtId="4" fontId="0" fillId="0" borderId="18" xfId="0" applyNumberFormat="1" applyBorder="1" applyAlignment="1">
      <alignment vertical="center" wrapText="1"/>
    </xf>
    <xf numFmtId="0" fontId="32" fillId="36" borderId="0" xfId="3" applyFont="1" applyFill="1" applyAlignment="1">
      <alignment horizontal="center" vertical="top" textRotation="90" wrapText="1"/>
    </xf>
    <xf numFmtId="0" fontId="1" fillId="2" borderId="10" xfId="109" applyFont="1" applyFill="1" applyBorder="1" applyAlignment="1">
      <alignment horizontal="left" vertical="top" textRotation="90"/>
    </xf>
    <xf numFmtId="0" fontId="1" fillId="35" borderId="11" xfId="109" applyFont="1" applyFill="1" applyBorder="1" applyAlignment="1">
      <alignment horizontal="left" vertical="top" textRotation="90" wrapText="1"/>
    </xf>
    <xf numFmtId="0" fontId="30" fillId="0" borderId="0" xfId="3" applyFont="1" applyAlignment="1">
      <alignment horizontal="left" vertical="top" textRotation="90"/>
    </xf>
    <xf numFmtId="0" fontId="1" fillId="2" borderId="12" xfId="109" applyFont="1" applyFill="1" applyBorder="1" applyAlignment="1">
      <alignment vertical="top"/>
    </xf>
    <xf numFmtId="0" fontId="1" fillId="35" borderId="13" xfId="109" applyFont="1" applyFill="1" applyBorder="1" applyAlignment="1">
      <alignment horizontal="left" vertical="top"/>
    </xf>
    <xf numFmtId="0" fontId="1" fillId="2" borderId="14" xfId="109" applyFont="1" applyFill="1" applyBorder="1" applyAlignment="1">
      <alignment vertical="top"/>
    </xf>
    <xf numFmtId="0" fontId="1" fillId="35" borderId="15" xfId="109" applyFont="1" applyFill="1" applyBorder="1" applyAlignment="1">
      <alignment horizontal="left" vertical="top"/>
    </xf>
    <xf numFmtId="0" fontId="30" fillId="0" borderId="0" xfId="3" applyFont="1" applyAlignment="1">
      <alignment vertical="top"/>
    </xf>
    <xf numFmtId="0" fontId="30" fillId="0" borderId="0" xfId="4" applyFont="1" applyAlignment="1">
      <alignment vertical="top"/>
    </xf>
    <xf numFmtId="0" fontId="1" fillId="35" borderId="15" xfId="109" applyFont="1" applyFill="1" applyBorder="1" applyAlignment="1">
      <alignment horizontal="left" vertical="top" shrinkToFit="1"/>
    </xf>
    <xf numFmtId="3" fontId="33" fillId="0" borderId="0" xfId="108" applyNumberFormat="1" applyFont="1" applyAlignment="1">
      <alignment vertical="top"/>
    </xf>
    <xf numFmtId="0" fontId="1" fillId="0" borderId="0" xfId="109" applyFont="1" applyAlignment="1">
      <alignment vertical="top"/>
    </xf>
    <xf numFmtId="0" fontId="1" fillId="0" borderId="0" xfId="109" applyFont="1" applyAlignment="1">
      <alignment horizontal="left" vertical="top"/>
    </xf>
    <xf numFmtId="0" fontId="12" fillId="0" borderId="0" xfId="3" applyAlignment="1">
      <alignment vertical="top"/>
    </xf>
  </cellXfs>
  <cellStyles count="111">
    <cellStyle name="20% - Accent1" xfId="22" builtinId="30" customBuiltin="1"/>
    <cellStyle name="20% - Accent2" xfId="26" builtinId="34" customBuiltin="1"/>
    <cellStyle name="20% - Accent3" xfId="30" builtinId="38" customBuiltin="1"/>
    <cellStyle name="20% - Accent4" xfId="34" builtinId="42" customBuiltin="1"/>
    <cellStyle name="20% - Accent5" xfId="38" builtinId="46" customBuiltin="1"/>
    <cellStyle name="20% - Accent6" xfId="42" builtinId="50" customBuiltin="1"/>
    <cellStyle name="20% - Énfasis1 2" xfId="50" xr:uid="{0D9DBB27-4DF9-4AF6-8042-01987225CAC5}"/>
    <cellStyle name="20% - Énfasis1 3" xfId="70" xr:uid="{1FB492D9-B366-4F28-8789-9D058D9F41E8}"/>
    <cellStyle name="20% - Énfasis1 4" xfId="90" xr:uid="{52D9910A-9522-48E1-A26C-8029AE37406D}"/>
    <cellStyle name="20% - Énfasis2 2" xfId="53" xr:uid="{2CFBADF5-6C04-4CEB-A869-FD8BF3512F8B}"/>
    <cellStyle name="20% - Énfasis2 3" xfId="73" xr:uid="{A3AB0B9B-92C4-4399-9240-D5EDC29EA05A}"/>
    <cellStyle name="20% - Énfasis2 4" xfId="93" xr:uid="{F8A749BF-FCAD-4C50-B912-F12A2AD54330}"/>
    <cellStyle name="20% - Énfasis3 2" xfId="56" xr:uid="{6A24A474-C00A-4A07-A172-B7D4FF761CCB}"/>
    <cellStyle name="20% - Énfasis3 3" xfId="76" xr:uid="{55EEDA42-7830-4C5A-956D-C9F1CF63AFDF}"/>
    <cellStyle name="20% - Énfasis3 4" xfId="96" xr:uid="{DD7AEFAC-DBCE-41FB-B775-09E8AA1523FB}"/>
    <cellStyle name="20% - Énfasis4 2" xfId="59" xr:uid="{1586EEC7-5DE1-4308-B919-A85DDB1B8D13}"/>
    <cellStyle name="20% - Énfasis4 3" xfId="79" xr:uid="{AD6490E7-5DEA-4CC0-BEE6-70A53C6DEC15}"/>
    <cellStyle name="20% - Énfasis4 4" xfId="99" xr:uid="{CE8E71D9-311B-4658-A3CC-3611644E7627}"/>
    <cellStyle name="20% - Énfasis5 2" xfId="62" xr:uid="{4642760D-793B-4886-BB1F-114094497D5D}"/>
    <cellStyle name="20% - Énfasis5 3" xfId="82" xr:uid="{3880F4AC-8267-45B7-8379-DB8681A11400}"/>
    <cellStyle name="20% - Énfasis5 4" xfId="102" xr:uid="{4DD8A540-E1B6-47A6-8358-3897B043105A}"/>
    <cellStyle name="20% - Énfasis6 2" xfId="65" xr:uid="{D4D09DFD-CA0A-470C-B308-6091B085A681}"/>
    <cellStyle name="20% - Énfasis6 3" xfId="85" xr:uid="{B10F02AB-D2B9-4734-A077-D6AAAE5B4F1D}"/>
    <cellStyle name="20% - Énfasis6 4" xfId="105" xr:uid="{ABF7E058-D4AC-4A44-8F68-E4D42BB55A2C}"/>
    <cellStyle name="40% - Accent1" xfId="23" builtinId="31" customBuiltin="1"/>
    <cellStyle name="40% - Accent2" xfId="27" builtinId="35" customBuiltin="1"/>
    <cellStyle name="40% - Accent3" xfId="31" builtinId="39" customBuiltin="1"/>
    <cellStyle name="40% - Accent4" xfId="35" builtinId="43" customBuiltin="1"/>
    <cellStyle name="40% - Accent5" xfId="39" builtinId="47" customBuiltin="1"/>
    <cellStyle name="40% - Accent6" xfId="43" builtinId="51" customBuiltin="1"/>
    <cellStyle name="40% - Énfasis1 2" xfId="51" xr:uid="{09C15F0F-7A10-417E-9667-9D8C8ADA7C25}"/>
    <cellStyle name="40% - Énfasis1 3" xfId="71" xr:uid="{84B7F22F-66DC-4C49-8C8C-FB21E3CF5242}"/>
    <cellStyle name="40% - Énfasis1 4" xfId="91" xr:uid="{48D4B0C4-70E7-43D3-A4A8-BBB772148BF3}"/>
    <cellStyle name="40% - Énfasis2 2" xfId="54" xr:uid="{2031771D-28BA-45A9-9C01-39E9D577A2B0}"/>
    <cellStyle name="40% - Énfasis2 3" xfId="74" xr:uid="{B409DCF3-1E4E-428E-85CA-6DFE4B31D51E}"/>
    <cellStyle name="40% - Énfasis2 4" xfId="94" xr:uid="{9358D899-703D-468F-BC63-DD6149F67275}"/>
    <cellStyle name="40% - Énfasis3 2" xfId="57" xr:uid="{C1E50A40-8942-4C3B-99E4-DBAA145FDEF6}"/>
    <cellStyle name="40% - Énfasis3 3" xfId="77" xr:uid="{2D78E89B-CF30-4E61-A75C-FE57B9DBDBDB}"/>
    <cellStyle name="40% - Énfasis3 4" xfId="97" xr:uid="{42C0727A-FEA3-4ECD-BEEE-26ACA7A847C4}"/>
    <cellStyle name="40% - Énfasis4 2" xfId="60" xr:uid="{FFE2EB2B-C4B4-495F-907B-FAE4E04B67DB}"/>
    <cellStyle name="40% - Énfasis4 3" xfId="80" xr:uid="{65C55C7C-86E7-4F2A-9E56-438A1655F371}"/>
    <cellStyle name="40% - Énfasis4 4" xfId="100" xr:uid="{7BBDD919-6455-400F-AD18-753737295F06}"/>
    <cellStyle name="40% - Énfasis5 2" xfId="63" xr:uid="{943D7F8A-1854-4A27-9AD0-22C8583243F1}"/>
    <cellStyle name="40% - Énfasis5 3" xfId="83" xr:uid="{DCCE716A-6B86-4503-B46D-206275A5C77E}"/>
    <cellStyle name="40% - Énfasis5 4" xfId="103" xr:uid="{52603E35-C490-42C2-9131-49D7A20A393A}"/>
    <cellStyle name="40% - Énfasis6 2" xfId="66" xr:uid="{76F523A0-724F-4405-BF39-5E4B9EBDADB9}"/>
    <cellStyle name="40% - Énfasis6 3" xfId="86" xr:uid="{B99A5F32-AB86-47B7-92F8-E0DD7CE77488}"/>
    <cellStyle name="40% - Énfasis6 4" xfId="106" xr:uid="{0F18FBD3-4117-4ED6-92F4-6B9E3AE040F4}"/>
    <cellStyle name="60% - Accent1" xfId="24" builtinId="32" customBuiltin="1"/>
    <cellStyle name="60% - Accent2" xfId="28" builtinId="36" customBuiltin="1"/>
    <cellStyle name="60% - Accent3" xfId="32" builtinId="40" customBuiltin="1"/>
    <cellStyle name="60% - Accent4" xfId="36" builtinId="44" customBuiltin="1"/>
    <cellStyle name="60% - Accent5" xfId="40" builtinId="48" customBuiltin="1"/>
    <cellStyle name="60% - Accent6" xfId="44" builtinId="52" customBuiltin="1"/>
    <cellStyle name="60% - Énfasis1 2" xfId="52" xr:uid="{00835684-DF7A-4D88-994E-996C0BD3AEC8}"/>
    <cellStyle name="60% - Énfasis1 3" xfId="72" xr:uid="{D03A3CD4-FB8A-4311-A0D8-D90AB2BA9B07}"/>
    <cellStyle name="60% - Énfasis1 4" xfId="92" xr:uid="{F66110F4-AF82-4A40-9742-506618D1F10C}"/>
    <cellStyle name="60% - Énfasis2 2" xfId="55" xr:uid="{BFC748B1-2435-4645-9D9A-F600844BC445}"/>
    <cellStyle name="60% - Énfasis2 3" xfId="75" xr:uid="{F8A9B66D-65CD-4939-93BA-0BEDA6C3ABFF}"/>
    <cellStyle name="60% - Énfasis2 4" xfId="95" xr:uid="{F4E26853-8800-40A8-9292-F25AE44BE1A3}"/>
    <cellStyle name="60% - Énfasis3 2" xfId="58" xr:uid="{2B5DCDFE-8196-45AC-B2E3-26F1CE2450B8}"/>
    <cellStyle name="60% - Énfasis3 3" xfId="78" xr:uid="{6D42DF25-F822-45AC-9F90-2BABF47171A5}"/>
    <cellStyle name="60% - Énfasis3 4" xfId="98" xr:uid="{E0966AEC-CDD0-4149-8FE5-B7F0F9C3DCF2}"/>
    <cellStyle name="60% - Énfasis4 2" xfId="61" xr:uid="{3344A915-6D07-461C-AB93-629956F0F7B0}"/>
    <cellStyle name="60% - Énfasis4 3" xfId="81" xr:uid="{203EC5E1-DB3F-4784-BACE-367AF314D884}"/>
    <cellStyle name="60% - Énfasis4 4" xfId="101" xr:uid="{FDA0EC78-F475-4D3F-B571-F07196634EF5}"/>
    <cellStyle name="60% - Énfasis5 2" xfId="64" xr:uid="{6B854227-C5DF-4E70-85C1-A44A919CACF1}"/>
    <cellStyle name="60% - Énfasis5 3" xfId="84" xr:uid="{B8BFE219-F846-4DD1-B65A-51F37CAAEC3A}"/>
    <cellStyle name="60% - Énfasis5 4" xfId="104" xr:uid="{7084BF62-A6EC-418D-BA7C-FD8507C3A4FE}"/>
    <cellStyle name="60% - Énfasis6 2" xfId="67" xr:uid="{4910269A-2A25-4299-AEBB-12535AB4369B}"/>
    <cellStyle name="60% - Énfasis6 3" xfId="87" xr:uid="{B25A026D-8782-4CAC-B62D-2486E4F97CD1}"/>
    <cellStyle name="60% - Énfasis6 4" xfId="107" xr:uid="{136AE63F-FB37-4B14-95D1-A89030689654}"/>
    <cellStyle name="Accent1" xfId="21" builtinId="29" customBuiltin="1"/>
    <cellStyle name="Accent2" xfId="25" builtinId="33" customBuiltin="1"/>
    <cellStyle name="Accent3" xfId="29" builtinId="37" customBuiltin="1"/>
    <cellStyle name="Accent4" xfId="33" builtinId="41" customBuiltin="1"/>
    <cellStyle name="Accent5" xfId="37" builtinId="45" customBuiltin="1"/>
    <cellStyle name="Accent6" xfId="41" builtinId="49" customBuiltin="1"/>
    <cellStyle name="Bad" xfId="11" builtinId="27" customBuiltin="1"/>
    <cellStyle name="Calculation" xfId="15" builtinId="22" customBuiltin="1"/>
    <cellStyle name="Check Cell" xfId="17" builtinId="23" customBuiltin="1"/>
    <cellStyle name="Euro" xfId="1" xr:uid="{00000000-0005-0000-0000-000000000000}"/>
    <cellStyle name="Explanatory Text" xfId="19" builtinId="53" customBuiltin="1"/>
    <cellStyle name="Good" xfId="10" builtinId="26" customBuiltin="1"/>
    <cellStyle name="Heading 1" xfId="6" builtinId="16" customBuiltin="1"/>
    <cellStyle name="Heading 2" xfId="7" builtinId="17" customBuiltin="1"/>
    <cellStyle name="Heading 3" xfId="8" builtinId="18" customBuiltin="1"/>
    <cellStyle name="Heading 4" xfId="9" builtinId="19" customBuiltin="1"/>
    <cellStyle name="Input" xfId="13" builtinId="20" customBuiltin="1"/>
    <cellStyle name="Linked Cell" xfId="16" builtinId="24" customBuiltin="1"/>
    <cellStyle name="Neutral" xfId="12" builtinId="28" customBuiltin="1"/>
    <cellStyle name="Normal" xfId="0" builtinId="0"/>
    <cellStyle name="Normal 2" xfId="3" xr:uid="{00000000-0005-0000-0000-000004000000}"/>
    <cellStyle name="Normal 2 2" xfId="110" xr:uid="{27452548-C02E-4356-A5D2-C3AE69CAEE2D}"/>
    <cellStyle name="Normal 3" xfId="4" xr:uid="{00000000-0005-0000-0000-000005000000}"/>
    <cellStyle name="Normal 4" xfId="46" xr:uid="{F4E07F3D-A046-49B3-8382-356E4DB1B18B}"/>
    <cellStyle name="Normal 5" xfId="48" xr:uid="{263968E7-A1E0-4F79-B4E7-FC480516CF24}"/>
    <cellStyle name="Normal 6" xfId="68" xr:uid="{6ABA2028-45E9-4DBF-A451-C5C54C9142D6}"/>
    <cellStyle name="Normal 7" xfId="88" xr:uid="{B374D0FE-0D6E-4EE7-9219-A669045F561C}"/>
    <cellStyle name="Normal 8" xfId="109" xr:uid="{1670FD44-4E89-4889-8330-24DB8EDC5B2B}"/>
    <cellStyle name="Normal_ED0D" xfId="108" xr:uid="{FD123B24-5A15-4BED-9960-70D035E18AB5}"/>
    <cellStyle name="Normal_Libro1" xfId="2" xr:uid="{00000000-0005-0000-0000-000009000000}"/>
    <cellStyle name="Notas 2" xfId="47" xr:uid="{9063289B-580B-4C99-97E2-48A6AEBF46D7}"/>
    <cellStyle name="Notas 3" xfId="49" xr:uid="{828DA343-9072-4C0E-9216-18108674F557}"/>
    <cellStyle name="Notas 4" xfId="69" xr:uid="{F9756A97-A7EF-4BCE-8336-226AFD8D2871}"/>
    <cellStyle name="Notas 5" xfId="89" xr:uid="{42F3177A-EA66-42F5-8FE9-C397A66503CC}"/>
    <cellStyle name="Output" xfId="14" builtinId="21" customBuiltin="1"/>
    <cellStyle name="Porcentual 2" xfId="45" xr:uid="{D7AE5EE5-90BD-4D25-9090-EAC36B510BD8}"/>
    <cellStyle name="Title" xfId="5" builtinId="15" customBuiltin="1"/>
    <cellStyle name="Total" xfId="20" builtinId="25" customBuiltin="1"/>
    <cellStyle name="Warning Text" xfId="18" builtinId="11" customBuiltin="1"/>
  </cellStyles>
  <dxfs count="8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ova Cond Light"/>
        <family val="2"/>
        <scheme val="none"/>
      </font>
      <numFmt numFmtId="169" formatCode="_-* #,##0.00\ [$€-C0A]_-;\-* #,##0.00\ [$€-C0A]_-;_-* &quot;-&quot;??\ [$€-C0A]_-;_-@_-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ova Cond Light"/>
        <family val="2"/>
        <scheme val="none"/>
      </font>
      <numFmt numFmtId="2" formatCode="0.00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ova Cond Light"/>
        <family val="2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ova Cond Light"/>
        <family val="2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ova Cond Light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ova Cond Light"/>
        <family val="2"/>
        <scheme val="none"/>
      </font>
      <alignment horizontal="left" vertical="top" textRotation="90" wrapText="0" indent="0" justifyLastLine="0" shrinkToFit="0" readingOrder="0"/>
    </dxf>
    <dxf>
      <fill>
        <patternFill>
          <bgColor rgb="FF00B050"/>
        </patternFill>
      </fill>
    </dxf>
    <dxf>
      <fill>
        <patternFill>
          <bgColor theme="0" tint="-0.24994659260841701"/>
        </patternFill>
      </fill>
    </dxf>
  </dxfs>
  <tableStyles count="0" defaultTableStyle="TableStyleMedium9" defaultPivotStyle="PivotStyleLight16"/>
  <colors>
    <mruColors>
      <color rgb="FF663300"/>
      <color rgb="FFFFEB84"/>
      <color rgb="FFFFCCCC"/>
      <color rgb="FFA50021"/>
      <color rgb="FFFFFFCC"/>
      <color rgb="FFFFFFFF"/>
      <color rgb="FF66FF66"/>
      <color rgb="FFF8696B"/>
      <color rgb="FF63BE7B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PRP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P"/>
    </sheetNames>
    <sheetDataSet>
      <sheetData sheetId="0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5" xr16:uid="{EBBCF48B-648A-42EE-8A02-3AA4FA9C456D}" autoFormatId="16" applyNumberFormats="0" applyBorderFormats="0" applyFontFormats="0" applyPatternFormats="0" applyAlignmentFormats="0" applyWidthHeightFormats="0">
  <queryTableRefresh nextId="5">
    <queryTableFields count="4">
      <queryTableField id="1" name="Row" tableColumnId="1"/>
      <queryTableField id="2" name="Column" tableColumnId="2"/>
      <queryTableField id="3" name="Wks" tableColumnId="3"/>
      <queryTableField id="4" name="Value" tableColumnId="4"/>
    </queryTableFields>
  </queryTableRefresh>
</queryTable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2BBF8BAB-9090-4365-A744-F4FD08D5B747}" name="CstGrpS" displayName="CstGrpS" ref="K2:U40" totalsRowShown="0">
  <autoFilter ref="K2:U40" xr:uid="{17D93A45-6AE1-4F12-A2A5-7C4FC99CE586}"/>
  <tableColumns count="11">
    <tableColumn id="1" xr3:uid="{A5128458-4DDD-438D-8BF8-A16C5C439DDC}" name="CstGrpId" dataCellStyle="Normal_Libro1"/>
    <tableColumn id="2" xr3:uid="{5EA35CF5-CFCC-4BB0-8D48-FD25FD07A456}" name="GrpInE" dataCellStyle="Normal_Libro1"/>
    <tableColumn id="6" xr3:uid="{7FCE666A-F6D3-4EBB-BC15-1F71E747FAFE}" name="GrpPpto" dataCellStyle="Normal_Libro1"/>
    <tableColumn id="7" xr3:uid="{23BA3CA3-579C-48D9-B0DC-B289DC5B83ED}" name="GrpPrv" dataCellStyle="Normal_Libro1"/>
    <tableColumn id="9" xr3:uid="{E49EB47C-7E23-4AA1-8299-492EB5584D24}" name="GrpRates" dataCellStyle="Normal_Libro1"/>
    <tableColumn id="10" xr3:uid="{809476D4-C6E2-4B1E-8EB9-BC325108ED01}" name="GprDest" dataCellStyle="Normal_Libro1"/>
    <tableColumn id="11" xr3:uid="{645172AD-88BB-D943-BD84-43CE525C2C3A}" name="GrpCTs" dataCellStyle="Normal_Libro1"/>
    <tableColumn id="3" xr3:uid="{592CBBE7-5D10-405C-BE37-45E639AAD1F1}" name="Assign"/>
    <tableColumn id="5" xr3:uid="{1F8DF22A-B817-4D9A-98B8-D4A1FD2562F7}" name="Order" dataCellStyle="Normal_Libro1"/>
    <tableColumn id="8" xr3:uid="{8C12645A-89CE-4B18-B4AB-0F654FD77859}" name="Nature" dataCellStyle="Normal_Libro1"/>
    <tableColumn id="4" xr3:uid="{83904787-A4B3-405F-87B5-F34388AC92DC}" name="OTAOffer"/>
  </tableColumns>
  <tableStyleInfo name="TableStyleMedium1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97B71C11-36E0-49BB-AAEE-701BEAB131A2}" name="TskS" displayName="TskS" ref="X2:AA212" totalsRowShown="0">
  <autoFilter ref="X2:AA212" xr:uid="{64C201B2-EA4A-4FEB-BDCD-7E42B00052E3}"/>
  <tableColumns count="4">
    <tableColumn id="1" xr3:uid="{E5D6DEFD-513D-4ED8-8761-B6322F8546FE}" name="TskId"/>
    <tableColumn id="2" xr3:uid="{29D132A0-27B5-4F05-9027-D0F66DACC994}" name="TskNam"/>
    <tableColumn id="3" xr3:uid="{02C2512C-BD30-4A36-8A1E-96F175EC5971}" name="TskNmo"/>
    <tableColumn id="4" xr3:uid="{2B942F44-BF55-47B6-A5BC-2B922404DBC0}" name="TskTyp"/>
  </tableColumns>
  <tableStyleInfo name="TableStyleDark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5B7753F-CA63-444D-9491-1F1264D586C4}" name="CtrS" displayName="CtrS" ref="AD2:AE68" totalsRowShown="0">
  <autoFilter ref="AD2:AE68" xr:uid="{4BE0ADE7-CE60-41DC-B408-7891073006C0}"/>
  <tableColumns count="2">
    <tableColumn id="1" xr3:uid="{8EC3E778-A6B0-41B1-B8C2-458BF8506B06}" name="CtrId"/>
    <tableColumn id="2" xr3:uid="{6C2C9E38-E94D-4271-BBC9-EEC70C7FDBFE}" name="CstId"/>
  </tableColumns>
  <tableStyleInfo name="TableStyleDark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3FE4105-BB3A-4A97-8EB6-32B1137F662F}" name="CstS" displayName="CstS" ref="C2:H293" totalsRowShown="0" headerRowCellStyle="Normal 2">
  <autoFilter ref="C2:H293" xr:uid="{9E0C4C47-F4C2-4CBF-A246-97995D071449}"/>
  <tableColumns count="6">
    <tableColumn id="1" xr3:uid="{EDCB6BBA-0BE6-4667-A5AB-168236DB4A36}" name="CstId" dataCellStyle="Normal 2"/>
    <tableColumn id="2" xr3:uid="{69B5BE3F-DD4C-4062-B829-F18DE61107E2}" name="CstNam" dataCellStyle="Normal 2"/>
    <tableColumn id="4" xr3:uid="{B78A04C7-30A5-40EB-85A3-18D9D7DBDA8A}" name="GrpInE" dataCellStyle="Normal 2"/>
    <tableColumn id="3" xr3:uid="{E853B5DA-DACD-47FC-8D20-66BF1B23865D}" name="CstTyp" dataCellStyle="Normal 2"/>
    <tableColumn id="11" xr3:uid="{8C67C848-3214-458E-A21D-BF87789201D2}" name="RowPI" dataCellStyle="Normal 2"/>
    <tableColumn id="5" xr3:uid="{860E491D-553B-487F-83A0-FE84D562DAC2}" name="RowPpto" dataCellStyle="Normal 2"/>
  </tableColumns>
  <tableStyleInfo name="TableStyleMedium2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85FC5AD-02DC-45D4-8BC2-17D886A3042E}" name="TbGtoCua" displayName="TbGtoCua" ref="AH2:AK8" totalsRowShown="0" headerRowCellStyle="Normal 3" dataCellStyle="Normal 3">
  <autoFilter ref="AH2:AK8" xr:uid="{F85FC5AD-02DC-45D4-8BC2-17D886A3042E}"/>
  <tableColumns count="4">
    <tableColumn id="1" xr3:uid="{DEF042C8-8AB8-41CB-97A1-F05743A58B41}" name="GtoCuaId" dataCellStyle="Normal 3"/>
    <tableColumn id="3" xr3:uid="{C25EBD14-8829-4F10-A71D-6CC76225C999}" name="Origin" dataCellStyle="Normal 3"/>
    <tableColumn id="2" xr3:uid="{883CD1D3-C40D-4C7E-B8DE-12C09695A095}" name="GtoCuaNam" dataCellStyle="Normal 3"/>
    <tableColumn id="4" xr3:uid="{83F06492-DAC4-473B-8113-5E55AB1ED9E7}" name="GtoCuaPrt" dataCellStyle="Normal 3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3A26448-D3B3-2C44-AC61-3B81CFB44A50}" name="TbStd" displayName="TbStd" ref="AO2:AY32" totalsRowShown="0">
  <autoFilter ref="AO2:AY32" xr:uid="{03A26448-D3B3-2C44-AC61-3B81CFB44A50}"/>
  <sortState xmlns:xlrd2="http://schemas.microsoft.com/office/spreadsheetml/2017/richdata2" ref="AO3:AY32">
    <sortCondition ref="AO3:AO32"/>
  </sortState>
  <tableColumns count="11">
    <tableColumn id="1" xr3:uid="{12D62E82-BC8C-C347-8A10-3B32141A27A0}" name="RowId"/>
    <tableColumn id="2" xr3:uid="{D41A9165-F646-8E4A-8832-4F32CDABF86C}" name="RowGrp"/>
    <tableColumn id="3" xr3:uid="{0AB80DA1-8511-3A40-9A80-A38DC1FDFE69}" name="Amortz."/>
    <tableColumn id="4" xr3:uid="{B4E3C949-B612-F74D-8D05-274A05123DEE}" name="Dptm"/>
    <tableColumn id="5" xr3:uid="{7D07B8A0-EE36-674B-87F9-30A8036CFBBC}" name="Site"/>
    <tableColumn id="6" xr3:uid="{00721DE2-5352-DE40-9EEB-A41313AAD169}" name="CstOrig"/>
    <tableColumn id="17" xr3:uid="{ED0402F7-3F53-4F89-AB18-02F29E9A2F05}" name="Nature"/>
    <tableColumn id="16" xr3:uid="{8F0C7595-B6B8-4D47-B3B1-A07EBCA88284}" name="OFbStd"/>
    <tableColumn id="8" xr3:uid="{826FB5EA-5425-4668-A1C1-238F9541DBB9}" name="Nature3"/>
    <tableColumn id="7" xr3:uid="{55E48879-D7F6-0D47-B469-75D3A85643B0}" name="OFbNames"/>
    <tableColumn id="10" xr3:uid="{F8945DCC-5590-46EC-9D24-8C75E8C1078D}" name="Row5"/>
  </tableColumns>
  <tableStyleInfo name="TableStyleMedium2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50AC577A-49E7-44C1-B7F4-D33E94FF5966}" name="AecAsgn" displayName="AecAsgn" ref="BB2:BD5" totalsRowShown="0" headerRowCellStyle="Normal 3" dataCellStyle="Normal 3">
  <autoFilter ref="BB2:BD5" xr:uid="{50AC577A-49E7-44C1-B7F4-D33E94FF5966}"/>
  <tableColumns count="3">
    <tableColumn id="1" xr3:uid="{34BC1992-F6AC-46A4-8021-D569BC1154ED}" name="AEC" dataCellStyle="Normal 3"/>
    <tableColumn id="3" xr3:uid="{BB47C541-C578-45B9-94A4-3580531F25F3}" name="(C) ell_x000a_(T) ool" dataCellStyle="Normal 3"/>
    <tableColumn id="2" xr3:uid="{A7A65420-4A43-48DD-889F-812DA63BE021}" name="AssignCst" dataCellStyle="Normal 3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5A7666C8-EEB5-4829-A54A-570385BE6DBF}" name="TbRowMacro" displayName="TbRowMacro" ref="BG2:BH14" totalsRowShown="0">
  <autoFilter ref="BG2:BH14" xr:uid="{5A7666C8-EEB5-4829-A54A-570385BE6DBF}"/>
  <tableColumns count="2">
    <tableColumn id="1" xr3:uid="{508ADD99-5870-45B7-95B6-A4CF757FECF3}" name="RowMcroId"/>
    <tableColumn id="2" xr3:uid="{E9954209-657F-4F3D-897D-029BDABAB07E}" name="RowMacroName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BE3CB0AD-3CFF-4A3C-9D91-2030D0680970}" name="SchPdt1" displayName="SchPdt1" ref="I2:J10" totalsRowShown="0" dataCellStyle="Normal 8">
  <autoFilter ref="I2:J10" xr:uid="{BE3CB0AD-3CFF-4A3C-9D91-2030D0680970}"/>
  <tableColumns count="2">
    <tableColumn id="1" xr3:uid="{5B9A2CE2-660F-483D-B88E-CA3440434502}" name="PrjId" dataCellStyle="Normal 8"/>
    <tableColumn id="2" xr3:uid="{6AD41C44-4190-42A7-93EE-059CE45E76C4}" name="Row" dataCellStyle="Normal 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2402E95-729A-4D1B-A80B-884715C319ED}" name="FrmBB_0" displayName="FrmBB_0" ref="M2:P2063" tableType="queryTable" totalsRowShown="0" headerRowDxfId="5" dataDxfId="4">
  <autoFilter ref="M2:P2063" xr:uid="{52402E95-729A-4D1B-A80B-884715C319ED}"/>
  <tableColumns count="4">
    <tableColumn id="1" xr3:uid="{8DE717D7-879E-442F-82B4-7FA3F6045DB9}" uniqueName="1" name="Row" queryTableFieldId="1" dataDxfId="3"/>
    <tableColumn id="2" xr3:uid="{B0B3785E-2717-4DE6-9E17-B03D86770E44}" uniqueName="2" name="Column" queryTableFieldId="2" dataDxfId="2"/>
    <tableColumn id="3" xr3:uid="{9414D5EA-EF08-4DA6-8B7C-D2AC6BC39795}" uniqueName="3" name="Wks" queryTableFieldId="3" dataDxfId="1"/>
    <tableColumn id="4" xr3:uid="{E37BD94B-A97B-4AB0-B7FB-9B7DD9F4F4D2}" uniqueName="4" name="Value" queryTableFieldId="4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BEB89-063F-4D53-9092-F37E7112FCDE}">
  <sheetPr codeName="Sheet2"/>
  <dimension ref="A1:BJ296"/>
  <sheetViews>
    <sheetView topLeftCell="O1" workbookViewId="0">
      <selection activeCell="AM1" sqref="AM1:AN1048576"/>
    </sheetView>
  </sheetViews>
  <sheetFormatPr baseColWidth="10" defaultColWidth="9.1640625" defaultRowHeight="11" x14ac:dyDescent="0.15"/>
  <cols>
    <col min="1" max="1" width="9.1640625" style="3"/>
    <col min="2" max="2" width="3.5" style="4" bestFit="1" customWidth="1"/>
    <col min="3" max="3" width="4.33203125" style="24" customWidth="1"/>
    <col min="4" max="4" width="19.6640625" style="24" customWidth="1"/>
    <col min="5" max="5" width="18.6640625" style="25" customWidth="1"/>
    <col min="6" max="6" width="9.5" style="24" bestFit="1" customWidth="1"/>
    <col min="7" max="8" width="5" style="24" customWidth="1"/>
    <col min="9" max="9" width="4.5" style="24" customWidth="1"/>
    <col min="10" max="10" width="3.5" style="4" bestFit="1" customWidth="1"/>
    <col min="11" max="11" width="15.6640625" style="23" customWidth="1"/>
    <col min="12" max="17" width="19.1640625" style="23" customWidth="1"/>
    <col min="18" max="18" width="4.5" style="23" customWidth="1"/>
    <col min="19" max="21" width="3.5" style="23" customWidth="1"/>
    <col min="22" max="22" width="5.83203125" style="23" customWidth="1"/>
    <col min="23" max="23" width="3.5" style="4" bestFit="1" customWidth="1"/>
    <col min="24" max="24" width="4.33203125" style="37" customWidth="1"/>
    <col min="25" max="25" width="21.5" style="37" bestFit="1" customWidth="1"/>
    <col min="26" max="26" width="13.83203125" style="37" bestFit="1" customWidth="1"/>
    <col min="27" max="27" width="8.83203125" style="37" bestFit="1" customWidth="1"/>
    <col min="28" max="28" width="8.83203125" style="37" customWidth="1"/>
    <col min="29" max="29" width="3.5" style="4" bestFit="1" customWidth="1"/>
    <col min="30" max="31" width="6" style="38" customWidth="1"/>
    <col min="32" max="32" width="9.1640625" style="3"/>
    <col min="33" max="33" width="3" style="36" bestFit="1" customWidth="1"/>
    <col min="34" max="35" width="5.5" style="1" bestFit="1" customWidth="1"/>
    <col min="36" max="36" width="22.83203125" style="1" bestFit="1" customWidth="1"/>
    <col min="37" max="37" width="5.5" style="1" bestFit="1" customWidth="1"/>
    <col min="38" max="38" width="5.5" style="1" customWidth="1"/>
    <col min="39" max="39" width="9.1640625" style="3"/>
    <col min="40" max="40" width="2.33203125" style="3" bestFit="1" customWidth="1"/>
    <col min="41" max="47" width="5" style="3" bestFit="1" customWidth="1"/>
    <col min="48" max="48" width="21.33203125" style="3" bestFit="1" customWidth="1"/>
    <col min="49" max="49" width="5" style="3" bestFit="1" customWidth="1"/>
    <col min="50" max="50" width="23.83203125" style="3" bestFit="1" customWidth="1"/>
    <col min="51" max="51" width="5" style="3" bestFit="1" customWidth="1"/>
    <col min="52" max="52" width="8.6640625" style="3" customWidth="1"/>
    <col min="53" max="53" width="2.33203125" style="3" bestFit="1" customWidth="1"/>
    <col min="54" max="54" width="5.5" style="57" bestFit="1" customWidth="1"/>
    <col min="55" max="55" width="5.5" style="57" customWidth="1"/>
    <col min="56" max="56" width="22.83203125" style="1" bestFit="1" customWidth="1"/>
    <col min="57" max="57" width="7.83203125" style="1" customWidth="1"/>
    <col min="58" max="58" width="3" style="3" bestFit="1" customWidth="1"/>
    <col min="59" max="59" width="9.1640625" style="3"/>
    <col min="60" max="60" width="26.5" style="3" customWidth="1"/>
    <col min="61" max="61" width="9.1640625" style="3"/>
    <col min="62" max="62" width="8.83203125" style="46"/>
    <col min="63" max="16384" width="9.1640625" style="3"/>
  </cols>
  <sheetData>
    <row r="1" spans="1:62" ht="19" x14ac:dyDescent="0.15">
      <c r="BJ1" s="45" t="s">
        <v>1278</v>
      </c>
    </row>
    <row r="2" spans="1:62" s="28" customFormat="1" ht="54" thickBot="1" x14ac:dyDescent="0.2">
      <c r="A2" s="28" t="s">
        <v>290</v>
      </c>
      <c r="B2" s="29" t="s">
        <v>335</v>
      </c>
      <c r="C2" s="5" t="s">
        <v>321</v>
      </c>
      <c r="D2" s="5" t="s">
        <v>336</v>
      </c>
      <c r="E2" s="6" t="s">
        <v>337</v>
      </c>
      <c r="F2" s="5" t="s">
        <v>338</v>
      </c>
      <c r="G2" s="5" t="s">
        <v>1214</v>
      </c>
      <c r="H2" s="56" t="s">
        <v>1215</v>
      </c>
      <c r="I2" s="7"/>
      <c r="J2" s="29" t="s">
        <v>339</v>
      </c>
      <c r="K2" s="8" t="s">
        <v>340</v>
      </c>
      <c r="L2" s="8" t="s">
        <v>337</v>
      </c>
      <c r="M2" s="8" t="s">
        <v>1156</v>
      </c>
      <c r="N2" s="8" t="s">
        <v>1157</v>
      </c>
      <c r="O2" s="8" t="s">
        <v>1168</v>
      </c>
      <c r="P2" s="8" t="s">
        <v>1169</v>
      </c>
      <c r="Q2" s="8" t="s">
        <v>1196</v>
      </c>
      <c r="R2" s="8" t="s">
        <v>334</v>
      </c>
      <c r="S2" s="8" t="s">
        <v>341</v>
      </c>
      <c r="T2" s="8" t="s">
        <v>293</v>
      </c>
      <c r="U2" s="8" t="s">
        <v>342</v>
      </c>
      <c r="V2" s="8"/>
      <c r="W2" s="29" t="s">
        <v>343</v>
      </c>
      <c r="X2" s="32" t="s">
        <v>344</v>
      </c>
      <c r="Y2" s="32" t="s">
        <v>345</v>
      </c>
      <c r="Z2" s="32" t="s">
        <v>346</v>
      </c>
      <c r="AA2" s="32" t="s">
        <v>347</v>
      </c>
      <c r="AB2" s="32"/>
      <c r="AC2" s="29" t="s">
        <v>348</v>
      </c>
      <c r="AD2" s="33" t="s">
        <v>349</v>
      </c>
      <c r="AE2" s="33" t="s">
        <v>321</v>
      </c>
      <c r="AG2" s="36" t="s">
        <v>1144</v>
      </c>
      <c r="AH2" s="2" t="s">
        <v>1113</v>
      </c>
      <c r="AI2" s="2" t="s">
        <v>301</v>
      </c>
      <c r="AJ2" s="2" t="s">
        <v>1114</v>
      </c>
      <c r="AK2" s="2" t="s">
        <v>1145</v>
      </c>
      <c r="AL2" s="2"/>
      <c r="AN2" s="28" t="s">
        <v>1195</v>
      </c>
      <c r="AO2" s="28" t="s">
        <v>332</v>
      </c>
      <c r="AP2" s="28" t="s">
        <v>1173</v>
      </c>
      <c r="AQ2" s="28" t="s">
        <v>1155</v>
      </c>
      <c r="AR2" s="28" t="s">
        <v>1192</v>
      </c>
      <c r="AS2" s="28" t="s">
        <v>1154</v>
      </c>
      <c r="AT2" s="28" t="s">
        <v>1193</v>
      </c>
      <c r="AU2" s="28" t="s">
        <v>293</v>
      </c>
      <c r="AV2" s="28" t="s">
        <v>1245</v>
      </c>
      <c r="AW2" s="28" t="s">
        <v>1274</v>
      </c>
      <c r="AX2" s="28" t="s">
        <v>1194</v>
      </c>
      <c r="AY2" s="28" t="s">
        <v>1275</v>
      </c>
      <c r="BA2" s="28" t="s">
        <v>1242</v>
      </c>
      <c r="BB2" s="42" t="s">
        <v>1240</v>
      </c>
      <c r="BC2" s="58" t="s">
        <v>1243</v>
      </c>
      <c r="BD2" s="2" t="s">
        <v>1241</v>
      </c>
      <c r="BE2" s="2"/>
      <c r="BF2" s="28" t="s">
        <v>1279</v>
      </c>
      <c r="BG2" s="63" t="s">
        <v>1276</v>
      </c>
      <c r="BH2" s="63" t="s">
        <v>1277</v>
      </c>
      <c r="BJ2" s="43" t="s">
        <v>1276</v>
      </c>
    </row>
    <row r="3" spans="1:62" ht="10" x14ac:dyDescent="0.15">
      <c r="A3" s="3" t="s">
        <v>294</v>
      </c>
      <c r="C3" s="9" t="s">
        <v>350</v>
      </c>
      <c r="D3" s="9" t="s">
        <v>351</v>
      </c>
      <c r="E3" s="26" t="s">
        <v>1130</v>
      </c>
      <c r="F3" s="9" t="s">
        <v>352</v>
      </c>
      <c r="G3" s="9" t="s">
        <v>1235</v>
      </c>
      <c r="H3" s="55"/>
      <c r="I3" s="11"/>
      <c r="K3" s="12" t="s">
        <v>20</v>
      </c>
      <c r="L3" s="13" t="str">
        <f>K3&amp;" SERRA"</f>
        <v>Gestión de Proyectos SERRA</v>
      </c>
      <c r="M3" s="13" t="s">
        <v>10</v>
      </c>
      <c r="N3" s="13" t="s">
        <v>1162</v>
      </c>
      <c r="O3" s="13" t="s">
        <v>288</v>
      </c>
      <c r="P3" s="13" t="s">
        <v>20</v>
      </c>
      <c r="Q3" s="13" t="s">
        <v>30</v>
      </c>
      <c r="R3" s="13" t="s">
        <v>353</v>
      </c>
      <c r="S3" s="13" t="s">
        <v>354</v>
      </c>
      <c r="T3" s="13" t="s">
        <v>1158</v>
      </c>
      <c r="U3" s="13" t="s">
        <v>0</v>
      </c>
      <c r="V3" s="13"/>
      <c r="X3" s="14">
        <v>100</v>
      </c>
      <c r="Y3" s="15" t="s">
        <v>355</v>
      </c>
      <c r="Z3" s="15" t="s">
        <v>356</v>
      </c>
      <c r="AA3" s="15" t="s">
        <v>357</v>
      </c>
      <c r="AB3" s="15"/>
      <c r="AD3" s="16" t="s">
        <v>358</v>
      </c>
      <c r="AE3" s="16" t="s">
        <v>359</v>
      </c>
      <c r="AH3" s="1" t="s">
        <v>299</v>
      </c>
      <c r="AI3" s="1" t="s">
        <v>1142</v>
      </c>
      <c r="AJ3" s="1" t="s">
        <v>263</v>
      </c>
      <c r="AK3" s="1">
        <v>1</v>
      </c>
      <c r="AO3" s="3" t="s">
        <v>1177</v>
      </c>
      <c r="AP3" s="3" t="s">
        <v>1199</v>
      </c>
      <c r="AQ3" s="3" t="s">
        <v>279</v>
      </c>
      <c r="AR3" s="3" t="s">
        <v>279</v>
      </c>
      <c r="AS3" s="3" t="s">
        <v>1183</v>
      </c>
      <c r="AT3" s="3" t="s">
        <v>1184</v>
      </c>
      <c r="AU3" s="3" t="s">
        <v>1197</v>
      </c>
      <c r="AV3" s="3" t="s">
        <v>1246</v>
      </c>
      <c r="AW3" s="3" t="s">
        <v>1197</v>
      </c>
      <c r="AX3" s="3" t="s">
        <v>273</v>
      </c>
      <c r="AY3" s="3" t="s">
        <v>1266</v>
      </c>
      <c r="BB3" s="57">
        <v>721</v>
      </c>
      <c r="BC3" s="57" t="s">
        <v>1186</v>
      </c>
      <c r="BD3" s="1" t="s">
        <v>6</v>
      </c>
      <c r="BG3" s="61" t="s">
        <v>1266</v>
      </c>
      <c r="BH3" s="61" t="s">
        <v>1286</v>
      </c>
      <c r="BJ3" s="47" t="str" cm="1">
        <f t="array" ref="BJ3">_xlfn.LET(_xlpm.x,MATCH("SOR",$A:$A,0),_xlpm.y,SUM(COLUMN()),ADDRESS(2+_xlpm.x,_xlpm.y,4)&amp;":"&amp;ADDRESS(2+_xlpm.x+COUNT(CODE(_xlfn._xlws.FILTER(_xlfn.ANCHORARRAY(BJ5),_xlfn.ANCHORARRAY(BJ5)&lt;&gt;"X","X"))),_xlpm.y,4))</f>
        <v>BJ4:BJ16</v>
      </c>
    </row>
    <row r="4" spans="1:62" ht="10" x14ac:dyDescent="0.15">
      <c r="C4" s="9" t="s">
        <v>361</v>
      </c>
      <c r="D4" s="9" t="s">
        <v>362</v>
      </c>
      <c r="E4" s="26" t="s">
        <v>1130</v>
      </c>
      <c r="F4" s="9" t="s">
        <v>352</v>
      </c>
      <c r="G4" s="9" t="s">
        <v>1234</v>
      </c>
      <c r="H4" s="55"/>
      <c r="I4" s="9"/>
      <c r="K4" s="12"/>
      <c r="L4" s="13" t="str">
        <f>CONCATENATE(K3," Ext.")</f>
        <v>Gestión de Proyectos Ext.</v>
      </c>
      <c r="M4" s="13"/>
      <c r="N4" s="13"/>
      <c r="O4" s="13"/>
      <c r="P4" s="13"/>
      <c r="R4" s="13"/>
      <c r="S4" s="13"/>
      <c r="T4" s="13"/>
      <c r="U4" s="13"/>
      <c r="V4" s="13"/>
      <c r="X4" s="14">
        <v>101</v>
      </c>
      <c r="Y4" s="15" t="s">
        <v>363</v>
      </c>
      <c r="Z4" s="15" t="s">
        <v>364</v>
      </c>
      <c r="AA4" s="15" t="s">
        <v>357</v>
      </c>
      <c r="AB4" s="15"/>
      <c r="AD4" s="16" t="s">
        <v>365</v>
      </c>
      <c r="AE4" s="16" t="s">
        <v>366</v>
      </c>
      <c r="AH4" s="1" t="s">
        <v>300</v>
      </c>
      <c r="AI4" s="1" t="s">
        <v>1142</v>
      </c>
      <c r="AJ4" s="1" t="s">
        <v>264</v>
      </c>
      <c r="AK4" s="1">
        <v>2</v>
      </c>
      <c r="AO4" s="3" t="s">
        <v>1177</v>
      </c>
      <c r="AP4" s="3" t="s">
        <v>1199</v>
      </c>
      <c r="AQ4" s="3" t="s">
        <v>279</v>
      </c>
      <c r="AR4" s="3" t="s">
        <v>1185</v>
      </c>
      <c r="AS4" s="3" t="s">
        <v>1183</v>
      </c>
      <c r="AT4" s="3" t="s">
        <v>1184</v>
      </c>
      <c r="AU4" s="3" t="s">
        <v>1197</v>
      </c>
      <c r="AV4" s="3" t="s">
        <v>1246</v>
      </c>
      <c r="AW4" s="3" t="s">
        <v>1197</v>
      </c>
      <c r="AX4" s="3" t="s">
        <v>1171</v>
      </c>
      <c r="AY4" s="3" t="s">
        <v>1266</v>
      </c>
      <c r="BB4" s="57">
        <v>731</v>
      </c>
      <c r="BC4" s="57" t="s">
        <v>1189</v>
      </c>
      <c r="BD4" s="1" t="s">
        <v>1265</v>
      </c>
      <c r="BG4" s="61" t="s">
        <v>1267</v>
      </c>
      <c r="BH4" s="61" t="s">
        <v>1282</v>
      </c>
      <c r="BJ4" s="44" t="s">
        <v>279</v>
      </c>
    </row>
    <row r="5" spans="1:62" ht="10" x14ac:dyDescent="0.15">
      <c r="C5" s="9" t="s">
        <v>312</v>
      </c>
      <c r="D5" s="9" t="s">
        <v>313</v>
      </c>
      <c r="E5" s="26" t="s">
        <v>1130</v>
      </c>
      <c r="F5" s="9" t="s">
        <v>352</v>
      </c>
      <c r="G5" s="9" t="s">
        <v>1235</v>
      </c>
      <c r="H5" s="55"/>
      <c r="I5" s="9"/>
      <c r="K5" s="12" t="s">
        <v>11</v>
      </c>
      <c r="L5" s="13" t="str">
        <f>K5&amp;" SERRA"</f>
        <v>Gestión Mecánica SERRA</v>
      </c>
      <c r="M5" s="13" t="s">
        <v>11</v>
      </c>
      <c r="N5" s="13" t="s">
        <v>1163</v>
      </c>
      <c r="O5" s="13" t="s">
        <v>1166</v>
      </c>
      <c r="P5" s="13" t="s">
        <v>11</v>
      </c>
      <c r="Q5" s="13" t="s">
        <v>31</v>
      </c>
      <c r="R5" s="13" t="s">
        <v>266</v>
      </c>
      <c r="S5" s="13" t="s">
        <v>368</v>
      </c>
      <c r="T5" s="13" t="s">
        <v>1158</v>
      </c>
      <c r="U5" s="13" t="s">
        <v>0</v>
      </c>
      <c r="V5" s="13"/>
      <c r="X5" s="14">
        <v>102</v>
      </c>
      <c r="Y5" s="15" t="s">
        <v>369</v>
      </c>
      <c r="Z5" s="15" t="s">
        <v>356</v>
      </c>
      <c r="AA5" s="15" t="s">
        <v>357</v>
      </c>
      <c r="AB5" s="15"/>
      <c r="AD5" s="16" t="s">
        <v>370</v>
      </c>
      <c r="AE5" s="16" t="s">
        <v>371</v>
      </c>
      <c r="AH5" s="1" t="s">
        <v>297</v>
      </c>
      <c r="AI5" s="1" t="s">
        <v>1142</v>
      </c>
      <c r="AJ5" s="1" t="s">
        <v>1109</v>
      </c>
      <c r="AK5" s="1">
        <v>3</v>
      </c>
      <c r="AO5" s="3" t="s">
        <v>1177</v>
      </c>
      <c r="AP5" s="3" t="s">
        <v>1199</v>
      </c>
      <c r="AQ5" s="3" t="s">
        <v>279</v>
      </c>
      <c r="AR5" s="3" t="s">
        <v>1139</v>
      </c>
      <c r="AS5" s="3" t="s">
        <v>1183</v>
      </c>
      <c r="AT5" s="3" t="s">
        <v>1184</v>
      </c>
      <c r="AU5" s="3" t="s">
        <v>1197</v>
      </c>
      <c r="AV5" s="3" t="s">
        <v>1246</v>
      </c>
      <c r="AW5" s="3" t="s">
        <v>1197</v>
      </c>
      <c r="AX5" s="3" t="s">
        <v>1172</v>
      </c>
      <c r="AY5" s="3" t="s">
        <v>1266</v>
      </c>
      <c r="BB5" s="57">
        <v>741</v>
      </c>
      <c r="BC5" s="57" t="s">
        <v>1189</v>
      </c>
      <c r="BD5" s="1" t="s">
        <v>1</v>
      </c>
      <c r="BG5" s="61" t="s">
        <v>1268</v>
      </c>
      <c r="BH5" s="61" t="s">
        <v>1283</v>
      </c>
      <c r="BJ5" s="44" t="str" cm="1">
        <f t="array" ref="BJ5:BJ16">_xlfn._xlws.SORT(_xlfn.UNIQUE(_xlfn._xlws.FILTER(TbRowMacro[RowMcroId],TbRowMacro[RowMcroId]&lt;&gt;"X","X")))</f>
        <v>DISC</v>
      </c>
    </row>
    <row r="6" spans="1:62" ht="10" x14ac:dyDescent="0.15">
      <c r="C6" s="9" t="s">
        <v>372</v>
      </c>
      <c r="D6" s="9" t="s">
        <v>162</v>
      </c>
      <c r="E6" s="26" t="s">
        <v>1117</v>
      </c>
      <c r="F6" s="9" t="s">
        <v>352</v>
      </c>
      <c r="G6" s="9" t="s">
        <v>1235</v>
      </c>
      <c r="H6" s="55"/>
      <c r="I6" s="9"/>
      <c r="K6" s="12"/>
      <c r="L6" s="13" t="str">
        <f>CONCATENATE(K5," Ext.")</f>
        <v>Gestión Mecánica Ext.</v>
      </c>
      <c r="M6" s="13"/>
      <c r="N6" s="13"/>
      <c r="O6" s="13"/>
      <c r="P6" s="13"/>
      <c r="R6" s="13"/>
      <c r="S6" s="13"/>
      <c r="T6" s="13"/>
      <c r="U6" s="13"/>
      <c r="V6" s="13"/>
      <c r="X6" s="14">
        <v>103</v>
      </c>
      <c r="Y6" s="15" t="s">
        <v>373</v>
      </c>
      <c r="Z6" s="15" t="s">
        <v>356</v>
      </c>
      <c r="AA6" s="15" t="s">
        <v>357</v>
      </c>
      <c r="AB6" s="15"/>
      <c r="AD6" s="16" t="s">
        <v>374</v>
      </c>
      <c r="AE6" s="16" t="s">
        <v>375</v>
      </c>
      <c r="AH6" s="1" t="s">
        <v>298</v>
      </c>
      <c r="AI6" s="1" t="s">
        <v>1142</v>
      </c>
      <c r="AJ6" s="1" t="s">
        <v>1110</v>
      </c>
      <c r="AK6" s="1">
        <v>4</v>
      </c>
      <c r="AO6" s="3" t="s">
        <v>1177</v>
      </c>
      <c r="AP6" s="3" t="s">
        <v>1199</v>
      </c>
      <c r="AQ6" s="3" t="s">
        <v>279</v>
      </c>
      <c r="AR6" s="3" t="s">
        <v>1186</v>
      </c>
      <c r="AS6" s="3" t="s">
        <v>1183</v>
      </c>
      <c r="AT6" s="3" t="s">
        <v>1184</v>
      </c>
      <c r="AU6" s="3" t="s">
        <v>1197</v>
      </c>
      <c r="AV6" s="3" t="s">
        <v>1246</v>
      </c>
      <c r="AW6" s="3" t="s">
        <v>1197</v>
      </c>
      <c r="AX6" s="3" t="s">
        <v>1170</v>
      </c>
      <c r="AY6" s="3" t="s">
        <v>1266</v>
      </c>
      <c r="BG6" s="61" t="s">
        <v>1205</v>
      </c>
      <c r="BH6" s="61" t="s">
        <v>1281</v>
      </c>
      <c r="BJ6" s="44" t="str">
        <v>DIST</v>
      </c>
    </row>
    <row r="7" spans="1:62" ht="10" x14ac:dyDescent="0.15">
      <c r="C7" s="9" t="s">
        <v>376</v>
      </c>
      <c r="D7" s="9" t="s">
        <v>377</v>
      </c>
      <c r="E7" s="26" t="s">
        <v>1133</v>
      </c>
      <c r="F7" s="9" t="s">
        <v>352</v>
      </c>
      <c r="G7" s="9" t="s">
        <v>1234</v>
      </c>
      <c r="H7" s="55"/>
      <c r="I7" s="9"/>
      <c r="K7" s="12" t="s">
        <v>378</v>
      </c>
      <c r="L7" s="13" t="str">
        <f>K7&amp;" SERRA"</f>
        <v>Diseño Mecánico SERRA</v>
      </c>
      <c r="M7" s="13" t="s">
        <v>12</v>
      </c>
      <c r="N7" s="13" t="s">
        <v>12</v>
      </c>
      <c r="O7" s="13" t="s">
        <v>1132</v>
      </c>
      <c r="P7" s="13" t="s">
        <v>378</v>
      </c>
      <c r="Q7" s="13" t="s">
        <v>29</v>
      </c>
      <c r="R7" s="13" t="s">
        <v>266</v>
      </c>
      <c r="S7" s="13" t="s">
        <v>379</v>
      </c>
      <c r="T7" s="13" t="s">
        <v>1158</v>
      </c>
      <c r="U7" s="13" t="s">
        <v>0</v>
      </c>
      <c r="V7" s="13"/>
      <c r="X7" s="14">
        <v>105</v>
      </c>
      <c r="Y7" s="15" t="s">
        <v>380</v>
      </c>
      <c r="Z7" s="15" t="s">
        <v>381</v>
      </c>
      <c r="AA7" s="15" t="s">
        <v>357</v>
      </c>
      <c r="AB7" s="15"/>
      <c r="AD7" s="16" t="s">
        <v>382</v>
      </c>
      <c r="AE7" s="16" t="s">
        <v>383</v>
      </c>
      <c r="AH7" s="1" t="s">
        <v>323</v>
      </c>
      <c r="AI7" s="1" t="s">
        <v>1143</v>
      </c>
      <c r="AJ7" s="1" t="s">
        <v>1111</v>
      </c>
      <c r="AK7" s="1">
        <v>1</v>
      </c>
      <c r="AO7" s="3" t="s">
        <v>1177</v>
      </c>
      <c r="AP7" s="3" t="s">
        <v>1198</v>
      </c>
      <c r="AQ7" s="3" t="s">
        <v>279</v>
      </c>
      <c r="AR7" s="3" t="s">
        <v>279</v>
      </c>
      <c r="AS7" s="3" t="s">
        <v>1183</v>
      </c>
      <c r="AT7" s="3" t="s">
        <v>1187</v>
      </c>
      <c r="AU7" s="3" t="s">
        <v>1185</v>
      </c>
      <c r="AV7" s="3" t="s">
        <v>1247</v>
      </c>
      <c r="AW7" s="3" t="s">
        <v>1185</v>
      </c>
      <c r="AX7" s="3" t="s">
        <v>256</v>
      </c>
      <c r="AY7" s="3" t="s">
        <v>1267</v>
      </c>
      <c r="BG7" s="62" t="s">
        <v>1206</v>
      </c>
      <c r="BH7" s="62" t="s">
        <v>1280</v>
      </c>
      <c r="BJ7" s="44" t="str">
        <v>FABC</v>
      </c>
    </row>
    <row r="8" spans="1:62" ht="10" x14ac:dyDescent="0.15">
      <c r="C8" s="9" t="s">
        <v>385</v>
      </c>
      <c r="D8" s="9" t="s">
        <v>386</v>
      </c>
      <c r="E8" s="26" t="s">
        <v>1133</v>
      </c>
      <c r="F8" s="9" t="s">
        <v>352</v>
      </c>
      <c r="G8" s="9" t="s">
        <v>1234</v>
      </c>
      <c r="H8" s="55"/>
      <c r="I8" s="9"/>
      <c r="K8" s="12"/>
      <c r="L8" s="13" t="str">
        <f>CONCATENATE(K7," Ext.")</f>
        <v>Diseño Mecánico Ext.</v>
      </c>
      <c r="M8" s="13"/>
      <c r="N8" s="13"/>
      <c r="O8" s="13"/>
      <c r="P8" s="13"/>
      <c r="R8" s="13"/>
      <c r="S8" s="13"/>
      <c r="T8" s="13"/>
      <c r="U8" s="13"/>
      <c r="V8" s="13"/>
      <c r="X8" s="14">
        <v>110</v>
      </c>
      <c r="Y8" s="15" t="s">
        <v>387</v>
      </c>
      <c r="Z8" s="15" t="s">
        <v>388</v>
      </c>
      <c r="AA8" s="15" t="s">
        <v>357</v>
      </c>
      <c r="AB8" s="15"/>
      <c r="AD8" s="16" t="s">
        <v>389</v>
      </c>
      <c r="AE8" s="16" t="s">
        <v>390</v>
      </c>
      <c r="AH8" s="1" t="s">
        <v>322</v>
      </c>
      <c r="AI8" s="1" t="s">
        <v>1141</v>
      </c>
      <c r="AJ8" s="1" t="s">
        <v>1112</v>
      </c>
      <c r="AK8" s="1">
        <v>0</v>
      </c>
      <c r="AO8" s="3" t="s">
        <v>1177</v>
      </c>
      <c r="AP8" s="3" t="s">
        <v>1198</v>
      </c>
      <c r="AQ8" s="3" t="s">
        <v>279</v>
      </c>
      <c r="AR8" s="3" t="s">
        <v>279</v>
      </c>
      <c r="AS8" s="3" t="s">
        <v>1183</v>
      </c>
      <c r="AT8" s="3" t="s">
        <v>1187</v>
      </c>
      <c r="AU8" s="3" t="s">
        <v>1185</v>
      </c>
      <c r="AV8" s="3" t="s">
        <v>1247</v>
      </c>
      <c r="AW8" s="3" t="s">
        <v>1185</v>
      </c>
      <c r="AX8" s="3" t="s">
        <v>1153</v>
      </c>
      <c r="AY8" s="3" t="s">
        <v>1267</v>
      </c>
      <c r="BG8" s="61" t="s">
        <v>1207</v>
      </c>
      <c r="BH8" s="61" t="s">
        <v>1284</v>
      </c>
      <c r="BJ8" s="44" t="str">
        <v>FABT</v>
      </c>
    </row>
    <row r="9" spans="1:62" ht="10" x14ac:dyDescent="0.15">
      <c r="C9" s="9" t="s">
        <v>391</v>
      </c>
      <c r="D9" s="9" t="s">
        <v>392</v>
      </c>
      <c r="E9" s="26" t="s">
        <v>1130</v>
      </c>
      <c r="F9" s="9" t="s">
        <v>393</v>
      </c>
      <c r="G9" s="9" t="s">
        <v>1235</v>
      </c>
      <c r="H9" s="55"/>
      <c r="I9" s="9"/>
      <c r="K9" s="12" t="s">
        <v>3</v>
      </c>
      <c r="L9" s="13" t="str">
        <f>K9&amp;" SERRA"</f>
        <v>Robcad SERRA</v>
      </c>
      <c r="M9" s="13" t="s">
        <v>3</v>
      </c>
      <c r="N9" s="13" t="s">
        <v>3</v>
      </c>
      <c r="O9" s="13" t="s">
        <v>274</v>
      </c>
      <c r="P9" s="13" t="s">
        <v>3</v>
      </c>
      <c r="Q9" s="13" t="s">
        <v>3</v>
      </c>
      <c r="R9" s="13" t="s">
        <v>266</v>
      </c>
      <c r="S9" s="13" t="s">
        <v>394</v>
      </c>
      <c r="T9" s="13" t="s">
        <v>1158</v>
      </c>
      <c r="U9" s="13" t="s">
        <v>0</v>
      </c>
      <c r="V9" s="13"/>
      <c r="X9" s="14">
        <v>111</v>
      </c>
      <c r="Y9" s="15" t="s">
        <v>395</v>
      </c>
      <c r="Z9" s="15" t="s">
        <v>396</v>
      </c>
      <c r="AA9" s="15" t="s">
        <v>357</v>
      </c>
      <c r="AB9" s="15"/>
      <c r="AD9" s="16" t="s">
        <v>397</v>
      </c>
      <c r="AE9" s="16" t="s">
        <v>398</v>
      </c>
      <c r="AO9" s="3" t="s">
        <v>1177</v>
      </c>
      <c r="AP9" s="3" t="s">
        <v>1200</v>
      </c>
      <c r="AQ9" s="3" t="s">
        <v>279</v>
      </c>
      <c r="AR9" s="3" t="s">
        <v>279</v>
      </c>
      <c r="AS9" s="3" t="s">
        <v>1183</v>
      </c>
      <c r="AT9" s="3" t="s">
        <v>1184</v>
      </c>
      <c r="AU9" s="3" t="s">
        <v>1187</v>
      </c>
      <c r="AV9" s="3" t="s">
        <v>1248</v>
      </c>
      <c r="AW9" s="3" t="s">
        <v>1187</v>
      </c>
      <c r="AX9" s="3" t="s">
        <v>1109</v>
      </c>
      <c r="AY9" s="3" t="s">
        <v>1268</v>
      </c>
      <c r="BG9" s="61" t="s">
        <v>1208</v>
      </c>
      <c r="BH9" s="61" t="s">
        <v>1287</v>
      </c>
      <c r="BJ9" s="44" t="str">
        <v>GESC</v>
      </c>
    </row>
    <row r="10" spans="1:62" ht="10" x14ac:dyDescent="0.15">
      <c r="C10" s="9" t="s">
        <v>330</v>
      </c>
      <c r="D10" s="9" t="str">
        <f>E9&amp;" OFb"</f>
        <v>Material Mecánico Ext. OFb</v>
      </c>
      <c r="E10" s="27" t="s">
        <v>1118</v>
      </c>
      <c r="F10" s="9" t="s">
        <v>399</v>
      </c>
      <c r="G10" s="9" t="s">
        <v>1228</v>
      </c>
      <c r="H10" s="55" t="s">
        <v>297</v>
      </c>
      <c r="I10" s="9"/>
      <c r="K10" s="12"/>
      <c r="L10" s="13" t="str">
        <f>CONCATENATE(K9," Ext.")</f>
        <v>Robcad Ext.</v>
      </c>
      <c r="M10" s="13"/>
      <c r="N10" s="13"/>
      <c r="O10" s="13"/>
      <c r="P10" s="13"/>
      <c r="R10" s="13"/>
      <c r="S10" s="13"/>
      <c r="T10" s="13"/>
      <c r="U10" s="13"/>
      <c r="V10" s="13"/>
      <c r="X10" s="14">
        <v>112</v>
      </c>
      <c r="Y10" s="15" t="s">
        <v>400</v>
      </c>
      <c r="Z10" s="15" t="s">
        <v>401</v>
      </c>
      <c r="AA10" s="15" t="s">
        <v>357</v>
      </c>
      <c r="AB10" s="15"/>
      <c r="AD10" s="16" t="s">
        <v>402</v>
      </c>
      <c r="AE10" s="16" t="s">
        <v>403</v>
      </c>
      <c r="AO10" s="3" t="s">
        <v>1177</v>
      </c>
      <c r="AP10" s="3" t="s">
        <v>1200</v>
      </c>
      <c r="AQ10" s="3" t="s">
        <v>279</v>
      </c>
      <c r="AR10" s="3" t="s">
        <v>279</v>
      </c>
      <c r="AS10" s="3" t="s">
        <v>1183</v>
      </c>
      <c r="AT10" s="3" t="s">
        <v>1187</v>
      </c>
      <c r="AU10" s="3" t="s">
        <v>1187</v>
      </c>
      <c r="AV10" s="3" t="s">
        <v>1248</v>
      </c>
      <c r="AW10" s="3" t="s">
        <v>1187</v>
      </c>
      <c r="AX10" s="3" t="s">
        <v>1110</v>
      </c>
      <c r="AY10" s="3" t="s">
        <v>1268</v>
      </c>
      <c r="BG10" s="62" t="s">
        <v>1269</v>
      </c>
      <c r="BH10" s="62" t="s">
        <v>1285</v>
      </c>
      <c r="BJ10" s="44" t="str">
        <v>GESG</v>
      </c>
    </row>
    <row r="11" spans="1:62" ht="10" x14ac:dyDescent="0.15">
      <c r="C11" s="9" t="s">
        <v>404</v>
      </c>
      <c r="D11" s="9" t="str">
        <f>E9&amp;" GEn"</f>
        <v>Material Mecánico Ext. GEn</v>
      </c>
      <c r="E11" s="26" t="s">
        <v>1130</v>
      </c>
      <c r="F11" s="9" t="s">
        <v>352</v>
      </c>
      <c r="G11" s="9" t="s">
        <v>1235</v>
      </c>
      <c r="H11" s="55"/>
      <c r="I11" s="9"/>
      <c r="K11" s="12" t="s">
        <v>5</v>
      </c>
      <c r="L11" s="13" t="str">
        <f>K11&amp;" SERRA"</f>
        <v>Diseño Eléctrico SERRA</v>
      </c>
      <c r="M11" s="13" t="s">
        <v>5</v>
      </c>
      <c r="N11" s="13" t="s">
        <v>1164</v>
      </c>
      <c r="O11" s="13" t="s">
        <v>280</v>
      </c>
      <c r="P11" s="13" t="s">
        <v>5</v>
      </c>
      <c r="Q11" s="13" t="s">
        <v>32</v>
      </c>
      <c r="R11" s="13" t="s">
        <v>265</v>
      </c>
      <c r="S11" s="13" t="s">
        <v>405</v>
      </c>
      <c r="T11" s="13" t="s">
        <v>1158</v>
      </c>
      <c r="U11" s="13" t="s">
        <v>0</v>
      </c>
      <c r="V11" s="13"/>
      <c r="X11" s="14">
        <v>113</v>
      </c>
      <c r="Y11" s="15" t="s">
        <v>406</v>
      </c>
      <c r="Z11" s="15" t="s">
        <v>407</v>
      </c>
      <c r="AA11" s="15" t="s">
        <v>357</v>
      </c>
      <c r="AB11" s="15"/>
      <c r="AD11" s="16" t="s">
        <v>408</v>
      </c>
      <c r="AE11" s="16" t="s">
        <v>371</v>
      </c>
      <c r="AO11" s="3" t="s">
        <v>1179</v>
      </c>
      <c r="AP11" s="3" t="s">
        <v>1205</v>
      </c>
      <c r="AQ11" s="3" t="s">
        <v>1188</v>
      </c>
      <c r="AR11" s="3" t="s">
        <v>1139</v>
      </c>
      <c r="AS11" s="3" t="s">
        <v>1183</v>
      </c>
      <c r="AT11" s="3" t="s">
        <v>279</v>
      </c>
      <c r="AU11" s="3" t="s">
        <v>1197</v>
      </c>
      <c r="AV11" s="3" t="s">
        <v>1249</v>
      </c>
      <c r="AW11" s="3" t="s">
        <v>1197</v>
      </c>
      <c r="AX11" s="3" t="s">
        <v>307</v>
      </c>
      <c r="AY11" s="3" t="str">
        <f>TbStd[[#This Row],[RowGrp]]</f>
        <v>DISC</v>
      </c>
      <c r="BG11" s="61" t="s">
        <v>1270</v>
      </c>
      <c r="BH11" s="62" t="s">
        <v>1288</v>
      </c>
      <c r="BJ11" s="44" t="str">
        <v>GESH</v>
      </c>
    </row>
    <row r="12" spans="1:62" ht="10" x14ac:dyDescent="0.15">
      <c r="C12" s="9" t="s">
        <v>409</v>
      </c>
      <c r="D12" s="9" t="str">
        <f>E9&amp;" CDc"</f>
        <v>Material Mecánico Ext. CDc</v>
      </c>
      <c r="E12" s="26" t="s">
        <v>1134</v>
      </c>
      <c r="F12" s="9" t="s">
        <v>393</v>
      </c>
      <c r="G12" s="9" t="s">
        <v>1235</v>
      </c>
      <c r="H12" s="55"/>
      <c r="I12" s="9"/>
      <c r="K12" s="12"/>
      <c r="L12" s="13" t="str">
        <f>CONCATENATE(K11," Ext.")</f>
        <v>Diseño Eléctrico Ext.</v>
      </c>
      <c r="M12" s="13"/>
      <c r="N12" s="13"/>
      <c r="O12" s="13"/>
      <c r="P12" s="13"/>
      <c r="R12" s="13"/>
      <c r="S12" s="13"/>
      <c r="T12" s="13"/>
      <c r="U12" s="13"/>
      <c r="V12" s="13"/>
      <c r="X12" s="14">
        <v>114</v>
      </c>
      <c r="Y12" s="15" t="s">
        <v>410</v>
      </c>
      <c r="Z12" s="15" t="s">
        <v>407</v>
      </c>
      <c r="AA12" s="15" t="s">
        <v>357</v>
      </c>
      <c r="AB12" s="15"/>
      <c r="AD12" s="16" t="s">
        <v>411</v>
      </c>
      <c r="AE12" s="16" t="s">
        <v>359</v>
      </c>
      <c r="AO12" s="3" t="s">
        <v>1179</v>
      </c>
      <c r="AP12" s="3" t="s">
        <v>1206</v>
      </c>
      <c r="AQ12" s="3" t="s">
        <v>1189</v>
      </c>
      <c r="AR12" s="3" t="s">
        <v>1139</v>
      </c>
      <c r="AS12" s="3" t="s">
        <v>1183</v>
      </c>
      <c r="AT12" s="3" t="s">
        <v>279</v>
      </c>
      <c r="AU12" s="3" t="s">
        <v>1197</v>
      </c>
      <c r="AV12" s="3" t="s">
        <v>1250</v>
      </c>
      <c r="AW12" s="3" t="s">
        <v>1197</v>
      </c>
      <c r="AX12" s="3" t="s">
        <v>309</v>
      </c>
      <c r="AY12" s="3" t="str">
        <f>TbStd[[#This Row],[RowGrp]]</f>
        <v>DIST</v>
      </c>
      <c r="BG12" s="61" t="s">
        <v>1271</v>
      </c>
      <c r="BH12" s="61" t="s">
        <v>1289</v>
      </c>
      <c r="BJ12" s="44" t="str">
        <v>GESM</v>
      </c>
    </row>
    <row r="13" spans="1:62" ht="10" x14ac:dyDescent="0.15">
      <c r="C13" s="9" t="s">
        <v>412</v>
      </c>
      <c r="D13" s="9" t="s">
        <v>413</v>
      </c>
      <c r="E13" s="26" t="s">
        <v>1119</v>
      </c>
      <c r="F13" s="9" t="s">
        <v>393</v>
      </c>
      <c r="G13" s="9" t="s">
        <v>1224</v>
      </c>
      <c r="H13" s="55"/>
      <c r="I13" s="9"/>
      <c r="K13" s="12" t="s">
        <v>13</v>
      </c>
      <c r="L13" s="13" t="str">
        <f>K13&amp;" SERRA"</f>
        <v>Diseño NR SERRA</v>
      </c>
      <c r="M13" s="13" t="s">
        <v>13</v>
      </c>
      <c r="N13" s="13" t="s">
        <v>1161</v>
      </c>
      <c r="O13" s="13" t="s">
        <v>281</v>
      </c>
      <c r="P13" s="13" t="s">
        <v>13</v>
      </c>
      <c r="Q13" s="13" t="s">
        <v>33</v>
      </c>
      <c r="R13" s="13" t="s">
        <v>265</v>
      </c>
      <c r="S13" s="13" t="s">
        <v>414</v>
      </c>
      <c r="T13" s="13" t="s">
        <v>1158</v>
      </c>
      <c r="U13" s="13" t="s">
        <v>415</v>
      </c>
      <c r="V13" s="13"/>
      <c r="X13" s="14">
        <v>120</v>
      </c>
      <c r="Y13" s="15" t="s">
        <v>416</v>
      </c>
      <c r="Z13" s="15" t="s">
        <v>417</v>
      </c>
      <c r="AA13" s="15" t="s">
        <v>357</v>
      </c>
      <c r="AB13" s="15"/>
      <c r="AD13" s="16" t="s">
        <v>418</v>
      </c>
      <c r="AE13" s="16" t="s">
        <v>383</v>
      </c>
      <c r="AO13" s="3" t="s">
        <v>1179</v>
      </c>
      <c r="AP13" s="3" t="s">
        <v>1205</v>
      </c>
      <c r="AQ13" s="3" t="s">
        <v>1188</v>
      </c>
      <c r="AR13" s="3" t="s">
        <v>1139</v>
      </c>
      <c r="AS13" s="3" t="s">
        <v>1183</v>
      </c>
      <c r="AT13" s="3" t="s">
        <v>279</v>
      </c>
      <c r="AU13" s="3" t="s">
        <v>1197</v>
      </c>
      <c r="AV13" s="3" t="s">
        <v>1249</v>
      </c>
      <c r="AW13" s="3" t="s">
        <v>1197</v>
      </c>
      <c r="AX13" s="3" t="s">
        <v>1147</v>
      </c>
      <c r="AY13" s="3" t="str">
        <f>TbStd[[#This Row],[RowGrp]]</f>
        <v>DISC</v>
      </c>
      <c r="BG13" s="62" t="s">
        <v>1272</v>
      </c>
      <c r="BH13" s="61" t="s">
        <v>1290</v>
      </c>
      <c r="BJ13" s="44" t="str">
        <v>IMPC</v>
      </c>
    </row>
    <row r="14" spans="1:62" ht="10" x14ac:dyDescent="0.15">
      <c r="C14" s="9" t="s">
        <v>419</v>
      </c>
      <c r="D14" s="9" t="s">
        <v>420</v>
      </c>
      <c r="E14" s="26" t="s">
        <v>1134</v>
      </c>
      <c r="F14" s="9" t="s">
        <v>393</v>
      </c>
      <c r="G14" s="9" t="s">
        <v>1235</v>
      </c>
      <c r="H14" s="55"/>
      <c r="I14" s="9"/>
      <c r="K14" s="12"/>
      <c r="L14" s="13" t="str">
        <f>CONCATENATE(K13," Ext.")</f>
        <v>Diseño NR Ext.</v>
      </c>
      <c r="M14" s="13"/>
      <c r="N14" s="13"/>
      <c r="O14" s="13"/>
      <c r="P14" s="13"/>
      <c r="R14" s="13"/>
      <c r="S14" s="13"/>
      <c r="T14" s="13"/>
      <c r="U14" s="13"/>
      <c r="V14" s="13"/>
      <c r="X14" s="14">
        <v>121</v>
      </c>
      <c r="Y14" s="15" t="s">
        <v>421</v>
      </c>
      <c r="Z14" s="15" t="s">
        <v>422</v>
      </c>
      <c r="AA14" s="15" t="s">
        <v>357</v>
      </c>
      <c r="AB14" s="15"/>
      <c r="AD14" s="16" t="s">
        <v>423</v>
      </c>
      <c r="AE14" s="16" t="s">
        <v>403</v>
      </c>
      <c r="AO14" s="3" t="s">
        <v>1179</v>
      </c>
      <c r="AP14" s="3" t="s">
        <v>1205</v>
      </c>
      <c r="AQ14" s="3" t="s">
        <v>1188</v>
      </c>
      <c r="AR14" s="3" t="s">
        <v>1185</v>
      </c>
      <c r="AS14" s="3" t="s">
        <v>1183</v>
      </c>
      <c r="AT14" s="3" t="s">
        <v>279</v>
      </c>
      <c r="AU14" s="3" t="s">
        <v>1197</v>
      </c>
      <c r="AV14" s="3" t="s">
        <v>1249</v>
      </c>
      <c r="AW14" s="3" t="s">
        <v>1197</v>
      </c>
      <c r="AX14" s="3" t="s">
        <v>274</v>
      </c>
      <c r="AY14" s="3" t="str">
        <f>TbStd[[#This Row],[RowGrp]]</f>
        <v>DISC</v>
      </c>
      <c r="BG14" s="61" t="s">
        <v>1273</v>
      </c>
      <c r="BH14" s="61" t="s">
        <v>1291</v>
      </c>
      <c r="BJ14" s="44" t="str">
        <v>IMPT</v>
      </c>
    </row>
    <row r="15" spans="1:62" ht="13" x14ac:dyDescent="0.15">
      <c r="C15" s="9" t="s">
        <v>424</v>
      </c>
      <c r="D15" s="9" t="s">
        <v>425</v>
      </c>
      <c r="E15" s="26" t="s">
        <v>1120</v>
      </c>
      <c r="F15" s="9" t="s">
        <v>393</v>
      </c>
      <c r="G15" s="9" t="s">
        <v>1222</v>
      </c>
      <c r="H15" s="55"/>
      <c r="I15" s="9"/>
      <c r="K15" s="12" t="s">
        <v>4</v>
      </c>
      <c r="L15" s="13" t="str">
        <f>K15&amp;" SERRA"</f>
        <v>Robótica SERRA</v>
      </c>
      <c r="M15" s="13" t="s">
        <v>4</v>
      </c>
      <c r="N15" s="13" t="s">
        <v>4</v>
      </c>
      <c r="O15" s="13" t="s">
        <v>277</v>
      </c>
      <c r="P15" s="13" t="s">
        <v>4</v>
      </c>
      <c r="Q15" s="13" t="s">
        <v>4</v>
      </c>
      <c r="R15" s="13" t="s">
        <v>265</v>
      </c>
      <c r="S15" s="18" t="s">
        <v>1115</v>
      </c>
      <c r="T15" s="18" t="s">
        <v>1158</v>
      </c>
      <c r="U15" s="13"/>
      <c r="V15" s="13"/>
      <c r="X15" s="14">
        <v>122</v>
      </c>
      <c r="Y15" s="15" t="s">
        <v>426</v>
      </c>
      <c r="Z15" s="15" t="s">
        <v>427</v>
      </c>
      <c r="AA15" s="15" t="s">
        <v>357</v>
      </c>
      <c r="AB15" s="15"/>
      <c r="AD15" s="16" t="s">
        <v>428</v>
      </c>
      <c r="AE15" s="16" t="s">
        <v>366</v>
      </c>
      <c r="AO15" s="3" t="s">
        <v>1179</v>
      </c>
      <c r="AP15" s="3" t="s">
        <v>1206</v>
      </c>
      <c r="AQ15" s="3" t="s">
        <v>1189</v>
      </c>
      <c r="AR15" s="3" t="s">
        <v>1185</v>
      </c>
      <c r="AS15" s="3" t="s">
        <v>1183</v>
      </c>
      <c r="AT15" s="3" t="s">
        <v>279</v>
      </c>
      <c r="AU15" s="3" t="s">
        <v>1197</v>
      </c>
      <c r="AV15" s="3" t="s">
        <v>1250</v>
      </c>
      <c r="AW15" s="3" t="s">
        <v>1197</v>
      </c>
      <c r="AX15" s="3" t="s">
        <v>1150</v>
      </c>
      <c r="AY15" s="3" t="str">
        <f>TbStd[[#This Row],[RowGrp]]</f>
        <v>DIST</v>
      </c>
      <c r="BG15"/>
      <c r="BH15"/>
      <c r="BJ15" s="44" t="str">
        <v>PEMC</v>
      </c>
    </row>
    <row r="16" spans="1:62" ht="13" x14ac:dyDescent="0.15">
      <c r="C16" s="9" t="s">
        <v>429</v>
      </c>
      <c r="D16" s="9" t="s">
        <v>430</v>
      </c>
      <c r="E16" s="26" t="s">
        <v>1120</v>
      </c>
      <c r="F16" s="9" t="s">
        <v>393</v>
      </c>
      <c r="G16" s="9" t="s">
        <v>1222</v>
      </c>
      <c r="H16" s="55"/>
      <c r="I16" s="9"/>
      <c r="K16" s="12"/>
      <c r="L16" s="13" t="str">
        <f>CONCATENATE(K15," Ext.")</f>
        <v>Robótica Ext.</v>
      </c>
      <c r="M16" s="13"/>
      <c r="N16" s="13"/>
      <c r="O16" s="13"/>
      <c r="P16" s="13"/>
      <c r="R16" s="13"/>
      <c r="S16" s="13"/>
      <c r="T16" s="13"/>
      <c r="U16" s="13"/>
      <c r="V16" s="13"/>
      <c r="X16" s="14">
        <v>125</v>
      </c>
      <c r="Y16" s="15" t="s">
        <v>431</v>
      </c>
      <c r="Z16" s="15" t="s">
        <v>432</v>
      </c>
      <c r="AA16" s="15" t="s">
        <v>357</v>
      </c>
      <c r="AB16" s="15"/>
      <c r="AD16" s="16" t="s">
        <v>433</v>
      </c>
      <c r="AE16" s="16" t="s">
        <v>398</v>
      </c>
      <c r="AO16" s="3" t="s">
        <v>1179</v>
      </c>
      <c r="AP16" s="3" t="s">
        <v>1205</v>
      </c>
      <c r="AQ16" s="3" t="s">
        <v>1188</v>
      </c>
      <c r="AR16" s="3" t="s">
        <v>1185</v>
      </c>
      <c r="AS16" s="3" t="s">
        <v>1183</v>
      </c>
      <c r="AT16" s="3" t="s">
        <v>279</v>
      </c>
      <c r="AU16" s="3" t="s">
        <v>1197</v>
      </c>
      <c r="AV16" s="3" t="s">
        <v>1249</v>
      </c>
      <c r="AW16" s="3" t="s">
        <v>1197</v>
      </c>
      <c r="AX16" s="3" t="s">
        <v>1138</v>
      </c>
      <c r="AY16" s="3" t="str">
        <f>TbStd[[#This Row],[RowGrp]]</f>
        <v>DISC</v>
      </c>
      <c r="BG16"/>
      <c r="BH16"/>
      <c r="BJ16" s="44" t="str">
        <v>PEMT</v>
      </c>
    </row>
    <row r="17" spans="3:62" ht="13" x14ac:dyDescent="0.15">
      <c r="C17" s="9" t="s">
        <v>434</v>
      </c>
      <c r="D17" s="9" t="s">
        <v>435</v>
      </c>
      <c r="E17" s="26" t="s">
        <v>1121</v>
      </c>
      <c r="F17" s="9" t="s">
        <v>393</v>
      </c>
      <c r="G17" s="9" t="s">
        <v>1216</v>
      </c>
      <c r="H17" s="55"/>
      <c r="I17" s="9"/>
      <c r="K17" s="19" t="s">
        <v>6</v>
      </c>
      <c r="L17" s="13" t="str">
        <f>K17&amp;" SERRA"</f>
        <v>Fabricación Mecánica SERRA</v>
      </c>
      <c r="M17" s="13" t="s">
        <v>6</v>
      </c>
      <c r="N17" s="13" t="s">
        <v>259</v>
      </c>
      <c r="O17" s="13" t="s">
        <v>282</v>
      </c>
      <c r="P17" s="13" t="s">
        <v>259</v>
      </c>
      <c r="Q17" s="13" t="s">
        <v>24</v>
      </c>
      <c r="R17" s="13" t="s">
        <v>1236</v>
      </c>
      <c r="S17" s="13" t="s">
        <v>436</v>
      </c>
      <c r="T17" s="13" t="s">
        <v>1158</v>
      </c>
      <c r="U17" s="13" t="s">
        <v>0</v>
      </c>
      <c r="V17" s="13"/>
      <c r="X17" s="14">
        <v>126</v>
      </c>
      <c r="Y17" s="15" t="s">
        <v>437</v>
      </c>
      <c r="Z17" s="15" t="s">
        <v>438</v>
      </c>
      <c r="AA17" s="15" t="s">
        <v>357</v>
      </c>
      <c r="AB17" s="15"/>
      <c r="AD17" s="16" t="s">
        <v>439</v>
      </c>
      <c r="AE17" s="16" t="s">
        <v>390</v>
      </c>
      <c r="AO17" s="3" t="s">
        <v>1180</v>
      </c>
      <c r="AP17" s="3" t="s">
        <v>1207</v>
      </c>
      <c r="AQ17" s="3" t="s">
        <v>1188</v>
      </c>
      <c r="AR17" s="3" t="s">
        <v>1139</v>
      </c>
      <c r="AS17" s="3" t="s">
        <v>1183</v>
      </c>
      <c r="AT17" s="3" t="s">
        <v>1187</v>
      </c>
      <c r="AU17" s="3" t="s">
        <v>279</v>
      </c>
      <c r="AV17" s="3" t="s">
        <v>1251</v>
      </c>
      <c r="AW17" s="3" t="s">
        <v>279</v>
      </c>
      <c r="AX17" s="3" t="s">
        <v>275</v>
      </c>
      <c r="AY17" s="3" t="str">
        <f>TbStd[[#This Row],[RowGrp]]</f>
        <v>FABC</v>
      </c>
      <c r="BG17"/>
      <c r="BH17"/>
      <c r="BJ17" s="44"/>
    </row>
    <row r="18" spans="3:62" ht="13" x14ac:dyDescent="0.15">
      <c r="C18" s="9" t="s">
        <v>440</v>
      </c>
      <c r="D18" s="9" t="s">
        <v>441</v>
      </c>
      <c r="E18" s="26" t="s">
        <v>1135</v>
      </c>
      <c r="F18" s="9" t="s">
        <v>352</v>
      </c>
      <c r="G18" s="9" t="s">
        <v>1235</v>
      </c>
      <c r="H18" s="55"/>
      <c r="I18" s="9"/>
      <c r="K18" s="19"/>
      <c r="L18" s="13" t="str">
        <f>CONCATENATE(K17," Ext.")</f>
        <v>Fabricación Mecánica Ext.</v>
      </c>
      <c r="M18" s="13"/>
      <c r="N18" s="13"/>
      <c r="O18" s="13"/>
      <c r="P18" s="13"/>
      <c r="R18" s="13"/>
      <c r="S18" s="13"/>
      <c r="T18" s="13"/>
      <c r="U18" s="13"/>
      <c r="V18" s="13"/>
      <c r="X18" s="14">
        <v>127</v>
      </c>
      <c r="Y18" s="15" t="s">
        <v>3</v>
      </c>
      <c r="Z18" s="15" t="s">
        <v>274</v>
      </c>
      <c r="AA18" s="15" t="s">
        <v>357</v>
      </c>
      <c r="AB18" s="15"/>
      <c r="AD18" s="16" t="s">
        <v>442</v>
      </c>
      <c r="AE18" s="16" t="s">
        <v>375</v>
      </c>
      <c r="AO18" s="3" t="s">
        <v>1180</v>
      </c>
      <c r="AP18" s="3" t="s">
        <v>1207</v>
      </c>
      <c r="AQ18" s="3" t="s">
        <v>1188</v>
      </c>
      <c r="AR18" s="3" t="s">
        <v>1185</v>
      </c>
      <c r="AS18" s="3" t="s">
        <v>1183</v>
      </c>
      <c r="AT18" s="3" t="s">
        <v>279</v>
      </c>
      <c r="AU18" s="3" t="s">
        <v>279</v>
      </c>
      <c r="AV18" s="3" t="s">
        <v>1251</v>
      </c>
      <c r="AW18" s="3" t="s">
        <v>279</v>
      </c>
      <c r="AX18" s="3" t="s">
        <v>276</v>
      </c>
      <c r="AY18" s="3" t="str">
        <f>TbStd[[#This Row],[RowGrp]]</f>
        <v>FABC</v>
      </c>
      <c r="BG18"/>
      <c r="BH18"/>
      <c r="BJ18" s="44"/>
    </row>
    <row r="19" spans="3:62" ht="13" x14ac:dyDescent="0.15">
      <c r="C19" s="9" t="s">
        <v>443</v>
      </c>
      <c r="D19" s="9" t="s">
        <v>444</v>
      </c>
      <c r="E19" s="26" t="s">
        <v>42</v>
      </c>
      <c r="F19" s="9" t="s">
        <v>352</v>
      </c>
      <c r="G19" s="9" t="s">
        <v>1222</v>
      </c>
      <c r="H19" s="55"/>
      <c r="I19" s="9"/>
      <c r="K19" s="19" t="s">
        <v>2</v>
      </c>
      <c r="L19" s="13" t="str">
        <f>K19&amp;" SERRA"</f>
        <v>Montaje Mecánico SERRA</v>
      </c>
      <c r="M19" s="13" t="s">
        <v>2</v>
      </c>
      <c r="N19" s="13" t="s">
        <v>2</v>
      </c>
      <c r="O19" s="13" t="s">
        <v>283</v>
      </c>
      <c r="P19" s="13" t="s">
        <v>2</v>
      </c>
      <c r="Q19" s="13" t="s">
        <v>34</v>
      </c>
      <c r="R19" s="13" t="s">
        <v>1236</v>
      </c>
      <c r="S19" s="13" t="s">
        <v>445</v>
      </c>
      <c r="T19" s="13" t="s">
        <v>1158</v>
      </c>
      <c r="U19" s="13" t="s">
        <v>0</v>
      </c>
      <c r="V19" s="13"/>
      <c r="X19" s="14">
        <v>128</v>
      </c>
      <c r="Y19" s="15" t="s">
        <v>446</v>
      </c>
      <c r="Z19" s="15" t="s">
        <v>432</v>
      </c>
      <c r="AA19" s="15" t="s">
        <v>357</v>
      </c>
      <c r="AB19" s="15"/>
      <c r="AD19" s="16" t="s">
        <v>447</v>
      </c>
      <c r="AE19" s="16" t="s">
        <v>56</v>
      </c>
      <c r="AO19" s="3" t="s">
        <v>1180</v>
      </c>
      <c r="AP19" s="3" t="s">
        <v>1208</v>
      </c>
      <c r="AQ19" s="3" t="s">
        <v>1189</v>
      </c>
      <c r="AR19" s="3" t="s">
        <v>1185</v>
      </c>
      <c r="AS19" s="3" t="s">
        <v>1183</v>
      </c>
      <c r="AT19" s="3" t="s">
        <v>279</v>
      </c>
      <c r="AU19" s="3" t="s">
        <v>279</v>
      </c>
      <c r="AV19" s="3" t="s">
        <v>1252</v>
      </c>
      <c r="AW19" s="3" t="s">
        <v>279</v>
      </c>
      <c r="AX19" s="3" t="s">
        <v>1151</v>
      </c>
      <c r="AY19" s="3" t="str">
        <f>TbStd[[#This Row],[RowGrp]]</f>
        <v>FABT</v>
      </c>
      <c r="BG19"/>
      <c r="BH19"/>
      <c r="BJ19" s="44"/>
    </row>
    <row r="20" spans="3:62" ht="13" x14ac:dyDescent="0.15">
      <c r="C20" s="9" t="s">
        <v>448</v>
      </c>
      <c r="D20" s="9" t="s">
        <v>449</v>
      </c>
      <c r="E20" s="26" t="s">
        <v>1135</v>
      </c>
      <c r="F20" s="9" t="s">
        <v>393</v>
      </c>
      <c r="G20" s="9" t="s">
        <v>1235</v>
      </c>
      <c r="H20" s="55"/>
      <c r="I20" s="9"/>
      <c r="K20" s="19"/>
      <c r="L20" s="13" t="str">
        <f>CONCATENATE(K19," Ext.")</f>
        <v>Montaje Mecánico Ext.</v>
      </c>
      <c r="M20" s="13"/>
      <c r="N20" s="13"/>
      <c r="O20" s="13"/>
      <c r="P20" s="13"/>
      <c r="R20" s="13"/>
      <c r="S20" s="13"/>
      <c r="T20" s="13"/>
      <c r="U20" s="13"/>
      <c r="V20" s="13"/>
      <c r="X20" s="14">
        <v>130</v>
      </c>
      <c r="Y20" s="15" t="s">
        <v>450</v>
      </c>
      <c r="Z20" s="15" t="s">
        <v>307</v>
      </c>
      <c r="AA20" s="15" t="s">
        <v>357</v>
      </c>
      <c r="AB20" s="15"/>
      <c r="AD20" s="16" t="s">
        <v>451</v>
      </c>
      <c r="AE20" s="16" t="s">
        <v>58</v>
      </c>
      <c r="AO20" s="3" t="s">
        <v>1181</v>
      </c>
      <c r="AP20" s="3" t="s">
        <v>1209</v>
      </c>
      <c r="AQ20" s="3" t="s">
        <v>1188</v>
      </c>
      <c r="AR20" s="3" t="s">
        <v>279</v>
      </c>
      <c r="AS20" s="3" t="s">
        <v>1183</v>
      </c>
      <c r="AT20" s="3" t="s">
        <v>279</v>
      </c>
      <c r="AU20" s="3" t="s">
        <v>1197</v>
      </c>
      <c r="AV20" s="3" t="s">
        <v>1253</v>
      </c>
      <c r="AW20" s="3" t="s">
        <v>1197</v>
      </c>
      <c r="AX20" s="3" t="s">
        <v>1146</v>
      </c>
      <c r="AY20" s="3" t="s">
        <v>1269</v>
      </c>
      <c r="BG20"/>
      <c r="BH20"/>
      <c r="BJ20" s="44"/>
    </row>
    <row r="21" spans="3:62" ht="13" x14ac:dyDescent="0.15">
      <c r="C21" s="9" t="s">
        <v>452</v>
      </c>
      <c r="D21" s="9" t="s">
        <v>453</v>
      </c>
      <c r="E21" s="26" t="s">
        <v>42</v>
      </c>
      <c r="F21" s="9" t="s">
        <v>393</v>
      </c>
      <c r="G21" s="9" t="s">
        <v>1222</v>
      </c>
      <c r="H21" s="55"/>
      <c r="I21" s="9"/>
      <c r="K21" s="19" t="s">
        <v>1</v>
      </c>
      <c r="L21" s="13" t="str">
        <f>K21&amp;" SERRA"</f>
        <v>Metrología SERRA</v>
      </c>
      <c r="M21" s="13" t="s">
        <v>1</v>
      </c>
      <c r="N21" s="13" t="s">
        <v>1</v>
      </c>
      <c r="O21" s="13" t="s">
        <v>278</v>
      </c>
      <c r="P21" s="13" t="s">
        <v>1</v>
      </c>
      <c r="Q21" s="13" t="s">
        <v>1</v>
      </c>
      <c r="R21" s="13" t="s">
        <v>1236</v>
      </c>
      <c r="S21" s="13" t="s">
        <v>50</v>
      </c>
      <c r="T21" s="13" t="s">
        <v>1158</v>
      </c>
      <c r="U21" s="13" t="s">
        <v>0</v>
      </c>
      <c r="V21" s="13"/>
      <c r="X21" s="14">
        <v>131</v>
      </c>
      <c r="Y21" s="15" t="s">
        <v>454</v>
      </c>
      <c r="Z21" s="15" t="s">
        <v>455</v>
      </c>
      <c r="AA21" s="15" t="s">
        <v>357</v>
      </c>
      <c r="AB21" s="15"/>
      <c r="AD21" s="16" t="s">
        <v>456</v>
      </c>
      <c r="AE21" s="16" t="s">
        <v>74</v>
      </c>
      <c r="AO21" s="3" t="s">
        <v>1181</v>
      </c>
      <c r="AP21" s="3" t="s">
        <v>1210</v>
      </c>
      <c r="AQ21" s="3" t="s">
        <v>1189</v>
      </c>
      <c r="AR21" s="3" t="s">
        <v>1139</v>
      </c>
      <c r="AS21" s="3" t="s">
        <v>1183</v>
      </c>
      <c r="AT21" s="3" t="s">
        <v>279</v>
      </c>
      <c r="AU21" s="3" t="s">
        <v>1197</v>
      </c>
      <c r="AV21" s="3" t="s">
        <v>1254</v>
      </c>
      <c r="AW21" s="3" t="s">
        <v>1197</v>
      </c>
      <c r="AX21" s="3" t="s">
        <v>1152</v>
      </c>
      <c r="AY21" s="3" t="s">
        <v>1270</v>
      </c>
      <c r="BG21"/>
      <c r="BH21"/>
      <c r="BJ21" s="44"/>
    </row>
    <row r="22" spans="3:62" ht="13" x14ac:dyDescent="0.15">
      <c r="C22" s="9" t="s">
        <v>457</v>
      </c>
      <c r="D22" s="9" t="s">
        <v>458</v>
      </c>
      <c r="E22" s="26" t="s">
        <v>1122</v>
      </c>
      <c r="F22" s="9" t="s">
        <v>393</v>
      </c>
      <c r="G22" s="9" t="s">
        <v>1235</v>
      </c>
      <c r="H22" s="55"/>
      <c r="I22" s="9"/>
      <c r="K22" s="19"/>
      <c r="L22" s="13" t="str">
        <f>CONCATENATE(K21," Ext.")</f>
        <v>Metrología Ext.</v>
      </c>
      <c r="M22" s="13"/>
      <c r="N22" s="13"/>
      <c r="O22" s="13"/>
      <c r="P22" s="13"/>
      <c r="R22" s="13"/>
      <c r="S22" s="13"/>
      <c r="T22" s="13"/>
      <c r="U22" s="13"/>
      <c r="V22" s="13"/>
      <c r="X22" s="14">
        <v>132</v>
      </c>
      <c r="Y22" s="15" t="s">
        <v>459</v>
      </c>
      <c r="Z22" s="15" t="s">
        <v>309</v>
      </c>
      <c r="AA22" s="15" t="s">
        <v>357</v>
      </c>
      <c r="AB22" s="15"/>
      <c r="AD22" s="16" t="s">
        <v>157</v>
      </c>
      <c r="AE22" s="16" t="s">
        <v>224</v>
      </c>
      <c r="AO22" s="3" t="s">
        <v>1181</v>
      </c>
      <c r="AP22" s="3" t="s">
        <v>1209</v>
      </c>
      <c r="AQ22" s="3" t="s">
        <v>1188</v>
      </c>
      <c r="AR22" s="3" t="s">
        <v>279</v>
      </c>
      <c r="AS22" s="3" t="s">
        <v>1183</v>
      </c>
      <c r="AT22" s="3" t="s">
        <v>279</v>
      </c>
      <c r="AU22" s="3" t="s">
        <v>1197</v>
      </c>
      <c r="AV22" s="3" t="s">
        <v>1253</v>
      </c>
      <c r="AW22" s="3" t="s">
        <v>1197</v>
      </c>
      <c r="AX22" s="3" t="s">
        <v>302</v>
      </c>
      <c r="AY22" s="3" t="s">
        <v>1269</v>
      </c>
      <c r="BG22"/>
      <c r="BH22"/>
    </row>
    <row r="23" spans="3:62" ht="13" x14ac:dyDescent="0.15">
      <c r="C23" s="9" t="s">
        <v>460</v>
      </c>
      <c r="D23" s="9" t="s">
        <v>461</v>
      </c>
      <c r="E23" s="26" t="s">
        <v>39</v>
      </c>
      <c r="F23" s="9" t="s">
        <v>393</v>
      </c>
      <c r="G23" s="9" t="s">
        <v>1235</v>
      </c>
      <c r="H23" s="55"/>
      <c r="I23" s="9"/>
      <c r="K23" s="19" t="s">
        <v>258</v>
      </c>
      <c r="L23" s="13" t="str">
        <f>K23&amp;" Ext."</f>
        <v>Subcontratación Completa Ext.</v>
      </c>
      <c r="M23" s="13"/>
      <c r="N23" s="13" t="s">
        <v>258</v>
      </c>
      <c r="O23" s="13" t="s">
        <v>279</v>
      </c>
      <c r="P23" s="13" t="s">
        <v>289</v>
      </c>
      <c r="Q23" s="13" t="s">
        <v>257</v>
      </c>
      <c r="R23" s="13" t="s">
        <v>279</v>
      </c>
      <c r="S23" s="13"/>
      <c r="T23" s="13" t="s">
        <v>1159</v>
      </c>
      <c r="U23" s="13"/>
      <c r="V23" s="13"/>
      <c r="X23" s="14">
        <v>133</v>
      </c>
      <c r="Y23" s="15" t="s">
        <v>462</v>
      </c>
      <c r="Z23" s="15" t="s">
        <v>463</v>
      </c>
      <c r="AA23" s="15" t="s">
        <v>357</v>
      </c>
      <c r="AB23" s="15"/>
      <c r="AD23" s="16" t="s">
        <v>155</v>
      </c>
      <c r="AE23" s="16" t="s">
        <v>79</v>
      </c>
      <c r="AO23" s="3" t="s">
        <v>1182</v>
      </c>
      <c r="AP23" s="3" t="s">
        <v>1211</v>
      </c>
      <c r="AQ23" s="3" t="s">
        <v>1188</v>
      </c>
      <c r="AR23" s="3" t="s">
        <v>279</v>
      </c>
      <c r="AS23" s="3" t="s">
        <v>1183</v>
      </c>
      <c r="AT23" s="3" t="s">
        <v>279</v>
      </c>
      <c r="AU23" s="3" t="s">
        <v>1197</v>
      </c>
      <c r="AV23" s="3" t="s">
        <v>1255</v>
      </c>
      <c r="AW23" s="3" t="s">
        <v>1197</v>
      </c>
      <c r="AX23" s="3" t="s">
        <v>1136</v>
      </c>
      <c r="AY23" s="3" t="s">
        <v>1271</v>
      </c>
      <c r="BG23"/>
      <c r="BH23"/>
    </row>
    <row r="24" spans="3:62" ht="13" x14ac:dyDescent="0.15">
      <c r="C24" s="9" t="s">
        <v>464</v>
      </c>
      <c r="D24" s="9" t="s">
        <v>465</v>
      </c>
      <c r="E24" s="26" t="s">
        <v>1131</v>
      </c>
      <c r="F24" s="9" t="s">
        <v>393</v>
      </c>
      <c r="G24" s="9" t="s">
        <v>1235</v>
      </c>
      <c r="H24" s="55"/>
      <c r="I24" s="9"/>
      <c r="K24" s="12"/>
      <c r="L24" s="13"/>
      <c r="M24" s="13"/>
      <c r="N24" s="13"/>
      <c r="O24" s="13"/>
      <c r="P24" s="13"/>
      <c r="R24" s="13"/>
      <c r="S24" s="13"/>
      <c r="T24" s="13"/>
      <c r="U24" s="13"/>
      <c r="V24" s="13"/>
      <c r="X24" s="14">
        <v>134</v>
      </c>
      <c r="Y24" s="15" t="s">
        <v>467</v>
      </c>
      <c r="Z24" s="15" t="s">
        <v>307</v>
      </c>
      <c r="AA24" s="15" t="s">
        <v>357</v>
      </c>
      <c r="AB24" s="15"/>
      <c r="AD24" s="16" t="s">
        <v>468</v>
      </c>
      <c r="AE24" s="16" t="s">
        <v>240</v>
      </c>
      <c r="AO24" s="3" t="s">
        <v>1182</v>
      </c>
      <c r="AP24" s="3" t="s">
        <v>1212</v>
      </c>
      <c r="AQ24" s="3" t="s">
        <v>1189</v>
      </c>
      <c r="AR24" s="3" t="s">
        <v>279</v>
      </c>
      <c r="AS24" s="3" t="s">
        <v>1183</v>
      </c>
      <c r="AT24" s="3" t="s">
        <v>279</v>
      </c>
      <c r="AU24" s="3" t="s">
        <v>1197</v>
      </c>
      <c r="AV24" s="3" t="s">
        <v>1256</v>
      </c>
      <c r="AW24" s="3" t="s">
        <v>1197</v>
      </c>
      <c r="AX24" s="3" t="s">
        <v>262</v>
      </c>
      <c r="AY24" s="3" t="s">
        <v>1272</v>
      </c>
      <c r="BG24"/>
      <c r="BH24"/>
    </row>
    <row r="25" spans="3:62" ht="13" x14ac:dyDescent="0.15">
      <c r="C25" s="9" t="s">
        <v>469</v>
      </c>
      <c r="D25" s="9" t="s">
        <v>470</v>
      </c>
      <c r="E25" s="26" t="s">
        <v>40</v>
      </c>
      <c r="F25" s="9" t="s">
        <v>393</v>
      </c>
      <c r="G25" s="9" t="s">
        <v>1235</v>
      </c>
      <c r="H25" s="55"/>
      <c r="I25" s="9"/>
      <c r="K25" s="19" t="s">
        <v>7</v>
      </c>
      <c r="L25" s="13" t="str">
        <f>K25&amp;" SERRA"</f>
        <v>Fabricación Eléctrica SERRA</v>
      </c>
      <c r="M25" s="13" t="s">
        <v>7</v>
      </c>
      <c r="N25" s="13" t="s">
        <v>7</v>
      </c>
      <c r="O25" s="13" t="s">
        <v>284</v>
      </c>
      <c r="P25" s="13" t="s">
        <v>7</v>
      </c>
      <c r="Q25" s="13" t="s">
        <v>25</v>
      </c>
      <c r="R25" s="13" t="s">
        <v>1237</v>
      </c>
      <c r="S25" s="13" t="s">
        <v>51</v>
      </c>
      <c r="T25" s="13" t="s">
        <v>1158</v>
      </c>
      <c r="U25" s="13" t="s">
        <v>466</v>
      </c>
      <c r="V25" s="13"/>
      <c r="X25" s="14">
        <v>135</v>
      </c>
      <c r="Y25" s="15" t="s">
        <v>471</v>
      </c>
      <c r="Z25" s="15" t="s">
        <v>472</v>
      </c>
      <c r="AA25" s="15" t="s">
        <v>357</v>
      </c>
      <c r="AB25" s="15"/>
      <c r="AD25" s="16" t="s">
        <v>473</v>
      </c>
      <c r="AE25" s="16" t="s">
        <v>80</v>
      </c>
      <c r="AO25" s="3" t="s">
        <v>1182</v>
      </c>
      <c r="AP25" s="3" t="s">
        <v>1213</v>
      </c>
      <c r="AQ25" s="3" t="s">
        <v>279</v>
      </c>
      <c r="AR25" s="3" t="s">
        <v>279</v>
      </c>
      <c r="AS25" s="3" t="s">
        <v>1186</v>
      </c>
      <c r="AT25" s="3" t="s">
        <v>279</v>
      </c>
      <c r="AU25" s="3" t="s">
        <v>1197</v>
      </c>
      <c r="AV25" s="3" t="s">
        <v>1257</v>
      </c>
      <c r="AW25" s="3" t="s">
        <v>1197</v>
      </c>
      <c r="AX25" s="3" t="s">
        <v>1149</v>
      </c>
      <c r="AY25" s="3" t="s">
        <v>1271</v>
      </c>
      <c r="BG25"/>
      <c r="BH25"/>
    </row>
    <row r="26" spans="3:62" ht="13" x14ac:dyDescent="0.15">
      <c r="C26" s="9" t="s">
        <v>474</v>
      </c>
      <c r="D26" s="9" t="s">
        <v>475</v>
      </c>
      <c r="E26" s="26" t="s">
        <v>1123</v>
      </c>
      <c r="F26" s="9" t="s">
        <v>393</v>
      </c>
      <c r="G26" s="9" t="s">
        <v>1235</v>
      </c>
      <c r="H26" s="55"/>
      <c r="I26" s="9"/>
      <c r="K26" s="19"/>
      <c r="L26" s="13" t="str">
        <f>CONCATENATE(K25," Ext.")</f>
        <v>Fabricación Eléctrica Ext.</v>
      </c>
      <c r="M26" s="13"/>
      <c r="N26" s="13"/>
      <c r="O26" s="13"/>
      <c r="P26" s="13"/>
      <c r="Q26" s="13"/>
      <c r="R26" s="13"/>
      <c r="S26" s="13"/>
      <c r="T26" s="13"/>
      <c r="U26" s="13"/>
      <c r="V26" s="13"/>
      <c r="X26" s="14">
        <v>136</v>
      </c>
      <c r="Y26" s="15" t="s">
        <v>477</v>
      </c>
      <c r="Z26" s="15" t="s">
        <v>309</v>
      </c>
      <c r="AA26" s="15" t="s">
        <v>357</v>
      </c>
      <c r="AB26" s="15"/>
      <c r="AD26" s="16" t="s">
        <v>478</v>
      </c>
      <c r="AE26" s="16" t="s">
        <v>163</v>
      </c>
      <c r="AO26" s="3" t="s">
        <v>1190</v>
      </c>
      <c r="AP26" s="3" t="s">
        <v>1258</v>
      </c>
      <c r="AQ26" s="3" t="s">
        <v>1188</v>
      </c>
      <c r="AR26" s="3" t="s">
        <v>279</v>
      </c>
      <c r="AS26" s="3" t="s">
        <v>1186</v>
      </c>
      <c r="AT26" s="3" t="s">
        <v>279</v>
      </c>
      <c r="AU26" s="3" t="s">
        <v>1197</v>
      </c>
      <c r="AV26" s="3" t="s">
        <v>1259</v>
      </c>
      <c r="AW26" s="3" t="s">
        <v>1197</v>
      </c>
      <c r="AX26" s="3" t="s">
        <v>303</v>
      </c>
      <c r="AY26" s="3" t="s">
        <v>1269</v>
      </c>
      <c r="BC26"/>
      <c r="BG26"/>
      <c r="BH26"/>
    </row>
    <row r="27" spans="3:62" ht="13" x14ac:dyDescent="0.15">
      <c r="C27" s="9" t="s">
        <v>479</v>
      </c>
      <c r="D27" s="9" t="s">
        <v>480</v>
      </c>
      <c r="E27" s="26" t="s">
        <v>45</v>
      </c>
      <c r="F27" s="9" t="s">
        <v>393</v>
      </c>
      <c r="G27" s="9" t="s">
        <v>1235</v>
      </c>
      <c r="H27" s="55"/>
      <c r="I27" s="9"/>
      <c r="K27" s="19" t="s">
        <v>8</v>
      </c>
      <c r="L27" s="13" t="str">
        <f>K27&amp;" SERRA"</f>
        <v>Instalación Eléctrica SERRA</v>
      </c>
      <c r="M27" s="13" t="s">
        <v>8</v>
      </c>
      <c r="N27" s="13" t="s">
        <v>1165</v>
      </c>
      <c r="O27" s="13" t="s">
        <v>285</v>
      </c>
      <c r="P27" s="13" t="s">
        <v>21</v>
      </c>
      <c r="Q27" s="13" t="s">
        <v>25</v>
      </c>
      <c r="R27" s="13" t="s">
        <v>1237</v>
      </c>
      <c r="S27" s="13" t="s">
        <v>52</v>
      </c>
      <c r="T27" s="13" t="s">
        <v>1158</v>
      </c>
      <c r="U27" s="13" t="s">
        <v>476</v>
      </c>
      <c r="V27" s="13"/>
      <c r="X27" s="14">
        <v>137</v>
      </c>
      <c r="Y27" s="15" t="s">
        <v>481</v>
      </c>
      <c r="Z27" s="15" t="s">
        <v>463</v>
      </c>
      <c r="AA27" s="15" t="s">
        <v>357</v>
      </c>
      <c r="AB27" s="15"/>
      <c r="AD27" s="16" t="s">
        <v>482</v>
      </c>
      <c r="AE27" s="16" t="s">
        <v>125</v>
      </c>
      <c r="AO27" s="3" t="s">
        <v>1190</v>
      </c>
      <c r="AP27" s="3" t="s">
        <v>1201</v>
      </c>
      <c r="AQ27" s="3" t="s">
        <v>279</v>
      </c>
      <c r="AR27" s="3" t="s">
        <v>279</v>
      </c>
      <c r="AS27" s="3" t="s">
        <v>1183</v>
      </c>
      <c r="AT27" s="3" t="s">
        <v>1184</v>
      </c>
      <c r="AU27" s="3" t="s">
        <v>1187</v>
      </c>
      <c r="AV27" s="3" t="s">
        <v>1260</v>
      </c>
      <c r="AW27" s="3" t="s">
        <v>1187</v>
      </c>
      <c r="AX27" s="3" t="s">
        <v>263</v>
      </c>
      <c r="AY27" s="3" t="s">
        <v>1268</v>
      </c>
      <c r="BC27"/>
      <c r="BG27"/>
      <c r="BH27"/>
    </row>
    <row r="28" spans="3:62" ht="13" x14ac:dyDescent="0.15">
      <c r="C28" s="9" t="s">
        <v>483</v>
      </c>
      <c r="D28" s="9" t="s">
        <v>484</v>
      </c>
      <c r="E28" s="26" t="s">
        <v>1124</v>
      </c>
      <c r="F28" s="9" t="s">
        <v>393</v>
      </c>
      <c r="G28" s="9" t="s">
        <v>1225</v>
      </c>
      <c r="H28" s="55"/>
      <c r="I28" s="9"/>
      <c r="K28" s="19"/>
      <c r="L28" s="13" t="str">
        <f>CONCATENATE(K27," Ext.")</f>
        <v>Instalación Eléctrica Ext.</v>
      </c>
      <c r="M28" s="13"/>
      <c r="N28" s="13"/>
      <c r="O28" s="13"/>
      <c r="P28" s="13"/>
      <c r="Q28" s="13"/>
      <c r="R28" s="13"/>
      <c r="S28" s="13"/>
      <c r="T28" s="13"/>
      <c r="U28" s="13"/>
      <c r="V28" s="13"/>
      <c r="X28" s="14">
        <v>140</v>
      </c>
      <c r="Y28" s="15" t="s">
        <v>486</v>
      </c>
      <c r="Z28" s="15" t="s">
        <v>487</v>
      </c>
      <c r="AA28" s="15" t="s">
        <v>357</v>
      </c>
      <c r="AB28" s="15"/>
      <c r="AD28" s="16" t="s">
        <v>488</v>
      </c>
      <c r="AE28" s="16" t="s">
        <v>111</v>
      </c>
      <c r="AO28" s="3" t="s">
        <v>1190</v>
      </c>
      <c r="AP28" s="3" t="s">
        <v>1202</v>
      </c>
      <c r="AQ28" s="3" t="s">
        <v>279</v>
      </c>
      <c r="AR28" s="3" t="s">
        <v>279</v>
      </c>
      <c r="AS28" s="3" t="s">
        <v>1186</v>
      </c>
      <c r="AT28" s="3" t="s">
        <v>279</v>
      </c>
      <c r="AU28" s="3" t="s">
        <v>1187</v>
      </c>
      <c r="AV28" s="3" t="s">
        <v>1261</v>
      </c>
      <c r="AW28" s="3" t="s">
        <v>1187</v>
      </c>
      <c r="AX28" s="3" t="s">
        <v>264</v>
      </c>
      <c r="AY28" s="3" t="s">
        <v>1268</v>
      </c>
      <c r="BC28"/>
      <c r="BG28"/>
      <c r="BH28"/>
    </row>
    <row r="29" spans="3:62" ht="13" x14ac:dyDescent="0.15">
      <c r="C29" s="9" t="s">
        <v>489</v>
      </c>
      <c r="D29" s="9" t="s">
        <v>490</v>
      </c>
      <c r="E29" s="26" t="s">
        <v>44</v>
      </c>
      <c r="F29" s="9" t="s">
        <v>393</v>
      </c>
      <c r="G29" s="9" t="s">
        <v>1225</v>
      </c>
      <c r="H29" s="55"/>
      <c r="I29" s="9"/>
      <c r="K29" s="19" t="s">
        <v>9</v>
      </c>
      <c r="L29" s="13" t="str">
        <f>K29&amp;" SERRA"</f>
        <v>Instalación NR SERRA</v>
      </c>
      <c r="M29" s="13" t="s">
        <v>9</v>
      </c>
      <c r="N29" s="13" t="str">
        <f>N27</f>
        <v>Instalación ENR</v>
      </c>
      <c r="O29" s="13" t="s">
        <v>286</v>
      </c>
      <c r="P29" s="13" t="s">
        <v>21</v>
      </c>
      <c r="Q29" s="13" t="s">
        <v>25</v>
      </c>
      <c r="R29" s="13" t="s">
        <v>1237</v>
      </c>
      <c r="S29" s="13" t="s">
        <v>53</v>
      </c>
      <c r="T29" s="13" t="s">
        <v>1158</v>
      </c>
      <c r="U29" s="13" t="s">
        <v>485</v>
      </c>
      <c r="V29" s="13"/>
      <c r="X29" s="14">
        <v>141</v>
      </c>
      <c r="Y29" s="15" t="s">
        <v>491</v>
      </c>
      <c r="Z29" s="15" t="s">
        <v>492</v>
      </c>
      <c r="AA29" s="15" t="s">
        <v>357</v>
      </c>
      <c r="AB29" s="15"/>
      <c r="AD29" s="16" t="s">
        <v>170</v>
      </c>
      <c r="AE29" s="16" t="s">
        <v>93</v>
      </c>
      <c r="AO29" s="3" t="s">
        <v>1178</v>
      </c>
      <c r="AP29" s="3" t="s">
        <v>1203</v>
      </c>
      <c r="AQ29" s="3" t="s">
        <v>279</v>
      </c>
      <c r="AR29" s="3" t="s">
        <v>279</v>
      </c>
      <c r="AS29" s="3" t="s">
        <v>279</v>
      </c>
      <c r="AT29" s="3" t="s">
        <v>279</v>
      </c>
      <c r="AU29" s="3" t="s">
        <v>279</v>
      </c>
      <c r="AV29" s="3" t="s">
        <v>1262</v>
      </c>
      <c r="AW29" s="3" t="s">
        <v>279</v>
      </c>
      <c r="AX29" s="3" t="s">
        <v>255</v>
      </c>
      <c r="AY29" s="3" t="s">
        <v>1273</v>
      </c>
      <c r="BC29"/>
      <c r="BG29"/>
      <c r="BH29"/>
    </row>
    <row r="30" spans="3:62" ht="13" x14ac:dyDescent="0.15">
      <c r="C30" s="9" t="s">
        <v>493</v>
      </c>
      <c r="D30" s="9" t="s">
        <v>494</v>
      </c>
      <c r="E30" s="26" t="s">
        <v>39</v>
      </c>
      <c r="F30" s="9" t="s">
        <v>352</v>
      </c>
      <c r="G30" s="9" t="s">
        <v>1235</v>
      </c>
      <c r="H30" s="55"/>
      <c r="I30" s="9"/>
      <c r="K30" s="19"/>
      <c r="L30" s="13" t="str">
        <f>CONCATENATE(K29," Ext.")</f>
        <v>Instalación NR Ext.</v>
      </c>
      <c r="M30" s="13"/>
      <c r="N30" s="13"/>
      <c r="O30" s="13"/>
      <c r="P30" s="13"/>
      <c r="Q30" s="13"/>
      <c r="R30" s="13"/>
      <c r="S30" s="13"/>
      <c r="T30" s="13"/>
      <c r="U30" s="13"/>
      <c r="V30" s="13"/>
      <c r="X30" s="14">
        <v>142</v>
      </c>
      <c r="Y30" s="15" t="s">
        <v>495</v>
      </c>
      <c r="Z30" s="15" t="s">
        <v>496</v>
      </c>
      <c r="AA30" s="15" t="s">
        <v>357</v>
      </c>
      <c r="AB30" s="15"/>
      <c r="AD30" s="16" t="s">
        <v>497</v>
      </c>
      <c r="AE30" s="16" t="s">
        <v>67</v>
      </c>
      <c r="AO30" s="3" t="s">
        <v>1178</v>
      </c>
      <c r="AP30" s="3" t="s">
        <v>1203</v>
      </c>
      <c r="AQ30" s="3" t="s">
        <v>279</v>
      </c>
      <c r="AR30" s="3" t="s">
        <v>279</v>
      </c>
      <c r="AS30" s="3" t="s">
        <v>279</v>
      </c>
      <c r="AT30" s="3" t="s">
        <v>1187</v>
      </c>
      <c r="AU30" s="3" t="s">
        <v>279</v>
      </c>
      <c r="AV30" s="3" t="s">
        <v>1262</v>
      </c>
      <c r="AW30" s="3" t="s">
        <v>279</v>
      </c>
      <c r="AX30" s="3" t="s">
        <v>1137</v>
      </c>
      <c r="AY30" s="3" t="s">
        <v>1273</v>
      </c>
      <c r="BC30"/>
      <c r="BG30"/>
      <c r="BH30"/>
    </row>
    <row r="31" spans="3:62" ht="13" x14ac:dyDescent="0.15">
      <c r="C31" s="9" t="s">
        <v>498</v>
      </c>
      <c r="D31" s="9" t="s">
        <v>499</v>
      </c>
      <c r="E31" s="26" t="s">
        <v>40</v>
      </c>
      <c r="F31" s="9" t="s">
        <v>352</v>
      </c>
      <c r="G31" s="9" t="s">
        <v>1235</v>
      </c>
      <c r="H31" s="55"/>
      <c r="I31" s="9"/>
      <c r="K31" s="12" t="s">
        <v>14</v>
      </c>
      <c r="L31" s="13" t="str">
        <f>K31&amp;" SERRA"</f>
        <v>Asist. Técnica SERRA</v>
      </c>
      <c r="M31" s="13" t="s">
        <v>14</v>
      </c>
      <c r="N31" s="13" t="s">
        <v>14</v>
      </c>
      <c r="O31" s="13" t="s">
        <v>287</v>
      </c>
      <c r="P31" s="13" t="s">
        <v>14</v>
      </c>
      <c r="Q31" s="13" t="s">
        <v>26</v>
      </c>
      <c r="R31" s="13" t="s">
        <v>265</v>
      </c>
      <c r="S31" s="13" t="s">
        <v>254</v>
      </c>
      <c r="T31" s="13" t="s">
        <v>1158</v>
      </c>
      <c r="U31" s="13" t="s">
        <v>0</v>
      </c>
      <c r="V31" s="13"/>
      <c r="X31" s="14">
        <v>145</v>
      </c>
      <c r="Y31" s="15" t="s">
        <v>500</v>
      </c>
      <c r="Z31" s="15" t="s">
        <v>487</v>
      </c>
      <c r="AA31" s="15" t="s">
        <v>357</v>
      </c>
      <c r="AB31" s="15"/>
      <c r="AD31" s="16" t="s">
        <v>501</v>
      </c>
      <c r="AE31" s="16" t="s">
        <v>60</v>
      </c>
      <c r="AO31" s="3" t="s">
        <v>1178</v>
      </c>
      <c r="AP31" s="3" t="s">
        <v>1204</v>
      </c>
      <c r="AQ31" s="3" t="s">
        <v>279</v>
      </c>
      <c r="AR31" s="3" t="s">
        <v>279</v>
      </c>
      <c r="AS31" s="3" t="s">
        <v>1183</v>
      </c>
      <c r="AT31" s="3" t="s">
        <v>1187</v>
      </c>
      <c r="AU31" s="3" t="s">
        <v>279</v>
      </c>
      <c r="AV31" s="3" t="s">
        <v>1263</v>
      </c>
      <c r="AW31" s="3" t="s">
        <v>279</v>
      </c>
      <c r="AX31" s="3" t="s">
        <v>1112</v>
      </c>
      <c r="AY31" s="3" t="s">
        <v>1273</v>
      </c>
      <c r="BC31"/>
      <c r="BG31"/>
      <c r="BH31"/>
    </row>
    <row r="32" spans="3:62" ht="13" x14ac:dyDescent="0.15">
      <c r="C32" s="9" t="s">
        <v>502</v>
      </c>
      <c r="D32" s="9" t="s">
        <v>503</v>
      </c>
      <c r="E32" s="26" t="s">
        <v>47</v>
      </c>
      <c r="F32" s="9" t="s">
        <v>352</v>
      </c>
      <c r="G32" s="9" t="s">
        <v>1235</v>
      </c>
      <c r="H32" s="55"/>
      <c r="I32" s="9"/>
      <c r="K32" s="12"/>
      <c r="L32" s="13" t="str">
        <f>CONCATENATE(K31," Ext.")</f>
        <v>Asist. Técnica Ext.</v>
      </c>
      <c r="M32" s="13"/>
      <c r="N32" s="13"/>
      <c r="O32" s="13"/>
      <c r="P32" s="13"/>
      <c r="Q32" s="13"/>
      <c r="R32" s="13"/>
      <c r="S32" s="13"/>
      <c r="T32" s="13"/>
      <c r="U32" s="13"/>
      <c r="V32" s="13"/>
      <c r="X32" s="14">
        <v>150</v>
      </c>
      <c r="Y32" s="15" t="s">
        <v>505</v>
      </c>
      <c r="Z32" s="15" t="s">
        <v>506</v>
      </c>
      <c r="AA32" s="15" t="s">
        <v>357</v>
      </c>
      <c r="AB32" s="15"/>
      <c r="AD32" s="16" t="s">
        <v>507</v>
      </c>
      <c r="AE32" s="16" t="s">
        <v>61</v>
      </c>
      <c r="AO32" s="3" t="s">
        <v>1178</v>
      </c>
      <c r="AP32" s="3" t="s">
        <v>1204</v>
      </c>
      <c r="AQ32" s="3" t="s">
        <v>279</v>
      </c>
      <c r="AR32" s="3" t="s">
        <v>279</v>
      </c>
      <c r="AS32" s="3" t="s">
        <v>1183</v>
      </c>
      <c r="AT32" s="3" t="s">
        <v>279</v>
      </c>
      <c r="AU32" s="3" t="s">
        <v>279</v>
      </c>
      <c r="AV32" s="3" t="s">
        <v>1263</v>
      </c>
      <c r="AW32" s="3" t="s">
        <v>279</v>
      </c>
      <c r="AX32" s="3" t="s">
        <v>1111</v>
      </c>
      <c r="AY32" s="3" t="s">
        <v>1273</v>
      </c>
      <c r="BC32"/>
      <c r="BG32"/>
      <c r="BH32"/>
    </row>
    <row r="33" spans="3:55" ht="13" x14ac:dyDescent="0.15">
      <c r="C33" s="9" t="s">
        <v>508</v>
      </c>
      <c r="D33" s="9" t="s">
        <v>509</v>
      </c>
      <c r="E33" s="26" t="s">
        <v>44</v>
      </c>
      <c r="F33" s="9" t="s">
        <v>352</v>
      </c>
      <c r="G33" s="9" t="s">
        <v>1218</v>
      </c>
      <c r="H33" s="55"/>
      <c r="I33" s="9"/>
      <c r="K33" s="12" t="s">
        <v>504</v>
      </c>
      <c r="L33" s="13" t="str">
        <f>CstGrpS[[#This Row],[CstGrpId]]</f>
        <v>Material Mecánico +%</v>
      </c>
      <c r="M33" s="13" t="s">
        <v>15</v>
      </c>
      <c r="N33" s="13" t="s">
        <v>260</v>
      </c>
      <c r="O33" s="13" t="s">
        <v>1167</v>
      </c>
      <c r="P33" s="13" t="s">
        <v>1174</v>
      </c>
      <c r="Q33" s="13" t="s">
        <v>35</v>
      </c>
      <c r="R33" s="13" t="s">
        <v>1238</v>
      </c>
      <c r="S33" s="13" t="s">
        <v>54</v>
      </c>
      <c r="T33" s="13" t="s">
        <v>1159</v>
      </c>
      <c r="U33" s="13" t="s">
        <v>0</v>
      </c>
      <c r="V33" s="13"/>
      <c r="X33" s="14">
        <v>200</v>
      </c>
      <c r="Y33" s="15" t="s">
        <v>510</v>
      </c>
      <c r="Z33" s="15" t="s">
        <v>511</v>
      </c>
      <c r="AA33" s="15" t="s">
        <v>357</v>
      </c>
      <c r="AB33" s="15"/>
      <c r="AD33" s="16" t="s">
        <v>512</v>
      </c>
      <c r="AE33" s="16" t="s">
        <v>63</v>
      </c>
      <c r="BC33"/>
    </row>
    <row r="34" spans="3:55" ht="13" x14ac:dyDescent="0.15">
      <c r="C34" s="9" t="s">
        <v>513</v>
      </c>
      <c r="D34" s="9" t="s">
        <v>514</v>
      </c>
      <c r="E34" s="26" t="s">
        <v>1122</v>
      </c>
      <c r="F34" s="9" t="s">
        <v>393</v>
      </c>
      <c r="G34" s="9" t="s">
        <v>1235</v>
      </c>
      <c r="H34" s="55"/>
      <c r="I34" s="9"/>
      <c r="K34" s="12"/>
      <c r="L34" s="13" t="s">
        <v>261</v>
      </c>
      <c r="M34" s="13"/>
      <c r="N34" s="13"/>
      <c r="O34" s="13"/>
      <c r="P34" s="13"/>
      <c r="Q34" s="13" t="s">
        <v>27</v>
      </c>
      <c r="R34" s="13"/>
      <c r="S34" s="13"/>
      <c r="T34" s="13"/>
      <c r="U34" s="13"/>
      <c r="V34" s="13"/>
      <c r="X34" s="14">
        <v>210</v>
      </c>
      <c r="Y34" s="15" t="s">
        <v>515</v>
      </c>
      <c r="Z34" s="15" t="s">
        <v>516</v>
      </c>
      <c r="AA34" s="15" t="s">
        <v>357</v>
      </c>
      <c r="AB34" s="15"/>
      <c r="AD34" s="16" t="s">
        <v>517</v>
      </c>
      <c r="AE34" s="16" t="s">
        <v>65</v>
      </c>
      <c r="BC34"/>
    </row>
    <row r="35" spans="3:55" ht="13" x14ac:dyDescent="0.15">
      <c r="C35" s="9" t="s">
        <v>518</v>
      </c>
      <c r="D35" s="9" t="s">
        <v>519</v>
      </c>
      <c r="E35" s="26" t="s">
        <v>1131</v>
      </c>
      <c r="F35" s="9" t="s">
        <v>393</v>
      </c>
      <c r="G35" s="9" t="s">
        <v>1235</v>
      </c>
      <c r="H35" s="55"/>
      <c r="I35" s="9"/>
      <c r="K35" s="20" t="s">
        <v>333</v>
      </c>
      <c r="L35" s="13" t="str">
        <f>CstGrpS[[#This Row],[CstGrpId]]</f>
        <v>Material Eléctrico +%</v>
      </c>
      <c r="M35" s="13" t="s">
        <v>16</v>
      </c>
      <c r="N35" s="13" t="s">
        <v>38</v>
      </c>
      <c r="O35" s="13" t="s">
        <v>1167</v>
      </c>
      <c r="P35" s="13" t="s">
        <v>1175</v>
      </c>
      <c r="Q35" s="13" t="s">
        <v>36</v>
      </c>
      <c r="R35" s="13" t="s">
        <v>1239</v>
      </c>
      <c r="S35" s="13" t="s">
        <v>55</v>
      </c>
      <c r="T35" s="13" t="s">
        <v>1159</v>
      </c>
      <c r="U35" s="13" t="s">
        <v>0</v>
      </c>
      <c r="V35" s="13"/>
      <c r="X35" s="14">
        <v>220</v>
      </c>
      <c r="Y35" s="15" t="s">
        <v>521</v>
      </c>
      <c r="Z35" s="15" t="s">
        <v>522</v>
      </c>
      <c r="AA35" s="15" t="s">
        <v>357</v>
      </c>
      <c r="AB35" s="15"/>
      <c r="AD35" s="16" t="s">
        <v>523</v>
      </c>
      <c r="AE35" s="16" t="s">
        <v>68</v>
      </c>
      <c r="BC35"/>
    </row>
    <row r="36" spans="3:55" ht="13" x14ac:dyDescent="0.15">
      <c r="C36" s="9" t="s">
        <v>524</v>
      </c>
      <c r="D36" s="9" t="s">
        <v>525</v>
      </c>
      <c r="E36" s="26" t="s">
        <v>1118</v>
      </c>
      <c r="F36" s="9" t="s">
        <v>399</v>
      </c>
      <c r="G36" s="9" t="s">
        <v>1228</v>
      </c>
      <c r="H36" s="55" t="s">
        <v>297</v>
      </c>
      <c r="I36" s="9"/>
      <c r="K36" s="12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21"/>
      <c r="X36" s="14">
        <v>225</v>
      </c>
      <c r="Y36" s="15" t="s">
        <v>527</v>
      </c>
      <c r="Z36" s="15" t="s">
        <v>528</v>
      </c>
      <c r="AA36" s="15" t="s">
        <v>357</v>
      </c>
      <c r="AB36" s="15"/>
      <c r="AD36" s="16" t="s">
        <v>529</v>
      </c>
      <c r="AE36" s="16" t="s">
        <v>81</v>
      </c>
      <c r="BC36"/>
    </row>
    <row r="37" spans="3:55" ht="13" x14ac:dyDescent="0.15">
      <c r="C37" s="9" t="s">
        <v>328</v>
      </c>
      <c r="D37" s="9" t="s">
        <v>530</v>
      </c>
      <c r="E37" s="26" t="s">
        <v>1118</v>
      </c>
      <c r="F37" s="9" t="s">
        <v>399</v>
      </c>
      <c r="G37" s="9" t="s">
        <v>1229</v>
      </c>
      <c r="H37" s="55" t="s">
        <v>300</v>
      </c>
      <c r="I37" s="9"/>
      <c r="K37" s="20" t="s">
        <v>17</v>
      </c>
      <c r="L37" s="13" t="str">
        <f>CstGrpS[[#This Row],[CstGrpId]]</f>
        <v>Material Fluidos +%</v>
      </c>
      <c r="M37" s="13" t="s">
        <v>17</v>
      </c>
      <c r="N37" s="13" t="s">
        <v>48</v>
      </c>
      <c r="O37" s="13" t="s">
        <v>1167</v>
      </c>
      <c r="P37" s="13" t="s">
        <v>48</v>
      </c>
      <c r="Q37" s="13" t="s">
        <v>37</v>
      </c>
      <c r="R37" s="13" t="s">
        <v>1239</v>
      </c>
      <c r="S37" s="13" t="s">
        <v>520</v>
      </c>
      <c r="T37" s="13" t="s">
        <v>1159</v>
      </c>
      <c r="U37" s="13" t="s">
        <v>0</v>
      </c>
      <c r="V37" s="22"/>
      <c r="X37" s="14">
        <v>300</v>
      </c>
      <c r="Y37" s="15" t="s">
        <v>531</v>
      </c>
      <c r="Z37" s="15" t="s">
        <v>532</v>
      </c>
      <c r="AA37" s="15" t="s">
        <v>357</v>
      </c>
      <c r="AB37" s="15"/>
      <c r="AD37" s="16" t="s">
        <v>533</v>
      </c>
      <c r="AE37" s="16" t="s">
        <v>114</v>
      </c>
      <c r="BC37"/>
    </row>
    <row r="38" spans="3:55" ht="13" x14ac:dyDescent="0.15">
      <c r="C38" s="9" t="s">
        <v>534</v>
      </c>
      <c r="D38" s="9" t="s">
        <v>535</v>
      </c>
      <c r="E38" s="26" t="s">
        <v>1123</v>
      </c>
      <c r="F38" s="9" t="s">
        <v>393</v>
      </c>
      <c r="G38" s="9" t="s">
        <v>1235</v>
      </c>
      <c r="H38" s="55"/>
      <c r="I38" s="9"/>
      <c r="K38" s="12"/>
      <c r="L38" s="13"/>
      <c r="M38" s="13"/>
      <c r="N38" s="13"/>
      <c r="O38" s="13"/>
      <c r="P38" s="13"/>
      <c r="R38" s="13"/>
      <c r="S38" s="13"/>
      <c r="T38" s="13"/>
      <c r="U38" s="13"/>
      <c r="X38" s="14">
        <v>301</v>
      </c>
      <c r="Y38" s="15" t="s">
        <v>536</v>
      </c>
      <c r="Z38" s="15" t="s">
        <v>537</v>
      </c>
      <c r="AA38" s="15" t="s">
        <v>357</v>
      </c>
      <c r="AB38" s="15"/>
      <c r="AD38" s="16" t="s">
        <v>538</v>
      </c>
      <c r="AE38" s="16" t="s">
        <v>77</v>
      </c>
      <c r="BC38"/>
    </row>
    <row r="39" spans="3:55" ht="13" x14ac:dyDescent="0.15">
      <c r="C39" s="9" t="s">
        <v>539</v>
      </c>
      <c r="D39" s="9" t="s">
        <v>540</v>
      </c>
      <c r="E39" s="26" t="s">
        <v>1124</v>
      </c>
      <c r="F39" s="9" t="s">
        <v>393</v>
      </c>
      <c r="G39" s="9" t="s">
        <v>1225</v>
      </c>
      <c r="H39" s="55"/>
      <c r="I39" s="9"/>
      <c r="K39" s="12" t="s">
        <v>18</v>
      </c>
      <c r="L39" s="13" t="str">
        <f>K39&amp;" SERRA"</f>
        <v>Transp. &amp; Desplaz. SERRA</v>
      </c>
      <c r="M39" s="13" t="s">
        <v>18</v>
      </c>
      <c r="N39" s="13" t="s">
        <v>18</v>
      </c>
      <c r="O39" s="13" t="s">
        <v>279</v>
      </c>
      <c r="P39" s="13" t="s">
        <v>18</v>
      </c>
      <c r="Q39" s="13" t="s">
        <v>28</v>
      </c>
      <c r="R39" s="13" t="s">
        <v>353</v>
      </c>
      <c r="S39" s="13" t="s">
        <v>526</v>
      </c>
      <c r="T39" s="13" t="s">
        <v>1160</v>
      </c>
      <c r="U39" s="21" t="s">
        <v>0</v>
      </c>
      <c r="X39" s="14">
        <v>302</v>
      </c>
      <c r="Y39" s="15" t="s">
        <v>541</v>
      </c>
      <c r="Z39" s="15" t="s">
        <v>542</v>
      </c>
      <c r="AA39" s="15" t="s">
        <v>357</v>
      </c>
      <c r="AB39" s="15"/>
      <c r="AD39" s="16" t="s">
        <v>543</v>
      </c>
      <c r="AE39" s="16" t="s">
        <v>183</v>
      </c>
      <c r="BC39"/>
    </row>
    <row r="40" spans="3:55" ht="13" x14ac:dyDescent="0.15">
      <c r="C40" s="9" t="s">
        <v>544</v>
      </c>
      <c r="D40" s="9" t="s">
        <v>545</v>
      </c>
      <c r="E40" s="26" t="s">
        <v>546</v>
      </c>
      <c r="F40" s="9" t="s">
        <v>399</v>
      </c>
      <c r="G40" s="9" t="s">
        <v>1229</v>
      </c>
      <c r="H40" s="55" t="s">
        <v>300</v>
      </c>
      <c r="I40" s="9"/>
      <c r="K40" s="12"/>
      <c r="L40" s="13" t="str">
        <f>CONCATENATE(K39," Ext.")</f>
        <v>Transp. &amp; Desplaz. Ext.</v>
      </c>
      <c r="M40" s="13"/>
      <c r="N40" s="13"/>
      <c r="O40" s="13"/>
      <c r="P40" s="13"/>
      <c r="Q40" s="13"/>
      <c r="R40" s="22"/>
      <c r="S40" s="13"/>
      <c r="T40" s="13"/>
      <c r="U40" s="22"/>
      <c r="X40" s="14">
        <v>350</v>
      </c>
      <c r="Y40" s="15" t="s">
        <v>547</v>
      </c>
      <c r="Z40" s="15" t="s">
        <v>548</v>
      </c>
      <c r="AA40" s="15" t="s">
        <v>357</v>
      </c>
      <c r="AB40" s="15"/>
      <c r="AD40" s="16" t="s">
        <v>549</v>
      </c>
      <c r="AE40" s="16" t="s">
        <v>90</v>
      </c>
      <c r="BC40"/>
    </row>
    <row r="41" spans="3:55" ht="13" x14ac:dyDescent="0.15">
      <c r="C41" s="9" t="s">
        <v>550</v>
      </c>
      <c r="D41" s="9" t="s">
        <v>551</v>
      </c>
      <c r="E41" s="26" t="s">
        <v>552</v>
      </c>
      <c r="F41" s="9" t="s">
        <v>352</v>
      </c>
      <c r="G41" s="9" t="s">
        <v>1224</v>
      </c>
      <c r="H41" s="55"/>
      <c r="I41" s="9"/>
      <c r="X41" s="14">
        <v>400</v>
      </c>
      <c r="Y41" s="15" t="s">
        <v>553</v>
      </c>
      <c r="Z41" s="15" t="s">
        <v>283</v>
      </c>
      <c r="AA41" s="15" t="s">
        <v>357</v>
      </c>
      <c r="AB41" s="15"/>
      <c r="AD41" s="16" t="s">
        <v>554</v>
      </c>
      <c r="AE41" s="16" t="s">
        <v>234</v>
      </c>
      <c r="BC41"/>
    </row>
    <row r="42" spans="3:55" x14ac:dyDescent="0.15">
      <c r="C42" s="9" t="s">
        <v>327</v>
      </c>
      <c r="D42" s="9" t="s">
        <v>555</v>
      </c>
      <c r="E42" s="26" t="s">
        <v>1118</v>
      </c>
      <c r="F42" s="9" t="s">
        <v>399</v>
      </c>
      <c r="G42" s="9" t="s">
        <v>1229</v>
      </c>
      <c r="H42" s="55" t="s">
        <v>300</v>
      </c>
      <c r="I42" s="9"/>
      <c r="M42" s="39"/>
      <c r="N42" s="39"/>
      <c r="O42" s="39"/>
      <c r="P42" s="39"/>
      <c r="Q42" s="39"/>
      <c r="X42" s="14">
        <v>410</v>
      </c>
      <c r="Y42" s="15" t="s">
        <v>556</v>
      </c>
      <c r="Z42" s="15" t="s">
        <v>283</v>
      </c>
      <c r="AA42" s="15" t="s">
        <v>357</v>
      </c>
      <c r="AB42" s="15"/>
      <c r="AD42" s="16" t="s">
        <v>557</v>
      </c>
      <c r="AE42" s="16" t="s">
        <v>104</v>
      </c>
    </row>
    <row r="43" spans="3:55" x14ac:dyDescent="0.15">
      <c r="C43" s="9" t="s">
        <v>324</v>
      </c>
      <c r="D43" s="9" t="s">
        <v>558</v>
      </c>
      <c r="E43" s="26" t="s">
        <v>546</v>
      </c>
      <c r="F43" s="9" t="s">
        <v>399</v>
      </c>
      <c r="G43" s="9" t="s">
        <v>1228</v>
      </c>
      <c r="H43" s="55" t="s">
        <v>299</v>
      </c>
      <c r="I43" s="9"/>
      <c r="M43" s="39"/>
      <c r="N43" s="39"/>
      <c r="O43" s="39"/>
      <c r="P43" s="39"/>
      <c r="Q43" s="39"/>
      <c r="X43" s="14">
        <v>411</v>
      </c>
      <c r="Y43" s="15" t="s">
        <v>559</v>
      </c>
      <c r="Z43" s="15" t="s">
        <v>560</v>
      </c>
      <c r="AA43" s="15" t="s">
        <v>357</v>
      </c>
      <c r="AB43" s="15"/>
      <c r="AD43" s="16" t="s">
        <v>561</v>
      </c>
      <c r="AE43" s="16" t="s">
        <v>106</v>
      </c>
    </row>
    <row r="44" spans="3:55" x14ac:dyDescent="0.15">
      <c r="C44" s="9" t="s">
        <v>562</v>
      </c>
      <c r="D44" s="9" t="s">
        <v>563</v>
      </c>
      <c r="E44" s="26" t="s">
        <v>1118</v>
      </c>
      <c r="F44" s="9" t="s">
        <v>399</v>
      </c>
      <c r="G44" s="9" t="s">
        <v>1228</v>
      </c>
      <c r="H44" s="55" t="s">
        <v>297</v>
      </c>
      <c r="I44" s="9"/>
      <c r="M44" s="40"/>
      <c r="N44" s="40"/>
      <c r="O44" s="40"/>
      <c r="P44" s="40"/>
      <c r="Q44" s="40"/>
      <c r="X44" s="14">
        <v>412</v>
      </c>
      <c r="Y44" s="15" t="s">
        <v>564</v>
      </c>
      <c r="Z44" s="15" t="s">
        <v>565</v>
      </c>
      <c r="AA44" s="15" t="s">
        <v>357</v>
      </c>
      <c r="AB44" s="15"/>
      <c r="AD44" s="16" t="s">
        <v>566</v>
      </c>
      <c r="AE44" s="16" t="s">
        <v>108</v>
      </c>
    </row>
    <row r="45" spans="3:55" x14ac:dyDescent="0.15">
      <c r="C45" s="9" t="s">
        <v>567</v>
      </c>
      <c r="D45" s="9" t="s">
        <v>568</v>
      </c>
      <c r="E45" s="26" t="s">
        <v>1118</v>
      </c>
      <c r="F45" s="9" t="s">
        <v>399</v>
      </c>
      <c r="G45" s="9" t="s">
        <v>1228</v>
      </c>
      <c r="H45" s="55" t="s">
        <v>297</v>
      </c>
      <c r="I45" s="9"/>
      <c r="M45" s="40"/>
      <c r="N45" s="40"/>
      <c r="O45" s="40"/>
      <c r="P45" s="40"/>
      <c r="Q45" s="40"/>
      <c r="X45" s="14">
        <v>420</v>
      </c>
      <c r="Y45" s="15" t="s">
        <v>569</v>
      </c>
      <c r="Z45" s="15" t="s">
        <v>570</v>
      </c>
      <c r="AA45" s="15" t="s">
        <v>357</v>
      </c>
      <c r="AB45" s="15"/>
      <c r="AD45" s="16" t="s">
        <v>571</v>
      </c>
      <c r="AE45" s="16" t="s">
        <v>95</v>
      </c>
    </row>
    <row r="46" spans="3:55" x14ac:dyDescent="0.15">
      <c r="C46" s="9" t="s">
        <v>572</v>
      </c>
      <c r="D46" s="9" t="s">
        <v>573</v>
      </c>
      <c r="E46" s="26" t="s">
        <v>1118</v>
      </c>
      <c r="F46" s="9" t="s">
        <v>399</v>
      </c>
      <c r="G46" s="9" t="s">
        <v>1228</v>
      </c>
      <c r="H46" s="55" t="s">
        <v>297</v>
      </c>
      <c r="I46" s="9"/>
      <c r="M46" s="40"/>
      <c r="N46" s="40"/>
      <c r="O46" s="40"/>
      <c r="P46" s="40"/>
      <c r="Q46" s="40"/>
      <c r="X46" s="14">
        <v>500</v>
      </c>
      <c r="Y46" s="15" t="s">
        <v>574</v>
      </c>
      <c r="Z46" s="15" t="s">
        <v>575</v>
      </c>
      <c r="AA46" s="15" t="s">
        <v>357</v>
      </c>
      <c r="AB46" s="15"/>
      <c r="AD46" s="16" t="s">
        <v>576</v>
      </c>
      <c r="AE46" s="16" t="s">
        <v>72</v>
      </c>
    </row>
    <row r="47" spans="3:55" x14ac:dyDescent="0.15">
      <c r="C47" s="9" t="s">
        <v>325</v>
      </c>
      <c r="D47" s="9" t="s">
        <v>577</v>
      </c>
      <c r="E47" s="26" t="s">
        <v>546</v>
      </c>
      <c r="F47" s="9" t="s">
        <v>399</v>
      </c>
      <c r="G47" s="9" t="s">
        <v>1228</v>
      </c>
      <c r="H47" s="55" t="s">
        <v>299</v>
      </c>
      <c r="I47" s="9"/>
      <c r="M47" s="40"/>
      <c r="N47" s="40"/>
      <c r="O47" s="40"/>
      <c r="P47" s="40"/>
      <c r="Q47" s="40"/>
      <c r="X47" s="14">
        <v>550</v>
      </c>
      <c r="Y47" s="15" t="s">
        <v>578</v>
      </c>
      <c r="Z47" s="15" t="s">
        <v>579</v>
      </c>
      <c r="AA47" s="15" t="s">
        <v>357</v>
      </c>
      <c r="AB47" s="15"/>
      <c r="AD47" s="16" t="s">
        <v>580</v>
      </c>
      <c r="AE47" s="16" t="s">
        <v>76</v>
      </c>
    </row>
    <row r="48" spans="3:55" x14ac:dyDescent="0.15">
      <c r="C48" s="9" t="s">
        <v>581</v>
      </c>
      <c r="D48" s="9" t="s">
        <v>582</v>
      </c>
      <c r="E48" s="26" t="s">
        <v>546</v>
      </c>
      <c r="F48" s="9" t="s">
        <v>399</v>
      </c>
      <c r="G48" s="9" t="s">
        <v>1228</v>
      </c>
      <c r="H48" s="55" t="s">
        <v>299</v>
      </c>
      <c r="I48" s="9"/>
      <c r="M48" s="39"/>
      <c r="N48" s="39"/>
      <c r="O48" s="39"/>
      <c r="P48" s="39"/>
      <c r="Q48" s="39"/>
      <c r="X48" s="14">
        <v>560</v>
      </c>
      <c r="Y48" s="15" t="s">
        <v>583</v>
      </c>
      <c r="Z48" s="15" t="s">
        <v>384</v>
      </c>
      <c r="AA48" s="15" t="s">
        <v>357</v>
      </c>
      <c r="AB48" s="15"/>
      <c r="AD48" s="16" t="s">
        <v>584</v>
      </c>
      <c r="AE48" s="16" t="s">
        <v>85</v>
      </c>
    </row>
    <row r="49" spans="3:31" x14ac:dyDescent="0.15">
      <c r="C49" s="9" t="s">
        <v>585</v>
      </c>
      <c r="D49" s="9" t="s">
        <v>586</v>
      </c>
      <c r="E49" s="26" t="s">
        <v>1129</v>
      </c>
      <c r="F49" s="9" t="s">
        <v>393</v>
      </c>
      <c r="G49" s="9" t="s">
        <v>1230</v>
      </c>
      <c r="H49" s="55"/>
      <c r="I49" s="9"/>
      <c r="M49" s="39"/>
      <c r="N49" s="39"/>
      <c r="O49" s="39"/>
      <c r="P49" s="39"/>
      <c r="Q49" s="39"/>
      <c r="X49" s="14">
        <v>600</v>
      </c>
      <c r="Y49" s="15" t="s">
        <v>587</v>
      </c>
      <c r="Z49" s="15" t="s">
        <v>588</v>
      </c>
      <c r="AA49" s="15" t="s">
        <v>357</v>
      </c>
      <c r="AB49" s="15"/>
      <c r="AD49" s="16" t="s">
        <v>589</v>
      </c>
      <c r="AE49" s="16" t="s">
        <v>88</v>
      </c>
    </row>
    <row r="50" spans="3:31" x14ac:dyDescent="0.15">
      <c r="C50" s="9" t="s">
        <v>590</v>
      </c>
      <c r="D50" s="9" t="s">
        <v>591</v>
      </c>
      <c r="E50" s="26" t="s">
        <v>1129</v>
      </c>
      <c r="F50" s="9" t="s">
        <v>393</v>
      </c>
      <c r="G50" s="9" t="s">
        <v>1230</v>
      </c>
      <c r="H50" s="55"/>
      <c r="I50" s="9"/>
      <c r="M50" s="40"/>
      <c r="N50" s="40"/>
      <c r="O50" s="40"/>
      <c r="P50" s="40"/>
      <c r="Q50" s="40"/>
      <c r="X50" s="14">
        <v>601</v>
      </c>
      <c r="Y50" s="15" t="s">
        <v>592</v>
      </c>
      <c r="Z50" s="15" t="s">
        <v>588</v>
      </c>
      <c r="AA50" s="15" t="s">
        <v>357</v>
      </c>
      <c r="AB50" s="15"/>
      <c r="AD50" s="16" t="s">
        <v>593</v>
      </c>
      <c r="AE50" s="16" t="s">
        <v>98</v>
      </c>
    </row>
    <row r="51" spans="3:31" x14ac:dyDescent="0.15">
      <c r="C51" s="9" t="s">
        <v>594</v>
      </c>
      <c r="D51" s="9" t="s">
        <v>595</v>
      </c>
      <c r="E51" s="26" t="s">
        <v>43</v>
      </c>
      <c r="F51" s="9" t="s">
        <v>393</v>
      </c>
      <c r="G51" s="9" t="s">
        <v>1230</v>
      </c>
      <c r="H51" s="55"/>
      <c r="I51" s="9"/>
      <c r="M51" s="40"/>
      <c r="N51" s="40"/>
      <c r="O51" s="40"/>
      <c r="P51" s="40"/>
      <c r="Q51" s="40"/>
      <c r="X51" s="14">
        <v>602</v>
      </c>
      <c r="Y51" s="15" t="s">
        <v>596</v>
      </c>
      <c r="Z51" s="15" t="s">
        <v>588</v>
      </c>
      <c r="AA51" s="15" t="s">
        <v>357</v>
      </c>
      <c r="AB51" s="15"/>
      <c r="AD51" s="16" t="s">
        <v>597</v>
      </c>
      <c r="AE51" s="16" t="s">
        <v>116</v>
      </c>
    </row>
    <row r="52" spans="3:31" x14ac:dyDescent="0.15">
      <c r="C52" s="9" t="s">
        <v>598</v>
      </c>
      <c r="D52" s="9" t="s">
        <v>599</v>
      </c>
      <c r="E52" s="26" t="s">
        <v>43</v>
      </c>
      <c r="F52" s="9" t="s">
        <v>352</v>
      </c>
      <c r="G52" s="9" t="s">
        <v>1230</v>
      </c>
      <c r="H52" s="55"/>
      <c r="I52" s="9"/>
      <c r="M52" s="40"/>
      <c r="N52" s="40"/>
      <c r="O52" s="40"/>
      <c r="P52" s="40"/>
      <c r="Q52" s="40"/>
      <c r="X52" s="14">
        <v>603</v>
      </c>
      <c r="Y52" s="15" t="s">
        <v>600</v>
      </c>
      <c r="Z52" s="15" t="s">
        <v>601</v>
      </c>
      <c r="AA52" s="15" t="s">
        <v>357</v>
      </c>
      <c r="AB52" s="15"/>
      <c r="AD52" s="16" t="s">
        <v>602</v>
      </c>
      <c r="AE52" s="16" t="s">
        <v>101</v>
      </c>
    </row>
    <row r="53" spans="3:31" ht="12.75" customHeight="1" x14ac:dyDescent="0.15">
      <c r="C53" s="9" t="s">
        <v>603</v>
      </c>
      <c r="D53" s="9" t="s">
        <v>604</v>
      </c>
      <c r="E53" s="26" t="s">
        <v>546</v>
      </c>
      <c r="F53" s="9" t="s">
        <v>399</v>
      </c>
      <c r="G53" s="9" t="s">
        <v>1229</v>
      </c>
      <c r="H53" s="55" t="s">
        <v>300</v>
      </c>
      <c r="I53" s="9"/>
      <c r="M53" s="40"/>
      <c r="N53" s="40"/>
      <c r="O53" s="40"/>
      <c r="P53" s="40"/>
      <c r="Q53" s="40"/>
      <c r="X53" s="14">
        <v>604</v>
      </c>
      <c r="Y53" s="15" t="s">
        <v>605</v>
      </c>
      <c r="Z53" s="15" t="s">
        <v>588</v>
      </c>
      <c r="AA53" s="15" t="s">
        <v>357</v>
      </c>
      <c r="AB53" s="15"/>
      <c r="AD53" s="16" t="s">
        <v>606</v>
      </c>
      <c r="AE53" s="16" t="s">
        <v>57</v>
      </c>
    </row>
    <row r="54" spans="3:31" x14ac:dyDescent="0.15">
      <c r="C54" s="9" t="s">
        <v>607</v>
      </c>
      <c r="D54" s="9" t="s">
        <v>608</v>
      </c>
      <c r="E54" s="26" t="s">
        <v>1118</v>
      </c>
      <c r="F54" s="9" t="s">
        <v>399</v>
      </c>
      <c r="G54" s="9" t="s">
        <v>1229</v>
      </c>
      <c r="H54" s="55" t="s">
        <v>300</v>
      </c>
      <c r="I54" s="9"/>
      <c r="M54" s="39"/>
      <c r="N54" s="39"/>
      <c r="O54" s="39"/>
      <c r="P54" s="39"/>
      <c r="Q54" s="39"/>
      <c r="X54" s="14">
        <v>605</v>
      </c>
      <c r="Y54" s="15" t="s">
        <v>609</v>
      </c>
      <c r="Z54" s="15" t="s">
        <v>588</v>
      </c>
      <c r="AA54" s="15" t="s">
        <v>357</v>
      </c>
      <c r="AB54" s="15"/>
      <c r="AD54" s="16" t="s">
        <v>610</v>
      </c>
      <c r="AE54" s="16" t="s">
        <v>66</v>
      </c>
    </row>
    <row r="55" spans="3:31" x14ac:dyDescent="0.15">
      <c r="C55" s="9" t="s">
        <v>611</v>
      </c>
      <c r="D55" s="9" t="s">
        <v>612</v>
      </c>
      <c r="E55" s="26" t="s">
        <v>546</v>
      </c>
      <c r="F55" s="9" t="s">
        <v>399</v>
      </c>
      <c r="G55" s="9" t="s">
        <v>1228</v>
      </c>
      <c r="H55" s="55" t="s">
        <v>299</v>
      </c>
      <c r="I55" s="9"/>
      <c r="M55" s="39"/>
      <c r="N55" s="39"/>
      <c r="O55" s="39"/>
      <c r="P55" s="39"/>
      <c r="Q55" s="39"/>
      <c r="X55" s="14">
        <v>606</v>
      </c>
      <c r="Y55" s="15" t="s">
        <v>613</v>
      </c>
      <c r="Z55" s="15" t="s">
        <v>588</v>
      </c>
      <c r="AA55" s="15" t="s">
        <v>357</v>
      </c>
      <c r="AB55" s="15"/>
      <c r="AD55" s="16" t="s">
        <v>614</v>
      </c>
      <c r="AE55" s="16" t="s">
        <v>70</v>
      </c>
    </row>
    <row r="56" spans="3:31" x14ac:dyDescent="0.15">
      <c r="C56" s="9" t="s">
        <v>615</v>
      </c>
      <c r="D56" s="9" t="s">
        <v>616</v>
      </c>
      <c r="E56" s="26" t="s">
        <v>546</v>
      </c>
      <c r="F56" s="9" t="s">
        <v>399</v>
      </c>
      <c r="G56" s="9" t="s">
        <v>1228</v>
      </c>
      <c r="H56" s="55" t="s">
        <v>299</v>
      </c>
      <c r="I56" s="9"/>
      <c r="M56" s="40"/>
      <c r="N56" s="40"/>
      <c r="O56" s="40"/>
      <c r="P56" s="40"/>
      <c r="Q56" s="40"/>
      <c r="X56" s="14">
        <v>607</v>
      </c>
      <c r="Y56" s="15" t="s">
        <v>617</v>
      </c>
      <c r="Z56" s="15" t="s">
        <v>588</v>
      </c>
      <c r="AA56" s="15" t="s">
        <v>357</v>
      </c>
      <c r="AB56" s="15"/>
      <c r="AD56" s="16" t="s">
        <v>618</v>
      </c>
      <c r="AE56" s="16" t="s">
        <v>83</v>
      </c>
    </row>
    <row r="57" spans="3:31" x14ac:dyDescent="0.15">
      <c r="C57" s="9" t="s">
        <v>619</v>
      </c>
      <c r="D57" s="9" t="s">
        <v>620</v>
      </c>
      <c r="E57" s="26" t="s">
        <v>1118</v>
      </c>
      <c r="F57" s="9" t="s">
        <v>399</v>
      </c>
      <c r="G57" s="9" t="s">
        <v>1228</v>
      </c>
      <c r="H57" s="55" t="s">
        <v>299</v>
      </c>
      <c r="I57" s="9"/>
      <c r="M57" s="40"/>
      <c r="N57" s="40"/>
      <c r="O57" s="40"/>
      <c r="P57" s="40"/>
      <c r="Q57" s="40"/>
      <c r="X57" s="14">
        <v>608</v>
      </c>
      <c r="Y57" s="15" t="s">
        <v>621</v>
      </c>
      <c r="Z57" s="15" t="s">
        <v>588</v>
      </c>
      <c r="AA57" s="15" t="s">
        <v>357</v>
      </c>
      <c r="AB57" s="15"/>
      <c r="AD57" s="16" t="s">
        <v>622</v>
      </c>
      <c r="AE57" s="16" t="s">
        <v>115</v>
      </c>
    </row>
    <row r="58" spans="3:31" x14ac:dyDescent="0.15">
      <c r="C58" s="9" t="s">
        <v>623</v>
      </c>
      <c r="D58" s="9" t="s">
        <v>624</v>
      </c>
      <c r="E58" s="26" t="s">
        <v>1118</v>
      </c>
      <c r="F58" s="9" t="s">
        <v>399</v>
      </c>
      <c r="G58" s="9" t="s">
        <v>1228</v>
      </c>
      <c r="H58" s="55" t="s">
        <v>297</v>
      </c>
      <c r="I58" s="9"/>
      <c r="M58" s="40"/>
      <c r="N58" s="40"/>
      <c r="O58" s="40"/>
      <c r="P58" s="40"/>
      <c r="Q58" s="40"/>
      <c r="X58" s="14">
        <v>609</v>
      </c>
      <c r="Y58" s="15" t="s">
        <v>625</v>
      </c>
      <c r="Z58" s="15" t="s">
        <v>626</v>
      </c>
      <c r="AA58" s="15" t="s">
        <v>357</v>
      </c>
      <c r="AB58" s="15"/>
      <c r="AD58" s="16" t="s">
        <v>627</v>
      </c>
      <c r="AE58" s="16" t="s">
        <v>366</v>
      </c>
    </row>
    <row r="59" spans="3:31" ht="12.75" customHeight="1" x14ac:dyDescent="0.15">
      <c r="C59" s="9" t="s">
        <v>326</v>
      </c>
      <c r="D59" s="9" t="s">
        <v>628</v>
      </c>
      <c r="E59" s="26" t="s">
        <v>1118</v>
      </c>
      <c r="F59" s="9" t="s">
        <v>399</v>
      </c>
      <c r="G59" s="9" t="s">
        <v>1228</v>
      </c>
      <c r="H59" s="55" t="s">
        <v>298</v>
      </c>
      <c r="I59" s="9"/>
      <c r="M59" s="40"/>
      <c r="N59" s="40"/>
      <c r="O59" s="40"/>
      <c r="P59" s="40"/>
      <c r="Q59" s="40"/>
      <c r="X59" s="14">
        <v>610</v>
      </c>
      <c r="Y59" s="15" t="s">
        <v>629</v>
      </c>
      <c r="Z59" s="15" t="s">
        <v>630</v>
      </c>
      <c r="AA59" s="15" t="s">
        <v>357</v>
      </c>
      <c r="AB59" s="15"/>
      <c r="AD59" s="16" t="s">
        <v>631</v>
      </c>
      <c r="AE59" s="16" t="s">
        <v>398</v>
      </c>
    </row>
    <row r="60" spans="3:31" x14ac:dyDescent="0.15">
      <c r="C60" s="9" t="s">
        <v>632</v>
      </c>
      <c r="D60" s="9" t="s">
        <v>633</v>
      </c>
      <c r="E60" s="26" t="s">
        <v>1118</v>
      </c>
      <c r="F60" s="9" t="s">
        <v>399</v>
      </c>
      <c r="G60" s="9" t="s">
        <v>1228</v>
      </c>
      <c r="H60" s="55" t="s">
        <v>298</v>
      </c>
      <c r="I60" s="9"/>
      <c r="M60" s="40"/>
      <c r="N60" s="40"/>
      <c r="O60" s="40"/>
      <c r="P60" s="40"/>
      <c r="Q60" s="40"/>
      <c r="X60" s="14">
        <v>611</v>
      </c>
      <c r="Y60" s="15" t="s">
        <v>634</v>
      </c>
      <c r="Z60" s="15" t="s">
        <v>635</v>
      </c>
      <c r="AA60" s="15" t="s">
        <v>357</v>
      </c>
      <c r="AB60" s="15"/>
      <c r="AD60" s="16" t="s">
        <v>636</v>
      </c>
      <c r="AE60" s="16" t="s">
        <v>383</v>
      </c>
    </row>
    <row r="61" spans="3:31" ht="13" x14ac:dyDescent="0.15">
      <c r="C61" s="9" t="s">
        <v>329</v>
      </c>
      <c r="D61" s="9" t="s">
        <v>637</v>
      </c>
      <c r="E61" s="26" t="s">
        <v>1118</v>
      </c>
      <c r="F61" s="9" t="s">
        <v>399</v>
      </c>
      <c r="G61" s="9" t="s">
        <v>1228</v>
      </c>
      <c r="H61" s="55" t="s">
        <v>297</v>
      </c>
      <c r="I61" s="9"/>
      <c r="M61" s="40"/>
      <c r="N61"/>
      <c r="O61"/>
      <c r="P61"/>
      <c r="Q61"/>
      <c r="X61" s="14">
        <v>612</v>
      </c>
      <c r="Y61" s="15" t="s">
        <v>638</v>
      </c>
      <c r="Z61" s="15" t="s">
        <v>635</v>
      </c>
      <c r="AA61" s="15" t="s">
        <v>357</v>
      </c>
      <c r="AB61" s="15"/>
      <c r="AD61" s="16" t="s">
        <v>639</v>
      </c>
      <c r="AE61" s="16" t="s">
        <v>271</v>
      </c>
    </row>
    <row r="62" spans="3:31" ht="13" x14ac:dyDescent="0.15">
      <c r="C62" s="9" t="s">
        <v>640</v>
      </c>
      <c r="D62" s="9" t="s">
        <v>641</v>
      </c>
      <c r="E62" s="26" t="s">
        <v>1118</v>
      </c>
      <c r="F62" s="9" t="s">
        <v>399</v>
      </c>
      <c r="G62" s="9" t="s">
        <v>1229</v>
      </c>
      <c r="H62" s="55" t="s">
        <v>300</v>
      </c>
      <c r="I62" s="9"/>
      <c r="M62" s="40"/>
      <c r="N62"/>
      <c r="O62"/>
      <c r="P62"/>
      <c r="Q62"/>
      <c r="X62" s="14">
        <v>613</v>
      </c>
      <c r="Y62" s="15" t="s">
        <v>642</v>
      </c>
      <c r="Z62" s="15" t="s">
        <v>635</v>
      </c>
      <c r="AA62" s="15" t="s">
        <v>357</v>
      </c>
      <c r="AB62" s="15"/>
      <c r="AD62" s="16" t="s">
        <v>643</v>
      </c>
      <c r="AE62" s="16" t="s">
        <v>269</v>
      </c>
    </row>
    <row r="63" spans="3:31" ht="13" x14ac:dyDescent="0.15">
      <c r="C63" s="9" t="s">
        <v>118</v>
      </c>
      <c r="D63" s="9" t="s">
        <v>362</v>
      </c>
      <c r="E63" s="26" t="s">
        <v>1130</v>
      </c>
      <c r="F63" s="9" t="s">
        <v>352</v>
      </c>
      <c r="G63" s="9" t="s">
        <v>1234</v>
      </c>
      <c r="H63" s="55"/>
      <c r="I63" s="9"/>
      <c r="M63" s="40"/>
      <c r="N63"/>
      <c r="O63"/>
      <c r="P63"/>
      <c r="Q63"/>
      <c r="X63" s="14">
        <v>614</v>
      </c>
      <c r="Y63" s="15" t="s">
        <v>644</v>
      </c>
      <c r="Z63" s="15" t="s">
        <v>645</v>
      </c>
      <c r="AA63" s="15" t="s">
        <v>357</v>
      </c>
      <c r="AB63" s="15"/>
      <c r="AD63" s="16" t="s">
        <v>646</v>
      </c>
      <c r="AE63" s="16" t="s">
        <v>647</v>
      </c>
    </row>
    <row r="64" spans="3:31" ht="13" x14ac:dyDescent="0.15">
      <c r="C64" s="9" t="s">
        <v>648</v>
      </c>
      <c r="D64" s="9" t="s">
        <v>649</v>
      </c>
      <c r="E64" s="64" t="s">
        <v>39</v>
      </c>
      <c r="F64" s="9" t="s">
        <v>352</v>
      </c>
      <c r="G64" s="9" t="s">
        <v>1234</v>
      </c>
      <c r="H64" s="55"/>
      <c r="I64" s="9"/>
      <c r="M64" s="40"/>
      <c r="N64"/>
      <c r="O64"/>
      <c r="P64"/>
      <c r="Q64"/>
      <c r="X64" s="14">
        <v>615</v>
      </c>
      <c r="Y64" s="15" t="s">
        <v>650</v>
      </c>
      <c r="Z64" s="15" t="s">
        <v>588</v>
      </c>
      <c r="AA64" s="15" t="s">
        <v>357</v>
      </c>
      <c r="AB64" s="15"/>
      <c r="AD64" s="16" t="s">
        <v>651</v>
      </c>
      <c r="AE64" s="16" t="s">
        <v>652</v>
      </c>
    </row>
    <row r="65" spans="3:31" ht="13" x14ac:dyDescent="0.15">
      <c r="C65" s="9" t="s">
        <v>157</v>
      </c>
      <c r="D65" s="9" t="s">
        <v>158</v>
      </c>
      <c r="E65" s="26" t="s">
        <v>40</v>
      </c>
      <c r="F65" s="9" t="s">
        <v>653</v>
      </c>
      <c r="G65" s="9" t="s">
        <v>1234</v>
      </c>
      <c r="H65" s="55"/>
      <c r="I65" s="9"/>
      <c r="M65" s="40"/>
      <c r="N65"/>
      <c r="O65"/>
      <c r="P65"/>
      <c r="Q65"/>
      <c r="X65" s="14">
        <v>616</v>
      </c>
      <c r="Y65" s="15" t="s">
        <v>654</v>
      </c>
      <c r="Z65" s="15" t="s">
        <v>655</v>
      </c>
      <c r="AA65" s="15" t="s">
        <v>357</v>
      </c>
      <c r="AB65" s="15"/>
      <c r="AD65" s="16" t="s">
        <v>22</v>
      </c>
      <c r="AE65" s="16" t="s">
        <v>56</v>
      </c>
    </row>
    <row r="66" spans="3:31" ht="13" x14ac:dyDescent="0.15">
      <c r="C66" s="9" t="s">
        <v>155</v>
      </c>
      <c r="D66" s="9" t="s">
        <v>156</v>
      </c>
      <c r="E66" s="26" t="s">
        <v>1133</v>
      </c>
      <c r="F66" s="9" t="s">
        <v>352</v>
      </c>
      <c r="G66" s="9" t="s">
        <v>1234</v>
      </c>
      <c r="H66" s="55"/>
      <c r="I66" s="9"/>
      <c r="M66" s="40"/>
      <c r="N66"/>
      <c r="O66"/>
      <c r="P66"/>
      <c r="Q66"/>
      <c r="X66" s="14">
        <v>617</v>
      </c>
      <c r="Y66" s="15" t="s">
        <v>656</v>
      </c>
      <c r="Z66" s="15" t="s">
        <v>601</v>
      </c>
      <c r="AA66" s="15" t="s">
        <v>357</v>
      </c>
      <c r="AB66" s="15"/>
      <c r="AD66" s="16" t="s">
        <v>657</v>
      </c>
      <c r="AE66" s="16" t="s">
        <v>252</v>
      </c>
    </row>
    <row r="67" spans="3:31" ht="12.75" customHeight="1" x14ac:dyDescent="0.15">
      <c r="C67" s="9" t="s">
        <v>159</v>
      </c>
      <c r="D67" s="9" t="s">
        <v>160</v>
      </c>
      <c r="E67" s="26" t="s">
        <v>1116</v>
      </c>
      <c r="F67" s="9" t="s">
        <v>352</v>
      </c>
      <c r="G67" s="9" t="s">
        <v>1234</v>
      </c>
      <c r="H67" s="55"/>
      <c r="I67" s="9"/>
      <c r="M67" s="40"/>
      <c r="N67"/>
      <c r="O67"/>
      <c r="P67"/>
      <c r="Q67"/>
      <c r="X67" s="14">
        <v>618</v>
      </c>
      <c r="Y67" s="15" t="s">
        <v>658</v>
      </c>
      <c r="Z67" s="15" t="s">
        <v>659</v>
      </c>
      <c r="AA67" s="15" t="s">
        <v>357</v>
      </c>
      <c r="AB67" s="15"/>
      <c r="AD67" s="16" t="s">
        <v>23</v>
      </c>
      <c r="AE67" s="16" t="s">
        <v>98</v>
      </c>
    </row>
    <row r="68" spans="3:31" ht="13" x14ac:dyDescent="0.15">
      <c r="C68" s="9" t="s">
        <v>161</v>
      </c>
      <c r="D68" s="9" t="s">
        <v>258</v>
      </c>
      <c r="E68" s="26" t="s">
        <v>39</v>
      </c>
      <c r="F68" s="9" t="s">
        <v>653</v>
      </c>
      <c r="G68" s="9" t="s">
        <v>1234</v>
      </c>
      <c r="H68" s="55"/>
      <c r="I68" s="9"/>
      <c r="M68" s="39"/>
      <c r="N68"/>
      <c r="O68"/>
      <c r="P68"/>
      <c r="Q68"/>
      <c r="X68" s="14">
        <v>619</v>
      </c>
      <c r="Y68" s="15" t="s">
        <v>660</v>
      </c>
      <c r="Z68" s="15" t="s">
        <v>661</v>
      </c>
      <c r="AA68" s="15" t="s">
        <v>357</v>
      </c>
      <c r="AB68" s="15"/>
      <c r="AD68" s="16" t="s">
        <v>662</v>
      </c>
      <c r="AE68" s="16" t="s">
        <v>270</v>
      </c>
    </row>
    <row r="69" spans="3:31" ht="13" x14ac:dyDescent="0.15">
      <c r="C69" s="9" t="s">
        <v>136</v>
      </c>
      <c r="D69" s="9" t="s">
        <v>137</v>
      </c>
      <c r="E69" s="26" t="s">
        <v>1133</v>
      </c>
      <c r="F69" s="9" t="s">
        <v>352</v>
      </c>
      <c r="G69" s="9" t="s">
        <v>1234</v>
      </c>
      <c r="H69" s="55"/>
      <c r="I69" s="9"/>
      <c r="M69" s="39"/>
      <c r="N69"/>
      <c r="O69"/>
      <c r="P69"/>
      <c r="Q69"/>
      <c r="X69" s="14">
        <v>620</v>
      </c>
      <c r="Y69" s="15" t="s">
        <v>663</v>
      </c>
      <c r="Z69" s="15" t="s">
        <v>645</v>
      </c>
      <c r="AA69" s="15" t="s">
        <v>357</v>
      </c>
      <c r="AB69" s="15"/>
    </row>
    <row r="70" spans="3:31" ht="13" x14ac:dyDescent="0.15">
      <c r="C70" s="9" t="s">
        <v>170</v>
      </c>
      <c r="D70" s="9" t="s">
        <v>664</v>
      </c>
      <c r="E70" s="26" t="s">
        <v>1133</v>
      </c>
      <c r="F70" s="9" t="s">
        <v>352</v>
      </c>
      <c r="G70" s="9" t="s">
        <v>1223</v>
      </c>
      <c r="H70" s="55"/>
      <c r="I70" s="9"/>
      <c r="M70" s="39"/>
      <c r="N70"/>
      <c r="O70"/>
      <c r="P70"/>
      <c r="Q70"/>
      <c r="X70" s="14">
        <v>621</v>
      </c>
      <c r="Y70" s="15" t="s">
        <v>665</v>
      </c>
      <c r="Z70" s="15" t="s">
        <v>666</v>
      </c>
      <c r="AA70" s="15" t="s">
        <v>357</v>
      </c>
      <c r="AB70" s="15"/>
    </row>
    <row r="71" spans="3:31" ht="13" x14ac:dyDescent="0.15">
      <c r="C71" s="9" t="s">
        <v>171</v>
      </c>
      <c r="D71" s="9" t="s">
        <v>172</v>
      </c>
      <c r="E71" s="64" t="s">
        <v>1130</v>
      </c>
      <c r="F71" s="9" t="s">
        <v>352</v>
      </c>
      <c r="G71" s="9" t="s">
        <v>1234</v>
      </c>
      <c r="H71" s="55"/>
      <c r="I71" s="9"/>
      <c r="M71" s="39"/>
      <c r="N71"/>
      <c r="O71"/>
      <c r="P71"/>
      <c r="Q71"/>
      <c r="X71" s="14">
        <v>622</v>
      </c>
      <c r="Y71" s="15" t="s">
        <v>667</v>
      </c>
      <c r="Z71" s="15" t="s">
        <v>668</v>
      </c>
      <c r="AA71" s="15" t="s">
        <v>357</v>
      </c>
      <c r="AB71" s="15"/>
    </row>
    <row r="72" spans="3:31" ht="13" x14ac:dyDescent="0.15">
      <c r="C72" s="9" t="s">
        <v>173</v>
      </c>
      <c r="D72" s="9" t="s">
        <v>174</v>
      </c>
      <c r="E72" s="64" t="s">
        <v>1130</v>
      </c>
      <c r="F72" s="9" t="s">
        <v>352</v>
      </c>
      <c r="G72" s="9" t="s">
        <v>1234</v>
      </c>
      <c r="H72" s="55"/>
      <c r="I72" s="9"/>
      <c r="M72" s="39"/>
      <c r="N72"/>
      <c r="O72"/>
      <c r="P72" s="30"/>
      <c r="Q72" s="30"/>
      <c r="X72" s="14">
        <v>623</v>
      </c>
      <c r="Y72" s="15" t="s">
        <v>669</v>
      </c>
      <c r="Z72" s="15" t="s">
        <v>588</v>
      </c>
      <c r="AA72" s="15" t="s">
        <v>357</v>
      </c>
      <c r="AB72" s="15"/>
    </row>
    <row r="73" spans="3:31" ht="13" x14ac:dyDescent="0.15">
      <c r="C73" s="9" t="s">
        <v>175</v>
      </c>
      <c r="D73" s="9" t="s">
        <v>176</v>
      </c>
      <c r="E73" s="64" t="s">
        <v>1130</v>
      </c>
      <c r="F73" s="9" t="s">
        <v>352</v>
      </c>
      <c r="G73" s="9" t="s">
        <v>1234</v>
      </c>
      <c r="H73" s="55"/>
      <c r="I73" s="9"/>
      <c r="M73" s="39"/>
      <c r="N73"/>
      <c r="O73"/>
      <c r="P73"/>
      <c r="Q73"/>
      <c r="X73" s="14">
        <v>624</v>
      </c>
      <c r="Y73" s="15" t="s">
        <v>670</v>
      </c>
      <c r="Z73" s="15" t="s">
        <v>588</v>
      </c>
      <c r="AA73" s="15" t="s">
        <v>357</v>
      </c>
      <c r="AB73" s="15"/>
    </row>
    <row r="74" spans="3:31" ht="13" x14ac:dyDescent="0.15">
      <c r="C74" s="9" t="s">
        <v>167</v>
      </c>
      <c r="D74" s="9" t="s">
        <v>168</v>
      </c>
      <c r="E74" s="26" t="s">
        <v>1133</v>
      </c>
      <c r="F74" s="9" t="s">
        <v>352</v>
      </c>
      <c r="G74" s="9" t="s">
        <v>1234</v>
      </c>
      <c r="H74" s="55"/>
      <c r="I74" s="9"/>
      <c r="M74" s="39"/>
      <c r="N74"/>
      <c r="O74"/>
      <c r="P74"/>
      <c r="Q74"/>
      <c r="X74" s="14">
        <v>625</v>
      </c>
      <c r="Y74" s="15" t="s">
        <v>671</v>
      </c>
      <c r="Z74" s="15" t="s">
        <v>588</v>
      </c>
      <c r="AA74" s="15" t="s">
        <v>357</v>
      </c>
      <c r="AB74" s="15"/>
    </row>
    <row r="75" spans="3:31" ht="13" x14ac:dyDescent="0.15">
      <c r="C75" s="9" t="s">
        <v>147</v>
      </c>
      <c r="D75" s="9" t="s">
        <v>672</v>
      </c>
      <c r="E75" s="26" t="s">
        <v>1130</v>
      </c>
      <c r="F75" s="9" t="s">
        <v>352</v>
      </c>
      <c r="G75" s="9" t="s">
        <v>1234</v>
      </c>
      <c r="H75" s="55"/>
      <c r="I75" s="9"/>
      <c r="M75" s="39"/>
      <c r="N75"/>
      <c r="O75"/>
      <c r="P75"/>
      <c r="Q75"/>
      <c r="X75" s="14">
        <v>626</v>
      </c>
      <c r="Y75" s="15" t="s">
        <v>673</v>
      </c>
      <c r="Z75" s="15" t="s">
        <v>661</v>
      </c>
      <c r="AA75" s="15" t="s">
        <v>357</v>
      </c>
      <c r="AB75" s="15"/>
    </row>
    <row r="76" spans="3:31" ht="13" x14ac:dyDescent="0.15">
      <c r="C76" s="9" t="s">
        <v>674</v>
      </c>
      <c r="D76" s="9" t="s">
        <v>675</v>
      </c>
      <c r="E76" s="26" t="s">
        <v>39</v>
      </c>
      <c r="F76" s="9" t="s">
        <v>399</v>
      </c>
      <c r="G76" s="9" t="s">
        <v>1228</v>
      </c>
      <c r="H76" s="55" t="s">
        <v>297</v>
      </c>
      <c r="I76" s="9"/>
      <c r="M76" s="41"/>
      <c r="N76"/>
      <c r="O76"/>
      <c r="P76"/>
      <c r="Q76"/>
      <c r="X76" s="14">
        <v>627</v>
      </c>
      <c r="Y76" s="15" t="s">
        <v>676</v>
      </c>
      <c r="Z76" s="15" t="s">
        <v>635</v>
      </c>
      <c r="AA76" s="15" t="s">
        <v>357</v>
      </c>
      <c r="AB76" s="15"/>
    </row>
    <row r="77" spans="3:31" ht="13" x14ac:dyDescent="0.15">
      <c r="C77" s="9" t="s">
        <v>121</v>
      </c>
      <c r="D77" s="9" t="s">
        <v>677</v>
      </c>
      <c r="E77" s="26" t="s">
        <v>1133</v>
      </c>
      <c r="F77" s="9" t="s">
        <v>352</v>
      </c>
      <c r="G77" s="9" t="s">
        <v>1226</v>
      </c>
      <c r="H77" s="55"/>
      <c r="I77" s="9"/>
      <c r="M77" s="41"/>
      <c r="N77"/>
      <c r="O77"/>
      <c r="P77"/>
      <c r="Q77"/>
      <c r="X77" s="14">
        <v>628</v>
      </c>
      <c r="Y77" s="15" t="s">
        <v>678</v>
      </c>
      <c r="Z77" s="15" t="s">
        <v>645</v>
      </c>
      <c r="AA77" s="15" t="s">
        <v>357</v>
      </c>
      <c r="AB77" s="15"/>
    </row>
    <row r="78" spans="3:31" ht="13" x14ac:dyDescent="0.15">
      <c r="C78" s="9" t="s">
        <v>169</v>
      </c>
      <c r="D78" s="9" t="s">
        <v>679</v>
      </c>
      <c r="E78" s="64" t="s">
        <v>1130</v>
      </c>
      <c r="F78" s="9" t="s">
        <v>352</v>
      </c>
      <c r="G78" s="9" t="s">
        <v>1232</v>
      </c>
      <c r="H78" s="55"/>
      <c r="I78" s="9"/>
      <c r="N78"/>
      <c r="O78"/>
      <c r="P78"/>
      <c r="Q78"/>
      <c r="X78" s="14">
        <v>629</v>
      </c>
      <c r="Y78" s="15" t="s">
        <v>680</v>
      </c>
      <c r="Z78" s="15" t="s">
        <v>588</v>
      </c>
      <c r="AA78" s="15" t="s">
        <v>357</v>
      </c>
      <c r="AB78" s="15"/>
    </row>
    <row r="79" spans="3:31" ht="13" x14ac:dyDescent="0.15">
      <c r="C79" s="9" t="s">
        <v>146</v>
      </c>
      <c r="D79" s="9" t="s">
        <v>272</v>
      </c>
      <c r="E79" s="26" t="s">
        <v>1117</v>
      </c>
      <c r="F79" s="9" t="s">
        <v>352</v>
      </c>
      <c r="G79" s="9" t="s">
        <v>1227</v>
      </c>
      <c r="H79" s="55"/>
      <c r="I79" s="9"/>
      <c r="N79"/>
      <c r="O79"/>
      <c r="P79"/>
      <c r="Q79"/>
      <c r="X79" s="14">
        <v>630</v>
      </c>
      <c r="Y79" s="15" t="s">
        <v>681</v>
      </c>
      <c r="Z79" s="15" t="s">
        <v>655</v>
      </c>
      <c r="AA79" s="15" t="s">
        <v>357</v>
      </c>
      <c r="AB79" s="15"/>
    </row>
    <row r="80" spans="3:31" ht="13" x14ac:dyDescent="0.15">
      <c r="C80" s="9" t="s">
        <v>154</v>
      </c>
      <c r="D80" s="9" t="s">
        <v>19</v>
      </c>
      <c r="E80" s="26" t="s">
        <v>1117</v>
      </c>
      <c r="F80" s="9" t="s">
        <v>352</v>
      </c>
      <c r="G80" s="9" t="s">
        <v>1233</v>
      </c>
      <c r="H80" s="55"/>
      <c r="I80" s="9"/>
      <c r="N80"/>
      <c r="O80"/>
      <c r="P80"/>
      <c r="Q80"/>
      <c r="X80" s="14">
        <v>631</v>
      </c>
      <c r="Y80" s="15" t="s">
        <v>682</v>
      </c>
      <c r="Z80" s="15" t="s">
        <v>601</v>
      </c>
      <c r="AA80" s="15" t="s">
        <v>357</v>
      </c>
      <c r="AB80" s="15"/>
    </row>
    <row r="81" spans="3:28" ht="13" x14ac:dyDescent="0.15">
      <c r="C81" s="9" t="s">
        <v>144</v>
      </c>
      <c r="D81" s="9" t="s">
        <v>145</v>
      </c>
      <c r="E81" s="64" t="s">
        <v>1130</v>
      </c>
      <c r="F81" s="9" t="s">
        <v>352</v>
      </c>
      <c r="G81" s="9" t="s">
        <v>1231</v>
      </c>
      <c r="H81" s="55"/>
      <c r="I81" s="9"/>
      <c r="N81"/>
      <c r="O81"/>
      <c r="P81"/>
      <c r="Q81"/>
      <c r="X81" s="14">
        <v>632</v>
      </c>
      <c r="Y81" s="15" t="s">
        <v>683</v>
      </c>
      <c r="Z81" s="15" t="s">
        <v>659</v>
      </c>
      <c r="AA81" s="15" t="s">
        <v>357</v>
      </c>
      <c r="AB81" s="15"/>
    </row>
    <row r="82" spans="3:28" ht="13" x14ac:dyDescent="0.15">
      <c r="C82" s="9" t="s">
        <v>684</v>
      </c>
      <c r="D82" s="9" t="s">
        <v>685</v>
      </c>
      <c r="E82" s="26" t="s">
        <v>1118</v>
      </c>
      <c r="F82" s="9" t="s">
        <v>399</v>
      </c>
      <c r="G82" s="9" t="s">
        <v>1228</v>
      </c>
      <c r="H82" s="55" t="s">
        <v>297</v>
      </c>
      <c r="I82" s="9"/>
      <c r="N82"/>
      <c r="O82"/>
      <c r="P82"/>
      <c r="Q82"/>
      <c r="X82" s="14">
        <v>633</v>
      </c>
      <c r="Y82" s="15" t="s">
        <v>686</v>
      </c>
      <c r="Z82" s="15" t="s">
        <v>666</v>
      </c>
      <c r="AA82" s="15" t="s">
        <v>357</v>
      </c>
    </row>
    <row r="83" spans="3:28" ht="13" x14ac:dyDescent="0.15">
      <c r="C83" s="9" t="s">
        <v>687</v>
      </c>
      <c r="D83" s="9" t="s">
        <v>688</v>
      </c>
      <c r="E83" s="26" t="s">
        <v>1127</v>
      </c>
      <c r="F83" s="9" t="s">
        <v>399</v>
      </c>
      <c r="G83" s="9" t="s">
        <v>1228</v>
      </c>
      <c r="H83" s="55" t="s">
        <v>297</v>
      </c>
      <c r="I83" s="9"/>
      <c r="N83"/>
      <c r="O83"/>
      <c r="P83"/>
      <c r="Q83"/>
      <c r="X83" s="14">
        <v>699</v>
      </c>
      <c r="Y83" s="15" t="s">
        <v>689</v>
      </c>
      <c r="Z83" s="15" t="s">
        <v>690</v>
      </c>
      <c r="AA83" s="15" t="s">
        <v>357</v>
      </c>
    </row>
    <row r="84" spans="3:28" ht="13" x14ac:dyDescent="0.15">
      <c r="C84" s="9" t="s">
        <v>49</v>
      </c>
      <c r="D84" s="9" t="s">
        <v>316</v>
      </c>
      <c r="E84" s="26" t="s">
        <v>1130</v>
      </c>
      <c r="F84" s="9" t="s">
        <v>352</v>
      </c>
      <c r="G84" s="9" t="s">
        <v>1235</v>
      </c>
      <c r="H84" s="55"/>
      <c r="I84" s="9"/>
      <c r="N84"/>
      <c r="O84"/>
      <c r="P84"/>
      <c r="Q84"/>
      <c r="X84" s="14">
        <v>999</v>
      </c>
      <c r="Y84" s="15" t="s">
        <v>691</v>
      </c>
      <c r="Z84" s="15" t="s">
        <v>692</v>
      </c>
      <c r="AA84" s="15" t="s">
        <v>357</v>
      </c>
    </row>
    <row r="85" spans="3:28" ht="13" x14ac:dyDescent="0.15">
      <c r="C85" s="9" t="s">
        <v>119</v>
      </c>
      <c r="D85" s="9" t="s">
        <v>317</v>
      </c>
      <c r="E85" s="26" t="s">
        <v>1133</v>
      </c>
      <c r="F85" s="9" t="s">
        <v>352</v>
      </c>
      <c r="G85" s="9" t="s">
        <v>1235</v>
      </c>
      <c r="H85" s="55"/>
      <c r="I85" s="9"/>
      <c r="N85"/>
      <c r="O85"/>
      <c r="P85"/>
      <c r="Q85"/>
      <c r="X85" s="14">
        <v>1010</v>
      </c>
      <c r="Y85" s="15" t="s">
        <v>693</v>
      </c>
      <c r="Z85" s="15" t="s">
        <v>694</v>
      </c>
      <c r="AA85" s="15" t="s">
        <v>357</v>
      </c>
    </row>
    <row r="86" spans="3:28" ht="13" x14ac:dyDescent="0.15">
      <c r="C86" s="9" t="s">
        <v>120</v>
      </c>
      <c r="D86" s="9" t="s">
        <v>318</v>
      </c>
      <c r="E86" s="26" t="s">
        <v>1116</v>
      </c>
      <c r="F86" s="9" t="s">
        <v>352</v>
      </c>
      <c r="G86" s="9" t="s">
        <v>1235</v>
      </c>
      <c r="H86" s="55"/>
      <c r="I86" s="9"/>
      <c r="N86"/>
      <c r="O86"/>
      <c r="P86"/>
      <c r="Q86"/>
      <c r="X86" s="14">
        <v>1011</v>
      </c>
      <c r="Y86" s="15" t="s">
        <v>695</v>
      </c>
      <c r="Z86" s="15" t="s">
        <v>694</v>
      </c>
      <c r="AA86" s="15" t="s">
        <v>357</v>
      </c>
    </row>
    <row r="87" spans="3:28" ht="13" x14ac:dyDescent="0.15">
      <c r="C87" s="9" t="s">
        <v>696</v>
      </c>
      <c r="D87" s="9" t="s">
        <v>697</v>
      </c>
      <c r="E87" s="26" t="s">
        <v>1130</v>
      </c>
      <c r="F87" s="9" t="s">
        <v>399</v>
      </c>
      <c r="G87" s="9" t="s">
        <v>1228</v>
      </c>
      <c r="H87" s="55" t="s">
        <v>297</v>
      </c>
      <c r="I87" s="9"/>
      <c r="N87"/>
      <c r="O87"/>
      <c r="P87"/>
      <c r="Q87"/>
      <c r="X87" s="14">
        <v>1020</v>
      </c>
      <c r="Y87" s="15" t="s">
        <v>698</v>
      </c>
      <c r="Z87" s="15" t="s">
        <v>699</v>
      </c>
      <c r="AA87" s="15" t="s">
        <v>357</v>
      </c>
    </row>
    <row r="88" spans="3:28" ht="13" x14ac:dyDescent="0.15">
      <c r="C88" s="9" t="s">
        <v>700</v>
      </c>
      <c r="D88" s="9" t="s">
        <v>701</v>
      </c>
      <c r="E88" s="26" t="s">
        <v>41</v>
      </c>
      <c r="F88" s="9" t="s">
        <v>399</v>
      </c>
      <c r="G88" s="9" t="s">
        <v>1228</v>
      </c>
      <c r="H88" s="55" t="s">
        <v>297</v>
      </c>
      <c r="I88" s="9"/>
      <c r="N88"/>
      <c r="O88"/>
      <c r="P88"/>
      <c r="Q88"/>
      <c r="X88" s="14">
        <v>1021</v>
      </c>
      <c r="Y88" s="15" t="s">
        <v>702</v>
      </c>
      <c r="Z88" s="15" t="s">
        <v>699</v>
      </c>
      <c r="AA88" s="15" t="s">
        <v>357</v>
      </c>
    </row>
    <row r="89" spans="3:28" ht="13" x14ac:dyDescent="0.15">
      <c r="C89" s="9" t="s">
        <v>152</v>
      </c>
      <c r="D89" s="9" t="s">
        <v>153</v>
      </c>
      <c r="E89" s="26" t="s">
        <v>1117</v>
      </c>
      <c r="F89" s="9" t="s">
        <v>352</v>
      </c>
      <c r="G89" s="9" t="s">
        <v>1235</v>
      </c>
      <c r="H89" s="55"/>
      <c r="I89" s="9"/>
      <c r="N89"/>
      <c r="O89"/>
      <c r="P89"/>
      <c r="Q89"/>
      <c r="X89" s="14">
        <v>1022</v>
      </c>
      <c r="Y89" s="15" t="s">
        <v>703</v>
      </c>
      <c r="Z89" s="15" t="s">
        <v>704</v>
      </c>
      <c r="AA89" s="15" t="s">
        <v>357</v>
      </c>
    </row>
    <row r="90" spans="3:28" ht="13" x14ac:dyDescent="0.15">
      <c r="C90" s="9" t="s">
        <v>705</v>
      </c>
      <c r="D90" s="9" t="s">
        <v>706</v>
      </c>
      <c r="E90" s="26" t="s">
        <v>1130</v>
      </c>
      <c r="F90" s="9" t="s">
        <v>352</v>
      </c>
      <c r="G90" s="9" t="s">
        <v>1234</v>
      </c>
      <c r="H90" s="55"/>
      <c r="I90" s="9"/>
      <c r="N90"/>
      <c r="O90"/>
      <c r="P90"/>
      <c r="Q90"/>
      <c r="X90" s="14">
        <v>1025</v>
      </c>
      <c r="Y90" s="15" t="s">
        <v>707</v>
      </c>
      <c r="Z90" s="15" t="s">
        <v>708</v>
      </c>
      <c r="AA90" s="15" t="s">
        <v>357</v>
      </c>
    </row>
    <row r="91" spans="3:28" ht="13" x14ac:dyDescent="0.15">
      <c r="C91" s="9" t="s">
        <v>295</v>
      </c>
      <c r="D91" s="9" t="s">
        <v>709</v>
      </c>
      <c r="E91" s="26" t="s">
        <v>1118</v>
      </c>
      <c r="F91" s="9" t="s">
        <v>352</v>
      </c>
      <c r="G91" s="9" t="s">
        <v>1229</v>
      </c>
      <c r="H91" s="55"/>
      <c r="I91" s="9"/>
      <c r="N91"/>
      <c r="O91"/>
      <c r="P91"/>
      <c r="Q91"/>
      <c r="X91" s="14">
        <v>1026</v>
      </c>
      <c r="Y91" s="15" t="s">
        <v>710</v>
      </c>
      <c r="Z91" s="15" t="s">
        <v>708</v>
      </c>
      <c r="AA91" s="15" t="s">
        <v>357</v>
      </c>
    </row>
    <row r="92" spans="3:28" ht="13" x14ac:dyDescent="0.15">
      <c r="C92" s="9" t="s">
        <v>296</v>
      </c>
      <c r="D92" s="9" t="s">
        <v>711</v>
      </c>
      <c r="E92" s="26" t="s">
        <v>546</v>
      </c>
      <c r="F92" s="9" t="s">
        <v>352</v>
      </c>
      <c r="G92" s="9" t="s">
        <v>1228</v>
      </c>
      <c r="H92" s="55"/>
      <c r="I92" s="9"/>
      <c r="N92"/>
      <c r="O92"/>
      <c r="P92"/>
      <c r="Q92"/>
      <c r="X92" s="14">
        <v>1030</v>
      </c>
      <c r="Y92" s="15" t="s">
        <v>712</v>
      </c>
      <c r="Z92" s="15" t="s">
        <v>713</v>
      </c>
      <c r="AA92" s="15" t="s">
        <v>357</v>
      </c>
    </row>
    <row r="93" spans="3:28" ht="13" x14ac:dyDescent="0.15">
      <c r="C93" s="9" t="s">
        <v>714</v>
      </c>
      <c r="D93" s="9" t="s">
        <v>715</v>
      </c>
      <c r="E93" s="26" t="s">
        <v>1122</v>
      </c>
      <c r="F93" s="9" t="s">
        <v>399</v>
      </c>
      <c r="G93" s="9" t="s">
        <v>1228</v>
      </c>
      <c r="H93" s="55" t="s">
        <v>297</v>
      </c>
      <c r="I93" s="9"/>
      <c r="N93"/>
      <c r="O93"/>
      <c r="P93"/>
      <c r="Q93"/>
      <c r="X93" s="14">
        <v>1031</v>
      </c>
      <c r="Y93" s="15" t="s">
        <v>716</v>
      </c>
      <c r="Z93" s="15" t="s">
        <v>717</v>
      </c>
      <c r="AA93" s="15" t="s">
        <v>357</v>
      </c>
    </row>
    <row r="94" spans="3:28" ht="13" x14ac:dyDescent="0.15">
      <c r="C94" s="9" t="s">
        <v>177</v>
      </c>
      <c r="D94" s="9" t="s">
        <v>718</v>
      </c>
      <c r="E94" s="26" t="s">
        <v>1121</v>
      </c>
      <c r="F94" s="9" t="s">
        <v>352</v>
      </c>
      <c r="G94" s="9" t="s">
        <v>1216</v>
      </c>
      <c r="H94" s="55"/>
      <c r="I94" s="9"/>
      <c r="N94"/>
      <c r="O94"/>
      <c r="P94"/>
      <c r="Q94"/>
      <c r="X94" s="14">
        <v>1032</v>
      </c>
      <c r="Y94" s="15" t="s">
        <v>719</v>
      </c>
      <c r="Z94" s="15" t="s">
        <v>713</v>
      </c>
      <c r="AA94" s="15" t="s">
        <v>357</v>
      </c>
    </row>
    <row r="95" spans="3:28" ht="13" x14ac:dyDescent="0.15">
      <c r="C95" s="9" t="s">
        <v>56</v>
      </c>
      <c r="D95" s="9" t="s">
        <v>304</v>
      </c>
      <c r="E95" s="26" t="s">
        <v>1121</v>
      </c>
      <c r="F95" s="9" t="s">
        <v>393</v>
      </c>
      <c r="G95" s="9" t="s">
        <v>1216</v>
      </c>
      <c r="H95" s="55"/>
      <c r="I95" s="9"/>
      <c r="N95"/>
      <c r="O95"/>
      <c r="P95"/>
      <c r="Q95"/>
      <c r="X95" s="14">
        <v>1040</v>
      </c>
      <c r="Y95" s="15" t="s">
        <v>720</v>
      </c>
      <c r="Z95" s="15" t="s">
        <v>721</v>
      </c>
      <c r="AA95" s="15" t="s">
        <v>357</v>
      </c>
    </row>
    <row r="96" spans="3:28" ht="13" x14ac:dyDescent="0.15">
      <c r="C96" s="9" t="s">
        <v>204</v>
      </c>
      <c r="D96" s="9" t="s">
        <v>722</v>
      </c>
      <c r="E96" s="26" t="s">
        <v>1121</v>
      </c>
      <c r="F96" s="9" t="s">
        <v>393</v>
      </c>
      <c r="G96" s="9" t="s">
        <v>1216</v>
      </c>
      <c r="H96" s="55"/>
      <c r="I96" s="9"/>
      <c r="N96"/>
      <c r="O96"/>
      <c r="P96"/>
      <c r="Q96"/>
      <c r="X96" s="14">
        <v>1041</v>
      </c>
      <c r="Y96" s="15" t="s">
        <v>723</v>
      </c>
      <c r="Z96" s="15" t="s">
        <v>721</v>
      </c>
      <c r="AA96" s="15" t="s">
        <v>357</v>
      </c>
    </row>
    <row r="97" spans="3:27" ht="13" x14ac:dyDescent="0.15">
      <c r="C97" s="9" t="s">
        <v>203</v>
      </c>
      <c r="D97" s="9" t="s">
        <v>724</v>
      </c>
      <c r="E97" s="26" t="s">
        <v>268</v>
      </c>
      <c r="F97" s="9" t="s">
        <v>352</v>
      </c>
      <c r="G97" s="9" t="s">
        <v>1216</v>
      </c>
      <c r="H97" s="55"/>
      <c r="I97" s="9"/>
      <c r="N97"/>
      <c r="O97"/>
      <c r="P97"/>
      <c r="Q97"/>
      <c r="X97" s="14">
        <v>1050</v>
      </c>
      <c r="Y97" s="15" t="s">
        <v>725</v>
      </c>
      <c r="Z97" s="15" t="s">
        <v>726</v>
      </c>
      <c r="AA97" s="15" t="s">
        <v>357</v>
      </c>
    </row>
    <row r="98" spans="3:27" ht="13" x14ac:dyDescent="0.15">
      <c r="C98" s="9" t="s">
        <v>205</v>
      </c>
      <c r="D98" s="9" t="s">
        <v>727</v>
      </c>
      <c r="E98" s="26" t="s">
        <v>268</v>
      </c>
      <c r="F98" s="9" t="s">
        <v>393</v>
      </c>
      <c r="G98" s="9" t="s">
        <v>1216</v>
      </c>
      <c r="H98" s="55"/>
      <c r="I98" s="9"/>
      <c r="N98"/>
      <c r="O98"/>
      <c r="P98"/>
      <c r="Q98"/>
      <c r="X98" s="14">
        <v>1051</v>
      </c>
      <c r="Y98" s="15" t="s">
        <v>728</v>
      </c>
      <c r="Z98" s="15" t="s">
        <v>729</v>
      </c>
      <c r="AA98" s="15" t="s">
        <v>357</v>
      </c>
    </row>
    <row r="99" spans="3:27" ht="13" x14ac:dyDescent="0.15">
      <c r="C99" s="9" t="s">
        <v>57</v>
      </c>
      <c r="D99" s="9" t="s">
        <v>730</v>
      </c>
      <c r="E99" s="26" t="s">
        <v>1121</v>
      </c>
      <c r="F99" s="9" t="s">
        <v>393</v>
      </c>
      <c r="G99" s="9" t="s">
        <v>1216</v>
      </c>
      <c r="H99" s="55"/>
      <c r="I99" s="9"/>
      <c r="N99"/>
      <c r="O99"/>
      <c r="P99"/>
      <c r="Q99"/>
      <c r="X99" s="14">
        <v>1052</v>
      </c>
      <c r="Y99" s="15" t="s">
        <v>731</v>
      </c>
      <c r="Z99" s="15" t="s">
        <v>726</v>
      </c>
      <c r="AA99" s="15" t="s">
        <v>357</v>
      </c>
    </row>
    <row r="100" spans="3:27" ht="13" x14ac:dyDescent="0.15">
      <c r="C100" s="9" t="s">
        <v>207</v>
      </c>
      <c r="D100" s="9" t="s">
        <v>732</v>
      </c>
      <c r="E100" s="26" t="s">
        <v>1121</v>
      </c>
      <c r="F100" s="9" t="s">
        <v>393</v>
      </c>
      <c r="G100" s="9" t="s">
        <v>1216</v>
      </c>
      <c r="H100" s="55"/>
      <c r="I100" s="9"/>
      <c r="N100"/>
      <c r="O100"/>
      <c r="P100"/>
      <c r="Q100"/>
      <c r="X100" s="14">
        <v>1053</v>
      </c>
      <c r="Y100" s="15" t="s">
        <v>733</v>
      </c>
      <c r="Z100" s="15" t="s">
        <v>729</v>
      </c>
      <c r="AA100" s="15" t="s">
        <v>357</v>
      </c>
    </row>
    <row r="101" spans="3:27" ht="13" x14ac:dyDescent="0.15">
      <c r="C101" s="9" t="s">
        <v>206</v>
      </c>
      <c r="D101" s="9" t="s">
        <v>734</v>
      </c>
      <c r="E101" s="26" t="s">
        <v>268</v>
      </c>
      <c r="F101" s="9" t="s">
        <v>352</v>
      </c>
      <c r="G101" s="9" t="s">
        <v>1216</v>
      </c>
      <c r="H101" s="55"/>
      <c r="I101" s="9"/>
      <c r="N101"/>
      <c r="O101"/>
      <c r="P101"/>
      <c r="Q101"/>
      <c r="X101" s="14">
        <v>1060</v>
      </c>
      <c r="Y101" s="15" t="s">
        <v>735</v>
      </c>
      <c r="Z101" s="15" t="s">
        <v>736</v>
      </c>
      <c r="AA101" s="15" t="s">
        <v>357</v>
      </c>
    </row>
    <row r="102" spans="3:27" ht="13" x14ac:dyDescent="0.15">
      <c r="C102" s="9" t="s">
        <v>208</v>
      </c>
      <c r="D102" s="9" t="s">
        <v>737</v>
      </c>
      <c r="E102" s="26" t="s">
        <v>1121</v>
      </c>
      <c r="F102" s="9" t="s">
        <v>393</v>
      </c>
      <c r="G102" s="9" t="s">
        <v>1216</v>
      </c>
      <c r="H102" s="55"/>
      <c r="I102" s="9"/>
      <c r="N102"/>
      <c r="O102"/>
      <c r="P102"/>
      <c r="Q102"/>
      <c r="X102" s="14">
        <v>1061</v>
      </c>
      <c r="Y102" s="15" t="s">
        <v>738</v>
      </c>
      <c r="Z102" s="15" t="s">
        <v>736</v>
      </c>
      <c r="AA102" s="15" t="s">
        <v>357</v>
      </c>
    </row>
    <row r="103" spans="3:27" ht="13" x14ac:dyDescent="0.15">
      <c r="C103" s="9" t="s">
        <v>58</v>
      </c>
      <c r="D103" s="9" t="s">
        <v>305</v>
      </c>
      <c r="E103" s="26" t="s">
        <v>1127</v>
      </c>
      <c r="F103" s="9" t="s">
        <v>393</v>
      </c>
      <c r="G103" s="9" t="s">
        <v>1217</v>
      </c>
      <c r="H103" s="55"/>
      <c r="I103" s="9"/>
      <c r="N103"/>
      <c r="O103"/>
      <c r="P103"/>
      <c r="Q103"/>
      <c r="X103" s="14">
        <v>1070</v>
      </c>
      <c r="Y103" s="15" t="s">
        <v>739</v>
      </c>
      <c r="Z103" s="15" t="s">
        <v>740</v>
      </c>
      <c r="AA103" s="15" t="s">
        <v>357</v>
      </c>
    </row>
    <row r="104" spans="3:27" ht="13" x14ac:dyDescent="0.15">
      <c r="C104" s="9" t="s">
        <v>201</v>
      </c>
      <c r="D104" s="9" t="s">
        <v>741</v>
      </c>
      <c r="E104" s="26" t="s">
        <v>1127</v>
      </c>
      <c r="F104" s="9" t="s">
        <v>393</v>
      </c>
      <c r="G104" s="9" t="s">
        <v>1217</v>
      </c>
      <c r="H104" s="55"/>
      <c r="I104" s="9"/>
      <c r="N104"/>
      <c r="O104"/>
      <c r="P104"/>
      <c r="Q104"/>
      <c r="X104" s="14">
        <v>1071</v>
      </c>
      <c r="Y104" s="15" t="s">
        <v>742</v>
      </c>
      <c r="Z104" s="15" t="s">
        <v>740</v>
      </c>
      <c r="AA104" s="15" t="s">
        <v>357</v>
      </c>
    </row>
    <row r="105" spans="3:27" ht="13" x14ac:dyDescent="0.15">
      <c r="C105" s="9" t="s">
        <v>59</v>
      </c>
      <c r="D105" s="9" t="s">
        <v>743</v>
      </c>
      <c r="E105" s="26" t="s">
        <v>41</v>
      </c>
      <c r="F105" s="9" t="s">
        <v>393</v>
      </c>
      <c r="G105" s="9" t="s">
        <v>1217</v>
      </c>
      <c r="H105" s="55"/>
      <c r="I105" s="9"/>
      <c r="N105"/>
      <c r="O105"/>
      <c r="P105"/>
      <c r="Q105"/>
      <c r="X105" s="14">
        <v>1080</v>
      </c>
      <c r="Y105" s="15" t="s">
        <v>744</v>
      </c>
      <c r="Z105" s="15" t="s">
        <v>745</v>
      </c>
      <c r="AA105" s="15" t="s">
        <v>357</v>
      </c>
    </row>
    <row r="106" spans="3:27" ht="13" x14ac:dyDescent="0.15">
      <c r="C106" s="9" t="s">
        <v>202</v>
      </c>
      <c r="D106" s="9" t="s">
        <v>746</v>
      </c>
      <c r="E106" s="26" t="s">
        <v>1127</v>
      </c>
      <c r="F106" s="9" t="s">
        <v>393</v>
      </c>
      <c r="G106" s="9" t="s">
        <v>1217</v>
      </c>
      <c r="H106" s="55"/>
      <c r="I106" s="9"/>
      <c r="N106"/>
      <c r="O106"/>
      <c r="P106"/>
      <c r="Q106"/>
      <c r="X106" s="14">
        <v>1090</v>
      </c>
      <c r="Y106" s="15" t="s">
        <v>747</v>
      </c>
      <c r="Z106" s="15" t="s">
        <v>748</v>
      </c>
      <c r="AA106" s="15" t="s">
        <v>357</v>
      </c>
    </row>
    <row r="107" spans="3:27" ht="13" x14ac:dyDescent="0.15">
      <c r="C107" s="9" t="s">
        <v>60</v>
      </c>
      <c r="D107" s="9" t="s">
        <v>306</v>
      </c>
      <c r="E107" s="26" t="s">
        <v>1120</v>
      </c>
      <c r="F107" s="9" t="s">
        <v>393</v>
      </c>
      <c r="G107" s="9" t="s">
        <v>1217</v>
      </c>
      <c r="H107" s="55"/>
      <c r="I107" s="9"/>
      <c r="N107"/>
      <c r="O107"/>
      <c r="P107"/>
      <c r="Q107"/>
      <c r="X107" s="14">
        <v>1091</v>
      </c>
      <c r="Y107" s="15" t="s">
        <v>749</v>
      </c>
      <c r="Z107" s="15" t="s">
        <v>748</v>
      </c>
      <c r="AA107" s="15" t="s">
        <v>357</v>
      </c>
    </row>
    <row r="108" spans="3:27" ht="13" x14ac:dyDescent="0.15">
      <c r="C108" s="9" t="s">
        <v>198</v>
      </c>
      <c r="D108" s="9" t="s">
        <v>750</v>
      </c>
      <c r="E108" s="26" t="s">
        <v>1120</v>
      </c>
      <c r="F108" s="9" t="s">
        <v>393</v>
      </c>
      <c r="G108" s="9" t="s">
        <v>1217</v>
      </c>
      <c r="H108" s="55"/>
      <c r="I108" s="9"/>
      <c r="N108"/>
      <c r="O108"/>
      <c r="P108"/>
      <c r="Q108"/>
      <c r="X108" s="14">
        <v>2010</v>
      </c>
      <c r="Y108" s="15" t="s">
        <v>751</v>
      </c>
      <c r="Z108" s="15" t="s">
        <v>307</v>
      </c>
      <c r="AA108" s="15" t="s">
        <v>357</v>
      </c>
    </row>
    <row r="109" spans="3:27" x14ac:dyDescent="0.15">
      <c r="C109" s="9" t="s">
        <v>199</v>
      </c>
      <c r="D109" s="9" t="s">
        <v>752</v>
      </c>
      <c r="E109" s="26" t="s">
        <v>42</v>
      </c>
      <c r="F109" s="9" t="s">
        <v>352</v>
      </c>
      <c r="G109" s="9" t="s">
        <v>1217</v>
      </c>
      <c r="H109" s="55"/>
      <c r="I109" s="9"/>
      <c r="X109" s="14">
        <v>2011</v>
      </c>
      <c r="Y109" s="15" t="s">
        <v>753</v>
      </c>
      <c r="Z109" s="15" t="s">
        <v>307</v>
      </c>
      <c r="AA109" s="15" t="s">
        <v>357</v>
      </c>
    </row>
    <row r="110" spans="3:27" x14ac:dyDescent="0.15">
      <c r="C110" s="9" t="s">
        <v>200</v>
      </c>
      <c r="D110" s="9" t="s">
        <v>754</v>
      </c>
      <c r="E110" s="26" t="s">
        <v>42</v>
      </c>
      <c r="F110" s="9" t="s">
        <v>393</v>
      </c>
      <c r="G110" s="9" t="s">
        <v>1217</v>
      </c>
      <c r="H110" s="55"/>
      <c r="I110" s="9"/>
      <c r="X110" s="14">
        <v>2020</v>
      </c>
      <c r="Y110" s="15" t="s">
        <v>755</v>
      </c>
      <c r="Z110" s="15" t="s">
        <v>309</v>
      </c>
      <c r="AA110" s="15" t="s">
        <v>357</v>
      </c>
    </row>
    <row r="111" spans="3:27" x14ac:dyDescent="0.15">
      <c r="C111" s="9" t="s">
        <v>187</v>
      </c>
      <c r="D111" s="9" t="s">
        <v>756</v>
      </c>
      <c r="E111" s="26" t="s">
        <v>1120</v>
      </c>
      <c r="F111" s="9" t="s">
        <v>352</v>
      </c>
      <c r="G111" s="9" t="s">
        <v>1230</v>
      </c>
      <c r="H111" s="55"/>
      <c r="I111" s="9"/>
      <c r="X111" s="14">
        <v>2021</v>
      </c>
      <c r="Y111" s="15" t="s">
        <v>757</v>
      </c>
      <c r="Z111" s="15" t="s">
        <v>309</v>
      </c>
      <c r="AA111" s="15" t="s">
        <v>357</v>
      </c>
    </row>
    <row r="112" spans="3:27" x14ac:dyDescent="0.15">
      <c r="C112" s="9" t="s">
        <v>61</v>
      </c>
      <c r="D112" s="9" t="s">
        <v>758</v>
      </c>
      <c r="E112" s="26" t="s">
        <v>1120</v>
      </c>
      <c r="F112" s="9" t="s">
        <v>393</v>
      </c>
      <c r="G112" s="9" t="s">
        <v>1222</v>
      </c>
      <c r="H112" s="55"/>
      <c r="I112" s="9"/>
      <c r="X112" s="14">
        <v>2030</v>
      </c>
      <c r="Y112" s="15" t="s">
        <v>759</v>
      </c>
      <c r="Z112" s="15" t="s">
        <v>760</v>
      </c>
      <c r="AA112" s="15" t="s">
        <v>357</v>
      </c>
    </row>
    <row r="113" spans="3:27" x14ac:dyDescent="0.15">
      <c r="C113" s="9" t="s">
        <v>188</v>
      </c>
      <c r="D113" s="9" t="s">
        <v>761</v>
      </c>
      <c r="E113" s="26" t="s">
        <v>1120</v>
      </c>
      <c r="F113" s="9" t="s">
        <v>393</v>
      </c>
      <c r="G113" s="9" t="s">
        <v>1222</v>
      </c>
      <c r="H113" s="55"/>
      <c r="I113" s="9"/>
      <c r="X113" s="14">
        <v>2031</v>
      </c>
      <c r="Y113" s="15" t="s">
        <v>762</v>
      </c>
      <c r="Z113" s="15" t="s">
        <v>763</v>
      </c>
      <c r="AA113" s="15" t="s">
        <v>357</v>
      </c>
    </row>
    <row r="114" spans="3:27" x14ac:dyDescent="0.15">
      <c r="C114" s="9" t="s">
        <v>62</v>
      </c>
      <c r="D114" s="9" t="s">
        <v>764</v>
      </c>
      <c r="E114" s="26" t="s">
        <v>42</v>
      </c>
      <c r="F114" s="9" t="s">
        <v>352</v>
      </c>
      <c r="G114" s="9" t="s">
        <v>1222</v>
      </c>
      <c r="H114" s="55"/>
      <c r="I114" s="9"/>
      <c r="X114" s="14">
        <v>2040</v>
      </c>
      <c r="Y114" s="15" t="s">
        <v>765</v>
      </c>
      <c r="Z114" s="15" t="s">
        <v>384</v>
      </c>
      <c r="AA114" s="15" t="s">
        <v>357</v>
      </c>
    </row>
    <row r="115" spans="3:27" x14ac:dyDescent="0.15">
      <c r="C115" s="9" t="s">
        <v>189</v>
      </c>
      <c r="D115" s="9" t="s">
        <v>766</v>
      </c>
      <c r="E115" s="26" t="s">
        <v>42</v>
      </c>
      <c r="F115" s="9" t="s">
        <v>393</v>
      </c>
      <c r="G115" s="9" t="s">
        <v>1222</v>
      </c>
      <c r="H115" s="55"/>
      <c r="I115" s="9"/>
      <c r="X115" s="14">
        <v>2041</v>
      </c>
      <c r="Y115" s="15" t="s">
        <v>767</v>
      </c>
      <c r="Z115" s="15" t="s">
        <v>384</v>
      </c>
      <c r="AA115" s="15" t="s">
        <v>357</v>
      </c>
    </row>
    <row r="116" spans="3:27" x14ac:dyDescent="0.15">
      <c r="C116" s="9" t="s">
        <v>63</v>
      </c>
      <c r="D116" s="9" t="s">
        <v>319</v>
      </c>
      <c r="E116" s="26" t="s">
        <v>1120</v>
      </c>
      <c r="F116" s="9" t="s">
        <v>393</v>
      </c>
      <c r="G116" s="9" t="s">
        <v>1230</v>
      </c>
      <c r="H116" s="55"/>
      <c r="I116" s="9"/>
      <c r="X116" s="14">
        <v>2050</v>
      </c>
      <c r="Y116" s="15" t="s">
        <v>768</v>
      </c>
      <c r="Z116" s="15" t="s">
        <v>769</v>
      </c>
      <c r="AA116" s="15" t="s">
        <v>357</v>
      </c>
    </row>
    <row r="117" spans="3:27" x14ac:dyDescent="0.15">
      <c r="C117" s="9" t="s">
        <v>193</v>
      </c>
      <c r="D117" s="9" t="s">
        <v>770</v>
      </c>
      <c r="E117" s="26" t="s">
        <v>1120</v>
      </c>
      <c r="F117" s="9" t="s">
        <v>393</v>
      </c>
      <c r="G117" s="9" t="s">
        <v>1230</v>
      </c>
      <c r="H117" s="55"/>
      <c r="I117" s="9"/>
      <c r="X117" s="14">
        <v>2060</v>
      </c>
      <c r="Y117" s="15" t="s">
        <v>771</v>
      </c>
      <c r="Z117" s="15" t="s">
        <v>772</v>
      </c>
      <c r="AA117" s="15" t="s">
        <v>357</v>
      </c>
    </row>
    <row r="118" spans="3:27" x14ac:dyDescent="0.15">
      <c r="C118" s="9" t="s">
        <v>64</v>
      </c>
      <c r="D118" s="9" t="s">
        <v>773</v>
      </c>
      <c r="E118" s="26" t="s">
        <v>42</v>
      </c>
      <c r="F118" s="9" t="s">
        <v>352</v>
      </c>
      <c r="G118" s="9" t="s">
        <v>1230</v>
      </c>
      <c r="H118" s="55"/>
      <c r="I118" s="9"/>
      <c r="X118" s="14">
        <v>3010</v>
      </c>
      <c r="Y118" s="15" t="s">
        <v>774</v>
      </c>
      <c r="Z118" s="15" t="s">
        <v>775</v>
      </c>
      <c r="AA118" s="15" t="s">
        <v>357</v>
      </c>
    </row>
    <row r="119" spans="3:27" x14ac:dyDescent="0.15">
      <c r="C119" s="9" t="s">
        <v>194</v>
      </c>
      <c r="D119" s="9" t="s">
        <v>776</v>
      </c>
      <c r="E119" s="26" t="s">
        <v>42</v>
      </c>
      <c r="F119" s="9" t="s">
        <v>393</v>
      </c>
      <c r="G119" s="9" t="s">
        <v>1230</v>
      </c>
      <c r="H119" s="55"/>
      <c r="I119" s="9"/>
      <c r="X119" s="14">
        <v>3011</v>
      </c>
      <c r="Y119" s="15" t="s">
        <v>777</v>
      </c>
      <c r="Z119" s="15" t="s">
        <v>775</v>
      </c>
      <c r="AA119" s="15" t="s">
        <v>357</v>
      </c>
    </row>
    <row r="120" spans="3:27" x14ac:dyDescent="0.15">
      <c r="C120" s="9" t="s">
        <v>65</v>
      </c>
      <c r="D120" s="9" t="s">
        <v>308</v>
      </c>
      <c r="E120" s="26" t="s">
        <v>1125</v>
      </c>
      <c r="F120" s="9" t="s">
        <v>393</v>
      </c>
      <c r="G120" s="9" t="s">
        <v>1235</v>
      </c>
      <c r="H120" s="55"/>
      <c r="I120" s="9"/>
      <c r="X120" s="14">
        <v>3020</v>
      </c>
      <c r="Y120" s="15" t="s">
        <v>778</v>
      </c>
      <c r="Z120" s="15" t="s">
        <v>779</v>
      </c>
      <c r="AA120" s="15" t="s">
        <v>357</v>
      </c>
    </row>
    <row r="121" spans="3:27" x14ac:dyDescent="0.15">
      <c r="C121" s="9" t="s">
        <v>190</v>
      </c>
      <c r="D121" s="9" t="s">
        <v>780</v>
      </c>
      <c r="E121" s="26" t="s">
        <v>1125</v>
      </c>
      <c r="F121" s="9" t="s">
        <v>393</v>
      </c>
      <c r="G121" s="9" t="s">
        <v>1235</v>
      </c>
      <c r="H121" s="55"/>
      <c r="I121" s="9"/>
      <c r="X121" s="14">
        <v>3030</v>
      </c>
      <c r="Y121" s="15" t="s">
        <v>781</v>
      </c>
      <c r="Z121" s="15" t="s">
        <v>782</v>
      </c>
      <c r="AA121" s="15" t="s">
        <v>357</v>
      </c>
    </row>
    <row r="122" spans="3:27" x14ac:dyDescent="0.15">
      <c r="C122" s="9" t="s">
        <v>191</v>
      </c>
      <c r="D122" s="9" t="s">
        <v>783</v>
      </c>
      <c r="E122" s="26" t="s">
        <v>267</v>
      </c>
      <c r="F122" s="9" t="s">
        <v>352</v>
      </c>
      <c r="G122" s="9" t="s">
        <v>1235</v>
      </c>
      <c r="H122" s="55"/>
      <c r="I122" s="9"/>
      <c r="X122" s="14">
        <v>3040</v>
      </c>
      <c r="Y122" s="15" t="s">
        <v>784</v>
      </c>
      <c r="Z122" s="15" t="s">
        <v>785</v>
      </c>
      <c r="AA122" s="15" t="s">
        <v>357</v>
      </c>
    </row>
    <row r="123" spans="3:27" x14ac:dyDescent="0.15">
      <c r="C123" s="9" t="s">
        <v>192</v>
      </c>
      <c r="D123" s="9" t="s">
        <v>786</v>
      </c>
      <c r="E123" s="26" t="s">
        <v>267</v>
      </c>
      <c r="F123" s="9" t="s">
        <v>393</v>
      </c>
      <c r="G123" s="9" t="s">
        <v>1235</v>
      </c>
      <c r="H123" s="55"/>
      <c r="I123" s="9"/>
      <c r="X123" s="14">
        <v>4010</v>
      </c>
      <c r="Y123" s="15" t="s">
        <v>787</v>
      </c>
      <c r="Z123" s="15" t="s">
        <v>788</v>
      </c>
      <c r="AA123" s="15" t="s">
        <v>357</v>
      </c>
    </row>
    <row r="124" spans="3:27" x14ac:dyDescent="0.15">
      <c r="C124" s="9" t="s">
        <v>66</v>
      </c>
      <c r="D124" s="9" t="s">
        <v>310</v>
      </c>
      <c r="E124" s="26" t="s">
        <v>1129</v>
      </c>
      <c r="F124" s="9" t="s">
        <v>393</v>
      </c>
      <c r="G124" s="9" t="s">
        <v>1230</v>
      </c>
      <c r="H124" s="55"/>
      <c r="I124" s="9"/>
      <c r="X124" s="14">
        <v>4011</v>
      </c>
      <c r="Y124" s="15" t="s">
        <v>789</v>
      </c>
      <c r="Z124" s="15" t="s">
        <v>788</v>
      </c>
      <c r="AA124" s="15" t="s">
        <v>357</v>
      </c>
    </row>
    <row r="125" spans="3:27" x14ac:dyDescent="0.15">
      <c r="C125" s="9" t="s">
        <v>138</v>
      </c>
      <c r="D125" s="9" t="s">
        <v>790</v>
      </c>
      <c r="E125" s="26" t="s">
        <v>1129</v>
      </c>
      <c r="F125" s="9" t="s">
        <v>393</v>
      </c>
      <c r="G125" s="9" t="s">
        <v>1230</v>
      </c>
      <c r="H125" s="55"/>
      <c r="I125" s="9"/>
      <c r="X125" s="14">
        <v>4020</v>
      </c>
      <c r="Y125" s="15" t="s">
        <v>791</v>
      </c>
      <c r="Z125" s="15" t="s">
        <v>792</v>
      </c>
      <c r="AA125" s="15" t="s">
        <v>357</v>
      </c>
    </row>
    <row r="126" spans="3:27" x14ac:dyDescent="0.15">
      <c r="C126" s="9" t="s">
        <v>139</v>
      </c>
      <c r="D126" s="9" t="s">
        <v>793</v>
      </c>
      <c r="E126" s="26" t="s">
        <v>43</v>
      </c>
      <c r="F126" s="9" t="s">
        <v>352</v>
      </c>
      <c r="G126" s="9" t="s">
        <v>1230</v>
      </c>
      <c r="H126" s="55"/>
      <c r="I126" s="9"/>
      <c r="X126" s="14">
        <v>4021</v>
      </c>
      <c r="Y126" s="15" t="s">
        <v>794</v>
      </c>
      <c r="Z126" s="15" t="s">
        <v>792</v>
      </c>
      <c r="AA126" s="15" t="s">
        <v>357</v>
      </c>
    </row>
    <row r="127" spans="3:27" x14ac:dyDescent="0.15">
      <c r="C127" s="9" t="s">
        <v>140</v>
      </c>
      <c r="D127" s="9" t="s">
        <v>795</v>
      </c>
      <c r="E127" s="26" t="s">
        <v>1129</v>
      </c>
      <c r="F127" s="9" t="s">
        <v>393</v>
      </c>
      <c r="G127" s="9" t="s">
        <v>1230</v>
      </c>
      <c r="H127" s="55"/>
      <c r="I127" s="9"/>
      <c r="X127" s="14">
        <v>4030</v>
      </c>
      <c r="Y127" s="15" t="s">
        <v>796</v>
      </c>
      <c r="Z127" s="15" t="s">
        <v>797</v>
      </c>
      <c r="AA127" s="15" t="s">
        <v>357</v>
      </c>
    </row>
    <row r="128" spans="3:27" x14ac:dyDescent="0.15">
      <c r="C128" s="9" t="s">
        <v>269</v>
      </c>
      <c r="D128" s="9" t="s">
        <v>798</v>
      </c>
      <c r="E128" s="26" t="s">
        <v>1124</v>
      </c>
      <c r="F128" s="9" t="s">
        <v>393</v>
      </c>
      <c r="G128" s="9" t="s">
        <v>1235</v>
      </c>
      <c r="H128" s="55"/>
      <c r="I128" s="9"/>
      <c r="X128" s="14">
        <v>4031</v>
      </c>
      <c r="Y128" s="15" t="s">
        <v>799</v>
      </c>
      <c r="Z128" s="15" t="s">
        <v>800</v>
      </c>
      <c r="AA128" s="15" t="s">
        <v>357</v>
      </c>
    </row>
    <row r="129" spans="3:27" x14ac:dyDescent="0.15">
      <c r="C129" s="9" t="s">
        <v>801</v>
      </c>
      <c r="D129" s="9" t="s">
        <v>802</v>
      </c>
      <c r="E129" s="26" t="s">
        <v>1124</v>
      </c>
      <c r="F129" s="9" t="s">
        <v>393</v>
      </c>
      <c r="G129" s="9" t="s">
        <v>1235</v>
      </c>
      <c r="H129" s="55"/>
      <c r="I129" s="9"/>
      <c r="X129" s="14">
        <v>4040</v>
      </c>
      <c r="Y129" s="15" t="s">
        <v>803</v>
      </c>
      <c r="Z129" s="15" t="s">
        <v>804</v>
      </c>
      <c r="AA129" s="15" t="s">
        <v>357</v>
      </c>
    </row>
    <row r="130" spans="3:27" x14ac:dyDescent="0.15">
      <c r="C130" s="9" t="s">
        <v>805</v>
      </c>
      <c r="D130" s="9" t="s">
        <v>806</v>
      </c>
      <c r="E130" s="26" t="s">
        <v>44</v>
      </c>
      <c r="F130" s="9" t="s">
        <v>352</v>
      </c>
      <c r="G130" s="9" t="s">
        <v>1218</v>
      </c>
      <c r="H130" s="55"/>
      <c r="I130" s="9"/>
      <c r="X130" s="14">
        <v>4041</v>
      </c>
      <c r="Y130" s="15" t="s">
        <v>807</v>
      </c>
      <c r="Z130" s="15" t="s">
        <v>804</v>
      </c>
      <c r="AA130" s="15" t="s">
        <v>357</v>
      </c>
    </row>
    <row r="131" spans="3:27" x14ac:dyDescent="0.15">
      <c r="C131" s="9" t="s">
        <v>808</v>
      </c>
      <c r="D131" s="9" t="s">
        <v>809</v>
      </c>
      <c r="E131" s="26" t="s">
        <v>44</v>
      </c>
      <c r="F131" s="9" t="s">
        <v>393</v>
      </c>
      <c r="G131" s="9" t="s">
        <v>1235</v>
      </c>
      <c r="H131" s="55"/>
      <c r="I131" s="9"/>
      <c r="X131" s="14">
        <v>4042</v>
      </c>
      <c r="Y131" s="15" t="s">
        <v>810</v>
      </c>
      <c r="Z131" s="15" t="s">
        <v>810</v>
      </c>
      <c r="AA131" s="15" t="s">
        <v>357</v>
      </c>
    </row>
    <row r="132" spans="3:27" x14ac:dyDescent="0.15">
      <c r="C132" s="9" t="s">
        <v>252</v>
      </c>
      <c r="D132" s="9" t="s">
        <v>811</v>
      </c>
      <c r="E132" s="26" t="s">
        <v>1124</v>
      </c>
      <c r="F132" s="9" t="s">
        <v>393</v>
      </c>
      <c r="G132" s="9" t="s">
        <v>1230</v>
      </c>
      <c r="H132" s="55"/>
      <c r="I132" s="9"/>
      <c r="X132" s="14">
        <v>4050</v>
      </c>
      <c r="Y132" s="15" t="s">
        <v>812</v>
      </c>
      <c r="Z132" s="15" t="s">
        <v>813</v>
      </c>
      <c r="AA132" s="15" t="s">
        <v>357</v>
      </c>
    </row>
    <row r="133" spans="3:27" x14ac:dyDescent="0.15">
      <c r="C133" s="9" t="s">
        <v>814</v>
      </c>
      <c r="D133" s="9" t="s">
        <v>815</v>
      </c>
      <c r="E133" s="26" t="s">
        <v>1124</v>
      </c>
      <c r="F133" s="9" t="s">
        <v>393</v>
      </c>
      <c r="G133" s="9" t="s">
        <v>1230</v>
      </c>
      <c r="H133" s="55"/>
      <c r="I133" s="9"/>
      <c r="X133" s="14">
        <v>4051</v>
      </c>
      <c r="Y133" s="15" t="s">
        <v>816</v>
      </c>
      <c r="Z133" s="15" t="s">
        <v>813</v>
      </c>
      <c r="AA133" s="15" t="s">
        <v>357</v>
      </c>
    </row>
    <row r="134" spans="3:27" x14ac:dyDescent="0.15">
      <c r="C134" s="9" t="s">
        <v>817</v>
      </c>
      <c r="D134" s="9" t="s">
        <v>818</v>
      </c>
      <c r="E134" s="26" t="s">
        <v>44</v>
      </c>
      <c r="F134" s="9" t="s">
        <v>352</v>
      </c>
      <c r="G134" s="9" t="s">
        <v>1218</v>
      </c>
      <c r="H134" s="55"/>
      <c r="I134" s="9"/>
      <c r="X134" s="14">
        <v>4060</v>
      </c>
      <c r="Y134" s="15" t="s">
        <v>819</v>
      </c>
      <c r="Z134" s="15" t="s">
        <v>820</v>
      </c>
      <c r="AA134" s="15" t="s">
        <v>357</v>
      </c>
    </row>
    <row r="135" spans="3:27" x14ac:dyDescent="0.15">
      <c r="C135" s="9" t="s">
        <v>821</v>
      </c>
      <c r="D135" s="9" t="s">
        <v>822</v>
      </c>
      <c r="E135" s="26" t="s">
        <v>44</v>
      </c>
      <c r="F135" s="9" t="s">
        <v>393</v>
      </c>
      <c r="G135" s="9" t="s">
        <v>1230</v>
      </c>
      <c r="H135" s="55"/>
      <c r="I135" s="9"/>
      <c r="X135" s="14">
        <v>4061</v>
      </c>
      <c r="Y135" s="15" t="s">
        <v>823</v>
      </c>
      <c r="Z135" s="15" t="s">
        <v>820</v>
      </c>
      <c r="AA135" s="15" t="s">
        <v>357</v>
      </c>
    </row>
    <row r="136" spans="3:27" x14ac:dyDescent="0.15">
      <c r="C136" s="9" t="s">
        <v>824</v>
      </c>
      <c r="D136" s="9" t="s">
        <v>825</v>
      </c>
      <c r="E136" s="26" t="s">
        <v>1124</v>
      </c>
      <c r="F136" s="9" t="s">
        <v>393</v>
      </c>
      <c r="G136" s="9" t="s">
        <v>1222</v>
      </c>
      <c r="H136" s="55"/>
      <c r="I136" s="9"/>
      <c r="X136" s="14">
        <v>4070</v>
      </c>
      <c r="Y136" s="15" t="s">
        <v>826</v>
      </c>
      <c r="Z136" s="15" t="s">
        <v>827</v>
      </c>
      <c r="AA136" s="15" t="s">
        <v>357</v>
      </c>
    </row>
    <row r="137" spans="3:27" x14ac:dyDescent="0.15">
      <c r="C137" s="9" t="s">
        <v>828</v>
      </c>
      <c r="D137" s="9" t="s">
        <v>829</v>
      </c>
      <c r="E137" s="26" t="s">
        <v>1124</v>
      </c>
      <c r="F137" s="9" t="s">
        <v>393</v>
      </c>
      <c r="G137" s="9" t="s">
        <v>1222</v>
      </c>
      <c r="H137" s="55"/>
      <c r="I137" s="9"/>
      <c r="X137" s="14">
        <v>4071</v>
      </c>
      <c r="Y137" s="15" t="s">
        <v>830</v>
      </c>
      <c r="Z137" s="15" t="s">
        <v>827</v>
      </c>
      <c r="AA137" s="15" t="s">
        <v>357</v>
      </c>
    </row>
    <row r="138" spans="3:27" x14ac:dyDescent="0.15">
      <c r="C138" s="9" t="s">
        <v>831</v>
      </c>
      <c r="D138" s="9" t="s">
        <v>832</v>
      </c>
      <c r="E138" s="26" t="s">
        <v>44</v>
      </c>
      <c r="F138" s="9" t="s">
        <v>352</v>
      </c>
      <c r="G138" s="9" t="s">
        <v>1218</v>
      </c>
      <c r="H138" s="55"/>
      <c r="I138" s="9"/>
      <c r="X138" s="14">
        <v>4080</v>
      </c>
      <c r="Y138" s="15" t="s">
        <v>833</v>
      </c>
      <c r="Z138" s="15" t="s">
        <v>834</v>
      </c>
      <c r="AA138" s="15" t="s">
        <v>357</v>
      </c>
    </row>
    <row r="139" spans="3:27" x14ac:dyDescent="0.15">
      <c r="C139" s="9" t="s">
        <v>835</v>
      </c>
      <c r="D139" s="9" t="s">
        <v>836</v>
      </c>
      <c r="E139" s="26" t="s">
        <v>44</v>
      </c>
      <c r="F139" s="9" t="s">
        <v>393</v>
      </c>
      <c r="G139" s="9" t="s">
        <v>1222</v>
      </c>
      <c r="H139" s="55"/>
      <c r="I139" s="9"/>
      <c r="X139" s="14">
        <v>4081</v>
      </c>
      <c r="Y139" s="15" t="s">
        <v>837</v>
      </c>
      <c r="Z139" s="15" t="s">
        <v>838</v>
      </c>
      <c r="AA139" s="15" t="s">
        <v>357</v>
      </c>
    </row>
    <row r="140" spans="3:27" x14ac:dyDescent="0.15">
      <c r="C140" s="9" t="s">
        <v>237</v>
      </c>
      <c r="D140" s="9" t="s">
        <v>3</v>
      </c>
      <c r="E140" s="26" t="s">
        <v>1119</v>
      </c>
      <c r="F140" s="9" t="s">
        <v>352</v>
      </c>
      <c r="G140" s="9" t="s">
        <v>1224</v>
      </c>
      <c r="H140" s="55"/>
      <c r="I140" s="9"/>
      <c r="X140" s="14">
        <v>4090</v>
      </c>
      <c r="Y140" s="15" t="s">
        <v>839</v>
      </c>
      <c r="Z140" s="15" t="s">
        <v>840</v>
      </c>
      <c r="AA140" s="15" t="s">
        <v>357</v>
      </c>
    </row>
    <row r="141" spans="3:27" x14ac:dyDescent="0.15">
      <c r="C141" s="9" t="s">
        <v>67</v>
      </c>
      <c r="D141" s="9" t="s">
        <v>311</v>
      </c>
      <c r="E141" s="26" t="s">
        <v>1119</v>
      </c>
      <c r="F141" s="9" t="s">
        <v>393</v>
      </c>
      <c r="G141" s="9" t="s">
        <v>1224</v>
      </c>
      <c r="H141" s="55"/>
      <c r="I141" s="9"/>
      <c r="X141" s="14">
        <v>4091</v>
      </c>
      <c r="Y141" s="15" t="s">
        <v>841</v>
      </c>
      <c r="Z141" s="15" t="s">
        <v>840</v>
      </c>
      <c r="AA141" s="15" t="s">
        <v>357</v>
      </c>
    </row>
    <row r="142" spans="3:27" x14ac:dyDescent="0.15">
      <c r="C142" s="9" t="s">
        <v>842</v>
      </c>
      <c r="D142" s="9" t="s">
        <v>843</v>
      </c>
      <c r="E142" s="26" t="s">
        <v>253</v>
      </c>
      <c r="F142" s="9" t="s">
        <v>393</v>
      </c>
      <c r="G142" s="9" t="s">
        <v>1224</v>
      </c>
      <c r="H142" s="55"/>
      <c r="I142" s="9"/>
      <c r="X142" s="14">
        <v>5010</v>
      </c>
      <c r="Y142" s="15" t="s">
        <v>844</v>
      </c>
      <c r="Z142" s="15" t="s">
        <v>845</v>
      </c>
      <c r="AA142" s="15" t="s">
        <v>357</v>
      </c>
    </row>
    <row r="143" spans="3:27" x14ac:dyDescent="0.15">
      <c r="C143" s="9" t="s">
        <v>238</v>
      </c>
      <c r="D143" s="9" t="s">
        <v>253</v>
      </c>
      <c r="E143" s="26" t="s">
        <v>552</v>
      </c>
      <c r="F143" s="9" t="s">
        <v>352</v>
      </c>
      <c r="G143" s="9" t="s">
        <v>1224</v>
      </c>
      <c r="H143" s="55"/>
      <c r="I143" s="9"/>
      <c r="X143" s="14">
        <v>5011</v>
      </c>
      <c r="Y143" s="15" t="s">
        <v>846</v>
      </c>
      <c r="Z143" s="15" t="s">
        <v>847</v>
      </c>
      <c r="AA143" s="15" t="s">
        <v>357</v>
      </c>
    </row>
    <row r="144" spans="3:27" x14ac:dyDescent="0.15">
      <c r="C144" s="9" t="s">
        <v>848</v>
      </c>
      <c r="D144" s="9" t="s">
        <v>849</v>
      </c>
      <c r="E144" s="26" t="s">
        <v>552</v>
      </c>
      <c r="F144" s="9" t="s">
        <v>393</v>
      </c>
      <c r="G144" s="9" t="s">
        <v>1224</v>
      </c>
      <c r="H144" s="55"/>
      <c r="I144" s="9"/>
      <c r="X144" s="14">
        <v>5012</v>
      </c>
      <c r="Y144" s="15" t="s">
        <v>850</v>
      </c>
      <c r="Z144" s="15" t="s">
        <v>845</v>
      </c>
      <c r="AA144" s="15" t="s">
        <v>357</v>
      </c>
    </row>
    <row r="145" spans="3:27" x14ac:dyDescent="0.15">
      <c r="C145" s="9" t="s">
        <v>217</v>
      </c>
      <c r="D145" s="9" t="s">
        <v>148</v>
      </c>
      <c r="E145" s="26" t="s">
        <v>40</v>
      </c>
      <c r="F145" s="9" t="s">
        <v>653</v>
      </c>
      <c r="G145" s="9" t="s">
        <v>1225</v>
      </c>
      <c r="H145" s="55"/>
      <c r="I145" s="9"/>
      <c r="X145" s="14">
        <v>5020</v>
      </c>
      <c r="Y145" s="15" t="s">
        <v>851</v>
      </c>
      <c r="Z145" s="15" t="s">
        <v>852</v>
      </c>
      <c r="AA145" s="15" t="s">
        <v>357</v>
      </c>
    </row>
    <row r="146" spans="3:27" x14ac:dyDescent="0.15">
      <c r="C146" s="9" t="s">
        <v>224</v>
      </c>
      <c r="D146" s="9" t="s">
        <v>853</v>
      </c>
      <c r="E146" s="26" t="s">
        <v>1121</v>
      </c>
      <c r="F146" s="9" t="s">
        <v>393</v>
      </c>
      <c r="G146" s="9" t="s">
        <v>1225</v>
      </c>
      <c r="H146" s="55"/>
      <c r="I146" s="9"/>
      <c r="X146" s="14">
        <v>5021</v>
      </c>
      <c r="Y146" s="15" t="s">
        <v>854</v>
      </c>
      <c r="Z146" s="15" t="s">
        <v>855</v>
      </c>
      <c r="AA146" s="15" t="s">
        <v>357</v>
      </c>
    </row>
    <row r="147" spans="3:27" x14ac:dyDescent="0.15">
      <c r="C147" s="9" t="s">
        <v>225</v>
      </c>
      <c r="D147" s="9" t="s">
        <v>856</v>
      </c>
      <c r="E147" s="26" t="s">
        <v>1121</v>
      </c>
      <c r="F147" s="9" t="s">
        <v>393</v>
      </c>
      <c r="G147" s="9" t="s">
        <v>1225</v>
      </c>
      <c r="H147" s="55"/>
      <c r="I147" s="9"/>
      <c r="X147" s="14">
        <v>5022</v>
      </c>
      <c r="Y147" s="15" t="s">
        <v>857</v>
      </c>
      <c r="Z147" s="15" t="s">
        <v>852</v>
      </c>
      <c r="AA147" s="15" t="s">
        <v>357</v>
      </c>
    </row>
    <row r="148" spans="3:27" x14ac:dyDescent="0.15">
      <c r="C148" s="9" t="s">
        <v>226</v>
      </c>
      <c r="D148" s="9" t="s">
        <v>858</v>
      </c>
      <c r="E148" s="26" t="s">
        <v>268</v>
      </c>
      <c r="F148" s="9" t="s">
        <v>352</v>
      </c>
      <c r="G148" s="9" t="s">
        <v>1225</v>
      </c>
      <c r="H148" s="55"/>
      <c r="I148" s="9"/>
      <c r="X148" s="14">
        <v>5030</v>
      </c>
      <c r="Y148" s="15" t="s">
        <v>859</v>
      </c>
      <c r="Z148" s="15" t="s">
        <v>852</v>
      </c>
      <c r="AA148" s="15" t="s">
        <v>357</v>
      </c>
    </row>
    <row r="149" spans="3:27" x14ac:dyDescent="0.15">
      <c r="C149" s="9" t="s">
        <v>227</v>
      </c>
      <c r="D149" s="9" t="s">
        <v>860</v>
      </c>
      <c r="E149" s="26" t="s">
        <v>1121</v>
      </c>
      <c r="F149" s="9" t="s">
        <v>393</v>
      </c>
      <c r="G149" s="9" t="s">
        <v>1225</v>
      </c>
      <c r="H149" s="55"/>
      <c r="I149" s="9"/>
      <c r="X149" s="14">
        <v>5031</v>
      </c>
      <c r="Y149" s="15" t="s">
        <v>861</v>
      </c>
      <c r="Z149" s="15" t="s">
        <v>847</v>
      </c>
      <c r="AA149" s="15" t="s">
        <v>357</v>
      </c>
    </row>
    <row r="150" spans="3:27" x14ac:dyDescent="0.15">
      <c r="C150" s="9" t="s">
        <v>68</v>
      </c>
      <c r="D150" s="9" t="s">
        <v>862</v>
      </c>
      <c r="E150" s="26" t="s">
        <v>1120</v>
      </c>
      <c r="F150" s="9" t="s">
        <v>393</v>
      </c>
      <c r="G150" s="9" t="s">
        <v>1225</v>
      </c>
      <c r="H150" s="55"/>
      <c r="I150" s="9"/>
      <c r="X150" s="14">
        <v>5032</v>
      </c>
      <c r="Y150" s="15" t="s">
        <v>863</v>
      </c>
      <c r="Z150" s="15" t="s">
        <v>852</v>
      </c>
      <c r="AA150" s="15" t="s">
        <v>357</v>
      </c>
    </row>
    <row r="151" spans="3:27" x14ac:dyDescent="0.15">
      <c r="C151" s="9" t="s">
        <v>220</v>
      </c>
      <c r="D151" s="9" t="s">
        <v>864</v>
      </c>
      <c r="E151" s="26" t="s">
        <v>1120</v>
      </c>
      <c r="F151" s="9" t="s">
        <v>393</v>
      </c>
      <c r="G151" s="9" t="s">
        <v>1225</v>
      </c>
      <c r="H151" s="55"/>
      <c r="I151" s="9"/>
      <c r="X151" s="14">
        <v>5040</v>
      </c>
      <c r="Y151" s="15" t="s">
        <v>865</v>
      </c>
      <c r="Z151" s="15" t="s">
        <v>852</v>
      </c>
      <c r="AA151" s="15" t="s">
        <v>357</v>
      </c>
    </row>
    <row r="152" spans="3:27" x14ac:dyDescent="0.15">
      <c r="C152" s="9" t="s">
        <v>69</v>
      </c>
      <c r="D152" s="9" t="s">
        <v>866</v>
      </c>
      <c r="E152" s="26" t="s">
        <v>42</v>
      </c>
      <c r="F152" s="9" t="s">
        <v>352</v>
      </c>
      <c r="G152" s="9" t="s">
        <v>1225</v>
      </c>
      <c r="H152" s="55"/>
      <c r="I152" s="9"/>
      <c r="X152" s="14">
        <v>5041</v>
      </c>
      <c r="Y152" s="15" t="s">
        <v>867</v>
      </c>
      <c r="Z152" s="15" t="s">
        <v>847</v>
      </c>
      <c r="AA152" s="15" t="s">
        <v>357</v>
      </c>
    </row>
    <row r="153" spans="3:27" x14ac:dyDescent="0.15">
      <c r="C153" s="9" t="s">
        <v>221</v>
      </c>
      <c r="D153" s="9" t="s">
        <v>868</v>
      </c>
      <c r="E153" s="26" t="s">
        <v>42</v>
      </c>
      <c r="F153" s="9" t="s">
        <v>393</v>
      </c>
      <c r="G153" s="9" t="s">
        <v>1225</v>
      </c>
      <c r="H153" s="55"/>
      <c r="I153" s="9"/>
      <c r="X153" s="14">
        <v>5042</v>
      </c>
      <c r="Y153" s="15" t="s">
        <v>869</v>
      </c>
      <c r="Z153" s="15" t="s">
        <v>852</v>
      </c>
      <c r="AA153" s="15" t="s">
        <v>357</v>
      </c>
    </row>
    <row r="154" spans="3:27" x14ac:dyDescent="0.15">
      <c r="C154" s="9" t="s">
        <v>70</v>
      </c>
      <c r="D154" s="9" t="s">
        <v>870</v>
      </c>
      <c r="E154" s="26" t="s">
        <v>1129</v>
      </c>
      <c r="F154" s="9" t="s">
        <v>393</v>
      </c>
      <c r="G154" s="9" t="s">
        <v>1225</v>
      </c>
      <c r="H154" s="55"/>
      <c r="I154" s="9"/>
      <c r="X154" s="14">
        <v>5050</v>
      </c>
      <c r="Y154" s="15" t="s">
        <v>871</v>
      </c>
      <c r="Z154" s="15" t="s">
        <v>852</v>
      </c>
      <c r="AA154" s="15" t="s">
        <v>357</v>
      </c>
    </row>
    <row r="155" spans="3:27" x14ac:dyDescent="0.15">
      <c r="C155" s="9" t="s">
        <v>228</v>
      </c>
      <c r="D155" s="9" t="s">
        <v>872</v>
      </c>
      <c r="E155" s="26" t="s">
        <v>1129</v>
      </c>
      <c r="F155" s="9" t="s">
        <v>393</v>
      </c>
      <c r="G155" s="9" t="s">
        <v>1225</v>
      </c>
      <c r="H155" s="55"/>
      <c r="I155" s="9"/>
      <c r="X155" s="14">
        <v>5051</v>
      </c>
      <c r="Y155" s="15" t="s">
        <v>873</v>
      </c>
      <c r="Z155" s="15" t="s">
        <v>847</v>
      </c>
      <c r="AA155" s="15" t="s">
        <v>357</v>
      </c>
    </row>
    <row r="156" spans="3:27" x14ac:dyDescent="0.15">
      <c r="C156" s="9" t="s">
        <v>71</v>
      </c>
      <c r="D156" s="9" t="s">
        <v>874</v>
      </c>
      <c r="E156" s="26" t="s">
        <v>43</v>
      </c>
      <c r="F156" s="9" t="s">
        <v>352</v>
      </c>
      <c r="G156" s="9" t="s">
        <v>1225</v>
      </c>
      <c r="H156" s="55"/>
      <c r="I156" s="9"/>
      <c r="X156" s="14">
        <v>5052</v>
      </c>
      <c r="Y156" s="15" t="s">
        <v>875</v>
      </c>
      <c r="Z156" s="15" t="s">
        <v>852</v>
      </c>
      <c r="AA156" s="15" t="s">
        <v>357</v>
      </c>
    </row>
    <row r="157" spans="3:27" x14ac:dyDescent="0.15">
      <c r="C157" s="9" t="s">
        <v>229</v>
      </c>
      <c r="D157" s="9" t="s">
        <v>876</v>
      </c>
      <c r="E157" s="26" t="s">
        <v>43</v>
      </c>
      <c r="F157" s="9" t="s">
        <v>393</v>
      </c>
      <c r="G157" s="9" t="s">
        <v>1225</v>
      </c>
      <c r="H157" s="55"/>
      <c r="I157" s="9"/>
      <c r="X157" s="14">
        <v>5060</v>
      </c>
      <c r="Y157" s="15" t="s">
        <v>877</v>
      </c>
      <c r="Z157" s="15" t="s">
        <v>878</v>
      </c>
      <c r="AA157" s="15" t="s">
        <v>357</v>
      </c>
    </row>
    <row r="158" spans="3:27" x14ac:dyDescent="0.15">
      <c r="C158" s="9" t="s">
        <v>72</v>
      </c>
      <c r="D158" s="9" t="s">
        <v>879</v>
      </c>
      <c r="E158" s="26" t="s">
        <v>1131</v>
      </c>
      <c r="F158" s="9" t="s">
        <v>393</v>
      </c>
      <c r="G158" s="9" t="s">
        <v>1225</v>
      </c>
      <c r="H158" s="55"/>
      <c r="I158" s="9"/>
      <c r="X158" s="14">
        <v>5061</v>
      </c>
      <c r="Y158" s="15" t="s">
        <v>880</v>
      </c>
      <c r="Z158" s="15" t="s">
        <v>878</v>
      </c>
      <c r="AA158" s="15" t="s">
        <v>357</v>
      </c>
    </row>
    <row r="159" spans="3:27" x14ac:dyDescent="0.15">
      <c r="C159" s="9" t="s">
        <v>222</v>
      </c>
      <c r="D159" s="9" t="s">
        <v>881</v>
      </c>
      <c r="E159" s="26" t="s">
        <v>40</v>
      </c>
      <c r="F159" s="9" t="s">
        <v>393</v>
      </c>
      <c r="G159" s="9" t="s">
        <v>1225</v>
      </c>
      <c r="H159" s="55"/>
      <c r="I159" s="9"/>
      <c r="X159" s="14">
        <v>5070</v>
      </c>
      <c r="Y159" s="15" t="s">
        <v>882</v>
      </c>
      <c r="Z159" s="15" t="s">
        <v>883</v>
      </c>
      <c r="AA159" s="15" t="s">
        <v>357</v>
      </c>
    </row>
    <row r="160" spans="3:27" x14ac:dyDescent="0.15">
      <c r="C160" s="9" t="s">
        <v>73</v>
      </c>
      <c r="D160" s="9" t="s">
        <v>884</v>
      </c>
      <c r="E160" s="26" t="s">
        <v>1130</v>
      </c>
      <c r="F160" s="9" t="s">
        <v>352</v>
      </c>
      <c r="G160" s="9" t="s">
        <v>1225</v>
      </c>
      <c r="H160" s="55"/>
      <c r="I160" s="9"/>
      <c r="X160" s="14">
        <v>5071</v>
      </c>
      <c r="Y160" s="15" t="s">
        <v>885</v>
      </c>
      <c r="Z160" s="15" t="s">
        <v>847</v>
      </c>
      <c r="AA160" s="15" t="s">
        <v>357</v>
      </c>
    </row>
    <row r="161" spans="3:27" x14ac:dyDescent="0.15">
      <c r="C161" s="9" t="s">
        <v>223</v>
      </c>
      <c r="D161" s="9" t="s">
        <v>886</v>
      </c>
      <c r="E161" s="26" t="s">
        <v>40</v>
      </c>
      <c r="F161" s="9" t="s">
        <v>393</v>
      </c>
      <c r="G161" s="9" t="s">
        <v>1225</v>
      </c>
      <c r="H161" s="55"/>
      <c r="I161" s="9"/>
      <c r="X161" s="14">
        <v>5072</v>
      </c>
      <c r="Y161" s="15" t="s">
        <v>887</v>
      </c>
      <c r="Z161" s="15" t="s">
        <v>883</v>
      </c>
      <c r="AA161" s="15" t="s">
        <v>357</v>
      </c>
    </row>
    <row r="162" spans="3:27" x14ac:dyDescent="0.15">
      <c r="C162" s="9" t="s">
        <v>74</v>
      </c>
      <c r="D162" s="9" t="s">
        <v>888</v>
      </c>
      <c r="E162" s="26" t="s">
        <v>1124</v>
      </c>
      <c r="F162" s="9" t="s">
        <v>393</v>
      </c>
      <c r="G162" s="9" t="s">
        <v>1225</v>
      </c>
      <c r="H162" s="55"/>
      <c r="I162" s="9"/>
      <c r="X162" s="14">
        <v>5080</v>
      </c>
      <c r="Y162" s="15" t="s">
        <v>889</v>
      </c>
      <c r="Z162" s="15" t="s">
        <v>890</v>
      </c>
      <c r="AA162" s="15" t="s">
        <v>357</v>
      </c>
    </row>
    <row r="163" spans="3:27" x14ac:dyDescent="0.15">
      <c r="C163" s="9" t="s">
        <v>218</v>
      </c>
      <c r="D163" s="9" t="s">
        <v>891</v>
      </c>
      <c r="E163" s="26" t="s">
        <v>1124</v>
      </c>
      <c r="F163" s="9" t="s">
        <v>393</v>
      </c>
      <c r="G163" s="9" t="s">
        <v>1225</v>
      </c>
      <c r="H163" s="55"/>
      <c r="I163" s="9"/>
      <c r="X163" s="14">
        <v>5081</v>
      </c>
      <c r="Y163" s="15" t="s">
        <v>892</v>
      </c>
      <c r="Z163" s="15" t="s">
        <v>893</v>
      </c>
      <c r="AA163" s="15" t="s">
        <v>357</v>
      </c>
    </row>
    <row r="164" spans="3:27" x14ac:dyDescent="0.15">
      <c r="C164" s="9" t="s">
        <v>75</v>
      </c>
      <c r="D164" s="9" t="s">
        <v>894</v>
      </c>
      <c r="E164" s="26" t="s">
        <v>44</v>
      </c>
      <c r="F164" s="9" t="s">
        <v>352</v>
      </c>
      <c r="G164" s="9" t="s">
        <v>1225</v>
      </c>
      <c r="H164" s="55"/>
      <c r="I164" s="9"/>
      <c r="X164" s="14">
        <v>5090</v>
      </c>
      <c r="Y164" s="15" t="s">
        <v>895</v>
      </c>
      <c r="Z164" s="15" t="s">
        <v>852</v>
      </c>
      <c r="AA164" s="15" t="s">
        <v>357</v>
      </c>
    </row>
    <row r="165" spans="3:27" x14ac:dyDescent="0.15">
      <c r="C165" s="9" t="s">
        <v>219</v>
      </c>
      <c r="D165" s="9" t="s">
        <v>896</v>
      </c>
      <c r="E165" s="26" t="s">
        <v>44</v>
      </c>
      <c r="F165" s="9" t="s">
        <v>393</v>
      </c>
      <c r="G165" s="9" t="s">
        <v>1225</v>
      </c>
      <c r="H165" s="55"/>
      <c r="I165" s="9"/>
      <c r="X165" s="14">
        <v>5091</v>
      </c>
      <c r="Y165" s="15" t="s">
        <v>897</v>
      </c>
      <c r="Z165" s="15" t="s">
        <v>847</v>
      </c>
      <c r="AA165" s="15" t="s">
        <v>357</v>
      </c>
    </row>
    <row r="166" spans="3:27" x14ac:dyDescent="0.15">
      <c r="C166" s="9" t="s">
        <v>76</v>
      </c>
      <c r="D166" s="9" t="s">
        <v>898</v>
      </c>
      <c r="E166" s="26" t="s">
        <v>1131</v>
      </c>
      <c r="F166" s="9" t="s">
        <v>393</v>
      </c>
      <c r="G166" s="9" t="s">
        <v>1220</v>
      </c>
      <c r="H166" s="55"/>
      <c r="I166" s="9"/>
      <c r="X166" s="14">
        <v>5092</v>
      </c>
      <c r="Y166" s="15" t="s">
        <v>899</v>
      </c>
      <c r="Z166" s="15" t="s">
        <v>852</v>
      </c>
      <c r="AA166" s="15" t="s">
        <v>357</v>
      </c>
    </row>
    <row r="167" spans="3:27" x14ac:dyDescent="0.15">
      <c r="C167" s="9" t="s">
        <v>180</v>
      </c>
      <c r="D167" s="9" t="s">
        <v>900</v>
      </c>
      <c r="E167" s="26" t="s">
        <v>1131</v>
      </c>
      <c r="F167" s="9" t="s">
        <v>393</v>
      </c>
      <c r="G167" s="9" t="s">
        <v>1220</v>
      </c>
      <c r="H167" s="55"/>
      <c r="I167" s="9"/>
      <c r="X167" s="14">
        <v>5100</v>
      </c>
      <c r="Y167" s="15" t="s">
        <v>901</v>
      </c>
      <c r="Z167" s="15" t="s">
        <v>902</v>
      </c>
      <c r="AA167" s="15" t="s">
        <v>357</v>
      </c>
    </row>
    <row r="168" spans="3:27" x14ac:dyDescent="0.15">
      <c r="C168" s="9" t="s">
        <v>181</v>
      </c>
      <c r="D168" s="9" t="s">
        <v>903</v>
      </c>
      <c r="E168" s="26" t="s">
        <v>40</v>
      </c>
      <c r="F168" s="9" t="s">
        <v>352</v>
      </c>
      <c r="G168" s="9" t="s">
        <v>1220</v>
      </c>
      <c r="H168" s="55"/>
      <c r="I168" s="9"/>
      <c r="X168" s="14">
        <v>5101</v>
      </c>
      <c r="Y168" s="15" t="s">
        <v>904</v>
      </c>
      <c r="Z168" s="15" t="s">
        <v>902</v>
      </c>
      <c r="AA168" s="15" t="s">
        <v>357</v>
      </c>
    </row>
    <row r="169" spans="3:27" x14ac:dyDescent="0.15">
      <c r="C169" s="9" t="s">
        <v>182</v>
      </c>
      <c r="D169" s="9" t="s">
        <v>905</v>
      </c>
      <c r="E169" s="26" t="s">
        <v>40</v>
      </c>
      <c r="F169" s="9" t="s">
        <v>393</v>
      </c>
      <c r="G169" s="9" t="s">
        <v>1220</v>
      </c>
      <c r="H169" s="55"/>
      <c r="I169" s="9"/>
      <c r="X169" s="14">
        <v>5110</v>
      </c>
      <c r="Y169" s="15" t="s">
        <v>906</v>
      </c>
      <c r="Z169" s="15" t="s">
        <v>907</v>
      </c>
      <c r="AA169" s="15" t="s">
        <v>357</v>
      </c>
    </row>
    <row r="170" spans="3:27" x14ac:dyDescent="0.15">
      <c r="C170" s="9" t="s">
        <v>77</v>
      </c>
      <c r="D170" s="9" t="s">
        <v>908</v>
      </c>
      <c r="E170" s="26" t="s">
        <v>1123</v>
      </c>
      <c r="F170" s="9" t="s">
        <v>393</v>
      </c>
      <c r="G170" s="9" t="s">
        <v>1220</v>
      </c>
      <c r="H170" s="55"/>
      <c r="I170" s="9"/>
      <c r="X170" s="14">
        <v>5111</v>
      </c>
      <c r="Y170" s="15" t="s">
        <v>909</v>
      </c>
      <c r="Z170" s="15" t="s">
        <v>907</v>
      </c>
      <c r="AA170" s="15" t="s">
        <v>357</v>
      </c>
    </row>
    <row r="171" spans="3:27" x14ac:dyDescent="0.15">
      <c r="C171" s="9" t="s">
        <v>178</v>
      </c>
      <c r="D171" s="9" t="s">
        <v>910</v>
      </c>
      <c r="E171" s="26" t="s">
        <v>1123</v>
      </c>
      <c r="F171" s="9" t="s">
        <v>393</v>
      </c>
      <c r="G171" s="9" t="s">
        <v>1220</v>
      </c>
      <c r="H171" s="55"/>
      <c r="I171" s="9"/>
      <c r="X171" s="14">
        <v>5120</v>
      </c>
      <c r="Y171" s="15" t="s">
        <v>911</v>
      </c>
      <c r="Z171" s="15" t="s">
        <v>907</v>
      </c>
      <c r="AA171" s="15" t="s">
        <v>357</v>
      </c>
    </row>
    <row r="172" spans="3:27" x14ac:dyDescent="0.15">
      <c r="C172" s="9" t="s">
        <v>78</v>
      </c>
      <c r="D172" s="9" t="s">
        <v>912</v>
      </c>
      <c r="E172" s="26" t="s">
        <v>45</v>
      </c>
      <c r="F172" s="9" t="s">
        <v>352</v>
      </c>
      <c r="G172" s="9" t="s">
        <v>1220</v>
      </c>
      <c r="H172" s="55"/>
      <c r="I172" s="9"/>
      <c r="X172" s="14">
        <v>5121</v>
      </c>
      <c r="Y172" s="15" t="s">
        <v>913</v>
      </c>
      <c r="Z172" s="15" t="s">
        <v>907</v>
      </c>
      <c r="AA172" s="15" t="s">
        <v>357</v>
      </c>
    </row>
    <row r="173" spans="3:27" x14ac:dyDescent="0.15">
      <c r="C173" s="9" t="s">
        <v>179</v>
      </c>
      <c r="D173" s="9" t="s">
        <v>914</v>
      </c>
      <c r="E173" s="26" t="s">
        <v>45</v>
      </c>
      <c r="F173" s="9" t="s">
        <v>393</v>
      </c>
      <c r="G173" s="9" t="s">
        <v>1220</v>
      </c>
      <c r="H173" s="55"/>
      <c r="I173" s="9"/>
      <c r="X173" s="14">
        <v>5130</v>
      </c>
      <c r="Y173" s="15" t="s">
        <v>915</v>
      </c>
      <c r="Z173" s="15" t="s">
        <v>907</v>
      </c>
      <c r="AA173" s="15" t="s">
        <v>357</v>
      </c>
    </row>
    <row r="174" spans="3:27" x14ac:dyDescent="0.15">
      <c r="C174" s="9" t="s">
        <v>183</v>
      </c>
      <c r="D174" s="9" t="s">
        <v>916</v>
      </c>
      <c r="E174" s="26" t="s">
        <v>1123</v>
      </c>
      <c r="F174" s="9" t="s">
        <v>393</v>
      </c>
      <c r="G174" s="9" t="s">
        <v>1220</v>
      </c>
      <c r="H174" s="55"/>
      <c r="I174" s="9"/>
      <c r="X174" s="14">
        <v>5131</v>
      </c>
      <c r="Y174" s="15" t="s">
        <v>917</v>
      </c>
      <c r="Z174" s="15" t="s">
        <v>907</v>
      </c>
      <c r="AA174" s="15" t="s">
        <v>357</v>
      </c>
    </row>
    <row r="175" spans="3:27" x14ac:dyDescent="0.15">
      <c r="C175" s="9" t="s">
        <v>184</v>
      </c>
      <c r="D175" s="9" t="s">
        <v>918</v>
      </c>
      <c r="E175" s="26" t="s">
        <v>1123</v>
      </c>
      <c r="F175" s="9" t="s">
        <v>393</v>
      </c>
      <c r="G175" s="9" t="s">
        <v>1220</v>
      </c>
      <c r="H175" s="55"/>
      <c r="I175" s="9"/>
      <c r="X175" s="14">
        <v>5140</v>
      </c>
      <c r="Y175" s="15" t="s">
        <v>919</v>
      </c>
      <c r="Z175" s="15" t="s">
        <v>907</v>
      </c>
      <c r="AA175" s="15" t="s">
        <v>357</v>
      </c>
    </row>
    <row r="176" spans="3:27" x14ac:dyDescent="0.15">
      <c r="C176" s="9" t="s">
        <v>185</v>
      </c>
      <c r="D176" s="9" t="s">
        <v>920</v>
      </c>
      <c r="E176" s="26" t="s">
        <v>45</v>
      </c>
      <c r="F176" s="9" t="s">
        <v>352</v>
      </c>
      <c r="G176" s="9" t="s">
        <v>1220</v>
      </c>
      <c r="H176" s="55"/>
      <c r="I176" s="9"/>
      <c r="X176" s="14">
        <v>5141</v>
      </c>
      <c r="Y176" s="15" t="s">
        <v>921</v>
      </c>
      <c r="Z176" s="15" t="s">
        <v>907</v>
      </c>
      <c r="AA176" s="15" t="s">
        <v>357</v>
      </c>
    </row>
    <row r="177" spans="3:27" x14ac:dyDescent="0.15">
      <c r="C177" s="9" t="s">
        <v>186</v>
      </c>
      <c r="D177" s="9" t="s">
        <v>922</v>
      </c>
      <c r="E177" s="26" t="s">
        <v>45</v>
      </c>
      <c r="F177" s="9" t="s">
        <v>393</v>
      </c>
      <c r="G177" s="9" t="s">
        <v>1220</v>
      </c>
      <c r="H177" s="55"/>
      <c r="I177" s="9"/>
      <c r="X177" s="14">
        <v>5150</v>
      </c>
      <c r="Y177" s="15" t="s">
        <v>923</v>
      </c>
      <c r="Z177" s="15" t="s">
        <v>907</v>
      </c>
      <c r="AA177" s="15" t="s">
        <v>357</v>
      </c>
    </row>
    <row r="178" spans="3:27" x14ac:dyDescent="0.15">
      <c r="C178" s="9" t="s">
        <v>79</v>
      </c>
      <c r="D178" s="9" t="s">
        <v>924</v>
      </c>
      <c r="E178" s="26" t="s">
        <v>1134</v>
      </c>
      <c r="F178" s="9" t="s">
        <v>393</v>
      </c>
      <c r="G178" s="9" t="s">
        <v>1225</v>
      </c>
      <c r="H178" s="55"/>
      <c r="I178" s="9"/>
      <c r="X178" s="14">
        <v>5151</v>
      </c>
      <c r="Y178" s="15" t="s">
        <v>925</v>
      </c>
      <c r="Z178" s="15" t="s">
        <v>907</v>
      </c>
      <c r="AA178" s="15" t="s">
        <v>357</v>
      </c>
    </row>
    <row r="179" spans="3:27" x14ac:dyDescent="0.15">
      <c r="C179" s="9" t="s">
        <v>149</v>
      </c>
      <c r="D179" s="9" t="s">
        <v>926</v>
      </c>
      <c r="E179" s="26" t="s">
        <v>1134</v>
      </c>
      <c r="F179" s="9" t="s">
        <v>393</v>
      </c>
      <c r="G179" s="9" t="s">
        <v>1225</v>
      </c>
      <c r="H179" s="55"/>
      <c r="I179" s="9"/>
      <c r="X179" s="14">
        <v>7010</v>
      </c>
      <c r="Y179" s="15" t="s">
        <v>927</v>
      </c>
      <c r="Z179" s="15" t="s">
        <v>928</v>
      </c>
      <c r="AA179" s="15" t="s">
        <v>357</v>
      </c>
    </row>
    <row r="180" spans="3:27" x14ac:dyDescent="0.15">
      <c r="C180" s="9" t="s">
        <v>150</v>
      </c>
      <c r="D180" s="9" t="s">
        <v>929</v>
      </c>
      <c r="E180" s="26" t="s">
        <v>1135</v>
      </c>
      <c r="F180" s="9" t="s">
        <v>352</v>
      </c>
      <c r="G180" s="9" t="s">
        <v>1225</v>
      </c>
      <c r="H180" s="55"/>
      <c r="I180" s="9"/>
      <c r="X180" s="14">
        <v>7011</v>
      </c>
      <c r="Y180" s="15" t="s">
        <v>930</v>
      </c>
      <c r="Z180" s="15" t="s">
        <v>928</v>
      </c>
      <c r="AA180" s="15" t="s">
        <v>357</v>
      </c>
    </row>
    <row r="181" spans="3:27" x14ac:dyDescent="0.15">
      <c r="C181" s="9" t="s">
        <v>151</v>
      </c>
      <c r="D181" s="9" t="s">
        <v>931</v>
      </c>
      <c r="E181" s="26" t="s">
        <v>1135</v>
      </c>
      <c r="F181" s="9" t="s">
        <v>393</v>
      </c>
      <c r="G181" s="9" t="s">
        <v>1225</v>
      </c>
      <c r="H181" s="55"/>
      <c r="I181" s="9"/>
      <c r="X181" s="14">
        <v>7012</v>
      </c>
      <c r="Y181" s="15" t="s">
        <v>932</v>
      </c>
      <c r="Z181" s="15" t="s">
        <v>933</v>
      </c>
      <c r="AA181" s="15" t="s">
        <v>357</v>
      </c>
    </row>
    <row r="182" spans="3:27" x14ac:dyDescent="0.15">
      <c r="C182" s="9" t="s">
        <v>111</v>
      </c>
      <c r="D182" s="9" t="s">
        <v>934</v>
      </c>
      <c r="E182" s="26" t="s">
        <v>1121</v>
      </c>
      <c r="F182" s="9" t="s">
        <v>393</v>
      </c>
      <c r="G182" s="9" t="s">
        <v>1218</v>
      </c>
      <c r="H182" s="55"/>
      <c r="I182" s="9"/>
      <c r="X182" s="14">
        <v>7013</v>
      </c>
      <c r="Y182" s="15" t="s">
        <v>935</v>
      </c>
      <c r="Z182" s="15" t="s">
        <v>933</v>
      </c>
      <c r="AA182" s="15" t="s">
        <v>357</v>
      </c>
    </row>
    <row r="183" spans="3:27" x14ac:dyDescent="0.15">
      <c r="C183" s="9" t="s">
        <v>130</v>
      </c>
      <c r="D183" s="9" t="s">
        <v>936</v>
      </c>
      <c r="E183" s="26" t="s">
        <v>1121</v>
      </c>
      <c r="F183" s="9" t="s">
        <v>393</v>
      </c>
      <c r="G183" s="9" t="s">
        <v>1218</v>
      </c>
      <c r="H183" s="55"/>
      <c r="I183" s="9"/>
      <c r="X183" s="14">
        <v>7015</v>
      </c>
      <c r="Y183" s="15" t="s">
        <v>510</v>
      </c>
      <c r="Z183" s="15" t="s">
        <v>511</v>
      </c>
      <c r="AA183" s="15" t="s">
        <v>357</v>
      </c>
    </row>
    <row r="184" spans="3:27" x14ac:dyDescent="0.15">
      <c r="C184" s="9" t="s">
        <v>131</v>
      </c>
      <c r="D184" s="9" t="s">
        <v>937</v>
      </c>
      <c r="E184" s="26" t="s">
        <v>268</v>
      </c>
      <c r="F184" s="9" t="s">
        <v>352</v>
      </c>
      <c r="G184" s="9" t="s">
        <v>1218</v>
      </c>
      <c r="H184" s="55"/>
      <c r="I184" s="9"/>
      <c r="X184" s="14">
        <v>7020</v>
      </c>
      <c r="Y184" s="15" t="s">
        <v>515</v>
      </c>
      <c r="Z184" s="15" t="s">
        <v>516</v>
      </c>
      <c r="AA184" s="15" t="s">
        <v>357</v>
      </c>
    </row>
    <row r="185" spans="3:27" x14ac:dyDescent="0.15">
      <c r="C185" s="9" t="s">
        <v>132</v>
      </c>
      <c r="D185" s="9" t="s">
        <v>938</v>
      </c>
      <c r="E185" s="26" t="s">
        <v>268</v>
      </c>
      <c r="F185" s="9" t="s">
        <v>393</v>
      </c>
      <c r="G185" s="9" t="s">
        <v>1218</v>
      </c>
      <c r="H185" s="55"/>
      <c r="I185" s="9"/>
      <c r="X185" s="14">
        <v>7021</v>
      </c>
      <c r="Y185" s="15" t="s">
        <v>939</v>
      </c>
      <c r="Z185" s="15" t="s">
        <v>940</v>
      </c>
      <c r="AA185" s="15" t="s">
        <v>357</v>
      </c>
    </row>
    <row r="186" spans="3:27" x14ac:dyDescent="0.15">
      <c r="C186" s="9" t="s">
        <v>114</v>
      </c>
      <c r="D186" s="9" t="s">
        <v>941</v>
      </c>
      <c r="E186" s="26" t="s">
        <v>1120</v>
      </c>
      <c r="F186" s="9" t="s">
        <v>393</v>
      </c>
      <c r="G186" s="9" t="s">
        <v>1218</v>
      </c>
      <c r="H186" s="55"/>
      <c r="I186" s="9"/>
      <c r="X186" s="14">
        <v>7022</v>
      </c>
      <c r="Y186" s="15" t="s">
        <v>942</v>
      </c>
      <c r="Z186" s="15" t="s">
        <v>943</v>
      </c>
      <c r="AA186" s="15" t="s">
        <v>357</v>
      </c>
    </row>
    <row r="187" spans="3:27" x14ac:dyDescent="0.15">
      <c r="C187" s="9" t="s">
        <v>128</v>
      </c>
      <c r="D187" s="9" t="s">
        <v>944</v>
      </c>
      <c r="E187" s="26" t="s">
        <v>1120</v>
      </c>
      <c r="F187" s="9" t="s">
        <v>393</v>
      </c>
      <c r="G187" s="9" t="s">
        <v>1218</v>
      </c>
      <c r="H187" s="55"/>
      <c r="I187" s="9"/>
      <c r="X187" s="14">
        <v>7025</v>
      </c>
      <c r="Y187" s="15" t="s">
        <v>945</v>
      </c>
      <c r="Z187" s="15" t="s">
        <v>946</v>
      </c>
      <c r="AA187" s="15" t="s">
        <v>357</v>
      </c>
    </row>
    <row r="188" spans="3:27" x14ac:dyDescent="0.15">
      <c r="C188" s="9" t="s">
        <v>112</v>
      </c>
      <c r="D188" s="9" t="s">
        <v>947</v>
      </c>
      <c r="E188" s="26" t="s">
        <v>42</v>
      </c>
      <c r="F188" s="9" t="s">
        <v>352</v>
      </c>
      <c r="G188" s="9" t="s">
        <v>1218</v>
      </c>
      <c r="H188" s="55"/>
      <c r="I188" s="9"/>
      <c r="X188" s="14">
        <v>7030</v>
      </c>
      <c r="Y188" s="15" t="s">
        <v>948</v>
      </c>
      <c r="Z188" s="15" t="s">
        <v>283</v>
      </c>
      <c r="AA188" s="15" t="s">
        <v>357</v>
      </c>
    </row>
    <row r="189" spans="3:27" x14ac:dyDescent="0.15">
      <c r="C189" s="9" t="s">
        <v>129</v>
      </c>
      <c r="D189" s="9" t="s">
        <v>949</v>
      </c>
      <c r="E189" s="26" t="s">
        <v>42</v>
      </c>
      <c r="F189" s="9" t="s">
        <v>393</v>
      </c>
      <c r="G189" s="9" t="s">
        <v>1218</v>
      </c>
      <c r="H189" s="55"/>
      <c r="I189" s="9"/>
      <c r="X189" s="14">
        <v>7031</v>
      </c>
      <c r="Y189" s="15" t="s">
        <v>950</v>
      </c>
      <c r="Z189" s="15" t="s">
        <v>283</v>
      </c>
      <c r="AA189" s="15" t="s">
        <v>357</v>
      </c>
    </row>
    <row r="190" spans="3:27" x14ac:dyDescent="0.15">
      <c r="C190" s="9" t="s">
        <v>115</v>
      </c>
      <c r="D190" s="9" t="s">
        <v>951</v>
      </c>
      <c r="E190" s="26" t="s">
        <v>1129</v>
      </c>
      <c r="F190" s="9" t="s">
        <v>393</v>
      </c>
      <c r="G190" s="9" t="s">
        <v>1218</v>
      </c>
      <c r="H190" s="55"/>
      <c r="I190" s="9"/>
      <c r="X190" s="14">
        <v>7040</v>
      </c>
      <c r="Y190" s="15" t="s">
        <v>952</v>
      </c>
      <c r="Z190" s="15" t="s">
        <v>953</v>
      </c>
      <c r="AA190" s="15" t="s">
        <v>357</v>
      </c>
    </row>
    <row r="191" spans="3:27" x14ac:dyDescent="0.15">
      <c r="C191" s="9" t="s">
        <v>133</v>
      </c>
      <c r="D191" s="9" t="s">
        <v>954</v>
      </c>
      <c r="E191" s="26" t="s">
        <v>1129</v>
      </c>
      <c r="F191" s="9" t="s">
        <v>393</v>
      </c>
      <c r="G191" s="9" t="s">
        <v>1218</v>
      </c>
      <c r="H191" s="55"/>
      <c r="I191" s="9"/>
      <c r="X191" s="14">
        <v>7041</v>
      </c>
      <c r="Y191" s="15" t="s">
        <v>955</v>
      </c>
      <c r="Z191" s="15" t="s">
        <v>956</v>
      </c>
      <c r="AA191" s="15" t="s">
        <v>357</v>
      </c>
    </row>
    <row r="192" spans="3:27" x14ac:dyDescent="0.15">
      <c r="C192" s="9" t="s">
        <v>113</v>
      </c>
      <c r="D192" s="9" t="s">
        <v>957</v>
      </c>
      <c r="E192" s="26" t="s">
        <v>43</v>
      </c>
      <c r="F192" s="9" t="s">
        <v>352</v>
      </c>
      <c r="G192" s="9" t="s">
        <v>1218</v>
      </c>
      <c r="H192" s="55"/>
      <c r="I192" s="9"/>
      <c r="X192" s="14">
        <v>7050</v>
      </c>
      <c r="Y192" s="15" t="s">
        <v>958</v>
      </c>
      <c r="Z192" s="15" t="s">
        <v>959</v>
      </c>
      <c r="AA192" s="15" t="s">
        <v>357</v>
      </c>
    </row>
    <row r="193" spans="3:27" x14ac:dyDescent="0.15">
      <c r="C193" s="9" t="s">
        <v>134</v>
      </c>
      <c r="D193" s="9" t="s">
        <v>960</v>
      </c>
      <c r="E193" s="26" t="s">
        <v>43</v>
      </c>
      <c r="F193" s="9" t="s">
        <v>393</v>
      </c>
      <c r="G193" s="9" t="s">
        <v>1218</v>
      </c>
      <c r="H193" s="55"/>
      <c r="I193" s="9"/>
      <c r="X193" s="14">
        <v>7051</v>
      </c>
      <c r="Y193" s="15" t="s">
        <v>961</v>
      </c>
      <c r="Z193" s="15" t="s">
        <v>959</v>
      </c>
      <c r="AA193" s="15" t="s">
        <v>357</v>
      </c>
    </row>
    <row r="194" spans="3:27" x14ac:dyDescent="0.15">
      <c r="C194" s="9" t="s">
        <v>116</v>
      </c>
      <c r="D194" s="9" t="s">
        <v>962</v>
      </c>
      <c r="E194" s="26" t="s">
        <v>1131</v>
      </c>
      <c r="F194" s="9" t="s">
        <v>393</v>
      </c>
      <c r="G194" s="9" t="s">
        <v>1218</v>
      </c>
      <c r="H194" s="55"/>
      <c r="I194" s="9"/>
      <c r="X194" s="14">
        <v>7060</v>
      </c>
      <c r="Y194" s="15" t="s">
        <v>963</v>
      </c>
      <c r="Z194" s="15" t="s">
        <v>964</v>
      </c>
      <c r="AA194" s="15" t="s">
        <v>357</v>
      </c>
    </row>
    <row r="195" spans="3:27" x14ac:dyDescent="0.15">
      <c r="C195" s="9" t="s">
        <v>126</v>
      </c>
      <c r="D195" s="9" t="s">
        <v>965</v>
      </c>
      <c r="E195" s="26" t="s">
        <v>1131</v>
      </c>
      <c r="F195" s="9" t="s">
        <v>393</v>
      </c>
      <c r="G195" s="9" t="s">
        <v>1218</v>
      </c>
      <c r="H195" s="55"/>
      <c r="I195" s="9"/>
      <c r="X195" s="14">
        <v>7061</v>
      </c>
      <c r="Y195" s="15" t="s">
        <v>966</v>
      </c>
      <c r="Z195" s="15" t="s">
        <v>964</v>
      </c>
      <c r="AA195" s="15" t="s">
        <v>357</v>
      </c>
    </row>
    <row r="196" spans="3:27" x14ac:dyDescent="0.15">
      <c r="C196" s="9" t="s">
        <v>117</v>
      </c>
      <c r="D196" s="9" t="s">
        <v>967</v>
      </c>
      <c r="E196" s="26" t="s">
        <v>40</v>
      </c>
      <c r="F196" s="9" t="s">
        <v>352</v>
      </c>
      <c r="G196" s="9" t="s">
        <v>1218</v>
      </c>
      <c r="H196" s="55"/>
      <c r="I196" s="9"/>
      <c r="X196" s="14">
        <v>7070</v>
      </c>
      <c r="Y196" s="15" t="s">
        <v>968</v>
      </c>
      <c r="Z196" s="15" t="s">
        <v>969</v>
      </c>
      <c r="AA196" s="15" t="s">
        <v>357</v>
      </c>
    </row>
    <row r="197" spans="3:27" x14ac:dyDescent="0.15">
      <c r="C197" s="9" t="s">
        <v>127</v>
      </c>
      <c r="D197" s="9" t="s">
        <v>970</v>
      </c>
      <c r="E197" s="26" t="s">
        <v>40</v>
      </c>
      <c r="F197" s="9" t="s">
        <v>393</v>
      </c>
      <c r="G197" s="9" t="s">
        <v>1218</v>
      </c>
      <c r="H197" s="55"/>
      <c r="I197" s="9"/>
      <c r="X197" s="14">
        <v>7071</v>
      </c>
      <c r="Y197" s="15" t="s">
        <v>971</v>
      </c>
      <c r="Z197" s="15" t="s">
        <v>969</v>
      </c>
      <c r="AA197" s="15" t="s">
        <v>357</v>
      </c>
    </row>
    <row r="198" spans="3:27" x14ac:dyDescent="0.15">
      <c r="C198" s="9" t="s">
        <v>125</v>
      </c>
      <c r="D198" s="9" t="s">
        <v>972</v>
      </c>
      <c r="E198" s="26" t="s">
        <v>1124</v>
      </c>
      <c r="F198" s="9" t="s">
        <v>393</v>
      </c>
      <c r="G198" s="9" t="s">
        <v>1218</v>
      </c>
      <c r="H198" s="55"/>
      <c r="I198" s="9"/>
      <c r="X198" s="14">
        <v>7080</v>
      </c>
      <c r="Y198" s="15" t="s">
        <v>973</v>
      </c>
      <c r="Z198" s="15" t="s">
        <v>974</v>
      </c>
      <c r="AA198" s="15" t="s">
        <v>357</v>
      </c>
    </row>
    <row r="199" spans="3:27" x14ac:dyDescent="0.15">
      <c r="C199" s="9" t="s">
        <v>122</v>
      </c>
      <c r="D199" s="9" t="s">
        <v>975</v>
      </c>
      <c r="E199" s="26" t="s">
        <v>1124</v>
      </c>
      <c r="F199" s="9" t="s">
        <v>393</v>
      </c>
      <c r="G199" s="9" t="s">
        <v>1218</v>
      </c>
      <c r="H199" s="55"/>
      <c r="I199" s="9"/>
      <c r="X199" s="14">
        <v>7090</v>
      </c>
      <c r="Y199" s="15" t="s">
        <v>976</v>
      </c>
      <c r="Z199" s="15" t="s">
        <v>977</v>
      </c>
      <c r="AA199" s="15" t="s">
        <v>357</v>
      </c>
    </row>
    <row r="200" spans="3:27" x14ac:dyDescent="0.15">
      <c r="C200" s="9" t="s">
        <v>123</v>
      </c>
      <c r="D200" s="9" t="s">
        <v>978</v>
      </c>
      <c r="E200" s="26" t="s">
        <v>44</v>
      </c>
      <c r="F200" s="9" t="s">
        <v>352</v>
      </c>
      <c r="G200" s="9" t="s">
        <v>1218</v>
      </c>
      <c r="H200" s="55"/>
      <c r="I200" s="9"/>
      <c r="X200" s="14">
        <v>7091</v>
      </c>
      <c r="Y200" s="15" t="s">
        <v>979</v>
      </c>
      <c r="Z200" s="15" t="s">
        <v>977</v>
      </c>
      <c r="AA200" s="15" t="s">
        <v>357</v>
      </c>
    </row>
    <row r="201" spans="3:27" x14ac:dyDescent="0.15">
      <c r="C201" s="9" t="s">
        <v>124</v>
      </c>
      <c r="D201" s="9" t="s">
        <v>980</v>
      </c>
      <c r="E201" s="26" t="s">
        <v>44</v>
      </c>
      <c r="F201" s="9" t="s">
        <v>393</v>
      </c>
      <c r="G201" s="9" t="s">
        <v>1218</v>
      </c>
      <c r="H201" s="55"/>
      <c r="I201" s="9"/>
      <c r="X201" s="14">
        <v>7120</v>
      </c>
      <c r="Y201" s="15" t="s">
        <v>981</v>
      </c>
      <c r="Z201" s="15" t="s">
        <v>982</v>
      </c>
      <c r="AA201" s="15" t="s">
        <v>357</v>
      </c>
    </row>
    <row r="202" spans="3:27" x14ac:dyDescent="0.15">
      <c r="C202" s="9" t="s">
        <v>135</v>
      </c>
      <c r="D202" s="9" t="s">
        <v>983</v>
      </c>
      <c r="E202" s="26" t="s">
        <v>1124</v>
      </c>
      <c r="F202" s="9" t="s">
        <v>352</v>
      </c>
      <c r="G202" s="9" t="s">
        <v>1218</v>
      </c>
      <c r="H202" s="55"/>
      <c r="I202" s="9"/>
      <c r="X202" s="14">
        <v>7140</v>
      </c>
      <c r="Y202" s="15" t="s">
        <v>984</v>
      </c>
      <c r="Z202" s="15" t="s">
        <v>985</v>
      </c>
      <c r="AA202" s="15" t="s">
        <v>357</v>
      </c>
    </row>
    <row r="203" spans="3:27" x14ac:dyDescent="0.15">
      <c r="C203" s="9" t="s">
        <v>251</v>
      </c>
      <c r="D203" s="9" t="s">
        <v>986</v>
      </c>
      <c r="E203" s="26" t="s">
        <v>1117</v>
      </c>
      <c r="F203" s="9" t="s">
        <v>352</v>
      </c>
      <c r="G203" s="9" t="s">
        <v>1219</v>
      </c>
      <c r="H203" s="55"/>
      <c r="I203" s="9"/>
      <c r="X203" s="14">
        <v>7141</v>
      </c>
      <c r="Y203" s="15" t="s">
        <v>987</v>
      </c>
      <c r="Z203" s="15" t="s">
        <v>988</v>
      </c>
      <c r="AA203" s="15" t="s">
        <v>357</v>
      </c>
    </row>
    <row r="204" spans="3:27" x14ac:dyDescent="0.15">
      <c r="C204" s="9" t="s">
        <v>80</v>
      </c>
      <c r="D204" s="9" t="s">
        <v>989</v>
      </c>
      <c r="E204" s="26" t="s">
        <v>1121</v>
      </c>
      <c r="F204" s="9" t="s">
        <v>393</v>
      </c>
      <c r="G204" s="9" t="s">
        <v>1219</v>
      </c>
      <c r="H204" s="55"/>
      <c r="I204" s="9"/>
      <c r="X204" s="14">
        <v>9001</v>
      </c>
      <c r="Y204" s="15" t="s">
        <v>990</v>
      </c>
      <c r="Z204" s="15" t="s">
        <v>991</v>
      </c>
      <c r="AA204" s="15" t="s">
        <v>357</v>
      </c>
    </row>
    <row r="205" spans="3:27" x14ac:dyDescent="0.15">
      <c r="C205" s="9" t="s">
        <v>246</v>
      </c>
      <c r="D205" s="9" t="s">
        <v>992</v>
      </c>
      <c r="E205" s="26" t="s">
        <v>1121</v>
      </c>
      <c r="F205" s="9" t="s">
        <v>393</v>
      </c>
      <c r="G205" s="9" t="s">
        <v>1219</v>
      </c>
      <c r="H205" s="55"/>
      <c r="I205" s="9"/>
      <c r="X205" s="14">
        <v>9999</v>
      </c>
      <c r="Y205" s="15" t="s">
        <v>993</v>
      </c>
      <c r="Z205" s="15" t="s">
        <v>994</v>
      </c>
      <c r="AA205" s="15" t="s">
        <v>357</v>
      </c>
    </row>
    <row r="206" spans="3:27" x14ac:dyDescent="0.15">
      <c r="C206" s="9" t="s">
        <v>247</v>
      </c>
      <c r="D206" s="9" t="s">
        <v>995</v>
      </c>
      <c r="E206" s="26" t="s">
        <v>268</v>
      </c>
      <c r="F206" s="9" t="s">
        <v>352</v>
      </c>
      <c r="G206" s="9" t="s">
        <v>1219</v>
      </c>
      <c r="H206" s="55"/>
      <c r="I206" s="9"/>
      <c r="X206" s="14">
        <v>8000</v>
      </c>
      <c r="Y206" s="15" t="s">
        <v>996</v>
      </c>
      <c r="Z206" s="15" t="s">
        <v>996</v>
      </c>
      <c r="AA206" s="15" t="s">
        <v>997</v>
      </c>
    </row>
    <row r="207" spans="3:27" x14ac:dyDescent="0.15">
      <c r="C207" s="9" t="s">
        <v>248</v>
      </c>
      <c r="D207" s="9" t="s">
        <v>998</v>
      </c>
      <c r="E207" s="26" t="s">
        <v>268</v>
      </c>
      <c r="F207" s="9" t="s">
        <v>393</v>
      </c>
      <c r="G207" s="9" t="s">
        <v>1219</v>
      </c>
      <c r="H207" s="55"/>
      <c r="I207" s="9"/>
      <c r="X207" s="14">
        <v>8001</v>
      </c>
      <c r="Y207" s="15" t="s">
        <v>999</v>
      </c>
      <c r="Z207" s="15" t="s">
        <v>999</v>
      </c>
      <c r="AA207" s="15" t="s">
        <v>997</v>
      </c>
    </row>
    <row r="208" spans="3:27" x14ac:dyDescent="0.15">
      <c r="C208" s="9" t="s">
        <v>81</v>
      </c>
      <c r="D208" s="9" t="s">
        <v>1000</v>
      </c>
      <c r="E208" s="26" t="s">
        <v>1120</v>
      </c>
      <c r="F208" s="9" t="s">
        <v>393</v>
      </c>
      <c r="G208" s="9" t="s">
        <v>1219</v>
      </c>
      <c r="H208" s="55"/>
      <c r="I208" s="9"/>
      <c r="X208" s="14">
        <v>8002</v>
      </c>
      <c r="Y208" s="15" t="s">
        <v>1001</v>
      </c>
      <c r="Z208" s="15" t="s">
        <v>1002</v>
      </c>
      <c r="AA208" s="15" t="s">
        <v>997</v>
      </c>
    </row>
    <row r="209" spans="3:27" x14ac:dyDescent="0.15">
      <c r="C209" s="9" t="s">
        <v>244</v>
      </c>
      <c r="D209" s="9" t="s">
        <v>1003</v>
      </c>
      <c r="E209" s="26" t="s">
        <v>1120</v>
      </c>
      <c r="F209" s="9" t="s">
        <v>393</v>
      </c>
      <c r="G209" s="9" t="s">
        <v>1219</v>
      </c>
      <c r="H209" s="55"/>
      <c r="I209" s="9"/>
      <c r="X209" s="14">
        <v>8003</v>
      </c>
      <c r="Y209" s="15" t="s">
        <v>1004</v>
      </c>
      <c r="Z209" s="15" t="s">
        <v>1004</v>
      </c>
      <c r="AA209" s="15" t="s">
        <v>997</v>
      </c>
    </row>
    <row r="210" spans="3:27" x14ac:dyDescent="0.15">
      <c r="C210" s="9" t="s">
        <v>82</v>
      </c>
      <c r="D210" s="9" t="s">
        <v>1005</v>
      </c>
      <c r="E210" s="26" t="s">
        <v>42</v>
      </c>
      <c r="F210" s="9" t="s">
        <v>352</v>
      </c>
      <c r="G210" s="9" t="s">
        <v>1219</v>
      </c>
      <c r="H210" s="55"/>
      <c r="I210" s="9"/>
      <c r="X210" s="14">
        <v>8004</v>
      </c>
      <c r="Y210" s="15" t="s">
        <v>1006</v>
      </c>
      <c r="Z210" s="15" t="s">
        <v>1007</v>
      </c>
      <c r="AA210" s="15" t="s">
        <v>997</v>
      </c>
    </row>
    <row r="211" spans="3:27" x14ac:dyDescent="0.15">
      <c r="C211" s="9" t="s">
        <v>245</v>
      </c>
      <c r="D211" s="9" t="s">
        <v>1008</v>
      </c>
      <c r="E211" s="26" t="s">
        <v>42</v>
      </c>
      <c r="F211" s="9" t="s">
        <v>393</v>
      </c>
      <c r="G211" s="9" t="s">
        <v>1219</v>
      </c>
      <c r="H211" s="55"/>
      <c r="I211" s="9"/>
      <c r="X211" s="14">
        <v>8005</v>
      </c>
      <c r="Y211" s="15" t="s">
        <v>990</v>
      </c>
      <c r="Z211" s="15" t="s">
        <v>991</v>
      </c>
      <c r="AA211" s="15" t="s">
        <v>997</v>
      </c>
    </row>
    <row r="212" spans="3:27" x14ac:dyDescent="0.15">
      <c r="C212" s="9" t="s">
        <v>83</v>
      </c>
      <c r="D212" s="9" t="s">
        <v>1009</v>
      </c>
      <c r="E212" s="26" t="s">
        <v>1129</v>
      </c>
      <c r="F212" s="9" t="s">
        <v>393</v>
      </c>
      <c r="G212" s="9" t="s">
        <v>1219</v>
      </c>
      <c r="H212" s="55"/>
      <c r="I212" s="9"/>
      <c r="X212" s="14">
        <v>8006</v>
      </c>
      <c r="Y212" s="15" t="s">
        <v>1010</v>
      </c>
      <c r="Z212" s="15" t="s">
        <v>1011</v>
      </c>
      <c r="AA212" s="15" t="s">
        <v>997</v>
      </c>
    </row>
    <row r="213" spans="3:27" x14ac:dyDescent="0.15">
      <c r="C213" s="9" t="s">
        <v>249</v>
      </c>
      <c r="D213" s="9" t="s">
        <v>1012</v>
      </c>
      <c r="E213" s="26" t="s">
        <v>1129</v>
      </c>
      <c r="F213" s="9" t="s">
        <v>393</v>
      </c>
      <c r="G213" s="9" t="s">
        <v>1219</v>
      </c>
      <c r="H213" s="55"/>
      <c r="I213" s="9"/>
    </row>
    <row r="214" spans="3:27" x14ac:dyDescent="0.15">
      <c r="C214" s="9" t="s">
        <v>84</v>
      </c>
      <c r="D214" s="9" t="s">
        <v>1013</v>
      </c>
      <c r="E214" s="26" t="s">
        <v>43</v>
      </c>
      <c r="F214" s="9" t="s">
        <v>352</v>
      </c>
      <c r="G214" s="9" t="s">
        <v>1219</v>
      </c>
      <c r="H214" s="55"/>
      <c r="I214" s="9"/>
    </row>
    <row r="215" spans="3:27" x14ac:dyDescent="0.15">
      <c r="C215" s="9" t="s">
        <v>250</v>
      </c>
      <c r="D215" s="9" t="s">
        <v>1014</v>
      </c>
      <c r="E215" s="26" t="s">
        <v>43</v>
      </c>
      <c r="F215" s="9" t="s">
        <v>393</v>
      </c>
      <c r="G215" s="9" t="s">
        <v>1219</v>
      </c>
      <c r="H215" s="55"/>
      <c r="I215" s="9"/>
    </row>
    <row r="216" spans="3:27" x14ac:dyDescent="0.15">
      <c r="C216" s="9" t="s">
        <v>85</v>
      </c>
      <c r="D216" s="9" t="s">
        <v>1015</v>
      </c>
      <c r="E216" s="26" t="s">
        <v>1131</v>
      </c>
      <c r="F216" s="9" t="s">
        <v>393</v>
      </c>
      <c r="G216" s="9" t="s">
        <v>1219</v>
      </c>
      <c r="H216" s="55"/>
      <c r="I216" s="9"/>
    </row>
    <row r="217" spans="3:27" x14ac:dyDescent="0.15">
      <c r="C217" s="9" t="s">
        <v>242</v>
      </c>
      <c r="D217" s="9" t="s">
        <v>1016</v>
      </c>
      <c r="E217" s="26" t="s">
        <v>1131</v>
      </c>
      <c r="F217" s="9" t="s">
        <v>393</v>
      </c>
      <c r="G217" s="9" t="s">
        <v>1219</v>
      </c>
      <c r="H217" s="55"/>
      <c r="I217" s="9"/>
    </row>
    <row r="218" spans="3:27" x14ac:dyDescent="0.15">
      <c r="C218" s="9" t="s">
        <v>86</v>
      </c>
      <c r="D218" s="9" t="s">
        <v>1017</v>
      </c>
      <c r="E218" s="26" t="s">
        <v>40</v>
      </c>
      <c r="F218" s="9" t="s">
        <v>352</v>
      </c>
      <c r="G218" s="9" t="s">
        <v>1219</v>
      </c>
      <c r="H218" s="55"/>
      <c r="I218" s="9"/>
    </row>
    <row r="219" spans="3:27" x14ac:dyDescent="0.15">
      <c r="C219" s="9" t="s">
        <v>243</v>
      </c>
      <c r="D219" s="9" t="s">
        <v>1018</v>
      </c>
      <c r="E219" s="26" t="s">
        <v>40</v>
      </c>
      <c r="F219" s="9" t="s">
        <v>393</v>
      </c>
      <c r="G219" s="9" t="s">
        <v>1219</v>
      </c>
      <c r="H219" s="55"/>
      <c r="I219" s="9"/>
    </row>
    <row r="220" spans="3:27" x14ac:dyDescent="0.15">
      <c r="C220" s="9" t="s">
        <v>240</v>
      </c>
      <c r="D220" s="9" t="s">
        <v>1019</v>
      </c>
      <c r="E220" s="26" t="s">
        <v>1124</v>
      </c>
      <c r="F220" s="9" t="s">
        <v>393</v>
      </c>
      <c r="G220" s="9" t="s">
        <v>1219</v>
      </c>
      <c r="H220" s="55"/>
      <c r="I220" s="9"/>
    </row>
    <row r="221" spans="3:27" x14ac:dyDescent="0.15">
      <c r="C221" s="9" t="s">
        <v>241</v>
      </c>
      <c r="D221" s="9" t="s">
        <v>1020</v>
      </c>
      <c r="E221" s="26" t="s">
        <v>1124</v>
      </c>
      <c r="F221" s="9" t="s">
        <v>393</v>
      </c>
      <c r="G221" s="9" t="s">
        <v>1219</v>
      </c>
      <c r="H221" s="55"/>
      <c r="I221" s="9"/>
    </row>
    <row r="222" spans="3:27" x14ac:dyDescent="0.15">
      <c r="C222" s="9" t="s">
        <v>87</v>
      </c>
      <c r="D222" s="9" t="s">
        <v>1021</v>
      </c>
      <c r="E222" s="26" t="s">
        <v>44</v>
      </c>
      <c r="F222" s="9" t="s">
        <v>352</v>
      </c>
      <c r="G222" s="9" t="s">
        <v>1219</v>
      </c>
      <c r="H222" s="55"/>
      <c r="I222" s="9"/>
    </row>
    <row r="223" spans="3:27" x14ac:dyDescent="0.15">
      <c r="C223" s="9" t="s">
        <v>239</v>
      </c>
      <c r="D223" s="9" t="s">
        <v>1022</v>
      </c>
      <c r="E223" s="26" t="s">
        <v>44</v>
      </c>
      <c r="F223" s="9" t="s">
        <v>393</v>
      </c>
      <c r="G223" s="9" t="s">
        <v>1219</v>
      </c>
      <c r="H223" s="55"/>
      <c r="I223" s="9"/>
    </row>
    <row r="224" spans="3:27" x14ac:dyDescent="0.15">
      <c r="C224" s="9" t="s">
        <v>88</v>
      </c>
      <c r="D224" s="9" t="s">
        <v>1023</v>
      </c>
      <c r="E224" s="26" t="s">
        <v>1131</v>
      </c>
      <c r="F224" s="9" t="s">
        <v>393</v>
      </c>
      <c r="G224" s="9" t="s">
        <v>1221</v>
      </c>
      <c r="H224" s="55"/>
      <c r="I224" s="9"/>
    </row>
    <row r="225" spans="3:9" x14ac:dyDescent="0.15">
      <c r="C225" s="9" t="s">
        <v>232</v>
      </c>
      <c r="D225" s="9" t="s">
        <v>1024</v>
      </c>
      <c r="E225" s="26" t="s">
        <v>1131</v>
      </c>
      <c r="F225" s="9" t="s">
        <v>393</v>
      </c>
      <c r="G225" s="9" t="s">
        <v>1221</v>
      </c>
      <c r="H225" s="55"/>
      <c r="I225" s="9"/>
    </row>
    <row r="226" spans="3:9" x14ac:dyDescent="0.15">
      <c r="C226" s="9" t="s">
        <v>89</v>
      </c>
      <c r="D226" s="9" t="s">
        <v>1025</v>
      </c>
      <c r="E226" s="26" t="s">
        <v>40</v>
      </c>
      <c r="F226" s="9" t="s">
        <v>352</v>
      </c>
      <c r="G226" s="9" t="s">
        <v>1221</v>
      </c>
      <c r="H226" s="55"/>
    </row>
    <row r="227" spans="3:9" x14ac:dyDescent="0.15">
      <c r="C227" s="9" t="s">
        <v>233</v>
      </c>
      <c r="D227" s="9" t="s">
        <v>1026</v>
      </c>
      <c r="E227" s="26" t="s">
        <v>40</v>
      </c>
      <c r="F227" s="9" t="s">
        <v>393</v>
      </c>
      <c r="G227" s="9" t="s">
        <v>1221</v>
      </c>
      <c r="H227" s="55"/>
    </row>
    <row r="228" spans="3:9" x14ac:dyDescent="0.15">
      <c r="C228" s="9" t="s">
        <v>90</v>
      </c>
      <c r="D228" s="9" t="s">
        <v>1027</v>
      </c>
      <c r="E228" s="26" t="s">
        <v>1123</v>
      </c>
      <c r="F228" s="9" t="s">
        <v>393</v>
      </c>
      <c r="G228" s="9" t="s">
        <v>1221</v>
      </c>
      <c r="H228" s="55"/>
    </row>
    <row r="229" spans="3:9" x14ac:dyDescent="0.15">
      <c r="C229" s="9" t="s">
        <v>230</v>
      </c>
      <c r="D229" s="9" t="s">
        <v>1028</v>
      </c>
      <c r="E229" s="26" t="s">
        <v>1123</v>
      </c>
      <c r="F229" s="9" t="s">
        <v>393</v>
      </c>
      <c r="G229" s="9" t="s">
        <v>1221</v>
      </c>
      <c r="H229" s="55"/>
    </row>
    <row r="230" spans="3:9" x14ac:dyDescent="0.15">
      <c r="C230" s="9" t="s">
        <v>91</v>
      </c>
      <c r="D230" s="9" t="s">
        <v>1029</v>
      </c>
      <c r="E230" s="26" t="s">
        <v>45</v>
      </c>
      <c r="F230" s="9" t="s">
        <v>352</v>
      </c>
      <c r="G230" s="9" t="s">
        <v>1221</v>
      </c>
      <c r="H230" s="55"/>
    </row>
    <row r="231" spans="3:9" x14ac:dyDescent="0.15">
      <c r="C231" s="9" t="s">
        <v>231</v>
      </c>
      <c r="D231" s="9" t="s">
        <v>1030</v>
      </c>
      <c r="E231" s="26" t="s">
        <v>1123</v>
      </c>
      <c r="F231" s="9" t="s">
        <v>393</v>
      </c>
      <c r="G231" s="9" t="s">
        <v>1221</v>
      </c>
      <c r="H231" s="55"/>
    </row>
    <row r="232" spans="3:9" x14ac:dyDescent="0.15">
      <c r="C232" s="9" t="s">
        <v>234</v>
      </c>
      <c r="D232" s="9" t="s">
        <v>1031</v>
      </c>
      <c r="E232" s="26" t="s">
        <v>1123</v>
      </c>
      <c r="F232" s="9" t="s">
        <v>393</v>
      </c>
      <c r="G232" s="9" t="s">
        <v>1221</v>
      </c>
      <c r="H232" s="55"/>
    </row>
    <row r="233" spans="3:9" x14ac:dyDescent="0.15">
      <c r="C233" s="9" t="s">
        <v>235</v>
      </c>
      <c r="D233" s="9" t="s">
        <v>1032</v>
      </c>
      <c r="E233" s="26" t="s">
        <v>1123</v>
      </c>
      <c r="F233" s="9" t="s">
        <v>393</v>
      </c>
      <c r="G233" s="9" t="s">
        <v>1221</v>
      </c>
      <c r="H233" s="55"/>
    </row>
    <row r="234" spans="3:9" x14ac:dyDescent="0.15">
      <c r="C234" s="9" t="s">
        <v>92</v>
      </c>
      <c r="D234" s="9" t="s">
        <v>1033</v>
      </c>
      <c r="E234" s="26" t="s">
        <v>45</v>
      </c>
      <c r="F234" s="9" t="s">
        <v>352</v>
      </c>
      <c r="G234" s="9" t="s">
        <v>1221</v>
      </c>
      <c r="H234" s="55"/>
    </row>
    <row r="235" spans="3:9" x14ac:dyDescent="0.15">
      <c r="C235" s="9" t="s">
        <v>236</v>
      </c>
      <c r="D235" s="9" t="s">
        <v>1034</v>
      </c>
      <c r="E235" s="26" t="s">
        <v>1123</v>
      </c>
      <c r="F235" s="9" t="s">
        <v>393</v>
      </c>
      <c r="G235" s="9" t="s">
        <v>1221</v>
      </c>
      <c r="H235" s="55"/>
    </row>
    <row r="236" spans="3:9" x14ac:dyDescent="0.15">
      <c r="C236" s="9" t="s">
        <v>163</v>
      </c>
      <c r="D236" s="9" t="s">
        <v>1035</v>
      </c>
      <c r="E236" s="26" t="s">
        <v>1134</v>
      </c>
      <c r="F236" s="9" t="s">
        <v>393</v>
      </c>
      <c r="G236" s="9" t="s">
        <v>1219</v>
      </c>
      <c r="H236" s="55"/>
    </row>
    <row r="237" spans="3:9" x14ac:dyDescent="0.15">
      <c r="C237" s="9" t="s">
        <v>164</v>
      </c>
      <c r="D237" s="9" t="s">
        <v>1036</v>
      </c>
      <c r="E237" s="26" t="s">
        <v>1134</v>
      </c>
      <c r="F237" s="9" t="s">
        <v>393</v>
      </c>
      <c r="G237" s="9" t="s">
        <v>1219</v>
      </c>
      <c r="H237" s="55"/>
    </row>
    <row r="238" spans="3:9" x14ac:dyDescent="0.15">
      <c r="C238" s="9" t="s">
        <v>165</v>
      </c>
      <c r="D238" s="9" t="s">
        <v>1037</v>
      </c>
      <c r="E238" s="26" t="s">
        <v>1135</v>
      </c>
      <c r="F238" s="9" t="s">
        <v>352</v>
      </c>
      <c r="G238" s="9" t="s">
        <v>1219</v>
      </c>
      <c r="H238" s="55"/>
    </row>
    <row r="239" spans="3:9" x14ac:dyDescent="0.15">
      <c r="C239" s="9" t="s">
        <v>166</v>
      </c>
      <c r="D239" s="9" t="s">
        <v>1038</v>
      </c>
      <c r="E239" s="26" t="s">
        <v>1134</v>
      </c>
      <c r="F239" s="9" t="s">
        <v>393</v>
      </c>
      <c r="G239" s="9" t="s">
        <v>1219</v>
      </c>
      <c r="H239" s="55"/>
    </row>
    <row r="240" spans="3:9" x14ac:dyDescent="0.15">
      <c r="C240" s="9" t="s">
        <v>1039</v>
      </c>
      <c r="D240" s="9" t="s">
        <v>1040</v>
      </c>
      <c r="E240" s="26" t="s">
        <v>1124</v>
      </c>
      <c r="F240" s="9" t="s">
        <v>393</v>
      </c>
      <c r="G240" s="9" t="s">
        <v>1223</v>
      </c>
      <c r="H240" s="55"/>
    </row>
    <row r="241" spans="3:8" x14ac:dyDescent="0.15">
      <c r="C241" s="9" t="s">
        <v>1041</v>
      </c>
      <c r="D241" s="9" t="s">
        <v>1042</v>
      </c>
      <c r="E241" s="26" t="s">
        <v>1124</v>
      </c>
      <c r="F241" s="9" t="s">
        <v>393</v>
      </c>
      <c r="G241" s="9" t="s">
        <v>1223</v>
      </c>
      <c r="H241" s="55"/>
    </row>
    <row r="242" spans="3:8" x14ac:dyDescent="0.15">
      <c r="C242" s="9" t="s">
        <v>1043</v>
      </c>
      <c r="D242" s="9" t="s">
        <v>1044</v>
      </c>
      <c r="E242" s="26" t="s">
        <v>44</v>
      </c>
      <c r="F242" s="9" t="s">
        <v>352</v>
      </c>
      <c r="G242" s="9" t="s">
        <v>1223</v>
      </c>
      <c r="H242" s="55"/>
    </row>
    <row r="243" spans="3:8" x14ac:dyDescent="0.15">
      <c r="C243" s="9" t="s">
        <v>1045</v>
      </c>
      <c r="D243" s="9" t="s">
        <v>1046</v>
      </c>
      <c r="E243" s="26" t="s">
        <v>44</v>
      </c>
      <c r="F243" s="9" t="s">
        <v>393</v>
      </c>
      <c r="G243" s="9" t="s">
        <v>1223</v>
      </c>
      <c r="H243" s="55"/>
    </row>
    <row r="244" spans="3:8" x14ac:dyDescent="0.15">
      <c r="C244" s="9" t="s">
        <v>1047</v>
      </c>
      <c r="D244" s="9" t="s">
        <v>1048</v>
      </c>
      <c r="E244" s="26" t="s">
        <v>1124</v>
      </c>
      <c r="F244" s="9" t="s">
        <v>393</v>
      </c>
      <c r="G244" s="9" t="s">
        <v>1223</v>
      </c>
      <c r="H244" s="55"/>
    </row>
    <row r="245" spans="3:8" x14ac:dyDescent="0.15">
      <c r="C245" s="9" t="s">
        <v>1049</v>
      </c>
      <c r="D245" s="9" t="s">
        <v>1050</v>
      </c>
      <c r="E245" s="26" t="s">
        <v>1124</v>
      </c>
      <c r="F245" s="9" t="s">
        <v>393</v>
      </c>
      <c r="G245" s="9" t="s">
        <v>1223</v>
      </c>
      <c r="H245" s="55"/>
    </row>
    <row r="246" spans="3:8" x14ac:dyDescent="0.15">
      <c r="C246" s="9" t="s">
        <v>1051</v>
      </c>
      <c r="D246" s="9" t="s">
        <v>1052</v>
      </c>
      <c r="E246" s="26" t="s">
        <v>44</v>
      </c>
      <c r="F246" s="9" t="s">
        <v>352</v>
      </c>
      <c r="G246" s="9" t="s">
        <v>1218</v>
      </c>
      <c r="H246" s="55"/>
    </row>
    <row r="247" spans="3:8" x14ac:dyDescent="0.15">
      <c r="C247" s="9" t="s">
        <v>1053</v>
      </c>
      <c r="D247" s="9" t="s">
        <v>1054</v>
      </c>
      <c r="E247" s="26" t="s">
        <v>44</v>
      </c>
      <c r="F247" s="9" t="s">
        <v>393</v>
      </c>
      <c r="G247" s="9" t="s">
        <v>1223</v>
      </c>
      <c r="H247" s="55"/>
    </row>
    <row r="248" spans="3:8" x14ac:dyDescent="0.15">
      <c r="C248" s="9" t="s">
        <v>271</v>
      </c>
      <c r="D248" s="9" t="s">
        <v>1055</v>
      </c>
      <c r="E248" s="26" t="s">
        <v>1124</v>
      </c>
      <c r="F248" s="9" t="s">
        <v>393</v>
      </c>
      <c r="G248" s="9" t="s">
        <v>1235</v>
      </c>
      <c r="H248" s="55"/>
    </row>
    <row r="249" spans="3:8" x14ac:dyDescent="0.15">
      <c r="C249" s="9" t="s">
        <v>1056</v>
      </c>
      <c r="D249" s="9" t="s">
        <v>1057</v>
      </c>
      <c r="E249" s="26" t="s">
        <v>1124</v>
      </c>
      <c r="F249" s="9" t="s">
        <v>393</v>
      </c>
      <c r="G249" s="9" t="s">
        <v>1235</v>
      </c>
      <c r="H249" s="55"/>
    </row>
    <row r="250" spans="3:8" x14ac:dyDescent="0.15">
      <c r="C250" s="9" t="s">
        <v>1058</v>
      </c>
      <c r="D250" s="9" t="s">
        <v>1059</v>
      </c>
      <c r="E250" s="26" t="s">
        <v>44</v>
      </c>
      <c r="F250" s="9" t="s">
        <v>352</v>
      </c>
      <c r="G250" s="9" t="s">
        <v>1218</v>
      </c>
      <c r="H250" s="55"/>
    </row>
    <row r="251" spans="3:8" x14ac:dyDescent="0.15">
      <c r="C251" s="9" t="s">
        <v>1060</v>
      </c>
      <c r="D251" s="9" t="s">
        <v>1061</v>
      </c>
      <c r="E251" s="26" t="s">
        <v>44</v>
      </c>
      <c r="F251" s="9" t="s">
        <v>393</v>
      </c>
      <c r="G251" s="9" t="s">
        <v>1235</v>
      </c>
      <c r="H251" s="55"/>
    </row>
    <row r="252" spans="3:8" x14ac:dyDescent="0.15">
      <c r="C252" s="9" t="s">
        <v>1062</v>
      </c>
      <c r="D252" s="9" t="s">
        <v>1063</v>
      </c>
      <c r="E252" s="26" t="s">
        <v>1124</v>
      </c>
      <c r="F252" s="9" t="s">
        <v>352</v>
      </c>
      <c r="G252" s="9" t="s">
        <v>1218</v>
      </c>
      <c r="H252" s="55"/>
    </row>
    <row r="253" spans="3:8" x14ac:dyDescent="0.15">
      <c r="C253" s="9" t="s">
        <v>270</v>
      </c>
      <c r="D253" s="9" t="s">
        <v>1064</v>
      </c>
      <c r="E253" s="26" t="s">
        <v>1124</v>
      </c>
      <c r="F253" s="9" t="s">
        <v>393</v>
      </c>
      <c r="G253" s="9" t="s">
        <v>1235</v>
      </c>
      <c r="H253" s="55"/>
    </row>
    <row r="254" spans="3:8" x14ac:dyDescent="0.15">
      <c r="C254" s="9" t="s">
        <v>1065</v>
      </c>
      <c r="D254" s="9" t="s">
        <v>1066</v>
      </c>
      <c r="E254" s="26" t="s">
        <v>1124</v>
      </c>
      <c r="F254" s="9" t="s">
        <v>393</v>
      </c>
      <c r="G254" s="9" t="s">
        <v>1235</v>
      </c>
      <c r="H254" s="55"/>
    </row>
    <row r="255" spans="3:8" x14ac:dyDescent="0.15">
      <c r="C255" s="9" t="s">
        <v>1067</v>
      </c>
      <c r="D255" s="9" t="s">
        <v>1068</v>
      </c>
      <c r="E255" s="26" t="s">
        <v>44</v>
      </c>
      <c r="F255" s="9" t="s">
        <v>352</v>
      </c>
      <c r="G255" s="9" t="s">
        <v>1218</v>
      </c>
      <c r="H255" s="55"/>
    </row>
    <row r="256" spans="3:8" x14ac:dyDescent="0.15">
      <c r="C256" s="9" t="s">
        <v>1069</v>
      </c>
      <c r="D256" s="9" t="s">
        <v>1070</v>
      </c>
      <c r="E256" s="26" t="s">
        <v>44</v>
      </c>
      <c r="F256" s="9" t="s">
        <v>393</v>
      </c>
      <c r="G256" s="9" t="s">
        <v>1235</v>
      </c>
      <c r="H256" s="55"/>
    </row>
    <row r="257" spans="3:8" x14ac:dyDescent="0.15">
      <c r="C257" s="9" t="s">
        <v>652</v>
      </c>
      <c r="D257" s="9" t="s">
        <v>1071</v>
      </c>
      <c r="E257" s="26" t="s">
        <v>1124</v>
      </c>
      <c r="F257" s="9" t="s">
        <v>393</v>
      </c>
      <c r="G257" s="9" t="s">
        <v>1225</v>
      </c>
      <c r="H257" s="55"/>
    </row>
    <row r="258" spans="3:8" x14ac:dyDescent="0.15">
      <c r="C258" s="9" t="s">
        <v>1072</v>
      </c>
      <c r="D258" s="9" t="s">
        <v>1073</v>
      </c>
      <c r="E258" s="26" t="s">
        <v>1124</v>
      </c>
      <c r="F258" s="9" t="s">
        <v>393</v>
      </c>
      <c r="G258" s="9" t="s">
        <v>1225</v>
      </c>
      <c r="H258" s="55"/>
    </row>
    <row r="259" spans="3:8" x14ac:dyDescent="0.15">
      <c r="C259" s="9" t="s">
        <v>1074</v>
      </c>
      <c r="D259" s="9" t="s">
        <v>1075</v>
      </c>
      <c r="E259" s="26" t="s">
        <v>44</v>
      </c>
      <c r="F259" s="9" t="s">
        <v>352</v>
      </c>
      <c r="G259" s="9" t="s">
        <v>1218</v>
      </c>
      <c r="H259" s="55"/>
    </row>
    <row r="260" spans="3:8" x14ac:dyDescent="0.15">
      <c r="C260" s="9" t="s">
        <v>1076</v>
      </c>
      <c r="D260" s="9" t="s">
        <v>1077</v>
      </c>
      <c r="E260" s="26" t="s">
        <v>44</v>
      </c>
      <c r="F260" s="9" t="s">
        <v>393</v>
      </c>
      <c r="G260" s="9" t="s">
        <v>1225</v>
      </c>
      <c r="H260" s="55"/>
    </row>
    <row r="261" spans="3:8" x14ac:dyDescent="0.15">
      <c r="C261" s="9" t="s">
        <v>93</v>
      </c>
      <c r="D261" s="9" t="s">
        <v>314</v>
      </c>
      <c r="E261" s="26" t="s">
        <v>1134</v>
      </c>
      <c r="F261" s="9" t="s">
        <v>393</v>
      </c>
      <c r="G261" s="9" t="s">
        <v>1235</v>
      </c>
      <c r="H261" s="55"/>
    </row>
    <row r="262" spans="3:8" x14ac:dyDescent="0.15">
      <c r="C262" s="9" t="s">
        <v>209</v>
      </c>
      <c r="D262" s="9" t="s">
        <v>1078</v>
      </c>
      <c r="E262" s="26" t="s">
        <v>1134</v>
      </c>
      <c r="F262" s="9" t="s">
        <v>393</v>
      </c>
      <c r="G262" s="9" t="s">
        <v>1235</v>
      </c>
      <c r="H262" s="55"/>
    </row>
    <row r="263" spans="3:8" x14ac:dyDescent="0.15">
      <c r="C263" s="9" t="s">
        <v>94</v>
      </c>
      <c r="D263" s="9" t="s">
        <v>315</v>
      </c>
      <c r="E263" s="26" t="s">
        <v>1135</v>
      </c>
      <c r="F263" s="9" t="s">
        <v>352</v>
      </c>
      <c r="G263" s="9" t="s">
        <v>1235</v>
      </c>
      <c r="H263" s="55"/>
    </row>
    <row r="264" spans="3:8" x14ac:dyDescent="0.15">
      <c r="C264" s="9" t="s">
        <v>210</v>
      </c>
      <c r="D264" s="9" t="s">
        <v>1079</v>
      </c>
      <c r="E264" s="26" t="s">
        <v>1135</v>
      </c>
      <c r="F264" s="9" t="s">
        <v>393</v>
      </c>
      <c r="G264" s="9" t="s">
        <v>1235</v>
      </c>
      <c r="H264" s="55"/>
    </row>
    <row r="265" spans="3:8" x14ac:dyDescent="0.15">
      <c r="C265" s="9" t="s">
        <v>95</v>
      </c>
      <c r="D265" s="9" t="s">
        <v>1080</v>
      </c>
      <c r="E265" s="26" t="s">
        <v>1122</v>
      </c>
      <c r="F265" s="9" t="s">
        <v>393</v>
      </c>
      <c r="G265" s="9" t="s">
        <v>1235</v>
      </c>
      <c r="H265" s="55"/>
    </row>
    <row r="266" spans="3:8" x14ac:dyDescent="0.15">
      <c r="C266" s="9" t="s">
        <v>197</v>
      </c>
      <c r="D266" s="9" t="s">
        <v>1081</v>
      </c>
      <c r="E266" s="26" t="s">
        <v>1122</v>
      </c>
      <c r="F266" s="9" t="s">
        <v>393</v>
      </c>
      <c r="G266" s="9" t="s">
        <v>1235</v>
      </c>
      <c r="H266" s="55"/>
    </row>
    <row r="267" spans="3:8" x14ac:dyDescent="0.15">
      <c r="C267" s="9" t="s">
        <v>96</v>
      </c>
      <c r="D267" s="9" t="s">
        <v>1082</v>
      </c>
      <c r="E267" s="26" t="s">
        <v>39</v>
      </c>
      <c r="F267" s="9" t="s">
        <v>352</v>
      </c>
      <c r="G267" s="9" t="s">
        <v>1235</v>
      </c>
      <c r="H267" s="55"/>
    </row>
    <row r="268" spans="3:8" x14ac:dyDescent="0.15">
      <c r="C268" s="9" t="s">
        <v>97</v>
      </c>
      <c r="D268" s="9" t="s">
        <v>1083</v>
      </c>
      <c r="E268" s="26" t="s">
        <v>39</v>
      </c>
      <c r="F268" s="9" t="s">
        <v>393</v>
      </c>
      <c r="G268" s="9" t="s">
        <v>1235</v>
      </c>
      <c r="H268" s="55"/>
    </row>
    <row r="269" spans="3:8" x14ac:dyDescent="0.15">
      <c r="C269" s="9" t="s">
        <v>98</v>
      </c>
      <c r="D269" s="9" t="s">
        <v>1084</v>
      </c>
      <c r="E269" s="26" t="s">
        <v>1131</v>
      </c>
      <c r="F269" s="9" t="s">
        <v>393</v>
      </c>
      <c r="G269" s="9" t="s">
        <v>1235</v>
      </c>
      <c r="H269" s="55"/>
    </row>
    <row r="270" spans="3:8" x14ac:dyDescent="0.15">
      <c r="C270" s="9" t="s">
        <v>216</v>
      </c>
      <c r="D270" s="9" t="s">
        <v>1085</v>
      </c>
      <c r="E270" s="26" t="s">
        <v>1131</v>
      </c>
      <c r="F270" s="9" t="s">
        <v>393</v>
      </c>
      <c r="G270" s="9" t="s">
        <v>1235</v>
      </c>
      <c r="H270" s="55"/>
    </row>
    <row r="271" spans="3:8" x14ac:dyDescent="0.15">
      <c r="C271" s="9" t="s">
        <v>99</v>
      </c>
      <c r="D271" s="9" t="s">
        <v>1086</v>
      </c>
      <c r="E271" s="26" t="s">
        <v>40</v>
      </c>
      <c r="F271" s="9" t="s">
        <v>352</v>
      </c>
      <c r="G271" s="9" t="s">
        <v>1235</v>
      </c>
      <c r="H271" s="55"/>
    </row>
    <row r="272" spans="3:8" x14ac:dyDescent="0.15">
      <c r="C272" s="9" t="s">
        <v>100</v>
      </c>
      <c r="D272" s="9" t="s">
        <v>1087</v>
      </c>
      <c r="E272" s="26" t="s">
        <v>40</v>
      </c>
      <c r="F272" s="9" t="s">
        <v>393</v>
      </c>
      <c r="G272" s="9" t="s">
        <v>1235</v>
      </c>
      <c r="H272" s="55"/>
    </row>
    <row r="273" spans="3:8" x14ac:dyDescent="0.15">
      <c r="C273" s="9" t="s">
        <v>1088</v>
      </c>
      <c r="D273" s="9" t="s">
        <v>1</v>
      </c>
      <c r="E273" s="26" t="s">
        <v>1128</v>
      </c>
      <c r="F273" s="9" t="s">
        <v>393</v>
      </c>
      <c r="G273" s="9" t="s">
        <v>1235</v>
      </c>
      <c r="H273" s="55"/>
    </row>
    <row r="274" spans="3:8" x14ac:dyDescent="0.15">
      <c r="C274" s="9" t="s">
        <v>101</v>
      </c>
      <c r="D274" s="9" t="s">
        <v>1089</v>
      </c>
      <c r="E274" s="10" t="s">
        <v>1128</v>
      </c>
      <c r="F274" s="9" t="s">
        <v>393</v>
      </c>
      <c r="G274" s="9" t="s">
        <v>1235</v>
      </c>
      <c r="H274" s="55"/>
    </row>
    <row r="275" spans="3:8" x14ac:dyDescent="0.15">
      <c r="C275" s="9" t="s">
        <v>215</v>
      </c>
      <c r="D275" s="9" t="s">
        <v>1090</v>
      </c>
      <c r="E275" s="10" t="s">
        <v>1128</v>
      </c>
      <c r="F275" s="9" t="s">
        <v>393</v>
      </c>
      <c r="G275" s="9" t="s">
        <v>1235</v>
      </c>
      <c r="H275" s="55"/>
    </row>
    <row r="276" spans="3:8" x14ac:dyDescent="0.15">
      <c r="C276" s="9" t="s">
        <v>102</v>
      </c>
      <c r="D276" s="9" t="s">
        <v>1091</v>
      </c>
      <c r="E276" s="17" t="s">
        <v>46</v>
      </c>
      <c r="F276" s="9" t="s">
        <v>352</v>
      </c>
      <c r="G276" s="9" t="s">
        <v>1235</v>
      </c>
      <c r="H276" s="55"/>
    </row>
    <row r="277" spans="3:8" x14ac:dyDescent="0.15">
      <c r="C277" s="9" t="s">
        <v>103</v>
      </c>
      <c r="D277" s="9" t="s">
        <v>1092</v>
      </c>
      <c r="E277" s="17" t="s">
        <v>46</v>
      </c>
      <c r="F277" s="9" t="s">
        <v>393</v>
      </c>
      <c r="G277" s="9" t="s">
        <v>1235</v>
      </c>
      <c r="H277" s="55"/>
    </row>
    <row r="278" spans="3:8" x14ac:dyDescent="0.15">
      <c r="C278" s="9" t="s">
        <v>104</v>
      </c>
      <c r="D278" s="9" t="s">
        <v>1093</v>
      </c>
      <c r="E278" s="17" t="s">
        <v>1126</v>
      </c>
      <c r="F278" s="9" t="s">
        <v>393</v>
      </c>
      <c r="G278" s="9" t="s">
        <v>1235</v>
      </c>
      <c r="H278" s="55"/>
    </row>
    <row r="279" spans="3:8" x14ac:dyDescent="0.15">
      <c r="C279" s="9" t="s">
        <v>195</v>
      </c>
      <c r="D279" s="9" t="s">
        <v>1094</v>
      </c>
      <c r="E279" s="17" t="s">
        <v>1126</v>
      </c>
      <c r="F279" s="9" t="s">
        <v>393</v>
      </c>
      <c r="G279" s="9" t="s">
        <v>1235</v>
      </c>
      <c r="H279" s="55"/>
    </row>
    <row r="280" spans="3:8" x14ac:dyDescent="0.15">
      <c r="C280" s="9" t="s">
        <v>105</v>
      </c>
      <c r="D280" s="9" t="s">
        <v>1095</v>
      </c>
      <c r="E280" s="17" t="s">
        <v>47</v>
      </c>
      <c r="F280" s="9" t="s">
        <v>352</v>
      </c>
      <c r="G280" s="9" t="s">
        <v>1235</v>
      </c>
      <c r="H280" s="55"/>
    </row>
    <row r="281" spans="3:8" x14ac:dyDescent="0.15">
      <c r="C281" s="9" t="s">
        <v>196</v>
      </c>
      <c r="D281" s="9" t="s">
        <v>1096</v>
      </c>
      <c r="E281" s="17" t="s">
        <v>47</v>
      </c>
      <c r="F281" s="9" t="s">
        <v>393</v>
      </c>
      <c r="G281" s="9" t="s">
        <v>1235</v>
      </c>
      <c r="H281" s="55"/>
    </row>
    <row r="282" spans="3:8" x14ac:dyDescent="0.15">
      <c r="C282" s="9" t="s">
        <v>106</v>
      </c>
      <c r="D282" s="9" t="s">
        <v>1097</v>
      </c>
      <c r="E282" s="17" t="s">
        <v>1123</v>
      </c>
      <c r="F282" s="9" t="s">
        <v>393</v>
      </c>
      <c r="G282" s="9" t="s">
        <v>1235</v>
      </c>
      <c r="H282" s="55"/>
    </row>
    <row r="283" spans="3:8" x14ac:dyDescent="0.15">
      <c r="C283" s="9" t="s">
        <v>211</v>
      </c>
      <c r="D283" s="9" t="s">
        <v>1098</v>
      </c>
      <c r="E283" s="17" t="s">
        <v>1123</v>
      </c>
      <c r="F283" s="9" t="s">
        <v>393</v>
      </c>
      <c r="G283" s="9" t="s">
        <v>1235</v>
      </c>
      <c r="H283" s="55"/>
    </row>
    <row r="284" spans="3:8" x14ac:dyDescent="0.15">
      <c r="C284" s="9" t="s">
        <v>107</v>
      </c>
      <c r="D284" s="9" t="s">
        <v>1099</v>
      </c>
      <c r="E284" s="17" t="s">
        <v>45</v>
      </c>
      <c r="F284" s="9" t="s">
        <v>352</v>
      </c>
      <c r="G284" s="9" t="s">
        <v>1235</v>
      </c>
      <c r="H284" s="55"/>
    </row>
    <row r="285" spans="3:8" x14ac:dyDescent="0.15">
      <c r="C285" s="9" t="s">
        <v>212</v>
      </c>
      <c r="D285" s="9" t="s">
        <v>1100</v>
      </c>
      <c r="E285" s="17" t="s">
        <v>45</v>
      </c>
      <c r="F285" s="9" t="s">
        <v>393</v>
      </c>
      <c r="G285" s="9" t="s">
        <v>1235</v>
      </c>
      <c r="H285" s="55"/>
    </row>
    <row r="286" spans="3:8" x14ac:dyDescent="0.15">
      <c r="C286" s="9" t="s">
        <v>108</v>
      </c>
      <c r="D286" s="9" t="s">
        <v>1101</v>
      </c>
      <c r="E286" s="17" t="s">
        <v>1123</v>
      </c>
      <c r="F286" s="9" t="s">
        <v>393</v>
      </c>
      <c r="G286" s="9" t="s">
        <v>1235</v>
      </c>
      <c r="H286" s="55"/>
    </row>
    <row r="287" spans="3:8" x14ac:dyDescent="0.15">
      <c r="C287" s="9" t="s">
        <v>213</v>
      </c>
      <c r="D287" s="9" t="s">
        <v>1102</v>
      </c>
      <c r="E287" s="17" t="s">
        <v>1123</v>
      </c>
      <c r="F287" s="9" t="s">
        <v>393</v>
      </c>
      <c r="G287" s="9" t="s">
        <v>1235</v>
      </c>
      <c r="H287" s="55"/>
    </row>
    <row r="288" spans="3:8" x14ac:dyDescent="0.15">
      <c r="C288" s="9" t="s">
        <v>109</v>
      </c>
      <c r="D288" s="9" t="s">
        <v>1103</v>
      </c>
      <c r="E288" s="17" t="s">
        <v>45</v>
      </c>
      <c r="F288" s="9" t="s">
        <v>352</v>
      </c>
      <c r="G288" s="9" t="s">
        <v>1235</v>
      </c>
      <c r="H288" s="55"/>
    </row>
    <row r="289" spans="3:62" x14ac:dyDescent="0.15">
      <c r="C289" s="9" t="s">
        <v>214</v>
      </c>
      <c r="D289" s="9" t="s">
        <v>1104</v>
      </c>
      <c r="E289" s="17" t="s">
        <v>45</v>
      </c>
      <c r="F289" s="9" t="s">
        <v>393</v>
      </c>
      <c r="G289" s="9" t="s">
        <v>1235</v>
      </c>
      <c r="H289" s="55"/>
    </row>
    <row r="290" spans="3:62" x14ac:dyDescent="0.15">
      <c r="C290" s="9" t="s">
        <v>110</v>
      </c>
      <c r="D290" s="9" t="s">
        <v>1105</v>
      </c>
      <c r="E290" s="17" t="s">
        <v>1122</v>
      </c>
      <c r="F290" s="9" t="s">
        <v>393</v>
      </c>
      <c r="G290" s="9" t="s">
        <v>1217</v>
      </c>
      <c r="H290" s="55"/>
    </row>
    <row r="291" spans="3:62" x14ac:dyDescent="0.15">
      <c r="C291" s="9" t="s">
        <v>141</v>
      </c>
      <c r="D291" s="9" t="s">
        <v>1106</v>
      </c>
      <c r="E291" s="17" t="s">
        <v>1122</v>
      </c>
      <c r="F291" s="9" t="s">
        <v>393</v>
      </c>
      <c r="G291" s="9" t="s">
        <v>1217</v>
      </c>
      <c r="H291" s="55"/>
    </row>
    <row r="292" spans="3:62" x14ac:dyDescent="0.15">
      <c r="C292" s="9" t="s">
        <v>142</v>
      </c>
      <c r="D292" s="9" t="s">
        <v>1107</v>
      </c>
      <c r="E292" s="17" t="s">
        <v>39</v>
      </c>
      <c r="F292" s="9" t="s">
        <v>352</v>
      </c>
      <c r="G292" s="9" t="s">
        <v>1217</v>
      </c>
      <c r="H292" s="55"/>
    </row>
    <row r="293" spans="3:62" x14ac:dyDescent="0.15">
      <c r="C293" s="9" t="s">
        <v>143</v>
      </c>
      <c r="D293" s="9" t="s">
        <v>1108</v>
      </c>
      <c r="E293" s="17" t="s">
        <v>39</v>
      </c>
      <c r="F293" s="9" t="s">
        <v>393</v>
      </c>
      <c r="G293" s="9" t="s">
        <v>1217</v>
      </c>
      <c r="H293" s="55"/>
    </row>
    <row r="296" spans="3:62" x14ac:dyDescent="0.15">
      <c r="BJ296" s="46" t="e" cm="1">
        <f t="array" aca="1" ref="BJ296" ca="1">INDIRECT(INDEX(INDIRECT(#REF!),MATCH(#REF!,INDIRECT(#REF!),0)))</f>
        <v>#REF!</v>
      </c>
    </row>
  </sheetData>
  <phoneticPr fontId="41" type="noConversion"/>
  <dataValidations disablePrompts="1" count="3">
    <dataValidation type="list" allowBlank="1" showInputMessage="1" showErrorMessage="1" sqref="I3" xr:uid="{7DD87BFB-FB0E-42F8-BECF-098A006D4BB3}">
      <formula1>"M,D,W,S,C,B,N"</formula1>
    </dataValidation>
    <dataValidation type="list" allowBlank="1" showInputMessage="1" showErrorMessage="1" sqref="E983043:E983333 E65539:E65829 E131075:E131365 E196611:E196901 E262147:E262437 E327683:E327973 E393219:E393509 E458755:E459045 E524291:E524581 E589827:E590117 E655363:E655653 E720899:E721189 E786435:E786725 E851971:E852261 E917507:E917797" xr:uid="{2ECB5A95-E260-44D9-A46F-7A51D41114DE}">
      <formula1>INDIRECT("Table5[GrpInO]")</formula1>
    </dataValidation>
    <dataValidation type="list" allowBlank="1" showInputMessage="1" showErrorMessage="1" sqref="AY3:AY32" xr:uid="{CB7258A3-ED1E-45C8-9213-3FC1DB94A3CC}">
      <formula1>INDIRECT(INDIRECT("r"&amp;MATCH("ADR",$A:$A,0)&amp;"c"&amp;MATCH("RMG",$1:$1,0),FALSE))</formula1>
    </dataValidation>
  </dataValidations>
  <pageMargins left="0.7" right="0.7" top="0.75" bottom="0.75" header="0.3" footer="0.3"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D33367-E41E-46DE-9B7F-788E528A3B9C}">
  <sheetPr codeName="Sheet12"/>
  <dimension ref="A1:P2063"/>
  <sheetViews>
    <sheetView tabSelected="1" zoomScale="130" zoomScaleNormal="130" workbookViewId="0">
      <selection activeCell="B7" sqref="B7:B8"/>
    </sheetView>
  </sheetViews>
  <sheetFormatPr baseColWidth="10" defaultColWidth="11.5" defaultRowHeight="10" x14ac:dyDescent="0.15"/>
  <cols>
    <col min="1" max="1" width="1.83203125" style="53" bestFit="1" customWidth="1"/>
    <col min="2" max="2" width="8.6640625" style="86" customWidth="1"/>
    <col min="3" max="3" width="10.1640625" style="87" customWidth="1"/>
    <col min="4" max="4" width="4" style="31" bestFit="1" customWidth="1"/>
    <col min="5" max="5" width="2.1640625" style="82" bestFit="1" customWidth="1"/>
    <col min="6" max="6" width="2.1640625" style="83" bestFit="1" customWidth="1"/>
    <col min="7" max="7" width="4.33203125" style="31" bestFit="1" customWidth="1"/>
    <col min="8" max="8" width="1.83203125" style="48" bestFit="1" customWidth="1"/>
    <col min="9" max="10" width="5" style="52" bestFit="1" customWidth="1"/>
    <col min="11" max="11" width="11.5" style="52"/>
    <col min="12" max="12" width="3.33203125" style="35" bestFit="1" customWidth="1"/>
    <col min="13" max="13" width="23.6640625" style="35" bestFit="1" customWidth="1"/>
    <col min="14" max="14" width="16.1640625" style="35" bestFit="1" customWidth="1"/>
    <col min="15" max="15" width="5.5" style="68" bestFit="1" customWidth="1"/>
    <col min="16" max="16" width="10.5" style="70" bestFit="1" customWidth="1"/>
    <col min="17" max="16384" width="11.5" style="52"/>
  </cols>
  <sheetData>
    <row r="1" spans="1:16" s="53" customFormat="1" ht="50" thickBot="1" x14ac:dyDescent="0.2">
      <c r="B1" s="74" t="e" cm="1">
        <f t="array" aca="1" ref="B1" ca="1">CELL(IF(LngS="R","filename","nombrearchivo"))</f>
        <v>#REF!</v>
      </c>
      <c r="D1" s="54"/>
      <c r="F1" s="53" t="str">
        <f>IF(TRUE,"LNG","LNG")</f>
        <v>LNG</v>
      </c>
      <c r="G1" s="54"/>
      <c r="L1" s="35"/>
      <c r="M1" s="35"/>
      <c r="N1" s="35"/>
      <c r="O1" s="68"/>
      <c r="P1" s="70"/>
    </row>
    <row r="2" spans="1:16" ht="95" x14ac:dyDescent="0.15">
      <c r="B2" s="75" t="s">
        <v>331</v>
      </c>
      <c r="C2" s="76" t="e">
        <f ca="1">LEFT($B$1,FIND("[",$B$1)-1)</f>
        <v>#REF!</v>
      </c>
      <c r="E2" s="77" t="s">
        <v>1191</v>
      </c>
      <c r="F2" s="34" t="str" cm="1">
        <f t="array" aca="1" ref="F2" ca="1">IF(ISERROR(INDIRECT("r1c1",FALSE)),"f","r")</f>
        <v>r</v>
      </c>
      <c r="H2" s="49" t="s">
        <v>1264</v>
      </c>
      <c r="I2" s="28" t="s">
        <v>320</v>
      </c>
      <c r="J2" s="28" t="s">
        <v>291</v>
      </c>
      <c r="L2" s="28" t="s">
        <v>1303</v>
      </c>
      <c r="M2" s="28" t="s">
        <v>291</v>
      </c>
      <c r="N2" s="28" t="s">
        <v>292</v>
      </c>
      <c r="O2" s="67" t="s">
        <v>1244</v>
      </c>
      <c r="P2" s="69" t="s">
        <v>1140</v>
      </c>
    </row>
    <row r="3" spans="1:16" ht="15" x14ac:dyDescent="0.15">
      <c r="A3" s="53" t="s">
        <v>290</v>
      </c>
      <c r="B3" s="78" t="s">
        <v>360</v>
      </c>
      <c r="C3" s="79" t="e">
        <f>(Osy&lt;&gt;"M")</f>
        <v>#NAME?</v>
      </c>
      <c r="E3" s="77" t="s">
        <v>1304</v>
      </c>
      <c r="F3" s="34" t="e">
        <f ca="1">IF(LEFT(Pth,1)="/","/","\")</f>
        <v>#REF!</v>
      </c>
      <c r="H3" s="52"/>
      <c r="I3" s="59" t="s">
        <v>1148</v>
      </c>
      <c r="J3" s="35" t="s">
        <v>1266</v>
      </c>
      <c r="M3" s="35" t="s">
        <v>1109</v>
      </c>
      <c r="N3" s="35" t="s">
        <v>1295</v>
      </c>
      <c r="O3" s="68">
        <v>2025.03</v>
      </c>
      <c r="P3" s="70">
        <v>-17465.41</v>
      </c>
    </row>
    <row r="4" spans="1:16" x14ac:dyDescent="0.15">
      <c r="B4" s="80" t="s">
        <v>367</v>
      </c>
      <c r="C4" s="81" t="e">
        <f>(LngS="R")</f>
        <v>#REF!</v>
      </c>
      <c r="H4" s="50"/>
      <c r="I4" s="59" t="s">
        <v>1148</v>
      </c>
      <c r="J4" s="35" t="s">
        <v>1205</v>
      </c>
      <c r="M4" s="35" t="s">
        <v>1109</v>
      </c>
      <c r="N4" s="35" t="s">
        <v>1295</v>
      </c>
      <c r="O4" s="68">
        <v>2025.03</v>
      </c>
      <c r="P4" s="70">
        <v>2097.1</v>
      </c>
    </row>
    <row r="5" spans="1:16" x14ac:dyDescent="0.15">
      <c r="B5" s="80" t="s">
        <v>1176</v>
      </c>
      <c r="C5" s="81" t="e">
        <f ca="1">_xlfn.TEXTAFTER(B1,"]")</f>
        <v>#REF!</v>
      </c>
      <c r="H5" s="51"/>
      <c r="I5" s="59" t="s">
        <v>1148</v>
      </c>
      <c r="J5" s="35" t="s">
        <v>1206</v>
      </c>
      <c r="M5" s="35" t="s">
        <v>1109</v>
      </c>
      <c r="N5" s="35" t="s">
        <v>1295</v>
      </c>
      <c r="O5" s="68">
        <v>2024.49</v>
      </c>
      <c r="P5" s="70">
        <v>-17465.41</v>
      </c>
    </row>
    <row r="6" spans="1:16" x14ac:dyDescent="0.15">
      <c r="B6" s="78" t="s">
        <v>1305</v>
      </c>
      <c r="C6" s="84">
        <v>31200</v>
      </c>
      <c r="H6" s="50"/>
      <c r="I6" s="59" t="s">
        <v>1148</v>
      </c>
      <c r="J6" s="35" t="s">
        <v>1208</v>
      </c>
      <c r="M6" s="35" t="s">
        <v>1109</v>
      </c>
      <c r="N6" s="35" t="s">
        <v>1295</v>
      </c>
      <c r="O6" s="68">
        <v>2024.49</v>
      </c>
      <c r="P6" s="70">
        <v>2097.1</v>
      </c>
    </row>
    <row r="7" spans="1:16" x14ac:dyDescent="0.15">
      <c r="B7" s="78" t="s">
        <v>1306</v>
      </c>
      <c r="C7" s="84">
        <v>3</v>
      </c>
      <c r="H7" s="50"/>
      <c r="I7" s="59" t="s">
        <v>1148</v>
      </c>
      <c r="J7" s="35" t="s">
        <v>1270</v>
      </c>
      <c r="M7" s="35" t="s">
        <v>1109</v>
      </c>
      <c r="N7" s="35" t="s">
        <v>1295</v>
      </c>
      <c r="O7" s="68">
        <v>2024.48</v>
      </c>
      <c r="P7" s="70">
        <v>-17465.41</v>
      </c>
    </row>
    <row r="8" spans="1:16" x14ac:dyDescent="0.15">
      <c r="B8" s="78" t="s">
        <v>1307</v>
      </c>
      <c r="C8" s="84">
        <v>1</v>
      </c>
      <c r="F8" s="85"/>
      <c r="H8" s="50"/>
      <c r="I8" s="59" t="s">
        <v>1148</v>
      </c>
      <c r="J8" s="35" t="s">
        <v>1272</v>
      </c>
      <c r="M8" s="35" t="s">
        <v>1109</v>
      </c>
      <c r="N8" s="35" t="s">
        <v>1295</v>
      </c>
      <c r="O8" s="68">
        <v>2024.48</v>
      </c>
      <c r="P8" s="70">
        <v>233.1</v>
      </c>
    </row>
    <row r="9" spans="1:16" x14ac:dyDescent="0.15">
      <c r="F9" s="85"/>
      <c r="H9" s="50"/>
      <c r="I9" s="59" t="s">
        <v>1148</v>
      </c>
      <c r="J9" s="35" t="s">
        <v>1269</v>
      </c>
      <c r="M9" s="35" t="s">
        <v>1109</v>
      </c>
      <c r="N9" s="35" t="s">
        <v>1295</v>
      </c>
      <c r="O9" s="68">
        <v>2024.47</v>
      </c>
      <c r="P9" s="70">
        <v>-17465.41</v>
      </c>
    </row>
    <row r="10" spans="1:16" ht="13" x14ac:dyDescent="0.15">
      <c r="B10"/>
      <c r="C10"/>
      <c r="F10" s="85"/>
      <c r="H10" s="50"/>
      <c r="I10" s="59" t="s">
        <v>1148</v>
      </c>
      <c r="J10" s="35" t="s">
        <v>1271</v>
      </c>
      <c r="M10" s="35" t="s">
        <v>1109</v>
      </c>
      <c r="N10" s="35" t="s">
        <v>1295</v>
      </c>
      <c r="O10" s="68">
        <v>2024.47</v>
      </c>
      <c r="P10" s="70">
        <v>233.1</v>
      </c>
    </row>
    <row r="11" spans="1:16" ht="13" x14ac:dyDescent="0.15">
      <c r="B11"/>
      <c r="C11"/>
      <c r="D11" s="60"/>
      <c r="G11" s="60"/>
      <c r="H11" s="50"/>
      <c r="M11" s="35" t="s">
        <v>1109</v>
      </c>
      <c r="N11" s="35" t="s">
        <v>1295</v>
      </c>
      <c r="O11" s="68">
        <v>2024.45</v>
      </c>
      <c r="P11" s="70">
        <v>-17465.41</v>
      </c>
    </row>
    <row r="12" spans="1:16" ht="13" x14ac:dyDescent="0.15">
      <c r="B12"/>
      <c r="C12"/>
      <c r="D12" s="60"/>
      <c r="G12" s="60"/>
      <c r="H12" s="50"/>
      <c r="M12" s="35" t="s">
        <v>1109</v>
      </c>
      <c r="N12" s="35" t="s">
        <v>1295</v>
      </c>
      <c r="O12" s="68">
        <v>2024.45</v>
      </c>
      <c r="P12" s="70">
        <v>76.8</v>
      </c>
    </row>
    <row r="13" spans="1:16" ht="13" x14ac:dyDescent="0.15">
      <c r="B13"/>
      <c r="C13"/>
      <c r="M13" s="35" t="s">
        <v>1109</v>
      </c>
      <c r="N13" s="35" t="s">
        <v>1295</v>
      </c>
      <c r="O13" s="68">
        <v>2024.44</v>
      </c>
      <c r="P13" s="70">
        <v>-17465.41</v>
      </c>
    </row>
    <row r="14" spans="1:16" x14ac:dyDescent="0.15">
      <c r="M14" s="35" t="s">
        <v>1109</v>
      </c>
      <c r="N14" s="35" t="s">
        <v>1295</v>
      </c>
      <c r="O14" s="68">
        <v>2024.44</v>
      </c>
      <c r="P14" s="70">
        <v>76.8</v>
      </c>
    </row>
    <row r="15" spans="1:16" ht="11" x14ac:dyDescent="0.15">
      <c r="B15" s="88"/>
      <c r="C15" s="88"/>
      <c r="M15" s="35" t="s">
        <v>1109</v>
      </c>
      <c r="N15" s="35" t="s">
        <v>1295</v>
      </c>
      <c r="O15" s="68">
        <v>2024.43</v>
      </c>
      <c r="P15" s="70">
        <v>-17465.41</v>
      </c>
    </row>
    <row r="16" spans="1:16" ht="11" x14ac:dyDescent="0.15">
      <c r="B16" s="88"/>
      <c r="C16" s="88"/>
      <c r="F16" s="85"/>
      <c r="M16" s="35" t="s">
        <v>1109</v>
      </c>
      <c r="N16" s="35" t="s">
        <v>1295</v>
      </c>
      <c r="O16" s="68">
        <v>2024.43</v>
      </c>
      <c r="P16" s="70">
        <v>76.8</v>
      </c>
    </row>
    <row r="17" spans="2:16" ht="11" x14ac:dyDescent="0.15">
      <c r="B17" s="88"/>
      <c r="C17" s="88"/>
      <c r="F17" s="85"/>
      <c r="M17" s="35" t="s">
        <v>1109</v>
      </c>
      <c r="N17" s="35" t="s">
        <v>1295</v>
      </c>
      <c r="O17" s="68">
        <v>2024.41</v>
      </c>
      <c r="P17" s="70">
        <v>-17465.41</v>
      </c>
    </row>
    <row r="18" spans="2:16" ht="11" x14ac:dyDescent="0.15">
      <c r="B18" s="88"/>
      <c r="C18" s="88"/>
      <c r="M18" s="35" t="s">
        <v>1109</v>
      </c>
      <c r="N18" s="35" t="s">
        <v>1295</v>
      </c>
      <c r="O18" s="68">
        <v>2024.41</v>
      </c>
      <c r="P18" s="70">
        <v>76.8</v>
      </c>
    </row>
    <row r="19" spans="2:16" ht="11" x14ac:dyDescent="0.15">
      <c r="B19" s="88"/>
      <c r="C19" s="88"/>
      <c r="M19" s="35" t="s">
        <v>1109</v>
      </c>
      <c r="N19" s="35" t="s">
        <v>1295</v>
      </c>
      <c r="O19" s="68">
        <v>2024.39</v>
      </c>
      <c r="P19" s="70">
        <v>-17465.41</v>
      </c>
    </row>
    <row r="20" spans="2:16" ht="11" x14ac:dyDescent="0.15">
      <c r="B20" s="88"/>
      <c r="C20" s="88"/>
      <c r="M20" s="35" t="s">
        <v>1109</v>
      </c>
      <c r="N20" s="35" t="s">
        <v>1295</v>
      </c>
      <c r="O20" s="68">
        <v>2024.39</v>
      </c>
      <c r="P20" s="70">
        <v>76.8</v>
      </c>
    </row>
    <row r="21" spans="2:16" x14ac:dyDescent="0.15">
      <c r="D21" s="86"/>
      <c r="E21" s="86"/>
      <c r="F21" s="86"/>
      <c r="M21" s="35" t="s">
        <v>1109</v>
      </c>
      <c r="N21" s="35" t="s">
        <v>1295</v>
      </c>
      <c r="O21" s="68">
        <v>2024.38</v>
      </c>
      <c r="P21" s="70">
        <v>-17465.41</v>
      </c>
    </row>
    <row r="22" spans="2:16" ht="11" x14ac:dyDescent="0.15">
      <c r="B22" s="88"/>
      <c r="C22" s="88"/>
      <c r="M22" s="35" t="s">
        <v>1109</v>
      </c>
      <c r="N22" s="35" t="s">
        <v>1295</v>
      </c>
      <c r="O22" s="68">
        <v>2024.38</v>
      </c>
      <c r="P22" s="70">
        <v>76.8</v>
      </c>
    </row>
    <row r="23" spans="2:16" ht="11" x14ac:dyDescent="0.15">
      <c r="B23" s="88"/>
      <c r="C23" s="88"/>
      <c r="M23" s="35" t="s">
        <v>1109</v>
      </c>
      <c r="N23" s="35" t="s">
        <v>1295</v>
      </c>
      <c r="O23" s="68">
        <v>2024.21</v>
      </c>
      <c r="P23" s="70">
        <v>-17291.830000000002</v>
      </c>
    </row>
    <row r="24" spans="2:16" ht="11" x14ac:dyDescent="0.15">
      <c r="B24" s="88"/>
      <c r="C24" s="88"/>
      <c r="M24" s="35" t="s">
        <v>1109</v>
      </c>
      <c r="N24" s="35" t="s">
        <v>1295</v>
      </c>
      <c r="O24" s="68">
        <v>2024.21</v>
      </c>
      <c r="P24" s="70">
        <v>76.8</v>
      </c>
    </row>
    <row r="25" spans="2:16" ht="11" x14ac:dyDescent="0.15">
      <c r="B25" s="88"/>
      <c r="C25" s="88"/>
      <c r="M25" s="35" t="s">
        <v>1109</v>
      </c>
      <c r="N25" s="35" t="s">
        <v>1295</v>
      </c>
      <c r="O25" s="68">
        <v>2024.28</v>
      </c>
      <c r="P25" s="70">
        <v>-17291.830000000002</v>
      </c>
    </row>
    <row r="26" spans="2:16" ht="11" x14ac:dyDescent="0.15">
      <c r="B26" s="88"/>
      <c r="C26" s="88"/>
      <c r="M26" s="35" t="s">
        <v>1109</v>
      </c>
      <c r="N26" s="35" t="s">
        <v>1295</v>
      </c>
      <c r="O26" s="68">
        <v>2024.28</v>
      </c>
      <c r="P26" s="70">
        <v>76.8</v>
      </c>
    </row>
    <row r="27" spans="2:16" x14ac:dyDescent="0.15">
      <c r="M27" s="35" t="s">
        <v>1109</v>
      </c>
      <c r="N27" s="35" t="s">
        <v>1295</v>
      </c>
      <c r="O27" s="68">
        <v>2024.2</v>
      </c>
      <c r="P27" s="70">
        <v>-17291.830000000002</v>
      </c>
    </row>
    <row r="28" spans="2:16" x14ac:dyDescent="0.15">
      <c r="M28" s="35" t="s">
        <v>1109</v>
      </c>
      <c r="N28" s="35" t="s">
        <v>1295</v>
      </c>
      <c r="O28" s="68">
        <v>2024.2</v>
      </c>
      <c r="P28" s="70">
        <v>76.8</v>
      </c>
    </row>
    <row r="29" spans="2:16" x14ac:dyDescent="0.15">
      <c r="M29" s="35" t="s">
        <v>1109</v>
      </c>
      <c r="N29" s="35" t="s">
        <v>1295</v>
      </c>
      <c r="O29" s="68">
        <v>2024.19</v>
      </c>
      <c r="P29" s="70">
        <v>-17291.830000000002</v>
      </c>
    </row>
    <row r="30" spans="2:16" x14ac:dyDescent="0.15">
      <c r="M30" s="35" t="s">
        <v>1109</v>
      </c>
      <c r="N30" s="35" t="s">
        <v>1295</v>
      </c>
      <c r="O30" s="68">
        <v>2024.19</v>
      </c>
      <c r="P30" s="70">
        <v>76.8</v>
      </c>
    </row>
    <row r="31" spans="2:16" x14ac:dyDescent="0.15">
      <c r="M31" s="35" t="s">
        <v>1109</v>
      </c>
      <c r="N31" s="35" t="s">
        <v>1295</v>
      </c>
      <c r="O31" s="68">
        <v>2024.18</v>
      </c>
      <c r="P31" s="70">
        <v>-17291.830000000002</v>
      </c>
    </row>
    <row r="32" spans="2:16" x14ac:dyDescent="0.15">
      <c r="M32" s="35" t="s">
        <v>1109</v>
      </c>
      <c r="N32" s="35" t="s">
        <v>1295</v>
      </c>
      <c r="O32" s="68">
        <v>2024.18</v>
      </c>
      <c r="P32" s="70">
        <v>76.8</v>
      </c>
    </row>
    <row r="33" spans="13:16" x14ac:dyDescent="0.15">
      <c r="M33" s="35" t="s">
        <v>1109</v>
      </c>
      <c r="N33" s="35" t="s">
        <v>1295</v>
      </c>
      <c r="O33" s="68">
        <v>2024.17</v>
      </c>
      <c r="P33" s="70">
        <v>-16470</v>
      </c>
    </row>
    <row r="34" spans="13:16" x14ac:dyDescent="0.15">
      <c r="M34" s="35" t="s">
        <v>1109</v>
      </c>
      <c r="N34" s="35" t="s">
        <v>1295</v>
      </c>
      <c r="O34" s="68">
        <v>2024.17</v>
      </c>
      <c r="P34" s="70">
        <v>76.8</v>
      </c>
    </row>
    <row r="35" spans="13:16" x14ac:dyDescent="0.15">
      <c r="M35" s="35" t="s">
        <v>1109</v>
      </c>
      <c r="N35" s="35" t="s">
        <v>1295</v>
      </c>
      <c r="O35" s="68">
        <v>2024.14</v>
      </c>
      <c r="P35" s="70">
        <v>-16470</v>
      </c>
    </row>
    <row r="36" spans="13:16" x14ac:dyDescent="0.15">
      <c r="M36" s="35" t="s">
        <v>1109</v>
      </c>
      <c r="N36" s="35" t="s">
        <v>1295</v>
      </c>
      <c r="O36" s="68">
        <v>2024.14</v>
      </c>
      <c r="P36" s="70">
        <v>76.8</v>
      </c>
    </row>
    <row r="37" spans="13:16" x14ac:dyDescent="0.15">
      <c r="M37" s="35" t="s">
        <v>1109</v>
      </c>
      <c r="N37" s="35" t="s">
        <v>1295</v>
      </c>
      <c r="O37" s="68">
        <v>2024.12</v>
      </c>
      <c r="P37" s="70">
        <v>-16470</v>
      </c>
    </row>
    <row r="38" spans="13:16" x14ac:dyDescent="0.15">
      <c r="M38" s="35" t="s">
        <v>1109</v>
      </c>
      <c r="N38" s="35" t="s">
        <v>1295</v>
      </c>
      <c r="O38" s="68">
        <v>2024.12</v>
      </c>
      <c r="P38" s="70">
        <v>76.8</v>
      </c>
    </row>
    <row r="39" spans="13:16" x14ac:dyDescent="0.15">
      <c r="M39" s="35" t="s">
        <v>1109</v>
      </c>
      <c r="N39" s="35" t="s">
        <v>1295</v>
      </c>
      <c r="O39" s="68">
        <v>2024.11</v>
      </c>
      <c r="P39" s="70">
        <v>-16470</v>
      </c>
    </row>
    <row r="40" spans="13:16" x14ac:dyDescent="0.15">
      <c r="M40" s="35" t="s">
        <v>1109</v>
      </c>
      <c r="N40" s="35" t="s">
        <v>1295</v>
      </c>
      <c r="O40" s="68">
        <v>2024.11</v>
      </c>
      <c r="P40" s="70">
        <v>76.8</v>
      </c>
    </row>
    <row r="41" spans="13:16" x14ac:dyDescent="0.15">
      <c r="M41" s="35" t="s">
        <v>1109</v>
      </c>
      <c r="N41" s="35" t="s">
        <v>1295</v>
      </c>
      <c r="O41" s="68">
        <v>2024.1</v>
      </c>
      <c r="P41" s="70">
        <v>-16470</v>
      </c>
    </row>
    <row r="42" spans="13:16" x14ac:dyDescent="0.15">
      <c r="M42" s="35" t="s">
        <v>1109</v>
      </c>
      <c r="N42" s="35" t="s">
        <v>1295</v>
      </c>
      <c r="O42" s="68">
        <v>2024.09</v>
      </c>
      <c r="P42" s="70">
        <v>-16470</v>
      </c>
    </row>
    <row r="43" spans="13:16" x14ac:dyDescent="0.15">
      <c r="M43" s="35" t="s">
        <v>1109</v>
      </c>
      <c r="N43" s="35" t="s">
        <v>1295</v>
      </c>
      <c r="O43" s="68">
        <v>2024.08</v>
      </c>
      <c r="P43" s="70">
        <v>-16470</v>
      </c>
    </row>
    <row r="44" spans="13:16" x14ac:dyDescent="0.15">
      <c r="M44" s="35" t="s">
        <v>1109</v>
      </c>
      <c r="N44" s="35" t="s">
        <v>1295</v>
      </c>
      <c r="O44" s="68">
        <v>2024.07</v>
      </c>
      <c r="P44" s="70">
        <v>-16470</v>
      </c>
    </row>
    <row r="45" spans="13:16" x14ac:dyDescent="0.15">
      <c r="M45" s="35" t="s">
        <v>1109</v>
      </c>
      <c r="N45" s="35" t="s">
        <v>1295</v>
      </c>
      <c r="O45" s="68">
        <v>2024.06</v>
      </c>
      <c r="P45" s="70">
        <v>-16470</v>
      </c>
    </row>
    <row r="46" spans="13:16" x14ac:dyDescent="0.15">
      <c r="M46" s="35" t="s">
        <v>1109</v>
      </c>
      <c r="N46" s="35" t="s">
        <v>1295</v>
      </c>
      <c r="O46" s="68">
        <v>2024.05</v>
      </c>
      <c r="P46" s="70">
        <v>-16470</v>
      </c>
    </row>
    <row r="47" spans="13:16" x14ac:dyDescent="0.15">
      <c r="M47" s="35" t="s">
        <v>1109</v>
      </c>
      <c r="N47" s="35" t="s">
        <v>1295</v>
      </c>
      <c r="O47" s="68">
        <v>2023.51</v>
      </c>
      <c r="P47" s="70">
        <v>-16470</v>
      </c>
    </row>
    <row r="48" spans="13:16" x14ac:dyDescent="0.15">
      <c r="M48" s="35" t="s">
        <v>263</v>
      </c>
      <c r="N48" s="35" t="s">
        <v>1295</v>
      </c>
      <c r="O48" s="68">
        <v>2025.03</v>
      </c>
      <c r="P48" s="70">
        <v>8504.7000000000007</v>
      </c>
    </row>
    <row r="49" spans="13:16" x14ac:dyDescent="0.15">
      <c r="M49" s="35" t="s">
        <v>263</v>
      </c>
      <c r="N49" s="35" t="s">
        <v>1295</v>
      </c>
      <c r="O49" s="68">
        <v>2025.03</v>
      </c>
      <c r="P49" s="70">
        <v>70</v>
      </c>
    </row>
    <row r="50" spans="13:16" x14ac:dyDescent="0.15">
      <c r="M50" s="35" t="s">
        <v>263</v>
      </c>
      <c r="N50" s="35" t="s">
        <v>1295</v>
      </c>
      <c r="O50" s="68">
        <v>2025.03</v>
      </c>
      <c r="P50" s="70">
        <v>3165.45</v>
      </c>
    </row>
    <row r="51" spans="13:16" x14ac:dyDescent="0.15">
      <c r="M51" s="35" t="s">
        <v>263</v>
      </c>
      <c r="N51" s="35" t="s">
        <v>1295</v>
      </c>
      <c r="O51" s="68">
        <v>2024.49</v>
      </c>
      <c r="P51" s="70">
        <v>8195.41</v>
      </c>
    </row>
    <row r="52" spans="13:16" x14ac:dyDescent="0.15">
      <c r="M52" s="35" t="s">
        <v>263</v>
      </c>
      <c r="N52" s="35" t="s">
        <v>1295</v>
      </c>
      <c r="O52" s="68">
        <v>2024.49</v>
      </c>
      <c r="P52" s="70">
        <v>70</v>
      </c>
    </row>
    <row r="53" spans="13:16" x14ac:dyDescent="0.15">
      <c r="M53" s="35" t="s">
        <v>263</v>
      </c>
      <c r="N53" s="35" t="s">
        <v>1295</v>
      </c>
      <c r="O53" s="68">
        <v>2024.49</v>
      </c>
      <c r="P53" s="70">
        <v>1498.04</v>
      </c>
    </row>
    <row r="54" spans="13:16" x14ac:dyDescent="0.15">
      <c r="M54" s="35" t="s">
        <v>263</v>
      </c>
      <c r="N54" s="35" t="s">
        <v>1295</v>
      </c>
      <c r="O54" s="68">
        <v>2024.48</v>
      </c>
      <c r="P54" s="70">
        <v>8185.41</v>
      </c>
    </row>
    <row r="55" spans="13:16" x14ac:dyDescent="0.15">
      <c r="M55" s="35" t="s">
        <v>263</v>
      </c>
      <c r="N55" s="35" t="s">
        <v>1295</v>
      </c>
      <c r="O55" s="68">
        <v>2024.48</v>
      </c>
      <c r="P55" s="70">
        <v>70</v>
      </c>
    </row>
    <row r="56" spans="13:16" x14ac:dyDescent="0.15">
      <c r="M56" s="35" t="s">
        <v>263</v>
      </c>
      <c r="N56" s="35" t="s">
        <v>1295</v>
      </c>
      <c r="O56" s="68">
        <v>2024.48</v>
      </c>
      <c r="P56" s="70">
        <v>1350.04</v>
      </c>
    </row>
    <row r="57" spans="13:16" x14ac:dyDescent="0.15">
      <c r="M57" s="35" t="s">
        <v>263</v>
      </c>
      <c r="N57" s="35" t="s">
        <v>1295</v>
      </c>
      <c r="O57" s="68">
        <v>2024.47</v>
      </c>
      <c r="P57" s="70">
        <v>8174.61</v>
      </c>
    </row>
    <row r="58" spans="13:16" x14ac:dyDescent="0.15">
      <c r="M58" s="35" t="s">
        <v>263</v>
      </c>
      <c r="N58" s="35" t="s">
        <v>1295</v>
      </c>
      <c r="O58" s="68">
        <v>2024.47</v>
      </c>
      <c r="P58" s="70">
        <v>70</v>
      </c>
    </row>
    <row r="59" spans="13:16" x14ac:dyDescent="0.15">
      <c r="M59" s="35" t="s">
        <v>263</v>
      </c>
      <c r="N59" s="35" t="s">
        <v>1295</v>
      </c>
      <c r="O59" s="68">
        <v>2024.47</v>
      </c>
      <c r="P59" s="70">
        <v>1350.04</v>
      </c>
    </row>
    <row r="60" spans="13:16" x14ac:dyDescent="0.15">
      <c r="M60" s="35" t="s">
        <v>263</v>
      </c>
      <c r="N60" s="35" t="s">
        <v>1295</v>
      </c>
      <c r="O60" s="68">
        <v>2024.45</v>
      </c>
      <c r="P60" s="70">
        <v>7883.61</v>
      </c>
    </row>
    <row r="61" spans="13:16" x14ac:dyDescent="0.15">
      <c r="M61" s="35" t="s">
        <v>263</v>
      </c>
      <c r="N61" s="35" t="s">
        <v>1295</v>
      </c>
      <c r="O61" s="68">
        <v>2024.45</v>
      </c>
      <c r="P61" s="70">
        <v>70</v>
      </c>
    </row>
    <row r="62" spans="13:16" x14ac:dyDescent="0.15">
      <c r="M62" s="35" t="s">
        <v>263</v>
      </c>
      <c r="N62" s="35" t="s">
        <v>1295</v>
      </c>
      <c r="O62" s="68">
        <v>2024.45</v>
      </c>
      <c r="P62" s="70">
        <v>453.24</v>
      </c>
    </row>
    <row r="63" spans="13:16" x14ac:dyDescent="0.15">
      <c r="M63" s="35" t="s">
        <v>263</v>
      </c>
      <c r="N63" s="35" t="s">
        <v>1295</v>
      </c>
      <c r="O63" s="68">
        <v>2024.44</v>
      </c>
      <c r="P63" s="70">
        <v>7873.61</v>
      </c>
    </row>
    <row r="64" spans="13:16" x14ac:dyDescent="0.15">
      <c r="M64" s="35" t="s">
        <v>263</v>
      </c>
      <c r="N64" s="35" t="s">
        <v>1295</v>
      </c>
      <c r="O64" s="68">
        <v>2024.44</v>
      </c>
      <c r="P64" s="70">
        <v>70</v>
      </c>
    </row>
    <row r="65" spans="13:16" x14ac:dyDescent="0.15">
      <c r="M65" s="35" t="s">
        <v>263</v>
      </c>
      <c r="N65" s="35" t="s">
        <v>1295</v>
      </c>
      <c r="O65" s="68">
        <v>2024.44</v>
      </c>
      <c r="P65" s="70">
        <v>453.24</v>
      </c>
    </row>
    <row r="66" spans="13:16" x14ac:dyDescent="0.15">
      <c r="M66" s="35" t="s">
        <v>263</v>
      </c>
      <c r="N66" s="35" t="s">
        <v>1295</v>
      </c>
      <c r="O66" s="68">
        <v>2024.43</v>
      </c>
      <c r="P66" s="70">
        <v>7873.61</v>
      </c>
    </row>
    <row r="67" spans="13:16" x14ac:dyDescent="0.15">
      <c r="M67" s="35" t="s">
        <v>263</v>
      </c>
      <c r="N67" s="35" t="s">
        <v>1295</v>
      </c>
      <c r="O67" s="68">
        <v>2024.43</v>
      </c>
      <c r="P67" s="70">
        <v>70</v>
      </c>
    </row>
    <row r="68" spans="13:16" x14ac:dyDescent="0.15">
      <c r="M68" s="35" t="s">
        <v>263</v>
      </c>
      <c r="N68" s="35" t="s">
        <v>1295</v>
      </c>
      <c r="O68" s="68">
        <v>2024.43</v>
      </c>
      <c r="P68" s="70">
        <v>453.24</v>
      </c>
    </row>
    <row r="69" spans="13:16" x14ac:dyDescent="0.15">
      <c r="M69" s="35" t="s">
        <v>263</v>
      </c>
      <c r="N69" s="35" t="s">
        <v>1295</v>
      </c>
      <c r="O69" s="68">
        <v>2024.41</v>
      </c>
      <c r="P69" s="70">
        <v>7801.41</v>
      </c>
    </row>
    <row r="70" spans="13:16" x14ac:dyDescent="0.15">
      <c r="M70" s="35" t="s">
        <v>263</v>
      </c>
      <c r="N70" s="35" t="s">
        <v>1295</v>
      </c>
      <c r="O70" s="68">
        <v>2024.41</v>
      </c>
      <c r="P70" s="70">
        <v>70</v>
      </c>
    </row>
    <row r="71" spans="13:16" x14ac:dyDescent="0.15">
      <c r="M71" s="35" t="s">
        <v>263</v>
      </c>
      <c r="N71" s="35" t="s">
        <v>1295</v>
      </c>
      <c r="O71" s="68">
        <v>2024.41</v>
      </c>
      <c r="P71" s="70">
        <v>453.24</v>
      </c>
    </row>
    <row r="72" spans="13:16" x14ac:dyDescent="0.15">
      <c r="M72" s="35" t="s">
        <v>263</v>
      </c>
      <c r="N72" s="35" t="s">
        <v>1295</v>
      </c>
      <c r="O72" s="68">
        <v>2024.39</v>
      </c>
      <c r="P72" s="70">
        <v>7391.41</v>
      </c>
    </row>
    <row r="73" spans="13:16" x14ac:dyDescent="0.15">
      <c r="M73" s="35" t="s">
        <v>263</v>
      </c>
      <c r="N73" s="35" t="s">
        <v>1295</v>
      </c>
      <c r="O73" s="68">
        <v>2024.39</v>
      </c>
      <c r="P73" s="70">
        <v>70</v>
      </c>
    </row>
    <row r="74" spans="13:16" x14ac:dyDescent="0.15">
      <c r="M74" s="35" t="s">
        <v>263</v>
      </c>
      <c r="N74" s="35" t="s">
        <v>1295</v>
      </c>
      <c r="O74" s="68">
        <v>2024.39</v>
      </c>
      <c r="P74" s="70">
        <v>453.24</v>
      </c>
    </row>
    <row r="75" spans="13:16" x14ac:dyDescent="0.15">
      <c r="M75" s="35" t="s">
        <v>263</v>
      </c>
      <c r="N75" s="35" t="s">
        <v>1295</v>
      </c>
      <c r="O75" s="68">
        <v>2024.38</v>
      </c>
      <c r="P75" s="70">
        <v>7369.41</v>
      </c>
    </row>
    <row r="76" spans="13:16" x14ac:dyDescent="0.15">
      <c r="M76" s="35" t="s">
        <v>263</v>
      </c>
      <c r="N76" s="35" t="s">
        <v>1295</v>
      </c>
      <c r="O76" s="68">
        <v>2024.38</v>
      </c>
      <c r="P76" s="70">
        <v>70</v>
      </c>
    </row>
    <row r="77" spans="13:16" x14ac:dyDescent="0.15">
      <c r="M77" s="35" t="s">
        <v>263</v>
      </c>
      <c r="N77" s="35" t="s">
        <v>1295</v>
      </c>
      <c r="O77" s="68">
        <v>2024.38</v>
      </c>
      <c r="P77" s="70">
        <v>453.24</v>
      </c>
    </row>
    <row r="78" spans="13:16" x14ac:dyDescent="0.15">
      <c r="M78" s="35" t="s">
        <v>263</v>
      </c>
      <c r="N78" s="35" t="s">
        <v>1295</v>
      </c>
      <c r="O78" s="68">
        <v>2024.21</v>
      </c>
      <c r="P78" s="70">
        <v>7369.41</v>
      </c>
    </row>
    <row r="79" spans="13:16" x14ac:dyDescent="0.15">
      <c r="M79" s="35" t="s">
        <v>263</v>
      </c>
      <c r="N79" s="35" t="s">
        <v>1295</v>
      </c>
      <c r="O79" s="68">
        <v>2024.21</v>
      </c>
      <c r="P79" s="70">
        <v>70</v>
      </c>
    </row>
    <row r="80" spans="13:16" x14ac:dyDescent="0.15">
      <c r="M80" s="35" t="s">
        <v>263</v>
      </c>
      <c r="N80" s="35" t="s">
        <v>1295</v>
      </c>
      <c r="O80" s="68">
        <v>2024.21</v>
      </c>
      <c r="P80" s="70">
        <v>233.18</v>
      </c>
    </row>
    <row r="81" spans="13:16" x14ac:dyDescent="0.15">
      <c r="M81" s="35" t="s">
        <v>263</v>
      </c>
      <c r="N81" s="35" t="s">
        <v>1295</v>
      </c>
      <c r="O81" s="68">
        <v>2024.28</v>
      </c>
      <c r="P81" s="70">
        <v>7369.41</v>
      </c>
    </row>
    <row r="82" spans="13:16" x14ac:dyDescent="0.15">
      <c r="M82" s="35" t="s">
        <v>263</v>
      </c>
      <c r="N82" s="35" t="s">
        <v>1295</v>
      </c>
      <c r="O82" s="68">
        <v>2024.28</v>
      </c>
      <c r="P82" s="70">
        <v>70</v>
      </c>
    </row>
    <row r="83" spans="13:16" x14ac:dyDescent="0.15">
      <c r="M83" s="35" t="s">
        <v>263</v>
      </c>
      <c r="N83" s="35" t="s">
        <v>1295</v>
      </c>
      <c r="O83" s="68">
        <v>2024.28</v>
      </c>
      <c r="P83" s="70">
        <v>233.18</v>
      </c>
    </row>
    <row r="84" spans="13:16" x14ac:dyDescent="0.15">
      <c r="M84" s="35" t="s">
        <v>263</v>
      </c>
      <c r="N84" s="35" t="s">
        <v>1295</v>
      </c>
      <c r="O84" s="68">
        <v>2024.2</v>
      </c>
      <c r="P84" s="70">
        <v>7369.41</v>
      </c>
    </row>
    <row r="85" spans="13:16" x14ac:dyDescent="0.15">
      <c r="M85" s="35" t="s">
        <v>263</v>
      </c>
      <c r="N85" s="35" t="s">
        <v>1295</v>
      </c>
      <c r="O85" s="68">
        <v>2024.2</v>
      </c>
      <c r="P85" s="70">
        <v>70</v>
      </c>
    </row>
    <row r="86" spans="13:16" x14ac:dyDescent="0.15">
      <c r="M86" s="35" t="s">
        <v>263</v>
      </c>
      <c r="N86" s="35" t="s">
        <v>1295</v>
      </c>
      <c r="O86" s="68">
        <v>2024.2</v>
      </c>
      <c r="P86" s="70">
        <v>233.18</v>
      </c>
    </row>
    <row r="87" spans="13:16" x14ac:dyDescent="0.15">
      <c r="M87" s="35" t="s">
        <v>263</v>
      </c>
      <c r="N87" s="35" t="s">
        <v>1295</v>
      </c>
      <c r="O87" s="68">
        <v>2024.19</v>
      </c>
      <c r="P87" s="70">
        <v>7369.41</v>
      </c>
    </row>
    <row r="88" spans="13:16" x14ac:dyDescent="0.15">
      <c r="M88" s="35" t="s">
        <v>263</v>
      </c>
      <c r="N88" s="35" t="s">
        <v>1295</v>
      </c>
      <c r="O88" s="68">
        <v>2024.19</v>
      </c>
      <c r="P88" s="70">
        <v>70</v>
      </c>
    </row>
    <row r="89" spans="13:16" x14ac:dyDescent="0.15">
      <c r="M89" s="35" t="s">
        <v>263</v>
      </c>
      <c r="N89" s="35" t="s">
        <v>1295</v>
      </c>
      <c r="O89" s="68">
        <v>2024.19</v>
      </c>
      <c r="P89" s="70">
        <v>233.18</v>
      </c>
    </row>
    <row r="90" spans="13:16" x14ac:dyDescent="0.15">
      <c r="M90" s="35" t="s">
        <v>263</v>
      </c>
      <c r="N90" s="35" t="s">
        <v>1295</v>
      </c>
      <c r="O90" s="68">
        <v>2024.18</v>
      </c>
      <c r="P90" s="70">
        <v>7369.41</v>
      </c>
    </row>
    <row r="91" spans="13:16" x14ac:dyDescent="0.15">
      <c r="M91" s="35" t="s">
        <v>263</v>
      </c>
      <c r="N91" s="35" t="s">
        <v>1295</v>
      </c>
      <c r="O91" s="68">
        <v>2024.18</v>
      </c>
      <c r="P91" s="70">
        <v>70</v>
      </c>
    </row>
    <row r="92" spans="13:16" x14ac:dyDescent="0.15">
      <c r="M92" s="35" t="s">
        <v>263</v>
      </c>
      <c r="N92" s="35" t="s">
        <v>1295</v>
      </c>
      <c r="O92" s="68">
        <v>2024.18</v>
      </c>
      <c r="P92" s="70">
        <v>233.18</v>
      </c>
    </row>
    <row r="93" spans="13:16" x14ac:dyDescent="0.15">
      <c r="M93" s="35" t="s">
        <v>263</v>
      </c>
      <c r="N93" s="35" t="s">
        <v>1295</v>
      </c>
      <c r="O93" s="68">
        <v>2024.17</v>
      </c>
      <c r="P93" s="70">
        <v>7314.41</v>
      </c>
    </row>
    <row r="94" spans="13:16" x14ac:dyDescent="0.15">
      <c r="M94" s="35" t="s">
        <v>263</v>
      </c>
      <c r="N94" s="35" t="s">
        <v>1295</v>
      </c>
      <c r="O94" s="68">
        <v>2024.17</v>
      </c>
      <c r="P94" s="70">
        <v>70</v>
      </c>
    </row>
    <row r="95" spans="13:16" x14ac:dyDescent="0.15">
      <c r="M95" s="35" t="s">
        <v>263</v>
      </c>
      <c r="N95" s="35" t="s">
        <v>1295</v>
      </c>
      <c r="O95" s="68">
        <v>2024.17</v>
      </c>
      <c r="P95" s="70">
        <v>233.18</v>
      </c>
    </row>
    <row r="96" spans="13:16" x14ac:dyDescent="0.15">
      <c r="M96" s="35" t="s">
        <v>263</v>
      </c>
      <c r="N96" s="35" t="s">
        <v>1295</v>
      </c>
      <c r="O96" s="68">
        <v>2024.14</v>
      </c>
      <c r="P96" s="70">
        <v>7314.41</v>
      </c>
    </row>
    <row r="97" spans="13:16" x14ac:dyDescent="0.15">
      <c r="M97" s="35" t="s">
        <v>263</v>
      </c>
      <c r="N97" s="35" t="s">
        <v>1295</v>
      </c>
      <c r="O97" s="68">
        <v>2024.14</v>
      </c>
      <c r="P97" s="70">
        <v>70</v>
      </c>
    </row>
    <row r="98" spans="13:16" x14ac:dyDescent="0.15">
      <c r="M98" s="35" t="s">
        <v>263</v>
      </c>
      <c r="N98" s="35" t="s">
        <v>1295</v>
      </c>
      <c r="O98" s="68">
        <v>2024.14</v>
      </c>
      <c r="P98" s="70">
        <v>233.18</v>
      </c>
    </row>
    <row r="99" spans="13:16" x14ac:dyDescent="0.15">
      <c r="M99" s="35" t="s">
        <v>263</v>
      </c>
      <c r="N99" s="35" t="s">
        <v>1295</v>
      </c>
      <c r="O99" s="68">
        <v>2024.12</v>
      </c>
      <c r="P99" s="70">
        <v>7714.41</v>
      </c>
    </row>
    <row r="100" spans="13:16" x14ac:dyDescent="0.15">
      <c r="M100" s="35" t="s">
        <v>263</v>
      </c>
      <c r="N100" s="35" t="s">
        <v>1295</v>
      </c>
      <c r="O100" s="68">
        <v>2024.12</v>
      </c>
      <c r="P100" s="70">
        <v>70</v>
      </c>
    </row>
    <row r="101" spans="13:16" x14ac:dyDescent="0.15">
      <c r="M101" s="35" t="s">
        <v>263</v>
      </c>
      <c r="N101" s="35" t="s">
        <v>1295</v>
      </c>
      <c r="O101" s="68">
        <v>2024.12</v>
      </c>
      <c r="P101" s="70">
        <v>233.18</v>
      </c>
    </row>
    <row r="102" spans="13:16" x14ac:dyDescent="0.15">
      <c r="M102" s="35" t="s">
        <v>263</v>
      </c>
      <c r="N102" s="35" t="s">
        <v>1295</v>
      </c>
      <c r="O102" s="68">
        <v>2024.11</v>
      </c>
      <c r="P102" s="70">
        <v>7350.07</v>
      </c>
    </row>
    <row r="103" spans="13:16" x14ac:dyDescent="0.15">
      <c r="M103" s="35" t="s">
        <v>263</v>
      </c>
      <c r="N103" s="35" t="s">
        <v>1295</v>
      </c>
      <c r="O103" s="68">
        <v>2024.11</v>
      </c>
      <c r="P103" s="70">
        <v>70</v>
      </c>
    </row>
    <row r="104" spans="13:16" x14ac:dyDescent="0.15">
      <c r="M104" s="35" t="s">
        <v>263</v>
      </c>
      <c r="N104" s="35" t="s">
        <v>1295</v>
      </c>
      <c r="O104" s="68">
        <v>2024.11</v>
      </c>
      <c r="P104" s="70">
        <v>233.18</v>
      </c>
    </row>
    <row r="105" spans="13:16" x14ac:dyDescent="0.15">
      <c r="M105" s="35" t="s">
        <v>263</v>
      </c>
      <c r="N105" s="35" t="s">
        <v>1295</v>
      </c>
      <c r="O105" s="68">
        <v>2024.1</v>
      </c>
      <c r="P105" s="70">
        <v>7350.07</v>
      </c>
    </row>
    <row r="106" spans="13:16" x14ac:dyDescent="0.15">
      <c r="M106" s="35" t="s">
        <v>263</v>
      </c>
      <c r="N106" s="35" t="s">
        <v>1295</v>
      </c>
      <c r="O106" s="68">
        <v>2024.1</v>
      </c>
      <c r="P106" s="70">
        <v>70</v>
      </c>
    </row>
    <row r="107" spans="13:16" x14ac:dyDescent="0.15">
      <c r="M107" s="35" t="s">
        <v>263</v>
      </c>
      <c r="N107" s="35" t="s">
        <v>1295</v>
      </c>
      <c r="O107" s="68">
        <v>2024.09</v>
      </c>
      <c r="P107" s="70">
        <v>6970.57</v>
      </c>
    </row>
    <row r="108" spans="13:16" x14ac:dyDescent="0.15">
      <c r="M108" s="35" t="s">
        <v>263</v>
      </c>
      <c r="N108" s="35" t="s">
        <v>1295</v>
      </c>
      <c r="O108" s="68">
        <v>2024.09</v>
      </c>
      <c r="P108" s="70">
        <v>70</v>
      </c>
    </row>
    <row r="109" spans="13:16" x14ac:dyDescent="0.15">
      <c r="M109" s="35" t="s">
        <v>263</v>
      </c>
      <c r="N109" s="35" t="s">
        <v>1295</v>
      </c>
      <c r="O109" s="68">
        <v>2024.08</v>
      </c>
      <c r="P109" s="70">
        <v>6867.57</v>
      </c>
    </row>
    <row r="110" spans="13:16" x14ac:dyDescent="0.15">
      <c r="M110" s="35" t="s">
        <v>263</v>
      </c>
      <c r="N110" s="35" t="s">
        <v>1295</v>
      </c>
      <c r="O110" s="68">
        <v>2024.08</v>
      </c>
      <c r="P110" s="70">
        <v>70</v>
      </c>
    </row>
    <row r="111" spans="13:16" x14ac:dyDescent="0.15">
      <c r="M111" s="35" t="s">
        <v>263</v>
      </c>
      <c r="N111" s="35" t="s">
        <v>1295</v>
      </c>
      <c r="O111" s="68">
        <v>2024.07</v>
      </c>
      <c r="P111" s="70">
        <v>1723.04</v>
      </c>
    </row>
    <row r="112" spans="13:16" x14ac:dyDescent="0.15">
      <c r="M112" s="35" t="s">
        <v>263</v>
      </c>
      <c r="N112" s="35" t="s">
        <v>1295</v>
      </c>
      <c r="O112" s="68">
        <v>2024.07</v>
      </c>
      <c r="P112" s="70">
        <v>70</v>
      </c>
    </row>
    <row r="113" spans="13:16" x14ac:dyDescent="0.15">
      <c r="M113" s="35" t="s">
        <v>263</v>
      </c>
      <c r="N113" s="35" t="s">
        <v>1295</v>
      </c>
      <c r="O113" s="68">
        <v>2024.06</v>
      </c>
      <c r="P113" s="70">
        <v>1693.04</v>
      </c>
    </row>
    <row r="114" spans="13:16" x14ac:dyDescent="0.15">
      <c r="M114" s="35" t="s">
        <v>263</v>
      </c>
      <c r="N114" s="35" t="s">
        <v>1295</v>
      </c>
      <c r="O114" s="68">
        <v>2024.06</v>
      </c>
      <c r="P114" s="70">
        <v>70</v>
      </c>
    </row>
    <row r="115" spans="13:16" x14ac:dyDescent="0.15">
      <c r="M115" s="35" t="s">
        <v>263</v>
      </c>
      <c r="N115" s="35" t="s">
        <v>1295</v>
      </c>
      <c r="O115" s="68">
        <v>2024.05</v>
      </c>
      <c r="P115" s="70">
        <v>1693.04</v>
      </c>
    </row>
    <row r="116" spans="13:16" x14ac:dyDescent="0.15">
      <c r="M116" s="35" t="s">
        <v>263</v>
      </c>
      <c r="N116" s="35" t="s">
        <v>1295</v>
      </c>
      <c r="O116" s="68">
        <v>2024.05</v>
      </c>
      <c r="P116" s="70">
        <v>70</v>
      </c>
    </row>
    <row r="117" spans="13:16" x14ac:dyDescent="0.15">
      <c r="M117" s="35" t="s">
        <v>263</v>
      </c>
      <c r="N117" s="35" t="s">
        <v>1295</v>
      </c>
      <c r="O117" s="68">
        <v>2023.51</v>
      </c>
      <c r="P117" s="70">
        <v>367.84</v>
      </c>
    </row>
    <row r="118" spans="13:16" x14ac:dyDescent="0.15">
      <c r="M118" s="35" t="s">
        <v>264</v>
      </c>
      <c r="N118" s="35" t="s">
        <v>1295</v>
      </c>
      <c r="O118" s="68">
        <v>2025.03</v>
      </c>
      <c r="P118" s="70">
        <v>67200.800000000003</v>
      </c>
    </row>
    <row r="119" spans="13:16" x14ac:dyDescent="0.15">
      <c r="M119" s="35" t="s">
        <v>264</v>
      </c>
      <c r="N119" s="35" t="s">
        <v>1295</v>
      </c>
      <c r="O119" s="68">
        <v>2025.03</v>
      </c>
      <c r="P119" s="70">
        <v>2479.23</v>
      </c>
    </row>
    <row r="120" spans="13:16" x14ac:dyDescent="0.15">
      <c r="M120" s="35" t="s">
        <v>264</v>
      </c>
      <c r="N120" s="35" t="s">
        <v>1295</v>
      </c>
      <c r="O120" s="68">
        <v>2024.49</v>
      </c>
      <c r="P120" s="70">
        <v>67200.800000000003</v>
      </c>
    </row>
    <row r="121" spans="13:16" x14ac:dyDescent="0.15">
      <c r="M121" s="35" t="s">
        <v>264</v>
      </c>
      <c r="N121" s="35" t="s">
        <v>1295</v>
      </c>
      <c r="O121" s="68">
        <v>2024.49</v>
      </c>
      <c r="P121" s="70">
        <v>2479.23</v>
      </c>
    </row>
    <row r="122" spans="13:16" x14ac:dyDescent="0.15">
      <c r="M122" s="35" t="s">
        <v>264</v>
      </c>
      <c r="N122" s="35" t="s">
        <v>1295</v>
      </c>
      <c r="O122" s="68">
        <v>2024.48</v>
      </c>
      <c r="P122" s="70">
        <v>67200.800000000003</v>
      </c>
    </row>
    <row r="123" spans="13:16" x14ac:dyDescent="0.15">
      <c r="M123" s="35" t="s">
        <v>264</v>
      </c>
      <c r="N123" s="35" t="s">
        <v>1295</v>
      </c>
      <c r="O123" s="68">
        <v>2024.48</v>
      </c>
      <c r="P123" s="70">
        <v>2479.23</v>
      </c>
    </row>
    <row r="124" spans="13:16" x14ac:dyDescent="0.15">
      <c r="M124" s="35" t="s">
        <v>264</v>
      </c>
      <c r="N124" s="35" t="s">
        <v>1295</v>
      </c>
      <c r="O124" s="68">
        <v>2024.47</v>
      </c>
      <c r="P124" s="70">
        <v>67200.800000000003</v>
      </c>
    </row>
    <row r="125" spans="13:16" x14ac:dyDescent="0.15">
      <c r="M125" s="35" t="s">
        <v>264</v>
      </c>
      <c r="N125" s="35" t="s">
        <v>1295</v>
      </c>
      <c r="O125" s="68">
        <v>2024.47</v>
      </c>
      <c r="P125" s="70">
        <v>2479.23</v>
      </c>
    </row>
    <row r="126" spans="13:16" x14ac:dyDescent="0.15">
      <c r="M126" s="35" t="s">
        <v>264</v>
      </c>
      <c r="N126" s="35" t="s">
        <v>1295</v>
      </c>
      <c r="O126" s="68">
        <v>2024.45</v>
      </c>
      <c r="P126" s="70">
        <v>67200.800000000003</v>
      </c>
    </row>
    <row r="127" spans="13:16" x14ac:dyDescent="0.15">
      <c r="M127" s="35" t="s">
        <v>264</v>
      </c>
      <c r="N127" s="35" t="s">
        <v>1295</v>
      </c>
      <c r="O127" s="68">
        <v>2024.45</v>
      </c>
      <c r="P127" s="70">
        <v>2479.23</v>
      </c>
    </row>
    <row r="128" spans="13:16" x14ac:dyDescent="0.15">
      <c r="M128" s="35" t="s">
        <v>264</v>
      </c>
      <c r="N128" s="35" t="s">
        <v>1295</v>
      </c>
      <c r="O128" s="68">
        <v>2024.44</v>
      </c>
      <c r="P128" s="70">
        <v>67200.800000000003</v>
      </c>
    </row>
    <row r="129" spans="13:16" x14ac:dyDescent="0.15">
      <c r="M129" s="35" t="s">
        <v>264</v>
      </c>
      <c r="N129" s="35" t="s">
        <v>1295</v>
      </c>
      <c r="O129" s="68">
        <v>2024.44</v>
      </c>
      <c r="P129" s="70">
        <v>6286.85</v>
      </c>
    </row>
    <row r="130" spans="13:16" x14ac:dyDescent="0.15">
      <c r="M130" s="35" t="s">
        <v>264</v>
      </c>
      <c r="N130" s="35" t="s">
        <v>1295</v>
      </c>
      <c r="O130" s="68">
        <v>2024.43</v>
      </c>
      <c r="P130" s="70">
        <v>42000</v>
      </c>
    </row>
    <row r="131" spans="13:16" x14ac:dyDescent="0.15">
      <c r="M131" s="35" t="s">
        <v>264</v>
      </c>
      <c r="N131" s="35" t="s">
        <v>1295</v>
      </c>
      <c r="O131" s="68">
        <v>2024.43</v>
      </c>
      <c r="P131" s="70">
        <v>6286.85</v>
      </c>
    </row>
    <row r="132" spans="13:16" x14ac:dyDescent="0.15">
      <c r="M132" s="35" t="s">
        <v>264</v>
      </c>
      <c r="N132" s="35" t="s">
        <v>1295</v>
      </c>
      <c r="O132" s="68">
        <v>2024.41</v>
      </c>
      <c r="P132" s="70">
        <v>42000</v>
      </c>
    </row>
    <row r="133" spans="13:16" x14ac:dyDescent="0.15">
      <c r="M133" s="35" t="s">
        <v>264</v>
      </c>
      <c r="N133" s="35" t="s">
        <v>1295</v>
      </c>
      <c r="O133" s="68">
        <v>2024.41</v>
      </c>
      <c r="P133" s="70">
        <v>6286.85</v>
      </c>
    </row>
    <row r="134" spans="13:16" x14ac:dyDescent="0.15">
      <c r="M134" s="35" t="s">
        <v>264</v>
      </c>
      <c r="N134" s="35" t="s">
        <v>1295</v>
      </c>
      <c r="O134" s="68">
        <v>2024.39</v>
      </c>
      <c r="P134" s="70">
        <v>42000</v>
      </c>
    </row>
    <row r="135" spans="13:16" x14ac:dyDescent="0.15">
      <c r="M135" s="35" t="s">
        <v>264</v>
      </c>
      <c r="N135" s="35" t="s">
        <v>1295</v>
      </c>
      <c r="O135" s="68">
        <v>2024.39</v>
      </c>
      <c r="P135" s="70">
        <v>6286.85</v>
      </c>
    </row>
    <row r="136" spans="13:16" x14ac:dyDescent="0.15">
      <c r="M136" s="35" t="s">
        <v>264</v>
      </c>
      <c r="N136" s="35" t="s">
        <v>1295</v>
      </c>
      <c r="O136" s="68">
        <v>2024.38</v>
      </c>
      <c r="P136" s="70">
        <v>102000</v>
      </c>
    </row>
    <row r="137" spans="13:16" x14ac:dyDescent="0.15">
      <c r="M137" s="35" t="s">
        <v>264</v>
      </c>
      <c r="N137" s="35" t="s">
        <v>1295</v>
      </c>
      <c r="O137" s="68">
        <v>2024.38</v>
      </c>
      <c r="P137" s="70">
        <v>6286.85</v>
      </c>
    </row>
    <row r="138" spans="13:16" x14ac:dyDescent="0.15">
      <c r="M138" s="35" t="s">
        <v>264</v>
      </c>
      <c r="N138" s="35" t="s">
        <v>1295</v>
      </c>
      <c r="O138" s="68">
        <v>2024.21</v>
      </c>
      <c r="P138" s="70">
        <v>102000</v>
      </c>
    </row>
    <row r="139" spans="13:16" x14ac:dyDescent="0.15">
      <c r="M139" s="35" t="s">
        <v>264</v>
      </c>
      <c r="N139" s="35" t="s">
        <v>1295</v>
      </c>
      <c r="O139" s="68">
        <v>2024.21</v>
      </c>
      <c r="P139" s="70">
        <v>2126.77</v>
      </c>
    </row>
    <row r="140" spans="13:16" x14ac:dyDescent="0.15">
      <c r="M140" s="35" t="s">
        <v>264</v>
      </c>
      <c r="N140" s="35" t="s">
        <v>1295</v>
      </c>
      <c r="O140" s="68">
        <v>2024.28</v>
      </c>
      <c r="P140" s="70">
        <v>102000</v>
      </c>
    </row>
    <row r="141" spans="13:16" x14ac:dyDescent="0.15">
      <c r="M141" s="35" t="s">
        <v>264</v>
      </c>
      <c r="N141" s="35" t="s">
        <v>1295</v>
      </c>
      <c r="O141" s="68">
        <v>2024.28</v>
      </c>
      <c r="P141" s="70">
        <v>2126.77</v>
      </c>
    </row>
    <row r="142" spans="13:16" x14ac:dyDescent="0.15">
      <c r="M142" s="35" t="s">
        <v>264</v>
      </c>
      <c r="N142" s="35" t="s">
        <v>1295</v>
      </c>
      <c r="O142" s="68">
        <v>2024.2</v>
      </c>
      <c r="P142" s="70">
        <v>102000</v>
      </c>
    </row>
    <row r="143" spans="13:16" x14ac:dyDescent="0.15">
      <c r="M143" s="35" t="s">
        <v>264</v>
      </c>
      <c r="N143" s="35" t="s">
        <v>1295</v>
      </c>
      <c r="O143" s="68">
        <v>2024.2</v>
      </c>
      <c r="P143" s="70">
        <v>2126.77</v>
      </c>
    </row>
    <row r="144" spans="13:16" x14ac:dyDescent="0.15">
      <c r="M144" s="35" t="s">
        <v>264</v>
      </c>
      <c r="N144" s="35" t="s">
        <v>1295</v>
      </c>
      <c r="O144" s="68">
        <v>2024.19</v>
      </c>
      <c r="P144" s="70">
        <v>102000</v>
      </c>
    </row>
    <row r="145" spans="13:16" x14ac:dyDescent="0.15">
      <c r="M145" s="35" t="s">
        <v>264</v>
      </c>
      <c r="N145" s="35" t="s">
        <v>1295</v>
      </c>
      <c r="O145" s="68">
        <v>2024.19</v>
      </c>
      <c r="P145" s="70">
        <v>2126.77</v>
      </c>
    </row>
    <row r="146" spans="13:16" x14ac:dyDescent="0.15">
      <c r="M146" s="35" t="s">
        <v>264</v>
      </c>
      <c r="N146" s="35" t="s">
        <v>1295</v>
      </c>
      <c r="O146" s="68">
        <v>2024.18</v>
      </c>
      <c r="P146" s="70">
        <v>102000</v>
      </c>
    </row>
    <row r="147" spans="13:16" x14ac:dyDescent="0.15">
      <c r="M147" s="35" t="s">
        <v>264</v>
      </c>
      <c r="N147" s="35" t="s">
        <v>1295</v>
      </c>
      <c r="O147" s="68">
        <v>2024.18</v>
      </c>
      <c r="P147" s="70">
        <v>2126.77</v>
      </c>
    </row>
    <row r="148" spans="13:16" x14ac:dyDescent="0.15">
      <c r="M148" s="35" t="s">
        <v>264</v>
      </c>
      <c r="N148" s="35" t="s">
        <v>1295</v>
      </c>
      <c r="O148" s="68">
        <v>2024.17</v>
      </c>
      <c r="P148" s="70">
        <v>102000</v>
      </c>
    </row>
    <row r="149" spans="13:16" x14ac:dyDescent="0.15">
      <c r="M149" s="35" t="s">
        <v>264</v>
      </c>
      <c r="N149" s="35" t="s">
        <v>1295</v>
      </c>
      <c r="O149" s="68">
        <v>2024.17</v>
      </c>
      <c r="P149" s="70">
        <v>2126.77</v>
      </c>
    </row>
    <row r="150" spans="13:16" x14ac:dyDescent="0.15">
      <c r="M150" s="35" t="s">
        <v>264</v>
      </c>
      <c r="N150" s="35" t="s">
        <v>1295</v>
      </c>
      <c r="O150" s="68">
        <v>2024.14</v>
      </c>
      <c r="P150" s="70">
        <v>102000</v>
      </c>
    </row>
    <row r="151" spans="13:16" x14ac:dyDescent="0.15">
      <c r="M151" s="35" t="s">
        <v>264</v>
      </c>
      <c r="N151" s="35" t="s">
        <v>1295</v>
      </c>
      <c r="O151" s="68">
        <v>2024.14</v>
      </c>
      <c r="P151" s="70">
        <v>2126.77</v>
      </c>
    </row>
    <row r="152" spans="13:16" x14ac:dyDescent="0.15">
      <c r="M152" s="35" t="s">
        <v>264</v>
      </c>
      <c r="N152" s="35" t="s">
        <v>1295</v>
      </c>
      <c r="O152" s="68">
        <v>2024.12</v>
      </c>
      <c r="P152" s="70">
        <v>102000</v>
      </c>
    </row>
    <row r="153" spans="13:16" x14ac:dyDescent="0.15">
      <c r="M153" s="35" t="s">
        <v>264</v>
      </c>
      <c r="N153" s="35" t="s">
        <v>1295</v>
      </c>
      <c r="O153" s="68">
        <v>2024.12</v>
      </c>
      <c r="P153" s="70">
        <v>2073.64</v>
      </c>
    </row>
    <row r="154" spans="13:16" x14ac:dyDescent="0.15">
      <c r="M154" s="35" t="s">
        <v>264</v>
      </c>
      <c r="N154" s="35" t="s">
        <v>1295</v>
      </c>
      <c r="O154" s="68">
        <v>2024.11</v>
      </c>
      <c r="P154" s="70">
        <v>102000</v>
      </c>
    </row>
    <row r="155" spans="13:16" x14ac:dyDescent="0.15">
      <c r="M155" s="35" t="s">
        <v>264</v>
      </c>
      <c r="N155" s="35" t="s">
        <v>1295</v>
      </c>
      <c r="O155" s="68">
        <v>2024.11</v>
      </c>
      <c r="P155" s="70">
        <v>2073.64</v>
      </c>
    </row>
    <row r="156" spans="13:16" x14ac:dyDescent="0.15">
      <c r="M156" s="35" t="s">
        <v>264</v>
      </c>
      <c r="N156" s="35" t="s">
        <v>1295</v>
      </c>
      <c r="O156" s="68">
        <v>2024.1</v>
      </c>
      <c r="P156" s="70">
        <v>102000</v>
      </c>
    </row>
    <row r="157" spans="13:16" x14ac:dyDescent="0.15">
      <c r="M157" s="35" t="s">
        <v>264</v>
      </c>
      <c r="N157" s="35" t="s">
        <v>1295</v>
      </c>
      <c r="O157" s="68">
        <v>2024.1</v>
      </c>
      <c r="P157" s="70">
        <v>2050.9299999999998</v>
      </c>
    </row>
    <row r="158" spans="13:16" x14ac:dyDescent="0.15">
      <c r="M158" s="35" t="s">
        <v>264</v>
      </c>
      <c r="N158" s="35" t="s">
        <v>1295</v>
      </c>
      <c r="O158" s="68">
        <v>2024.09</v>
      </c>
      <c r="P158" s="70">
        <v>102000</v>
      </c>
    </row>
    <row r="159" spans="13:16" x14ac:dyDescent="0.15">
      <c r="M159" s="35" t="s">
        <v>264</v>
      </c>
      <c r="N159" s="35" t="s">
        <v>1295</v>
      </c>
      <c r="O159" s="68">
        <v>2024.09</v>
      </c>
      <c r="P159" s="70">
        <v>2050.9299999999998</v>
      </c>
    </row>
    <row r="160" spans="13:16" x14ac:dyDescent="0.15">
      <c r="M160" s="35" t="s">
        <v>264</v>
      </c>
      <c r="N160" s="35" t="s">
        <v>1295</v>
      </c>
      <c r="O160" s="68">
        <v>2024.08</v>
      </c>
      <c r="P160" s="70">
        <v>102000</v>
      </c>
    </row>
    <row r="161" spans="13:16" x14ac:dyDescent="0.15">
      <c r="M161" s="35" t="s">
        <v>264</v>
      </c>
      <c r="N161" s="35" t="s">
        <v>1295</v>
      </c>
      <c r="O161" s="68">
        <v>2024.08</v>
      </c>
      <c r="P161" s="70">
        <v>2050.9299999999998</v>
      </c>
    </row>
    <row r="162" spans="13:16" x14ac:dyDescent="0.15">
      <c r="M162" s="35" t="s">
        <v>264</v>
      </c>
      <c r="N162" s="35" t="s">
        <v>1295</v>
      </c>
      <c r="O162" s="68">
        <v>2024.07</v>
      </c>
      <c r="P162" s="70">
        <v>102000</v>
      </c>
    </row>
    <row r="163" spans="13:16" x14ac:dyDescent="0.15">
      <c r="M163" s="35" t="s">
        <v>264</v>
      </c>
      <c r="N163" s="35" t="s">
        <v>1295</v>
      </c>
      <c r="O163" s="68">
        <v>2024.07</v>
      </c>
      <c r="P163" s="70">
        <v>2050.9299999999998</v>
      </c>
    </row>
    <row r="164" spans="13:16" x14ac:dyDescent="0.15">
      <c r="M164" s="35" t="s">
        <v>264</v>
      </c>
      <c r="N164" s="35" t="s">
        <v>1295</v>
      </c>
      <c r="O164" s="68">
        <v>2024.06</v>
      </c>
      <c r="P164" s="70">
        <v>102000</v>
      </c>
    </row>
    <row r="165" spans="13:16" x14ac:dyDescent="0.15">
      <c r="M165" s="35" t="s">
        <v>264</v>
      </c>
      <c r="N165" s="35" t="s">
        <v>1295</v>
      </c>
      <c r="O165" s="68">
        <v>2024.06</v>
      </c>
      <c r="P165" s="70">
        <v>2050.9299999999998</v>
      </c>
    </row>
    <row r="166" spans="13:16" x14ac:dyDescent="0.15">
      <c r="M166" s="35" t="s">
        <v>264</v>
      </c>
      <c r="N166" s="35" t="s">
        <v>1295</v>
      </c>
      <c r="O166" s="68">
        <v>2024.05</v>
      </c>
      <c r="P166" s="70">
        <v>102000</v>
      </c>
    </row>
    <row r="167" spans="13:16" x14ac:dyDescent="0.15">
      <c r="M167" s="35" t="s">
        <v>264</v>
      </c>
      <c r="N167" s="35" t="s">
        <v>1295</v>
      </c>
      <c r="O167" s="68">
        <v>2024.05</v>
      </c>
      <c r="P167" s="70">
        <v>2050.9299999999998</v>
      </c>
    </row>
    <row r="168" spans="13:16" x14ac:dyDescent="0.15">
      <c r="M168" s="35" t="s">
        <v>264</v>
      </c>
      <c r="N168" s="35" t="s">
        <v>1295</v>
      </c>
      <c r="O168" s="68">
        <v>2023.51</v>
      </c>
      <c r="P168" s="70">
        <v>2050.9299999999998</v>
      </c>
    </row>
    <row r="169" spans="13:16" x14ac:dyDescent="0.15">
      <c r="M169" s="35" t="s">
        <v>1110</v>
      </c>
      <c r="N169" s="35" t="s">
        <v>1295</v>
      </c>
      <c r="O169" s="68">
        <v>2025.03</v>
      </c>
      <c r="P169" s="70">
        <v>58825.09</v>
      </c>
    </row>
    <row r="170" spans="13:16" x14ac:dyDescent="0.15">
      <c r="M170" s="35" t="s">
        <v>1110</v>
      </c>
      <c r="N170" s="35" t="s">
        <v>1295</v>
      </c>
      <c r="O170" s="68">
        <v>2024.49</v>
      </c>
      <c r="P170" s="70">
        <v>58825.09</v>
      </c>
    </row>
    <row r="171" spans="13:16" x14ac:dyDescent="0.15">
      <c r="M171" s="35" t="s">
        <v>1110</v>
      </c>
      <c r="N171" s="35" t="s">
        <v>1295</v>
      </c>
      <c r="O171" s="68">
        <v>2024.48</v>
      </c>
      <c r="P171" s="70">
        <v>58825.09</v>
      </c>
    </row>
    <row r="172" spans="13:16" x14ac:dyDescent="0.15">
      <c r="M172" s="35" t="s">
        <v>1110</v>
      </c>
      <c r="N172" s="35" t="s">
        <v>1295</v>
      </c>
      <c r="O172" s="68">
        <v>2024.47</v>
      </c>
      <c r="P172" s="70">
        <v>58825.09</v>
      </c>
    </row>
    <row r="173" spans="13:16" x14ac:dyDescent="0.15">
      <c r="M173" s="35" t="s">
        <v>1110</v>
      </c>
      <c r="N173" s="35" t="s">
        <v>1295</v>
      </c>
      <c r="O173" s="68">
        <v>2024.45</v>
      </c>
      <c r="P173" s="70">
        <v>58825.09</v>
      </c>
    </row>
    <row r="174" spans="13:16" x14ac:dyDescent="0.15">
      <c r="M174" s="35" t="s">
        <v>1110</v>
      </c>
      <c r="N174" s="35" t="s">
        <v>1295</v>
      </c>
      <c r="O174" s="68">
        <v>2024.44</v>
      </c>
      <c r="P174" s="70">
        <v>58825.09</v>
      </c>
    </row>
    <row r="175" spans="13:16" x14ac:dyDescent="0.15">
      <c r="M175" s="35" t="s">
        <v>1110</v>
      </c>
      <c r="N175" s="35" t="s">
        <v>1295</v>
      </c>
      <c r="O175" s="68">
        <v>2024.43</v>
      </c>
      <c r="P175" s="70">
        <v>58825.09</v>
      </c>
    </row>
    <row r="176" spans="13:16" x14ac:dyDescent="0.15">
      <c r="M176" s="35" t="s">
        <v>1110</v>
      </c>
      <c r="N176" s="35" t="s">
        <v>1295</v>
      </c>
      <c r="O176" s="68">
        <v>2024.41</v>
      </c>
      <c r="P176" s="70">
        <v>58825.09</v>
      </c>
    </row>
    <row r="177" spans="13:16" x14ac:dyDescent="0.15">
      <c r="M177" s="35" t="s">
        <v>1110</v>
      </c>
      <c r="N177" s="35" t="s">
        <v>1295</v>
      </c>
      <c r="O177" s="68">
        <v>2024.39</v>
      </c>
      <c r="P177" s="70">
        <v>58825.09</v>
      </c>
    </row>
    <row r="178" spans="13:16" x14ac:dyDescent="0.15">
      <c r="M178" s="35" t="s">
        <v>1110</v>
      </c>
      <c r="N178" s="35" t="s">
        <v>1295</v>
      </c>
      <c r="O178" s="68">
        <v>2024.38</v>
      </c>
      <c r="P178" s="70">
        <v>58825.09</v>
      </c>
    </row>
    <row r="179" spans="13:16" x14ac:dyDescent="0.15">
      <c r="M179" s="35" t="s">
        <v>1110</v>
      </c>
      <c r="N179" s="35" t="s">
        <v>1295</v>
      </c>
      <c r="O179" s="68">
        <v>2024.21</v>
      </c>
      <c r="P179" s="70">
        <v>57919.040000000001</v>
      </c>
    </row>
    <row r="180" spans="13:16" x14ac:dyDescent="0.15">
      <c r="M180" s="35" t="s">
        <v>1110</v>
      </c>
      <c r="N180" s="35" t="s">
        <v>1295</v>
      </c>
      <c r="O180" s="68">
        <v>2024.28</v>
      </c>
      <c r="P180" s="70">
        <v>57919.040000000001</v>
      </c>
    </row>
    <row r="181" spans="13:16" x14ac:dyDescent="0.15">
      <c r="M181" s="35" t="s">
        <v>1110</v>
      </c>
      <c r="N181" s="35" t="s">
        <v>1295</v>
      </c>
      <c r="O181" s="68">
        <v>2024.2</v>
      </c>
      <c r="P181" s="70">
        <v>57858.06</v>
      </c>
    </row>
    <row r="182" spans="13:16" x14ac:dyDescent="0.15">
      <c r="M182" s="35" t="s">
        <v>1110</v>
      </c>
      <c r="N182" s="35" t="s">
        <v>1295</v>
      </c>
      <c r="O182" s="68">
        <v>2024.19</v>
      </c>
      <c r="P182" s="70">
        <v>57682.06</v>
      </c>
    </row>
    <row r="183" spans="13:16" x14ac:dyDescent="0.15">
      <c r="M183" s="35" t="s">
        <v>1110</v>
      </c>
      <c r="N183" s="35" t="s">
        <v>1295</v>
      </c>
      <c r="O183" s="68">
        <v>2024.18</v>
      </c>
      <c r="P183" s="70">
        <v>57682.06</v>
      </c>
    </row>
    <row r="184" spans="13:16" x14ac:dyDescent="0.15">
      <c r="M184" s="35" t="s">
        <v>1110</v>
      </c>
      <c r="N184" s="35" t="s">
        <v>1295</v>
      </c>
      <c r="O184" s="68">
        <v>2024.17</v>
      </c>
      <c r="P184" s="70">
        <v>57682.06</v>
      </c>
    </row>
    <row r="185" spans="13:16" x14ac:dyDescent="0.15">
      <c r="M185" s="35" t="s">
        <v>1110</v>
      </c>
      <c r="N185" s="35" t="s">
        <v>1295</v>
      </c>
      <c r="O185" s="68">
        <v>2024.14</v>
      </c>
      <c r="P185" s="70">
        <v>56055.62</v>
      </c>
    </row>
    <row r="186" spans="13:16" x14ac:dyDescent="0.15">
      <c r="M186" s="35" t="s">
        <v>1110</v>
      </c>
      <c r="N186" s="35" t="s">
        <v>1295</v>
      </c>
      <c r="O186" s="68">
        <v>2024.12</v>
      </c>
      <c r="P186" s="70">
        <v>55822.1</v>
      </c>
    </row>
    <row r="187" spans="13:16" x14ac:dyDescent="0.15">
      <c r="M187" s="35" t="s">
        <v>1110</v>
      </c>
      <c r="N187" s="35" t="s">
        <v>1295</v>
      </c>
      <c r="O187" s="68">
        <v>2024.11</v>
      </c>
      <c r="P187" s="70">
        <v>55560.09</v>
      </c>
    </row>
    <row r="188" spans="13:16" x14ac:dyDescent="0.15">
      <c r="M188" s="35" t="s">
        <v>1110</v>
      </c>
      <c r="N188" s="35" t="s">
        <v>1295</v>
      </c>
      <c r="O188" s="68">
        <v>2024.1</v>
      </c>
      <c r="P188" s="70">
        <v>44509.32</v>
      </c>
    </row>
    <row r="189" spans="13:16" x14ac:dyDescent="0.15">
      <c r="M189" s="35" t="s">
        <v>1110</v>
      </c>
      <c r="N189" s="35" t="s">
        <v>1295</v>
      </c>
      <c r="O189" s="68">
        <v>2024.09</v>
      </c>
      <c r="P189" s="70">
        <v>35663.31</v>
      </c>
    </row>
    <row r="190" spans="13:16" x14ac:dyDescent="0.15">
      <c r="M190" s="35" t="s">
        <v>1110</v>
      </c>
      <c r="N190" s="35" t="s">
        <v>1295</v>
      </c>
      <c r="O190" s="68">
        <v>2024.08</v>
      </c>
      <c r="P190" s="70">
        <v>27727.14</v>
      </c>
    </row>
    <row r="191" spans="13:16" x14ac:dyDescent="0.15">
      <c r="M191" s="35" t="s">
        <v>1110</v>
      </c>
      <c r="N191" s="35" t="s">
        <v>1295</v>
      </c>
      <c r="O191" s="68">
        <v>2024.07</v>
      </c>
      <c r="P191" s="70">
        <v>19250.09</v>
      </c>
    </row>
    <row r="192" spans="13:16" x14ac:dyDescent="0.15">
      <c r="M192" s="35" t="s">
        <v>1110</v>
      </c>
      <c r="N192" s="35" t="s">
        <v>1295</v>
      </c>
      <c r="O192" s="68">
        <v>2024.06</v>
      </c>
      <c r="P192" s="70">
        <v>19250.09</v>
      </c>
    </row>
    <row r="193" spans="13:16" x14ac:dyDescent="0.15">
      <c r="M193" s="35" t="s">
        <v>1110</v>
      </c>
      <c r="N193" s="35" t="s">
        <v>1295</v>
      </c>
      <c r="O193" s="68">
        <v>2024.05</v>
      </c>
      <c r="P193" s="70">
        <v>16015.16</v>
      </c>
    </row>
    <row r="194" spans="13:16" x14ac:dyDescent="0.15">
      <c r="M194" s="35" t="s">
        <v>1110</v>
      </c>
      <c r="N194" s="35" t="s">
        <v>1295</v>
      </c>
      <c r="O194" s="68">
        <v>2023.51</v>
      </c>
      <c r="P194" s="70">
        <v>5192.4799999999996</v>
      </c>
    </row>
    <row r="195" spans="13:16" x14ac:dyDescent="0.15">
      <c r="M195" s="35" t="s">
        <v>273</v>
      </c>
      <c r="N195" s="35" t="s">
        <v>288</v>
      </c>
      <c r="O195" s="68">
        <v>2024.44</v>
      </c>
      <c r="P195" s="70">
        <v>44967.72</v>
      </c>
    </row>
    <row r="196" spans="13:16" x14ac:dyDescent="0.15">
      <c r="M196" s="35" t="s">
        <v>273</v>
      </c>
      <c r="N196" s="35" t="s">
        <v>288</v>
      </c>
      <c r="O196" s="68">
        <v>2024.41</v>
      </c>
      <c r="P196" s="70">
        <v>44967.72</v>
      </c>
    </row>
    <row r="197" spans="13:16" x14ac:dyDescent="0.15">
      <c r="M197" s="35" t="s">
        <v>273</v>
      </c>
      <c r="N197" s="35" t="s">
        <v>288</v>
      </c>
      <c r="O197" s="68">
        <v>2024.05</v>
      </c>
      <c r="P197" s="70">
        <v>27239.52</v>
      </c>
    </row>
    <row r="198" spans="13:16" x14ac:dyDescent="0.15">
      <c r="M198" s="35" t="s">
        <v>273</v>
      </c>
      <c r="N198" s="35" t="s">
        <v>288</v>
      </c>
      <c r="O198" s="68">
        <v>2024.2</v>
      </c>
      <c r="P198" s="70">
        <v>38298.54</v>
      </c>
    </row>
    <row r="199" spans="13:16" x14ac:dyDescent="0.15">
      <c r="M199" s="35" t="s">
        <v>273</v>
      </c>
      <c r="N199" s="35" t="s">
        <v>288</v>
      </c>
      <c r="O199" s="68">
        <v>2024.21</v>
      </c>
      <c r="P199" s="70">
        <v>38298.54</v>
      </c>
    </row>
    <row r="200" spans="13:16" x14ac:dyDescent="0.15">
      <c r="M200" s="35" t="s">
        <v>1146</v>
      </c>
      <c r="N200" s="35" t="s">
        <v>1297</v>
      </c>
      <c r="O200" s="68">
        <v>2024.44</v>
      </c>
      <c r="P200" s="70">
        <v>31.88</v>
      </c>
    </row>
    <row r="201" spans="13:16" x14ac:dyDescent="0.15">
      <c r="M201" s="35" t="s">
        <v>1146</v>
      </c>
      <c r="N201" s="35" t="s">
        <v>1297</v>
      </c>
      <c r="O201" s="68">
        <v>2024.44</v>
      </c>
      <c r="P201" s="70">
        <v>206.05</v>
      </c>
    </row>
    <row r="202" spans="13:16" x14ac:dyDescent="0.15">
      <c r="M202" s="35" t="s">
        <v>1146</v>
      </c>
      <c r="N202" s="35" t="s">
        <v>1297</v>
      </c>
      <c r="O202" s="68">
        <v>2024.44</v>
      </c>
      <c r="P202" s="70">
        <v>2593.1999999999998</v>
      </c>
    </row>
    <row r="203" spans="13:16" x14ac:dyDescent="0.15">
      <c r="M203" s="35" t="s">
        <v>1146</v>
      </c>
      <c r="N203" s="35" t="s">
        <v>1297</v>
      </c>
      <c r="O203" s="68">
        <v>2024.44</v>
      </c>
      <c r="P203" s="70">
        <v>118000</v>
      </c>
    </row>
    <row r="204" spans="13:16" x14ac:dyDescent="0.15">
      <c r="M204" s="35" t="s">
        <v>1152</v>
      </c>
      <c r="N204" s="35" t="s">
        <v>1297</v>
      </c>
      <c r="O204" s="68">
        <v>2024.44</v>
      </c>
      <c r="P204" s="70">
        <v>88</v>
      </c>
    </row>
    <row r="205" spans="13:16" x14ac:dyDescent="0.15">
      <c r="M205" s="35" t="s">
        <v>1152</v>
      </c>
      <c r="N205" s="35" t="s">
        <v>1297</v>
      </c>
      <c r="O205" s="68">
        <v>2024.44</v>
      </c>
      <c r="P205" s="70">
        <v>667.84</v>
      </c>
    </row>
    <row r="206" spans="13:16" x14ac:dyDescent="0.15">
      <c r="M206" s="35" t="s">
        <v>1152</v>
      </c>
      <c r="N206" s="35" t="s">
        <v>1297</v>
      </c>
      <c r="O206" s="68">
        <v>2024.44</v>
      </c>
      <c r="P206" s="70">
        <v>8400.81</v>
      </c>
    </row>
    <row r="207" spans="13:16" x14ac:dyDescent="0.15">
      <c r="M207" s="35" t="s">
        <v>1146</v>
      </c>
      <c r="N207" s="35" t="s">
        <v>1297</v>
      </c>
      <c r="O207" s="68">
        <v>2024.41</v>
      </c>
      <c r="P207" s="70">
        <v>31.88</v>
      </c>
    </row>
    <row r="208" spans="13:16" x14ac:dyDescent="0.15">
      <c r="M208" s="35" t="s">
        <v>1146</v>
      </c>
      <c r="N208" s="35" t="s">
        <v>1297</v>
      </c>
      <c r="O208" s="68">
        <v>2024.41</v>
      </c>
      <c r="P208" s="70">
        <v>206.05</v>
      </c>
    </row>
    <row r="209" spans="13:16" x14ac:dyDescent="0.15">
      <c r="M209" s="35" t="s">
        <v>1146</v>
      </c>
      <c r="N209" s="35" t="s">
        <v>1297</v>
      </c>
      <c r="O209" s="68">
        <v>2024.41</v>
      </c>
      <c r="P209" s="70">
        <v>1940.48</v>
      </c>
    </row>
    <row r="210" spans="13:16" x14ac:dyDescent="0.15">
      <c r="M210" s="35" t="s">
        <v>1146</v>
      </c>
      <c r="N210" s="35" t="s">
        <v>1297</v>
      </c>
      <c r="O210" s="68">
        <v>2024.41</v>
      </c>
      <c r="P210" s="70">
        <v>118000</v>
      </c>
    </row>
    <row r="211" spans="13:16" x14ac:dyDescent="0.15">
      <c r="M211" s="35" t="s">
        <v>1152</v>
      </c>
      <c r="N211" s="35" t="s">
        <v>1297</v>
      </c>
      <c r="O211" s="68">
        <v>2024.41</v>
      </c>
      <c r="P211" s="70">
        <v>8</v>
      </c>
    </row>
    <row r="212" spans="13:16" x14ac:dyDescent="0.15">
      <c r="M212" s="35" t="s">
        <v>1152</v>
      </c>
      <c r="N212" s="35" t="s">
        <v>1297</v>
      </c>
      <c r="O212" s="68">
        <v>2024.41</v>
      </c>
      <c r="P212" s="70">
        <v>667.84</v>
      </c>
    </row>
    <row r="213" spans="13:16" x14ac:dyDescent="0.15">
      <c r="M213" s="35" t="s">
        <v>1152</v>
      </c>
      <c r="N213" s="35" t="s">
        <v>1297</v>
      </c>
      <c r="O213" s="68">
        <v>2024.41</v>
      </c>
      <c r="P213" s="70">
        <v>8268.32</v>
      </c>
    </row>
    <row r="214" spans="13:16" x14ac:dyDescent="0.15">
      <c r="M214" s="35" t="s">
        <v>1146</v>
      </c>
      <c r="N214" s="35" t="s">
        <v>1297</v>
      </c>
      <c r="O214" s="68">
        <v>2024.2</v>
      </c>
      <c r="P214" s="70">
        <v>4.6399999999999997</v>
      </c>
    </row>
    <row r="215" spans="13:16" x14ac:dyDescent="0.15">
      <c r="M215" s="35" t="s">
        <v>1146</v>
      </c>
      <c r="N215" s="35" t="s">
        <v>1297</v>
      </c>
      <c r="O215" s="68">
        <v>2024.2</v>
      </c>
      <c r="P215" s="70">
        <v>202.85</v>
      </c>
    </row>
    <row r="216" spans="13:16" x14ac:dyDescent="0.15">
      <c r="M216" s="35" t="s">
        <v>1146</v>
      </c>
      <c r="N216" s="35" t="s">
        <v>1297</v>
      </c>
      <c r="O216" s="68">
        <v>2024.2</v>
      </c>
      <c r="P216" s="70">
        <v>1698.28</v>
      </c>
    </row>
    <row r="217" spans="13:16" x14ac:dyDescent="0.15">
      <c r="M217" s="35" t="s">
        <v>1146</v>
      </c>
      <c r="N217" s="35" t="s">
        <v>1297</v>
      </c>
      <c r="O217" s="68">
        <v>2024.2</v>
      </c>
      <c r="P217" s="70">
        <v>118000</v>
      </c>
    </row>
    <row r="218" spans="13:16" x14ac:dyDescent="0.15">
      <c r="M218" s="35" t="s">
        <v>273</v>
      </c>
      <c r="N218" s="35" t="s">
        <v>1296</v>
      </c>
      <c r="O218" s="68">
        <v>2024.44</v>
      </c>
      <c r="P218" s="70">
        <v>79497.98</v>
      </c>
    </row>
    <row r="219" spans="13:16" x14ac:dyDescent="0.15">
      <c r="M219" s="35" t="s">
        <v>273</v>
      </c>
      <c r="N219" s="35" t="s">
        <v>1296</v>
      </c>
      <c r="O219" s="68">
        <v>2024.41</v>
      </c>
      <c r="P219" s="70">
        <v>77710.929999999993</v>
      </c>
    </row>
    <row r="220" spans="13:16" x14ac:dyDescent="0.15">
      <c r="M220" s="35" t="s">
        <v>273</v>
      </c>
      <c r="N220" s="35" t="s">
        <v>1296</v>
      </c>
      <c r="O220" s="68">
        <v>2024.05</v>
      </c>
      <c r="P220" s="70">
        <v>27984.44</v>
      </c>
    </row>
    <row r="221" spans="13:16" x14ac:dyDescent="0.15">
      <c r="M221" s="35" t="s">
        <v>273</v>
      </c>
      <c r="N221" s="35" t="s">
        <v>1296</v>
      </c>
      <c r="O221" s="68">
        <v>2024.2</v>
      </c>
      <c r="P221" s="70">
        <v>52232.45</v>
      </c>
    </row>
    <row r="222" spans="13:16" x14ac:dyDescent="0.15">
      <c r="M222" s="35" t="s">
        <v>273</v>
      </c>
      <c r="N222" s="35" t="s">
        <v>1296</v>
      </c>
      <c r="O222" s="68">
        <v>2024.21</v>
      </c>
      <c r="P222" s="70">
        <v>52336.55</v>
      </c>
    </row>
    <row r="223" spans="13:16" x14ac:dyDescent="0.15">
      <c r="M223" s="35" t="s">
        <v>273</v>
      </c>
      <c r="N223" s="35" t="s">
        <v>280</v>
      </c>
      <c r="O223" s="68">
        <v>2024.44</v>
      </c>
      <c r="P223" s="70">
        <v>18927.18</v>
      </c>
    </row>
    <row r="224" spans="13:16" x14ac:dyDescent="0.15">
      <c r="M224" s="35" t="s">
        <v>273</v>
      </c>
      <c r="N224" s="35" t="s">
        <v>280</v>
      </c>
      <c r="O224" s="68">
        <v>2024.41</v>
      </c>
      <c r="P224" s="70">
        <v>18634.22</v>
      </c>
    </row>
    <row r="225" spans="13:16" x14ac:dyDescent="0.15">
      <c r="M225" s="35" t="s">
        <v>273</v>
      </c>
      <c r="N225" s="35" t="s">
        <v>280</v>
      </c>
      <c r="O225" s="68">
        <v>2024.05</v>
      </c>
      <c r="P225" s="70">
        <v>10167.780000000001</v>
      </c>
    </row>
    <row r="226" spans="13:16" x14ac:dyDescent="0.15">
      <c r="M226" s="35" t="s">
        <v>273</v>
      </c>
      <c r="N226" s="35" t="s">
        <v>280</v>
      </c>
      <c r="O226" s="68">
        <v>2024.2</v>
      </c>
      <c r="P226" s="70">
        <v>14679.26</v>
      </c>
    </row>
    <row r="227" spans="13:16" x14ac:dyDescent="0.15">
      <c r="M227" s="35" t="s">
        <v>273</v>
      </c>
      <c r="N227" s="35" t="s">
        <v>280</v>
      </c>
      <c r="O227" s="68">
        <v>2024.21</v>
      </c>
      <c r="P227" s="70">
        <v>14679.26</v>
      </c>
    </row>
    <row r="228" spans="13:16" x14ac:dyDescent="0.15">
      <c r="M228" s="35" t="s">
        <v>1153</v>
      </c>
      <c r="N228" s="35" t="s">
        <v>1297</v>
      </c>
      <c r="O228" s="68">
        <v>2024.44</v>
      </c>
      <c r="P228" s="70">
        <v>477996</v>
      </c>
    </row>
    <row r="229" spans="13:16" x14ac:dyDescent="0.15">
      <c r="M229" s="35" t="s">
        <v>1153</v>
      </c>
      <c r="N229" s="35" t="s">
        <v>1297</v>
      </c>
      <c r="O229" s="68">
        <v>2024.44</v>
      </c>
      <c r="P229" s="70">
        <v>21106.32</v>
      </c>
    </row>
    <row r="230" spans="13:16" x14ac:dyDescent="0.15">
      <c r="M230" s="35" t="s">
        <v>262</v>
      </c>
      <c r="N230" s="35" t="s">
        <v>1297</v>
      </c>
      <c r="O230" s="68">
        <v>2024.44</v>
      </c>
      <c r="P230" s="70">
        <v>2.61</v>
      </c>
    </row>
    <row r="231" spans="13:16" x14ac:dyDescent="0.15">
      <c r="M231" s="35" t="s">
        <v>262</v>
      </c>
      <c r="N231" s="35" t="s">
        <v>1297</v>
      </c>
      <c r="O231" s="68">
        <v>2024.44</v>
      </c>
      <c r="P231" s="70">
        <v>2892.57</v>
      </c>
    </row>
    <row r="232" spans="13:16" x14ac:dyDescent="0.15">
      <c r="M232" s="35" t="s">
        <v>275</v>
      </c>
      <c r="N232" s="35" t="s">
        <v>1297</v>
      </c>
      <c r="O232" s="68">
        <v>2024.44</v>
      </c>
      <c r="P232" s="70">
        <v>7012.29</v>
      </c>
    </row>
    <row r="233" spans="13:16" x14ac:dyDescent="0.15">
      <c r="M233" s="35" t="s">
        <v>275</v>
      </c>
      <c r="N233" s="35" t="s">
        <v>1297</v>
      </c>
      <c r="O233" s="68">
        <v>2024.44</v>
      </c>
      <c r="P233" s="70">
        <v>128.52000000000001</v>
      </c>
    </row>
    <row r="234" spans="13:16" x14ac:dyDescent="0.15">
      <c r="M234" s="35" t="s">
        <v>276</v>
      </c>
      <c r="N234" s="35" t="s">
        <v>1297</v>
      </c>
      <c r="O234" s="68">
        <v>2024.44</v>
      </c>
      <c r="P234" s="70">
        <v>848.98</v>
      </c>
    </row>
    <row r="235" spans="13:16" x14ac:dyDescent="0.15">
      <c r="M235" s="35" t="s">
        <v>276</v>
      </c>
      <c r="N235" s="35" t="s">
        <v>1297</v>
      </c>
      <c r="O235" s="68">
        <v>2024.44</v>
      </c>
      <c r="P235" s="70">
        <v>30165.41</v>
      </c>
    </row>
    <row r="236" spans="13:16" x14ac:dyDescent="0.15">
      <c r="M236" s="35" t="s">
        <v>1153</v>
      </c>
      <c r="N236" s="35" t="s">
        <v>1297</v>
      </c>
      <c r="O236" s="68">
        <v>2024.41</v>
      </c>
      <c r="P236" s="70">
        <v>477996</v>
      </c>
    </row>
    <row r="237" spans="13:16" x14ac:dyDescent="0.15">
      <c r="M237" s="35" t="s">
        <v>1153</v>
      </c>
      <c r="N237" s="35" t="s">
        <v>1297</v>
      </c>
      <c r="O237" s="68">
        <v>2024.41</v>
      </c>
      <c r="P237" s="70">
        <v>21106.32</v>
      </c>
    </row>
    <row r="238" spans="13:16" x14ac:dyDescent="0.15">
      <c r="M238" s="35" t="s">
        <v>262</v>
      </c>
      <c r="N238" s="35" t="s">
        <v>1297</v>
      </c>
      <c r="O238" s="68">
        <v>2024.41</v>
      </c>
      <c r="P238" s="70">
        <v>2.61</v>
      </c>
    </row>
    <row r="239" spans="13:16" x14ac:dyDescent="0.15">
      <c r="M239" s="35" t="s">
        <v>262</v>
      </c>
      <c r="N239" s="35" t="s">
        <v>1297</v>
      </c>
      <c r="O239" s="68">
        <v>2024.41</v>
      </c>
      <c r="P239" s="70">
        <v>2892.57</v>
      </c>
    </row>
    <row r="240" spans="13:16" x14ac:dyDescent="0.15">
      <c r="M240" s="35" t="s">
        <v>275</v>
      </c>
      <c r="N240" s="35" t="s">
        <v>1297</v>
      </c>
      <c r="O240" s="68">
        <v>2024.41</v>
      </c>
      <c r="P240" s="70">
        <v>7012.29</v>
      </c>
    </row>
    <row r="241" spans="13:16" x14ac:dyDescent="0.15">
      <c r="M241" s="35" t="s">
        <v>275</v>
      </c>
      <c r="N241" s="35" t="s">
        <v>1297</v>
      </c>
      <c r="O241" s="68">
        <v>2024.41</v>
      </c>
      <c r="P241" s="70">
        <v>128.52000000000001</v>
      </c>
    </row>
    <row r="242" spans="13:16" x14ac:dyDescent="0.15">
      <c r="M242" s="35" t="s">
        <v>276</v>
      </c>
      <c r="N242" s="35" t="s">
        <v>1297</v>
      </c>
      <c r="O242" s="68">
        <v>2024.41</v>
      </c>
      <c r="P242" s="70">
        <v>848.98</v>
      </c>
    </row>
    <row r="243" spans="13:16" x14ac:dyDescent="0.15">
      <c r="M243" s="35" t="s">
        <v>276</v>
      </c>
      <c r="N243" s="35" t="s">
        <v>1297</v>
      </c>
      <c r="O243" s="68">
        <v>2024.41</v>
      </c>
      <c r="P243" s="70">
        <v>29546.59</v>
      </c>
    </row>
    <row r="244" spans="13:16" x14ac:dyDescent="0.15">
      <c r="M244" s="35" t="s">
        <v>1153</v>
      </c>
      <c r="N244" s="35" t="s">
        <v>1297</v>
      </c>
      <c r="O244" s="68">
        <v>2024.05</v>
      </c>
      <c r="P244" s="70">
        <v>477996</v>
      </c>
    </row>
    <row r="245" spans="13:16" x14ac:dyDescent="0.15">
      <c r="M245" s="35" t="s">
        <v>275</v>
      </c>
      <c r="N245" s="35" t="s">
        <v>1297</v>
      </c>
      <c r="O245" s="68">
        <v>2024.05</v>
      </c>
      <c r="P245" s="70">
        <v>7012.29</v>
      </c>
    </row>
    <row r="246" spans="13:16" x14ac:dyDescent="0.15">
      <c r="M246" s="35" t="s">
        <v>275</v>
      </c>
      <c r="N246" s="35" t="s">
        <v>1297</v>
      </c>
      <c r="O246" s="68">
        <v>2024.05</v>
      </c>
      <c r="P246" s="70">
        <v>99.9</v>
      </c>
    </row>
    <row r="247" spans="13:16" x14ac:dyDescent="0.15">
      <c r="M247" s="35" t="s">
        <v>276</v>
      </c>
      <c r="N247" s="35" t="s">
        <v>1297</v>
      </c>
      <c r="O247" s="68">
        <v>2024.05</v>
      </c>
      <c r="P247" s="70">
        <v>845.24</v>
      </c>
    </row>
    <row r="248" spans="13:16" x14ac:dyDescent="0.15">
      <c r="M248" s="35" t="s">
        <v>276</v>
      </c>
      <c r="N248" s="35" t="s">
        <v>1297</v>
      </c>
      <c r="O248" s="68">
        <v>2024.05</v>
      </c>
      <c r="P248" s="70">
        <v>23063.47</v>
      </c>
    </row>
    <row r="249" spans="13:16" x14ac:dyDescent="0.15">
      <c r="M249" s="35" t="s">
        <v>1146</v>
      </c>
      <c r="N249" s="35" t="s">
        <v>1297</v>
      </c>
      <c r="O249" s="68">
        <v>2024.05</v>
      </c>
      <c r="P249" s="70">
        <v>45.34</v>
      </c>
    </row>
    <row r="250" spans="13:16" x14ac:dyDescent="0.15">
      <c r="M250" s="35" t="s">
        <v>1146</v>
      </c>
      <c r="N250" s="35" t="s">
        <v>1297</v>
      </c>
      <c r="O250" s="68">
        <v>2024.05</v>
      </c>
      <c r="P250" s="70">
        <v>3223.6</v>
      </c>
    </row>
    <row r="251" spans="13:16" x14ac:dyDescent="0.15">
      <c r="M251" s="35" t="s">
        <v>1153</v>
      </c>
      <c r="N251" s="35" t="s">
        <v>1297</v>
      </c>
      <c r="O251" s="68">
        <v>2024.2</v>
      </c>
      <c r="P251" s="70">
        <v>477996</v>
      </c>
    </row>
    <row r="252" spans="13:16" x14ac:dyDescent="0.15">
      <c r="M252" s="35" t="s">
        <v>275</v>
      </c>
      <c r="N252" s="35" t="s">
        <v>1297</v>
      </c>
      <c r="O252" s="68">
        <v>2024.2</v>
      </c>
      <c r="P252" s="70">
        <v>7012.29</v>
      </c>
    </row>
    <row r="253" spans="13:16" x14ac:dyDescent="0.15">
      <c r="M253" s="35" t="s">
        <v>275</v>
      </c>
      <c r="N253" s="35" t="s">
        <v>1297</v>
      </c>
      <c r="O253" s="68">
        <v>2024.2</v>
      </c>
      <c r="P253" s="70">
        <v>100.56</v>
      </c>
    </row>
    <row r="254" spans="13:16" x14ac:dyDescent="0.15">
      <c r="M254" s="35" t="s">
        <v>276</v>
      </c>
      <c r="N254" s="35" t="s">
        <v>1297</v>
      </c>
      <c r="O254" s="68">
        <v>2024.2</v>
      </c>
      <c r="P254" s="70">
        <v>848.98</v>
      </c>
    </row>
    <row r="255" spans="13:16" x14ac:dyDescent="0.15">
      <c r="M255" s="35" t="s">
        <v>276</v>
      </c>
      <c r="N255" s="35" t="s">
        <v>1297</v>
      </c>
      <c r="O255" s="68">
        <v>2024.2</v>
      </c>
      <c r="P255" s="70">
        <v>29544.07</v>
      </c>
    </row>
    <row r="256" spans="13:16" x14ac:dyDescent="0.15">
      <c r="M256" s="35" t="s">
        <v>1152</v>
      </c>
      <c r="N256" s="35" t="s">
        <v>1297</v>
      </c>
      <c r="O256" s="68">
        <v>2024.2</v>
      </c>
      <c r="P256" s="70">
        <v>667.84</v>
      </c>
    </row>
    <row r="257" spans="13:16" x14ac:dyDescent="0.15">
      <c r="M257" s="35" t="s">
        <v>1152</v>
      </c>
      <c r="N257" s="35" t="s">
        <v>1297</v>
      </c>
      <c r="O257" s="68">
        <v>2024.2</v>
      </c>
      <c r="P257" s="70">
        <v>8080.12</v>
      </c>
    </row>
    <row r="258" spans="13:16" x14ac:dyDescent="0.15">
      <c r="M258" s="35" t="s">
        <v>273</v>
      </c>
      <c r="N258" s="35" t="s">
        <v>277</v>
      </c>
      <c r="O258" s="68">
        <v>2024.44</v>
      </c>
      <c r="P258" s="70">
        <v>166.2</v>
      </c>
    </row>
    <row r="259" spans="13:16" x14ac:dyDescent="0.15">
      <c r="M259" s="35" t="s">
        <v>309</v>
      </c>
      <c r="N259" s="35" t="s">
        <v>277</v>
      </c>
      <c r="O259" s="68">
        <v>2024.44</v>
      </c>
      <c r="P259" s="70">
        <v>35247.65</v>
      </c>
    </row>
    <row r="260" spans="13:16" x14ac:dyDescent="0.15">
      <c r="M260" s="35" t="s">
        <v>273</v>
      </c>
      <c r="N260" s="35" t="s">
        <v>277</v>
      </c>
      <c r="O260" s="68">
        <v>2024.41</v>
      </c>
      <c r="P260" s="70">
        <v>166.2</v>
      </c>
    </row>
    <row r="261" spans="13:16" x14ac:dyDescent="0.15">
      <c r="M261" s="35" t="s">
        <v>309</v>
      </c>
      <c r="N261" s="35" t="s">
        <v>277</v>
      </c>
      <c r="O261" s="68">
        <v>2024.41</v>
      </c>
      <c r="P261" s="70">
        <v>35247.65</v>
      </c>
    </row>
    <row r="262" spans="13:16" x14ac:dyDescent="0.15">
      <c r="M262" s="35" t="s">
        <v>309</v>
      </c>
      <c r="N262" s="35" t="s">
        <v>277</v>
      </c>
      <c r="O262" s="68">
        <v>2024.05</v>
      </c>
      <c r="P262" s="70">
        <v>12828.59</v>
      </c>
    </row>
    <row r="263" spans="13:16" x14ac:dyDescent="0.15">
      <c r="M263" s="35" t="s">
        <v>273</v>
      </c>
      <c r="N263" s="35" t="s">
        <v>277</v>
      </c>
      <c r="O263" s="68">
        <v>2024.2</v>
      </c>
      <c r="P263" s="70">
        <v>166.2</v>
      </c>
    </row>
    <row r="264" spans="13:16" x14ac:dyDescent="0.15">
      <c r="M264" s="35" t="s">
        <v>309</v>
      </c>
      <c r="N264" s="35" t="s">
        <v>277</v>
      </c>
      <c r="O264" s="68">
        <v>2024.2</v>
      </c>
      <c r="P264" s="70">
        <v>27488.42</v>
      </c>
    </row>
    <row r="265" spans="13:16" x14ac:dyDescent="0.15">
      <c r="M265" s="35" t="s">
        <v>273</v>
      </c>
      <c r="N265" s="35" t="s">
        <v>277</v>
      </c>
      <c r="O265" s="68">
        <v>2024.21</v>
      </c>
      <c r="P265" s="70">
        <v>166.2</v>
      </c>
    </row>
    <row r="266" spans="13:16" x14ac:dyDescent="0.15">
      <c r="M266" s="35" t="s">
        <v>309</v>
      </c>
      <c r="N266" s="35" t="s">
        <v>277</v>
      </c>
      <c r="O266" s="68">
        <v>2024.21</v>
      </c>
      <c r="P266" s="70">
        <v>27488.42</v>
      </c>
    </row>
    <row r="267" spans="13:16" x14ac:dyDescent="0.15">
      <c r="M267" s="35" t="s">
        <v>273</v>
      </c>
      <c r="N267" s="35" t="s">
        <v>283</v>
      </c>
      <c r="O267" s="68">
        <v>2024.44</v>
      </c>
      <c r="P267" s="70">
        <v>6127.3</v>
      </c>
    </row>
    <row r="268" spans="13:16" x14ac:dyDescent="0.15">
      <c r="M268" s="35" t="s">
        <v>262</v>
      </c>
      <c r="N268" s="35" t="s">
        <v>283</v>
      </c>
      <c r="O268" s="68">
        <v>2024.44</v>
      </c>
      <c r="P268" s="70">
        <v>12223.9</v>
      </c>
    </row>
    <row r="269" spans="13:16" x14ac:dyDescent="0.15">
      <c r="M269" s="35" t="s">
        <v>1146</v>
      </c>
      <c r="N269" s="35" t="s">
        <v>283</v>
      </c>
      <c r="O269" s="68">
        <v>2024.44</v>
      </c>
      <c r="P269" s="70">
        <v>13269.41</v>
      </c>
    </row>
    <row r="270" spans="13:16" x14ac:dyDescent="0.15">
      <c r="M270" s="35" t="s">
        <v>1146</v>
      </c>
      <c r="N270" s="35" t="s">
        <v>283</v>
      </c>
      <c r="O270" s="68">
        <v>2024.44</v>
      </c>
      <c r="P270" s="70">
        <v>17820</v>
      </c>
    </row>
    <row r="271" spans="13:16" x14ac:dyDescent="0.15">
      <c r="M271" s="35" t="s">
        <v>1151</v>
      </c>
      <c r="N271" s="35" t="s">
        <v>283</v>
      </c>
      <c r="O271" s="68">
        <v>2024.44</v>
      </c>
      <c r="P271" s="70">
        <v>1761.26</v>
      </c>
    </row>
    <row r="272" spans="13:16" x14ac:dyDescent="0.15">
      <c r="M272" s="35" t="s">
        <v>273</v>
      </c>
      <c r="N272" s="35" t="s">
        <v>283</v>
      </c>
      <c r="O272" s="68">
        <v>2024.41</v>
      </c>
      <c r="P272" s="70">
        <v>6127.3</v>
      </c>
    </row>
    <row r="273" spans="13:16" x14ac:dyDescent="0.15">
      <c r="M273" s="35" t="s">
        <v>262</v>
      </c>
      <c r="N273" s="35" t="s">
        <v>283</v>
      </c>
      <c r="O273" s="68">
        <v>2024.41</v>
      </c>
      <c r="P273" s="70">
        <v>12223.9</v>
      </c>
    </row>
    <row r="274" spans="13:16" x14ac:dyDescent="0.15">
      <c r="M274" s="35" t="s">
        <v>1146</v>
      </c>
      <c r="N274" s="35" t="s">
        <v>283</v>
      </c>
      <c r="O274" s="68">
        <v>2024.41</v>
      </c>
      <c r="P274" s="70">
        <v>7952.91</v>
      </c>
    </row>
    <row r="275" spans="13:16" x14ac:dyDescent="0.15">
      <c r="M275" s="35" t="s">
        <v>1146</v>
      </c>
      <c r="N275" s="35" t="s">
        <v>283</v>
      </c>
      <c r="O275" s="68">
        <v>2024.41</v>
      </c>
      <c r="P275" s="70">
        <v>17820</v>
      </c>
    </row>
    <row r="276" spans="13:16" x14ac:dyDescent="0.15">
      <c r="M276" s="35" t="s">
        <v>1151</v>
      </c>
      <c r="N276" s="35" t="s">
        <v>283</v>
      </c>
      <c r="O276" s="68">
        <v>2024.41</v>
      </c>
      <c r="P276" s="70">
        <v>1521.16</v>
      </c>
    </row>
    <row r="277" spans="13:16" x14ac:dyDescent="0.15">
      <c r="M277" s="35" t="s">
        <v>273</v>
      </c>
      <c r="N277" s="35" t="s">
        <v>283</v>
      </c>
      <c r="O277" s="68">
        <v>2024.2</v>
      </c>
      <c r="P277" s="70">
        <v>3589.1</v>
      </c>
    </row>
    <row r="278" spans="13:16" x14ac:dyDescent="0.15">
      <c r="M278" s="35" t="s">
        <v>262</v>
      </c>
      <c r="N278" s="35" t="s">
        <v>283</v>
      </c>
      <c r="O278" s="68">
        <v>2024.2</v>
      </c>
      <c r="P278" s="70">
        <v>9385.5300000000007</v>
      </c>
    </row>
    <row r="279" spans="13:16" x14ac:dyDescent="0.15">
      <c r="M279" s="35" t="s">
        <v>1146</v>
      </c>
      <c r="N279" s="35" t="s">
        <v>283</v>
      </c>
      <c r="O279" s="68">
        <v>2024.2</v>
      </c>
      <c r="P279" s="70">
        <v>7952.91</v>
      </c>
    </row>
    <row r="280" spans="13:16" x14ac:dyDescent="0.15">
      <c r="M280" s="35" t="s">
        <v>1146</v>
      </c>
      <c r="N280" s="35" t="s">
        <v>283</v>
      </c>
      <c r="O280" s="68">
        <v>2024.2</v>
      </c>
      <c r="P280" s="70">
        <v>17820</v>
      </c>
    </row>
    <row r="281" spans="13:16" x14ac:dyDescent="0.15">
      <c r="M281" s="35" t="s">
        <v>1151</v>
      </c>
      <c r="N281" s="35" t="s">
        <v>283</v>
      </c>
      <c r="O281" s="68">
        <v>2024.2</v>
      </c>
      <c r="P281" s="70">
        <v>1521.16</v>
      </c>
    </row>
    <row r="282" spans="13:16" x14ac:dyDescent="0.15">
      <c r="M282" s="35" t="s">
        <v>273</v>
      </c>
      <c r="N282" s="35" t="s">
        <v>283</v>
      </c>
      <c r="O282" s="68">
        <v>2024.21</v>
      </c>
      <c r="P282" s="70">
        <v>3589.1</v>
      </c>
    </row>
    <row r="283" spans="13:16" x14ac:dyDescent="0.15">
      <c r="M283" s="35" t="s">
        <v>273</v>
      </c>
      <c r="N283" s="35" t="s">
        <v>1298</v>
      </c>
      <c r="O283" s="68">
        <v>2024.44</v>
      </c>
      <c r="P283" s="70">
        <v>9232.5400000000009</v>
      </c>
    </row>
    <row r="284" spans="13:16" x14ac:dyDescent="0.15">
      <c r="M284" s="35" t="s">
        <v>1149</v>
      </c>
      <c r="N284" s="35" t="s">
        <v>1298</v>
      </c>
      <c r="O284" s="68">
        <v>2024.44</v>
      </c>
      <c r="P284" s="70">
        <v>437.16</v>
      </c>
    </row>
    <row r="285" spans="13:16" x14ac:dyDescent="0.15">
      <c r="M285" s="35" t="s">
        <v>1149</v>
      </c>
      <c r="N285" s="35" t="s">
        <v>1298</v>
      </c>
      <c r="O285" s="68">
        <v>2024.44</v>
      </c>
      <c r="P285" s="70">
        <v>10394.799999999999</v>
      </c>
    </row>
    <row r="286" spans="13:16" x14ac:dyDescent="0.15">
      <c r="M286" s="35" t="s">
        <v>1146</v>
      </c>
      <c r="N286" s="35" t="s">
        <v>1298</v>
      </c>
      <c r="O286" s="68">
        <v>2024.44</v>
      </c>
      <c r="P286" s="70">
        <v>9894.39</v>
      </c>
    </row>
    <row r="287" spans="13:16" x14ac:dyDescent="0.15">
      <c r="M287" s="35" t="s">
        <v>1146</v>
      </c>
      <c r="N287" s="35" t="s">
        <v>1298</v>
      </c>
      <c r="O287" s="68">
        <v>2024.44</v>
      </c>
      <c r="P287" s="70">
        <v>107160.56</v>
      </c>
    </row>
    <row r="288" spans="13:16" x14ac:dyDescent="0.15">
      <c r="M288" s="35" t="s">
        <v>1152</v>
      </c>
      <c r="N288" s="35" t="s">
        <v>1298</v>
      </c>
      <c r="O288" s="68">
        <v>2024.44</v>
      </c>
      <c r="P288" s="70">
        <v>728.6</v>
      </c>
    </row>
    <row r="289" spans="13:16" x14ac:dyDescent="0.15">
      <c r="M289" s="35" t="s">
        <v>1152</v>
      </c>
      <c r="N289" s="35" t="s">
        <v>1298</v>
      </c>
      <c r="O289" s="68">
        <v>2024.44</v>
      </c>
      <c r="P289" s="70">
        <v>52355</v>
      </c>
    </row>
    <row r="290" spans="13:16" x14ac:dyDescent="0.15">
      <c r="M290" s="35" t="s">
        <v>273</v>
      </c>
      <c r="N290" s="35" t="s">
        <v>1298</v>
      </c>
      <c r="O290" s="68">
        <v>2024.41</v>
      </c>
      <c r="P290" s="70">
        <v>7319.96</v>
      </c>
    </row>
    <row r="291" spans="13:16" x14ac:dyDescent="0.15">
      <c r="M291" s="35" t="s">
        <v>1146</v>
      </c>
      <c r="N291" s="35" t="s">
        <v>1298</v>
      </c>
      <c r="O291" s="68">
        <v>2024.41</v>
      </c>
      <c r="P291" s="70">
        <v>9020.07</v>
      </c>
    </row>
    <row r="292" spans="13:16" x14ac:dyDescent="0.15">
      <c r="M292" s="35" t="s">
        <v>1146</v>
      </c>
      <c r="N292" s="35" t="s">
        <v>1298</v>
      </c>
      <c r="O292" s="68">
        <v>2024.41</v>
      </c>
      <c r="P292" s="70">
        <v>10151.959999999999</v>
      </c>
    </row>
    <row r="293" spans="13:16" x14ac:dyDescent="0.15">
      <c r="M293" s="35" t="s">
        <v>1152</v>
      </c>
      <c r="N293" s="35" t="s">
        <v>1298</v>
      </c>
      <c r="O293" s="68">
        <v>2024.41</v>
      </c>
      <c r="P293" s="70">
        <v>72.86</v>
      </c>
    </row>
    <row r="294" spans="13:16" x14ac:dyDescent="0.15">
      <c r="M294" s="35" t="s">
        <v>1152</v>
      </c>
      <c r="N294" s="35" t="s">
        <v>1298</v>
      </c>
      <c r="O294" s="68">
        <v>2024.41</v>
      </c>
      <c r="P294" s="70">
        <v>52355</v>
      </c>
    </row>
    <row r="295" spans="13:16" x14ac:dyDescent="0.15">
      <c r="M295" s="35" t="s">
        <v>273</v>
      </c>
      <c r="N295" s="35" t="s">
        <v>1298</v>
      </c>
      <c r="O295" s="68">
        <v>2024.05</v>
      </c>
      <c r="P295" s="70">
        <v>2312.46</v>
      </c>
    </row>
    <row r="296" spans="13:16" x14ac:dyDescent="0.15">
      <c r="M296" s="35" t="s">
        <v>1146</v>
      </c>
      <c r="N296" s="35" t="s">
        <v>1298</v>
      </c>
      <c r="O296" s="68">
        <v>2024.05</v>
      </c>
      <c r="P296" s="70">
        <v>79.739999999999995</v>
      </c>
    </row>
    <row r="297" spans="13:16" x14ac:dyDescent="0.15">
      <c r="M297" s="35" t="s">
        <v>1146</v>
      </c>
      <c r="N297" s="35" t="s">
        <v>1298</v>
      </c>
      <c r="O297" s="68">
        <v>2024.05</v>
      </c>
      <c r="P297" s="70">
        <v>109451.95</v>
      </c>
    </row>
    <row r="298" spans="13:16" x14ac:dyDescent="0.15">
      <c r="M298" s="35" t="s">
        <v>273</v>
      </c>
      <c r="N298" s="35" t="s">
        <v>1298</v>
      </c>
      <c r="O298" s="68">
        <v>2024.2</v>
      </c>
      <c r="P298" s="70">
        <v>6955.66</v>
      </c>
    </row>
    <row r="299" spans="13:16" x14ac:dyDescent="0.15">
      <c r="M299" s="35" t="s">
        <v>1146</v>
      </c>
      <c r="N299" s="35" t="s">
        <v>1298</v>
      </c>
      <c r="O299" s="68">
        <v>2024.2</v>
      </c>
      <c r="P299" s="70">
        <v>6615.69</v>
      </c>
    </row>
    <row r="300" spans="13:16" x14ac:dyDescent="0.15">
      <c r="M300" s="35" t="s">
        <v>1146</v>
      </c>
      <c r="N300" s="35" t="s">
        <v>1298</v>
      </c>
      <c r="O300" s="68">
        <v>2024.2</v>
      </c>
      <c r="P300" s="70">
        <v>109451.96</v>
      </c>
    </row>
    <row r="301" spans="13:16" x14ac:dyDescent="0.15">
      <c r="M301" s="35" t="s">
        <v>273</v>
      </c>
      <c r="N301" s="35" t="s">
        <v>1298</v>
      </c>
      <c r="O301" s="68">
        <v>2024.21</v>
      </c>
      <c r="P301" s="70">
        <v>6955.66</v>
      </c>
    </row>
    <row r="302" spans="13:16" x14ac:dyDescent="0.15">
      <c r="M302" s="35" t="s">
        <v>307</v>
      </c>
      <c r="N302" s="35" t="s">
        <v>280</v>
      </c>
      <c r="O302" s="68">
        <v>2024.44</v>
      </c>
      <c r="P302" s="70">
        <v>4687.3599999999997</v>
      </c>
    </row>
    <row r="303" spans="13:16" x14ac:dyDescent="0.15">
      <c r="M303" s="35" t="s">
        <v>307</v>
      </c>
      <c r="N303" s="35" t="s">
        <v>280</v>
      </c>
      <c r="O303" s="68">
        <v>2024.44</v>
      </c>
      <c r="P303" s="70">
        <v>15000</v>
      </c>
    </row>
    <row r="304" spans="13:16" x14ac:dyDescent="0.15">
      <c r="M304" s="35" t="s">
        <v>307</v>
      </c>
      <c r="N304" s="35" t="s">
        <v>280</v>
      </c>
      <c r="O304" s="68">
        <v>2024.41</v>
      </c>
      <c r="P304" s="70">
        <v>4687.3599999999997</v>
      </c>
    </row>
    <row r="305" spans="13:16" x14ac:dyDescent="0.15">
      <c r="M305" s="35" t="s">
        <v>307</v>
      </c>
      <c r="N305" s="35" t="s">
        <v>280</v>
      </c>
      <c r="O305" s="68">
        <v>2024.41</v>
      </c>
      <c r="P305" s="70">
        <v>15000</v>
      </c>
    </row>
    <row r="306" spans="13:16" x14ac:dyDescent="0.15">
      <c r="M306" s="35" t="s">
        <v>307</v>
      </c>
      <c r="N306" s="35" t="s">
        <v>280</v>
      </c>
      <c r="O306" s="68">
        <v>2024.2</v>
      </c>
      <c r="P306" s="70">
        <v>3222.56</v>
      </c>
    </row>
    <row r="307" spans="13:16" x14ac:dyDescent="0.15">
      <c r="M307" s="35" t="s">
        <v>307</v>
      </c>
      <c r="N307" s="35" t="s">
        <v>280</v>
      </c>
      <c r="O307" s="68">
        <v>2024.2</v>
      </c>
      <c r="P307" s="70">
        <v>15000</v>
      </c>
    </row>
    <row r="308" spans="13:16" x14ac:dyDescent="0.15">
      <c r="M308" s="35" t="s">
        <v>307</v>
      </c>
      <c r="N308" s="35" t="s">
        <v>280</v>
      </c>
      <c r="O308" s="68">
        <v>2024.21</v>
      </c>
      <c r="P308" s="70">
        <v>3222.56</v>
      </c>
    </row>
    <row r="309" spans="13:16" x14ac:dyDescent="0.15">
      <c r="M309" s="35" t="s">
        <v>307</v>
      </c>
      <c r="N309" s="35" t="s">
        <v>280</v>
      </c>
      <c r="O309" s="68">
        <v>2024.21</v>
      </c>
      <c r="P309" s="70">
        <v>15000</v>
      </c>
    </row>
    <row r="310" spans="13:16" x14ac:dyDescent="0.15">
      <c r="M310" s="35" t="s">
        <v>307</v>
      </c>
      <c r="N310" s="35" t="s">
        <v>280</v>
      </c>
      <c r="O310" s="68">
        <v>2024.05</v>
      </c>
      <c r="P310" s="70">
        <v>15000</v>
      </c>
    </row>
    <row r="311" spans="13:16" x14ac:dyDescent="0.15">
      <c r="M311" s="35" t="s">
        <v>307</v>
      </c>
      <c r="N311" s="35" t="s">
        <v>281</v>
      </c>
      <c r="O311" s="68">
        <v>2024.44</v>
      </c>
      <c r="P311" s="70">
        <v>8835.25</v>
      </c>
    </row>
    <row r="312" spans="13:16" x14ac:dyDescent="0.15">
      <c r="M312" s="35" t="s">
        <v>307</v>
      </c>
      <c r="N312" s="35" t="s">
        <v>281</v>
      </c>
      <c r="O312" s="68">
        <v>2024.41</v>
      </c>
      <c r="P312" s="70">
        <v>8835.25</v>
      </c>
    </row>
    <row r="313" spans="13:16" x14ac:dyDescent="0.15">
      <c r="M313" s="35" t="s">
        <v>307</v>
      </c>
      <c r="N313" s="35" t="s">
        <v>281</v>
      </c>
      <c r="O313" s="68">
        <v>2024.05</v>
      </c>
      <c r="P313" s="70">
        <v>2950.12</v>
      </c>
    </row>
    <row r="314" spans="13:16" x14ac:dyDescent="0.15">
      <c r="M314" s="35" t="s">
        <v>307</v>
      </c>
      <c r="N314" s="35" t="s">
        <v>281</v>
      </c>
      <c r="O314" s="68">
        <v>2024.2</v>
      </c>
      <c r="P314" s="70">
        <v>7150.73</v>
      </c>
    </row>
    <row r="315" spans="13:16" x14ac:dyDescent="0.15">
      <c r="M315" s="35" t="s">
        <v>307</v>
      </c>
      <c r="N315" s="35" t="s">
        <v>281</v>
      </c>
      <c r="O315" s="68">
        <v>2024.21</v>
      </c>
      <c r="P315" s="70">
        <v>7150.73</v>
      </c>
    </row>
    <row r="316" spans="13:16" x14ac:dyDescent="0.15">
      <c r="M316" s="35" t="s">
        <v>307</v>
      </c>
      <c r="N316" s="35" t="s">
        <v>1297</v>
      </c>
      <c r="O316" s="68">
        <v>2024.44</v>
      </c>
      <c r="P316" s="70">
        <v>20.8</v>
      </c>
    </row>
    <row r="317" spans="13:16" x14ac:dyDescent="0.15">
      <c r="M317" s="35" t="s">
        <v>1151</v>
      </c>
      <c r="N317" s="35" t="s">
        <v>1297</v>
      </c>
      <c r="O317" s="68">
        <v>2024.44</v>
      </c>
      <c r="P317" s="70">
        <v>120812.64</v>
      </c>
    </row>
    <row r="318" spans="13:16" x14ac:dyDescent="0.15">
      <c r="M318" s="35" t="s">
        <v>256</v>
      </c>
      <c r="N318" s="35" t="s">
        <v>1297</v>
      </c>
      <c r="O318" s="68">
        <v>2024.44</v>
      </c>
      <c r="P318" s="70">
        <v>411772.8</v>
      </c>
    </row>
    <row r="319" spans="13:16" x14ac:dyDescent="0.15">
      <c r="M319" s="35" t="s">
        <v>307</v>
      </c>
      <c r="N319" s="35" t="s">
        <v>1297</v>
      </c>
      <c r="O319" s="68">
        <v>2024.41</v>
      </c>
      <c r="P319" s="70">
        <v>20.8</v>
      </c>
    </row>
    <row r="320" spans="13:16" x14ac:dyDescent="0.15">
      <c r="M320" s="35" t="s">
        <v>1151</v>
      </c>
      <c r="N320" s="35" t="s">
        <v>1297</v>
      </c>
      <c r="O320" s="68">
        <v>2024.41</v>
      </c>
      <c r="P320" s="70">
        <v>96848.12</v>
      </c>
    </row>
    <row r="321" spans="13:16" x14ac:dyDescent="0.15">
      <c r="M321" s="35" t="s">
        <v>256</v>
      </c>
      <c r="N321" s="35" t="s">
        <v>1297</v>
      </c>
      <c r="O321" s="68">
        <v>2024.41</v>
      </c>
      <c r="P321" s="70">
        <v>409160.8</v>
      </c>
    </row>
    <row r="322" spans="13:16" x14ac:dyDescent="0.15">
      <c r="M322" s="35" t="s">
        <v>1151</v>
      </c>
      <c r="N322" s="35" t="s">
        <v>1297</v>
      </c>
      <c r="O322" s="68">
        <v>2024.05</v>
      </c>
      <c r="P322" s="70">
        <v>86352.639999999999</v>
      </c>
    </row>
    <row r="323" spans="13:16" x14ac:dyDescent="0.15">
      <c r="M323" s="35" t="s">
        <v>1152</v>
      </c>
      <c r="N323" s="35" t="s">
        <v>1297</v>
      </c>
      <c r="O323" s="68">
        <v>2024.05</v>
      </c>
      <c r="P323" s="70">
        <v>484.94</v>
      </c>
    </row>
    <row r="324" spans="13:16" x14ac:dyDescent="0.15">
      <c r="M324" s="35" t="s">
        <v>1152</v>
      </c>
      <c r="N324" s="35" t="s">
        <v>1297</v>
      </c>
      <c r="O324" s="68">
        <v>2024.05</v>
      </c>
      <c r="P324" s="70">
        <v>8040.68</v>
      </c>
    </row>
    <row r="325" spans="13:16" x14ac:dyDescent="0.15">
      <c r="M325" s="35" t="s">
        <v>256</v>
      </c>
      <c r="N325" s="35" t="s">
        <v>1297</v>
      </c>
      <c r="O325" s="68">
        <v>2024.05</v>
      </c>
      <c r="P325" s="70">
        <v>371816.9</v>
      </c>
    </row>
    <row r="326" spans="13:16" x14ac:dyDescent="0.15">
      <c r="M326" s="35" t="s">
        <v>307</v>
      </c>
      <c r="N326" s="35" t="s">
        <v>1297</v>
      </c>
      <c r="O326" s="68">
        <v>2024.2</v>
      </c>
      <c r="P326" s="70">
        <v>20.8</v>
      </c>
    </row>
    <row r="327" spans="13:16" x14ac:dyDescent="0.15">
      <c r="M327" s="35" t="s">
        <v>262</v>
      </c>
      <c r="N327" s="35" t="s">
        <v>1297</v>
      </c>
      <c r="O327" s="68">
        <v>2024.2</v>
      </c>
      <c r="P327" s="70">
        <v>2546.25</v>
      </c>
    </row>
    <row r="328" spans="13:16" x14ac:dyDescent="0.15">
      <c r="M328" s="35" t="s">
        <v>1151</v>
      </c>
      <c r="N328" s="35" t="s">
        <v>1297</v>
      </c>
      <c r="O328" s="68">
        <v>2024.2</v>
      </c>
      <c r="P328" s="70">
        <v>94744.8</v>
      </c>
    </row>
    <row r="329" spans="13:16" x14ac:dyDescent="0.15">
      <c r="M329" s="35" t="s">
        <v>256</v>
      </c>
      <c r="N329" s="35" t="s">
        <v>1297</v>
      </c>
      <c r="O329" s="68">
        <v>2024.2</v>
      </c>
      <c r="P329" s="70">
        <v>317873.90000000002</v>
      </c>
    </row>
    <row r="330" spans="13:16" x14ac:dyDescent="0.15">
      <c r="M330" s="35" t="s">
        <v>307</v>
      </c>
      <c r="N330" s="35" t="s">
        <v>1297</v>
      </c>
      <c r="O330" s="68">
        <v>2024.21</v>
      </c>
      <c r="P330" s="70">
        <v>20.8</v>
      </c>
    </row>
    <row r="331" spans="13:16" x14ac:dyDescent="0.15">
      <c r="M331" s="35" t="s">
        <v>307</v>
      </c>
      <c r="N331" s="35" t="s">
        <v>1299</v>
      </c>
      <c r="O331" s="68">
        <v>2024.44</v>
      </c>
      <c r="P331" s="70">
        <v>26.23</v>
      </c>
    </row>
    <row r="332" spans="13:16" x14ac:dyDescent="0.15">
      <c r="M332" s="35" t="s">
        <v>1150</v>
      </c>
      <c r="N332" s="35" t="s">
        <v>1299</v>
      </c>
      <c r="O332" s="68">
        <v>2024.44</v>
      </c>
      <c r="P332" s="70">
        <v>86.78</v>
      </c>
    </row>
    <row r="333" spans="13:16" x14ac:dyDescent="0.15">
      <c r="M333" s="35" t="s">
        <v>275</v>
      </c>
      <c r="N333" s="35" t="s">
        <v>1299</v>
      </c>
      <c r="O333" s="68">
        <v>2024.44</v>
      </c>
      <c r="P333" s="70">
        <v>92353.91</v>
      </c>
    </row>
    <row r="334" spans="13:16" x14ac:dyDescent="0.15">
      <c r="M334" s="35" t="s">
        <v>276</v>
      </c>
      <c r="N334" s="35" t="s">
        <v>1299</v>
      </c>
      <c r="O334" s="68">
        <v>2024.44</v>
      </c>
      <c r="P334" s="70">
        <v>32208</v>
      </c>
    </row>
    <row r="335" spans="13:16" x14ac:dyDescent="0.15">
      <c r="M335" s="35" t="s">
        <v>1146</v>
      </c>
      <c r="N335" s="35" t="s">
        <v>1299</v>
      </c>
      <c r="O335" s="68">
        <v>2024.44</v>
      </c>
      <c r="P335" s="70">
        <v>77471.25</v>
      </c>
    </row>
    <row r="336" spans="13:16" x14ac:dyDescent="0.15">
      <c r="M336" s="35" t="s">
        <v>1151</v>
      </c>
      <c r="N336" s="35" t="s">
        <v>1299</v>
      </c>
      <c r="O336" s="68">
        <v>2024.44</v>
      </c>
      <c r="P336" s="70">
        <v>48.56</v>
      </c>
    </row>
    <row r="337" spans="13:16" x14ac:dyDescent="0.15">
      <c r="M337" s="35" t="s">
        <v>1152</v>
      </c>
      <c r="N337" s="35" t="s">
        <v>1299</v>
      </c>
      <c r="O337" s="68">
        <v>2024.44</v>
      </c>
      <c r="P337" s="70">
        <v>107056.17</v>
      </c>
    </row>
    <row r="338" spans="13:16" x14ac:dyDescent="0.15">
      <c r="M338" s="35" t="s">
        <v>307</v>
      </c>
      <c r="N338" s="35" t="s">
        <v>1299</v>
      </c>
      <c r="O338" s="68">
        <v>2024.41</v>
      </c>
      <c r="P338" s="70">
        <v>26.23</v>
      </c>
    </row>
    <row r="339" spans="13:16" x14ac:dyDescent="0.15">
      <c r="M339" s="35" t="s">
        <v>1150</v>
      </c>
      <c r="N339" s="35" t="s">
        <v>1299</v>
      </c>
      <c r="O339" s="68">
        <v>2024.41</v>
      </c>
      <c r="P339" s="70">
        <v>86.78</v>
      </c>
    </row>
    <row r="340" spans="13:16" x14ac:dyDescent="0.15">
      <c r="M340" s="35" t="s">
        <v>275</v>
      </c>
      <c r="N340" s="35" t="s">
        <v>1299</v>
      </c>
      <c r="O340" s="68">
        <v>2024.41</v>
      </c>
      <c r="P340" s="70">
        <v>92353.91</v>
      </c>
    </row>
    <row r="341" spans="13:16" x14ac:dyDescent="0.15">
      <c r="M341" s="35" t="s">
        <v>276</v>
      </c>
      <c r="N341" s="35" t="s">
        <v>1299</v>
      </c>
      <c r="O341" s="68">
        <v>2024.41</v>
      </c>
      <c r="P341" s="70">
        <v>32208</v>
      </c>
    </row>
    <row r="342" spans="13:16" x14ac:dyDescent="0.15">
      <c r="M342" s="35" t="s">
        <v>1146</v>
      </c>
      <c r="N342" s="35" t="s">
        <v>1299</v>
      </c>
      <c r="O342" s="68">
        <v>2024.41</v>
      </c>
      <c r="P342" s="70">
        <v>72159.02</v>
      </c>
    </row>
    <row r="343" spans="13:16" x14ac:dyDescent="0.15">
      <c r="M343" s="35" t="s">
        <v>1151</v>
      </c>
      <c r="N343" s="35" t="s">
        <v>1299</v>
      </c>
      <c r="O343" s="68">
        <v>2024.41</v>
      </c>
      <c r="P343" s="70">
        <v>48.56</v>
      </c>
    </row>
    <row r="344" spans="13:16" x14ac:dyDescent="0.15">
      <c r="M344" s="35" t="s">
        <v>1152</v>
      </c>
      <c r="N344" s="35" t="s">
        <v>1299</v>
      </c>
      <c r="O344" s="68">
        <v>2024.41</v>
      </c>
      <c r="P344" s="70">
        <v>106671.67</v>
      </c>
    </row>
    <row r="345" spans="13:16" x14ac:dyDescent="0.15">
      <c r="M345" s="35" t="s">
        <v>275</v>
      </c>
      <c r="N345" s="35" t="s">
        <v>1299</v>
      </c>
      <c r="O345" s="68">
        <v>2024.05</v>
      </c>
      <c r="P345" s="70">
        <v>89201.06</v>
      </c>
    </row>
    <row r="346" spans="13:16" x14ac:dyDescent="0.15">
      <c r="M346" s="35" t="s">
        <v>1146</v>
      </c>
      <c r="N346" s="35" t="s">
        <v>1299</v>
      </c>
      <c r="O346" s="68">
        <v>2024.05</v>
      </c>
      <c r="P346" s="70">
        <v>91452.91</v>
      </c>
    </row>
    <row r="347" spans="13:16" x14ac:dyDescent="0.15">
      <c r="M347" s="35" t="s">
        <v>1152</v>
      </c>
      <c r="N347" s="35" t="s">
        <v>1299</v>
      </c>
      <c r="O347" s="68">
        <v>2024.05</v>
      </c>
      <c r="P347" s="70">
        <v>100735.52</v>
      </c>
    </row>
    <row r="348" spans="13:16" x14ac:dyDescent="0.15">
      <c r="M348" s="35" t="s">
        <v>307</v>
      </c>
      <c r="N348" s="35" t="s">
        <v>1299</v>
      </c>
      <c r="O348" s="68">
        <v>2024.2</v>
      </c>
      <c r="P348" s="70">
        <v>26.23</v>
      </c>
    </row>
    <row r="349" spans="13:16" x14ac:dyDescent="0.15">
      <c r="M349" s="35" t="s">
        <v>1150</v>
      </c>
      <c r="N349" s="35" t="s">
        <v>1299</v>
      </c>
      <c r="O349" s="68">
        <v>2024.2</v>
      </c>
      <c r="P349" s="70">
        <v>86.78</v>
      </c>
    </row>
    <row r="350" spans="13:16" x14ac:dyDescent="0.15">
      <c r="M350" s="35" t="s">
        <v>275</v>
      </c>
      <c r="N350" s="35" t="s">
        <v>1299</v>
      </c>
      <c r="O350" s="68">
        <v>2024.2</v>
      </c>
      <c r="P350" s="70">
        <v>92225.71</v>
      </c>
    </row>
    <row r="351" spans="13:16" x14ac:dyDescent="0.15">
      <c r="M351" s="35" t="s">
        <v>276</v>
      </c>
      <c r="N351" s="35" t="s">
        <v>1299</v>
      </c>
      <c r="O351" s="68">
        <v>2024.2</v>
      </c>
      <c r="P351" s="70">
        <v>32208</v>
      </c>
    </row>
    <row r="352" spans="13:16" x14ac:dyDescent="0.15">
      <c r="M352" s="35" t="s">
        <v>1146</v>
      </c>
      <c r="N352" s="35" t="s">
        <v>1299</v>
      </c>
      <c r="O352" s="68">
        <v>2024.2</v>
      </c>
      <c r="P352" s="70">
        <v>87846.63</v>
      </c>
    </row>
    <row r="353" spans="13:16" x14ac:dyDescent="0.15">
      <c r="M353" s="35" t="s">
        <v>1151</v>
      </c>
      <c r="N353" s="35" t="s">
        <v>1299</v>
      </c>
      <c r="O353" s="68">
        <v>2024.2</v>
      </c>
      <c r="P353" s="70">
        <v>48.56</v>
      </c>
    </row>
    <row r="354" spans="13:16" x14ac:dyDescent="0.15">
      <c r="M354" s="35" t="s">
        <v>1152</v>
      </c>
      <c r="N354" s="35" t="s">
        <v>1299</v>
      </c>
      <c r="O354" s="68">
        <v>2024.2</v>
      </c>
      <c r="P354" s="70">
        <v>105055.91</v>
      </c>
    </row>
    <row r="355" spans="13:16" x14ac:dyDescent="0.15">
      <c r="M355" s="35" t="s">
        <v>307</v>
      </c>
      <c r="N355" s="35" t="s">
        <v>1299</v>
      </c>
      <c r="O355" s="68">
        <v>2024.21</v>
      </c>
      <c r="P355" s="70">
        <v>26.23</v>
      </c>
    </row>
    <row r="356" spans="13:16" x14ac:dyDescent="0.15">
      <c r="M356" s="35" t="s">
        <v>309</v>
      </c>
      <c r="N356" s="35" t="s">
        <v>280</v>
      </c>
      <c r="O356" s="68">
        <v>2024.44</v>
      </c>
      <c r="P356" s="70">
        <v>12758.48</v>
      </c>
    </row>
    <row r="357" spans="13:16" x14ac:dyDescent="0.15">
      <c r="M357" s="35" t="s">
        <v>1147</v>
      </c>
      <c r="N357" s="35" t="s">
        <v>280</v>
      </c>
      <c r="O357" s="68">
        <v>2024.44</v>
      </c>
      <c r="P357" s="70">
        <v>9920.06</v>
      </c>
    </row>
    <row r="358" spans="13:16" x14ac:dyDescent="0.15">
      <c r="M358" s="35" t="s">
        <v>1147</v>
      </c>
      <c r="N358" s="35" t="s">
        <v>280</v>
      </c>
      <c r="O358" s="68">
        <v>2024.44</v>
      </c>
      <c r="P358" s="70">
        <v>3693.28</v>
      </c>
    </row>
    <row r="359" spans="13:16" x14ac:dyDescent="0.15">
      <c r="M359" s="35" t="s">
        <v>309</v>
      </c>
      <c r="N359" s="35" t="s">
        <v>280</v>
      </c>
      <c r="O359" s="68">
        <v>2024.41</v>
      </c>
      <c r="P359" s="70">
        <v>11586.64</v>
      </c>
    </row>
    <row r="360" spans="13:16" x14ac:dyDescent="0.15">
      <c r="M360" s="35" t="s">
        <v>1147</v>
      </c>
      <c r="N360" s="35" t="s">
        <v>280</v>
      </c>
      <c r="O360" s="68">
        <v>2024.41</v>
      </c>
      <c r="P360" s="70">
        <v>9920.06</v>
      </c>
    </row>
    <row r="361" spans="13:16" x14ac:dyDescent="0.15">
      <c r="M361" s="35" t="s">
        <v>1147</v>
      </c>
      <c r="N361" s="35" t="s">
        <v>280</v>
      </c>
      <c r="O361" s="68">
        <v>2024.41</v>
      </c>
      <c r="P361" s="70">
        <v>3693.28</v>
      </c>
    </row>
    <row r="362" spans="13:16" x14ac:dyDescent="0.15">
      <c r="M362" s="35" t="s">
        <v>309</v>
      </c>
      <c r="N362" s="35" t="s">
        <v>280</v>
      </c>
      <c r="O362" s="68">
        <v>2024.05</v>
      </c>
      <c r="P362" s="70">
        <v>4594.08</v>
      </c>
    </row>
    <row r="363" spans="13:16" x14ac:dyDescent="0.15">
      <c r="M363" s="35" t="s">
        <v>309</v>
      </c>
      <c r="N363" s="35" t="s">
        <v>280</v>
      </c>
      <c r="O363" s="68">
        <v>2024.05</v>
      </c>
      <c r="P363" s="70">
        <v>16200</v>
      </c>
    </row>
    <row r="364" spans="13:16" x14ac:dyDescent="0.15">
      <c r="M364" s="35" t="s">
        <v>1147</v>
      </c>
      <c r="N364" s="35" t="s">
        <v>280</v>
      </c>
      <c r="O364" s="68">
        <v>2024.05</v>
      </c>
      <c r="P364" s="70">
        <v>9920.06</v>
      </c>
    </row>
    <row r="365" spans="13:16" x14ac:dyDescent="0.15">
      <c r="M365" s="35" t="s">
        <v>1147</v>
      </c>
      <c r="N365" s="35" t="s">
        <v>280</v>
      </c>
      <c r="O365" s="68">
        <v>2024.05</v>
      </c>
      <c r="P365" s="70">
        <v>-180.16</v>
      </c>
    </row>
    <row r="366" spans="13:16" x14ac:dyDescent="0.15">
      <c r="M366" s="35" t="s">
        <v>309</v>
      </c>
      <c r="N366" s="35" t="s">
        <v>280</v>
      </c>
      <c r="O366" s="68">
        <v>2024.2</v>
      </c>
      <c r="P366" s="70">
        <v>11440.16</v>
      </c>
    </row>
    <row r="367" spans="13:16" x14ac:dyDescent="0.15">
      <c r="M367" s="35" t="s">
        <v>309</v>
      </c>
      <c r="N367" s="35" t="s">
        <v>280</v>
      </c>
      <c r="O367" s="68">
        <v>2024.2</v>
      </c>
      <c r="P367" s="70">
        <v>16200</v>
      </c>
    </row>
    <row r="368" spans="13:16" x14ac:dyDescent="0.15">
      <c r="M368" s="35" t="s">
        <v>1147</v>
      </c>
      <c r="N368" s="35" t="s">
        <v>280</v>
      </c>
      <c r="O368" s="68">
        <v>2024.2</v>
      </c>
      <c r="P368" s="70">
        <v>9920.06</v>
      </c>
    </row>
    <row r="369" spans="13:16" x14ac:dyDescent="0.15">
      <c r="M369" s="35" t="s">
        <v>1147</v>
      </c>
      <c r="N369" s="35" t="s">
        <v>280</v>
      </c>
      <c r="O369" s="68">
        <v>2024.2</v>
      </c>
      <c r="P369" s="70">
        <v>3693.28</v>
      </c>
    </row>
    <row r="370" spans="13:16" x14ac:dyDescent="0.15">
      <c r="M370" s="35" t="s">
        <v>309</v>
      </c>
      <c r="N370" s="35" t="s">
        <v>280</v>
      </c>
      <c r="O370" s="68">
        <v>2024.21</v>
      </c>
      <c r="P370" s="70">
        <v>11440.16</v>
      </c>
    </row>
    <row r="371" spans="13:16" x14ac:dyDescent="0.15">
      <c r="M371" s="35" t="s">
        <v>309</v>
      </c>
      <c r="N371" s="35" t="s">
        <v>280</v>
      </c>
      <c r="O371" s="68">
        <v>2024.21</v>
      </c>
      <c r="P371" s="70">
        <v>16200</v>
      </c>
    </row>
    <row r="372" spans="13:16" x14ac:dyDescent="0.15">
      <c r="M372" s="35" t="s">
        <v>274</v>
      </c>
      <c r="N372" s="35" t="s">
        <v>274</v>
      </c>
      <c r="O372" s="68">
        <v>2024.44</v>
      </c>
      <c r="P372" s="70">
        <v>43607.53</v>
      </c>
    </row>
    <row r="373" spans="13:16" x14ac:dyDescent="0.15">
      <c r="M373" s="35" t="s">
        <v>274</v>
      </c>
      <c r="N373" s="35" t="s">
        <v>274</v>
      </c>
      <c r="O373" s="68">
        <v>2024.41</v>
      </c>
      <c r="P373" s="70">
        <v>42142.55</v>
      </c>
    </row>
    <row r="374" spans="13:16" x14ac:dyDescent="0.15">
      <c r="M374" s="35" t="s">
        <v>274</v>
      </c>
      <c r="N374" s="35" t="s">
        <v>274</v>
      </c>
      <c r="O374" s="68">
        <v>2024.05</v>
      </c>
      <c r="P374" s="70">
        <v>25676.42</v>
      </c>
    </row>
    <row r="375" spans="13:16" x14ac:dyDescent="0.15">
      <c r="M375" s="35" t="s">
        <v>274</v>
      </c>
      <c r="N375" s="35" t="s">
        <v>274</v>
      </c>
      <c r="O375" s="68">
        <v>2024.2</v>
      </c>
      <c r="P375" s="70">
        <v>37019.9</v>
      </c>
    </row>
    <row r="376" spans="13:16" x14ac:dyDescent="0.15">
      <c r="M376" s="35" t="s">
        <v>274</v>
      </c>
      <c r="N376" s="35" t="s">
        <v>274</v>
      </c>
      <c r="O376" s="68">
        <v>2024.21</v>
      </c>
      <c r="P376" s="70">
        <v>37364.6</v>
      </c>
    </row>
    <row r="377" spans="13:16" x14ac:dyDescent="0.15">
      <c r="M377" s="35" t="s">
        <v>1136</v>
      </c>
      <c r="N377" s="35" t="s">
        <v>280</v>
      </c>
      <c r="O377" s="68">
        <v>2024.44</v>
      </c>
      <c r="P377" s="70">
        <v>878.88</v>
      </c>
    </row>
    <row r="378" spans="13:16" x14ac:dyDescent="0.15">
      <c r="M378" s="35" t="s">
        <v>1136</v>
      </c>
      <c r="N378" s="35" t="s">
        <v>280</v>
      </c>
      <c r="O378" s="68">
        <v>2024.44</v>
      </c>
      <c r="P378" s="70">
        <v>18000</v>
      </c>
    </row>
    <row r="379" spans="13:16" x14ac:dyDescent="0.15">
      <c r="M379" s="35" t="s">
        <v>1136</v>
      </c>
      <c r="N379" s="35" t="s">
        <v>280</v>
      </c>
      <c r="O379" s="68">
        <v>2024.41</v>
      </c>
      <c r="P379" s="70">
        <v>878.88</v>
      </c>
    </row>
    <row r="380" spans="13:16" x14ac:dyDescent="0.15">
      <c r="M380" s="35" t="s">
        <v>1136</v>
      </c>
      <c r="N380" s="35" t="s">
        <v>280</v>
      </c>
      <c r="O380" s="68">
        <v>2024.41</v>
      </c>
      <c r="P380" s="70">
        <v>18000</v>
      </c>
    </row>
    <row r="381" spans="13:16" x14ac:dyDescent="0.15">
      <c r="M381" s="35" t="s">
        <v>1136</v>
      </c>
      <c r="N381" s="35" t="s">
        <v>280</v>
      </c>
      <c r="O381" s="68">
        <v>2024.21</v>
      </c>
      <c r="P381" s="70">
        <v>585.91999999999996</v>
      </c>
    </row>
    <row r="382" spans="13:16" x14ac:dyDescent="0.15">
      <c r="M382" s="35" t="s">
        <v>1136</v>
      </c>
      <c r="N382" s="35" t="s">
        <v>280</v>
      </c>
      <c r="O382" s="68">
        <v>2024.21</v>
      </c>
      <c r="P382" s="70">
        <v>114750</v>
      </c>
    </row>
    <row r="383" spans="13:16" x14ac:dyDescent="0.15">
      <c r="M383" s="35" t="s">
        <v>1136</v>
      </c>
      <c r="N383" s="35" t="s">
        <v>280</v>
      </c>
      <c r="O383" s="68">
        <v>2024.05</v>
      </c>
      <c r="P383" s="70">
        <v>114750</v>
      </c>
    </row>
    <row r="384" spans="13:16" x14ac:dyDescent="0.15">
      <c r="M384" s="35" t="s">
        <v>1136</v>
      </c>
      <c r="N384" s="35" t="s">
        <v>280</v>
      </c>
      <c r="O384" s="68">
        <v>2024.2</v>
      </c>
      <c r="P384" s="70">
        <v>114750</v>
      </c>
    </row>
    <row r="385" spans="13:16" x14ac:dyDescent="0.15">
      <c r="M385" s="35" t="s">
        <v>1136</v>
      </c>
      <c r="N385" s="35" t="s">
        <v>277</v>
      </c>
      <c r="O385" s="68">
        <v>2024.44</v>
      </c>
      <c r="P385" s="70">
        <v>5075.3599999999997</v>
      </c>
    </row>
    <row r="386" spans="13:16" x14ac:dyDescent="0.15">
      <c r="M386" s="35" t="s">
        <v>1136</v>
      </c>
      <c r="N386" s="35" t="s">
        <v>277</v>
      </c>
      <c r="O386" s="68">
        <v>2024.41</v>
      </c>
      <c r="P386" s="70">
        <v>5075.3599999999997</v>
      </c>
    </row>
    <row r="387" spans="13:16" x14ac:dyDescent="0.15">
      <c r="M387" s="35" t="s">
        <v>1136</v>
      </c>
      <c r="N387" s="35" t="s">
        <v>277</v>
      </c>
      <c r="O387" s="68">
        <v>2024.2</v>
      </c>
      <c r="P387" s="70">
        <v>159.44</v>
      </c>
    </row>
    <row r="388" spans="13:16" x14ac:dyDescent="0.15">
      <c r="M388" s="35" t="s">
        <v>1136</v>
      </c>
      <c r="N388" s="35" t="s">
        <v>277</v>
      </c>
      <c r="O388" s="68">
        <v>2024.2</v>
      </c>
      <c r="P388" s="70">
        <v>115850</v>
      </c>
    </row>
    <row r="389" spans="13:16" x14ac:dyDescent="0.15">
      <c r="M389" s="35" t="s">
        <v>1136</v>
      </c>
      <c r="N389" s="35" t="s">
        <v>277</v>
      </c>
      <c r="O389" s="68">
        <v>2024.21</v>
      </c>
      <c r="P389" s="70">
        <v>1293.2</v>
      </c>
    </row>
    <row r="390" spans="13:16" x14ac:dyDescent="0.15">
      <c r="M390" s="35" t="s">
        <v>1136</v>
      </c>
      <c r="N390" s="35" t="s">
        <v>277</v>
      </c>
      <c r="O390" s="68">
        <v>2024.21</v>
      </c>
      <c r="P390" s="70">
        <v>115850</v>
      </c>
    </row>
    <row r="391" spans="13:16" x14ac:dyDescent="0.15">
      <c r="M391" s="35" t="s">
        <v>1136</v>
      </c>
      <c r="N391" s="35" t="s">
        <v>283</v>
      </c>
      <c r="O391" s="68">
        <v>2024.44</v>
      </c>
      <c r="P391" s="70">
        <v>10461.5</v>
      </c>
    </row>
    <row r="392" spans="13:16" x14ac:dyDescent="0.15">
      <c r="M392" s="35" t="s">
        <v>1136</v>
      </c>
      <c r="N392" s="35" t="s">
        <v>283</v>
      </c>
      <c r="O392" s="68">
        <v>2024.41</v>
      </c>
      <c r="P392" s="70">
        <v>10461.5</v>
      </c>
    </row>
    <row r="393" spans="13:16" x14ac:dyDescent="0.15">
      <c r="M393" s="35" t="s">
        <v>1136</v>
      </c>
      <c r="N393" s="35" t="s">
        <v>283</v>
      </c>
      <c r="O393" s="68">
        <v>2024.2</v>
      </c>
      <c r="P393" s="70">
        <v>2469.6</v>
      </c>
    </row>
    <row r="394" spans="13:16" x14ac:dyDescent="0.15">
      <c r="M394" s="35" t="s">
        <v>1136</v>
      </c>
      <c r="N394" s="35" t="s">
        <v>283</v>
      </c>
      <c r="O394" s="68">
        <v>2024.21</v>
      </c>
      <c r="P394" s="70">
        <v>3841.6</v>
      </c>
    </row>
    <row r="395" spans="13:16" x14ac:dyDescent="0.15">
      <c r="M395" s="35" t="s">
        <v>302</v>
      </c>
      <c r="N395" s="35" t="s">
        <v>283</v>
      </c>
      <c r="O395" s="68">
        <v>2024.44</v>
      </c>
      <c r="P395" s="70">
        <v>3960</v>
      </c>
    </row>
    <row r="396" spans="13:16" x14ac:dyDescent="0.15">
      <c r="M396" s="35" t="s">
        <v>302</v>
      </c>
      <c r="N396" s="35" t="s">
        <v>283</v>
      </c>
      <c r="O396" s="68">
        <v>2024.44</v>
      </c>
      <c r="P396" s="70">
        <v>6588</v>
      </c>
    </row>
    <row r="397" spans="13:16" x14ac:dyDescent="0.15">
      <c r="M397" s="35" t="s">
        <v>302</v>
      </c>
      <c r="N397" s="35" t="s">
        <v>283</v>
      </c>
      <c r="O397" s="68">
        <v>2024.41</v>
      </c>
      <c r="P397" s="70">
        <v>3960</v>
      </c>
    </row>
    <row r="398" spans="13:16" x14ac:dyDescent="0.15">
      <c r="M398" s="35" t="s">
        <v>302</v>
      </c>
      <c r="N398" s="35" t="s">
        <v>283</v>
      </c>
      <c r="O398" s="68">
        <v>2024.41</v>
      </c>
      <c r="P398" s="70">
        <v>6588</v>
      </c>
    </row>
    <row r="399" spans="13:16" x14ac:dyDescent="0.15">
      <c r="M399" s="35" t="s">
        <v>302</v>
      </c>
      <c r="N399" s="35" t="s">
        <v>283</v>
      </c>
      <c r="O399" s="68">
        <v>2024.05</v>
      </c>
      <c r="P399" s="70">
        <v>19800</v>
      </c>
    </row>
    <row r="400" spans="13:16" x14ac:dyDescent="0.15">
      <c r="M400" s="35" t="s">
        <v>302</v>
      </c>
      <c r="N400" s="35" t="s">
        <v>283</v>
      </c>
      <c r="O400" s="68">
        <v>2024.05</v>
      </c>
      <c r="P400" s="70">
        <v>32940</v>
      </c>
    </row>
    <row r="401" spans="13:16" x14ac:dyDescent="0.15">
      <c r="M401" s="35" t="s">
        <v>302</v>
      </c>
      <c r="N401" s="35" t="s">
        <v>283</v>
      </c>
      <c r="O401" s="68">
        <v>2024.2</v>
      </c>
      <c r="P401" s="70">
        <v>3960</v>
      </c>
    </row>
    <row r="402" spans="13:16" x14ac:dyDescent="0.15">
      <c r="M402" s="35" t="s">
        <v>302</v>
      </c>
      <c r="N402" s="35" t="s">
        <v>283</v>
      </c>
      <c r="O402" s="68">
        <v>2024.2</v>
      </c>
      <c r="P402" s="70">
        <v>6588</v>
      </c>
    </row>
    <row r="403" spans="13:16" x14ac:dyDescent="0.15">
      <c r="M403" s="35" t="s">
        <v>302</v>
      </c>
      <c r="N403" s="35" t="s">
        <v>283</v>
      </c>
      <c r="O403" s="68">
        <v>2024.21</v>
      </c>
      <c r="P403" s="70">
        <v>3960</v>
      </c>
    </row>
    <row r="404" spans="13:16" x14ac:dyDescent="0.15">
      <c r="M404" s="35" t="s">
        <v>302</v>
      </c>
      <c r="N404" s="35" t="s">
        <v>283</v>
      </c>
      <c r="O404" s="68">
        <v>2024.21</v>
      </c>
      <c r="P404" s="70">
        <v>6588</v>
      </c>
    </row>
    <row r="405" spans="13:16" x14ac:dyDescent="0.15">
      <c r="M405" s="35" t="s">
        <v>302</v>
      </c>
      <c r="N405" s="35" t="s">
        <v>1298</v>
      </c>
      <c r="O405" s="68">
        <v>2024.44</v>
      </c>
      <c r="P405" s="70">
        <v>1985.44</v>
      </c>
    </row>
    <row r="406" spans="13:16" x14ac:dyDescent="0.15">
      <c r="M406" s="35" t="s">
        <v>302</v>
      </c>
      <c r="N406" s="35" t="s">
        <v>1298</v>
      </c>
      <c r="O406" s="68">
        <v>2024.41</v>
      </c>
      <c r="P406" s="70">
        <v>309.66000000000003</v>
      </c>
    </row>
    <row r="407" spans="13:16" x14ac:dyDescent="0.15">
      <c r="M407" s="35" t="s">
        <v>1149</v>
      </c>
      <c r="N407" s="35" t="s">
        <v>277</v>
      </c>
      <c r="O407" s="68">
        <v>2024.44</v>
      </c>
      <c r="P407" s="70">
        <v>425.16</v>
      </c>
    </row>
    <row r="408" spans="13:16" x14ac:dyDescent="0.15">
      <c r="M408" s="35" t="s">
        <v>1149</v>
      </c>
      <c r="N408" s="35" t="s">
        <v>277</v>
      </c>
      <c r="O408" s="68">
        <v>2024.41</v>
      </c>
      <c r="P408" s="70">
        <v>425.16</v>
      </c>
    </row>
    <row r="409" spans="13:16" x14ac:dyDescent="0.15">
      <c r="M409" s="35" t="s">
        <v>1152</v>
      </c>
      <c r="N409" s="35" t="s">
        <v>1298</v>
      </c>
      <c r="O409" s="68">
        <v>2024.2</v>
      </c>
      <c r="P409" s="70">
        <v>52355</v>
      </c>
    </row>
    <row r="410" spans="13:16" x14ac:dyDescent="0.15">
      <c r="M410" s="35" t="s">
        <v>1150</v>
      </c>
      <c r="N410" s="35" t="s">
        <v>1132</v>
      </c>
      <c r="O410" s="68">
        <v>2024.44</v>
      </c>
      <c r="P410" s="70">
        <v>190446.05</v>
      </c>
    </row>
    <row r="411" spans="13:16" x14ac:dyDescent="0.15">
      <c r="M411" s="35" t="s">
        <v>1150</v>
      </c>
      <c r="N411" s="35" t="s">
        <v>1132</v>
      </c>
      <c r="O411" s="68">
        <v>2024.44</v>
      </c>
      <c r="P411" s="70">
        <v>29023.5</v>
      </c>
    </row>
    <row r="412" spans="13:16" x14ac:dyDescent="0.15">
      <c r="M412" s="35" t="s">
        <v>1138</v>
      </c>
      <c r="N412" s="35" t="s">
        <v>1132</v>
      </c>
      <c r="O412" s="68">
        <v>2024.44</v>
      </c>
      <c r="P412" s="70">
        <v>7120.13</v>
      </c>
    </row>
    <row r="413" spans="13:16" x14ac:dyDescent="0.15">
      <c r="M413" s="35" t="s">
        <v>1138</v>
      </c>
      <c r="N413" s="35" t="s">
        <v>1132</v>
      </c>
      <c r="O413" s="68">
        <v>2024.44</v>
      </c>
      <c r="P413" s="70">
        <v>3694.55</v>
      </c>
    </row>
    <row r="414" spans="13:16" x14ac:dyDescent="0.15">
      <c r="M414" s="35" t="s">
        <v>1150</v>
      </c>
      <c r="N414" s="35" t="s">
        <v>1132</v>
      </c>
      <c r="O414" s="68">
        <v>2024.41</v>
      </c>
      <c r="P414" s="70">
        <v>190446.05</v>
      </c>
    </row>
    <row r="415" spans="13:16" x14ac:dyDescent="0.15">
      <c r="M415" s="35" t="s">
        <v>1150</v>
      </c>
      <c r="N415" s="35" t="s">
        <v>1132</v>
      </c>
      <c r="O415" s="68">
        <v>2024.41</v>
      </c>
      <c r="P415" s="70">
        <v>29023.5</v>
      </c>
    </row>
    <row r="416" spans="13:16" x14ac:dyDescent="0.15">
      <c r="M416" s="35" t="s">
        <v>1138</v>
      </c>
      <c r="N416" s="35" t="s">
        <v>1132</v>
      </c>
      <c r="O416" s="68">
        <v>2024.41</v>
      </c>
      <c r="P416" s="70">
        <v>7120.13</v>
      </c>
    </row>
    <row r="417" spans="13:16" x14ac:dyDescent="0.15">
      <c r="M417" s="35" t="s">
        <v>1138</v>
      </c>
      <c r="N417" s="35" t="s">
        <v>1132</v>
      </c>
      <c r="O417" s="68">
        <v>2024.41</v>
      </c>
      <c r="P417" s="70">
        <v>3694.55</v>
      </c>
    </row>
    <row r="418" spans="13:16" x14ac:dyDescent="0.15">
      <c r="M418" s="35" t="s">
        <v>1150</v>
      </c>
      <c r="N418" s="35" t="s">
        <v>1132</v>
      </c>
      <c r="O418" s="68">
        <v>2024.05</v>
      </c>
      <c r="P418" s="70">
        <v>128588.98</v>
      </c>
    </row>
    <row r="419" spans="13:16" x14ac:dyDescent="0.15">
      <c r="M419" s="35" t="s">
        <v>1150</v>
      </c>
      <c r="N419" s="35" t="s">
        <v>1132</v>
      </c>
      <c r="O419" s="68">
        <v>2024.05</v>
      </c>
      <c r="P419" s="70">
        <v>11500.5</v>
      </c>
    </row>
    <row r="420" spans="13:16" x14ac:dyDescent="0.15">
      <c r="M420" s="35" t="s">
        <v>1138</v>
      </c>
      <c r="N420" s="35" t="s">
        <v>1132</v>
      </c>
      <c r="O420" s="68">
        <v>2024.05</v>
      </c>
      <c r="P420" s="70">
        <v>1772.55</v>
      </c>
    </row>
    <row r="421" spans="13:16" x14ac:dyDescent="0.15">
      <c r="M421" s="35" t="s">
        <v>1138</v>
      </c>
      <c r="N421" s="35" t="s">
        <v>1132</v>
      </c>
      <c r="O421" s="68">
        <v>2024.05</v>
      </c>
      <c r="P421" s="70">
        <v>3694.55</v>
      </c>
    </row>
    <row r="422" spans="13:16" x14ac:dyDescent="0.15">
      <c r="M422" s="35" t="s">
        <v>1150</v>
      </c>
      <c r="N422" s="35" t="s">
        <v>1132</v>
      </c>
      <c r="O422" s="68">
        <v>2024.2</v>
      </c>
      <c r="P422" s="70">
        <v>159933.67000000001</v>
      </c>
    </row>
    <row r="423" spans="13:16" x14ac:dyDescent="0.15">
      <c r="M423" s="35" t="s">
        <v>1150</v>
      </c>
      <c r="N423" s="35" t="s">
        <v>1132</v>
      </c>
      <c r="O423" s="68">
        <v>2024.2</v>
      </c>
      <c r="P423" s="70">
        <v>26664</v>
      </c>
    </row>
    <row r="424" spans="13:16" x14ac:dyDescent="0.15">
      <c r="M424" s="35" t="s">
        <v>1138</v>
      </c>
      <c r="N424" s="35" t="s">
        <v>1132</v>
      </c>
      <c r="O424" s="68">
        <v>2024.2</v>
      </c>
      <c r="P424" s="70">
        <v>5215.9799999999996</v>
      </c>
    </row>
    <row r="425" spans="13:16" x14ac:dyDescent="0.15">
      <c r="M425" s="35" t="s">
        <v>1138</v>
      </c>
      <c r="N425" s="35" t="s">
        <v>1132</v>
      </c>
      <c r="O425" s="68">
        <v>2024.2</v>
      </c>
      <c r="P425" s="70">
        <v>3694.55</v>
      </c>
    </row>
    <row r="426" spans="13:16" x14ac:dyDescent="0.15">
      <c r="M426" s="35" t="s">
        <v>1150</v>
      </c>
      <c r="N426" s="35" t="s">
        <v>282</v>
      </c>
      <c r="O426" s="68">
        <v>2024.44</v>
      </c>
      <c r="P426" s="70">
        <v>25</v>
      </c>
    </row>
    <row r="427" spans="13:16" x14ac:dyDescent="0.15">
      <c r="M427" s="35" t="s">
        <v>276</v>
      </c>
      <c r="N427" s="35" t="s">
        <v>282</v>
      </c>
      <c r="O427" s="68">
        <v>2024.44</v>
      </c>
      <c r="P427" s="70">
        <v>280974.05</v>
      </c>
    </row>
    <row r="428" spans="13:16" x14ac:dyDescent="0.15">
      <c r="M428" s="35" t="s">
        <v>276</v>
      </c>
      <c r="N428" s="35" t="s">
        <v>282</v>
      </c>
      <c r="O428" s="68">
        <v>2024.44</v>
      </c>
      <c r="P428" s="70">
        <v>13150.5</v>
      </c>
    </row>
    <row r="429" spans="13:16" x14ac:dyDescent="0.15">
      <c r="M429" s="35" t="s">
        <v>276</v>
      </c>
      <c r="N429" s="35" t="s">
        <v>282</v>
      </c>
      <c r="O429" s="68">
        <v>2024.44</v>
      </c>
      <c r="P429" s="70">
        <v>78300</v>
      </c>
    </row>
    <row r="430" spans="13:16" x14ac:dyDescent="0.15">
      <c r="M430" s="35" t="s">
        <v>1146</v>
      </c>
      <c r="N430" s="35" t="s">
        <v>282</v>
      </c>
      <c r="O430" s="68">
        <v>2024.44</v>
      </c>
      <c r="P430" s="70">
        <v>208.33</v>
      </c>
    </row>
    <row r="431" spans="13:16" x14ac:dyDescent="0.15">
      <c r="M431" s="35" t="s">
        <v>1151</v>
      </c>
      <c r="N431" s="35" t="s">
        <v>282</v>
      </c>
      <c r="O431" s="68">
        <v>2024.44</v>
      </c>
      <c r="P431" s="70">
        <v>483691.8</v>
      </c>
    </row>
    <row r="432" spans="13:16" x14ac:dyDescent="0.15">
      <c r="M432" s="35" t="s">
        <v>1151</v>
      </c>
      <c r="N432" s="35" t="s">
        <v>282</v>
      </c>
      <c r="O432" s="68">
        <v>2024.44</v>
      </c>
      <c r="P432" s="70">
        <v>3220.5</v>
      </c>
    </row>
    <row r="433" spans="13:16" x14ac:dyDescent="0.15">
      <c r="M433" s="35" t="s">
        <v>1150</v>
      </c>
      <c r="N433" s="35" t="s">
        <v>282</v>
      </c>
      <c r="O433" s="68">
        <v>2024.41</v>
      </c>
      <c r="P433" s="70">
        <v>25</v>
      </c>
    </row>
    <row r="434" spans="13:16" x14ac:dyDescent="0.15">
      <c r="M434" s="35" t="s">
        <v>276</v>
      </c>
      <c r="N434" s="35" t="s">
        <v>282</v>
      </c>
      <c r="O434" s="68">
        <v>2024.41</v>
      </c>
      <c r="P434" s="70">
        <v>280974.05</v>
      </c>
    </row>
    <row r="435" spans="13:16" x14ac:dyDescent="0.15">
      <c r="M435" s="35" t="s">
        <v>276</v>
      </c>
      <c r="N435" s="35" t="s">
        <v>282</v>
      </c>
      <c r="O435" s="68">
        <v>2024.41</v>
      </c>
      <c r="P435" s="70">
        <v>13150.5</v>
      </c>
    </row>
    <row r="436" spans="13:16" x14ac:dyDescent="0.15">
      <c r="M436" s="35" t="s">
        <v>276</v>
      </c>
      <c r="N436" s="35" t="s">
        <v>282</v>
      </c>
      <c r="O436" s="68">
        <v>2024.41</v>
      </c>
      <c r="P436" s="70">
        <v>78300</v>
      </c>
    </row>
    <row r="437" spans="13:16" x14ac:dyDescent="0.15">
      <c r="M437" s="35" t="s">
        <v>1146</v>
      </c>
      <c r="N437" s="35" t="s">
        <v>282</v>
      </c>
      <c r="O437" s="68">
        <v>2024.41</v>
      </c>
      <c r="P437" s="70">
        <v>208.33</v>
      </c>
    </row>
    <row r="438" spans="13:16" x14ac:dyDescent="0.15">
      <c r="M438" s="35" t="s">
        <v>1151</v>
      </c>
      <c r="N438" s="35" t="s">
        <v>282</v>
      </c>
      <c r="O438" s="68">
        <v>2024.41</v>
      </c>
      <c r="P438" s="70">
        <v>362753.8</v>
      </c>
    </row>
    <row r="439" spans="13:16" x14ac:dyDescent="0.15">
      <c r="M439" s="35" t="s">
        <v>1151</v>
      </c>
      <c r="N439" s="35" t="s">
        <v>282</v>
      </c>
      <c r="O439" s="68">
        <v>2024.41</v>
      </c>
      <c r="P439" s="70">
        <v>3220.5</v>
      </c>
    </row>
    <row r="440" spans="13:16" x14ac:dyDescent="0.15">
      <c r="M440" s="35" t="s">
        <v>276</v>
      </c>
      <c r="N440" s="35" t="s">
        <v>282</v>
      </c>
      <c r="O440" s="68">
        <v>2024.05</v>
      </c>
      <c r="P440" s="70">
        <v>78300</v>
      </c>
    </row>
    <row r="441" spans="13:16" x14ac:dyDescent="0.15">
      <c r="M441" s="35" t="s">
        <v>276</v>
      </c>
      <c r="N441" s="35" t="s">
        <v>282</v>
      </c>
      <c r="O441" s="68">
        <v>2024.05</v>
      </c>
      <c r="P441" s="70">
        <v>123885</v>
      </c>
    </row>
    <row r="442" spans="13:16" x14ac:dyDescent="0.15">
      <c r="M442" s="35" t="s">
        <v>1151</v>
      </c>
      <c r="N442" s="35" t="s">
        <v>282</v>
      </c>
      <c r="O442" s="68">
        <v>2024.05</v>
      </c>
      <c r="P442" s="70">
        <v>412.5</v>
      </c>
    </row>
    <row r="443" spans="13:16" x14ac:dyDescent="0.15">
      <c r="M443" s="35" t="s">
        <v>1151</v>
      </c>
      <c r="N443" s="35" t="s">
        <v>282</v>
      </c>
      <c r="O443" s="68">
        <v>2024.05</v>
      </c>
      <c r="P443" s="70">
        <v>262042.8</v>
      </c>
    </row>
    <row r="444" spans="13:16" x14ac:dyDescent="0.15">
      <c r="M444" s="35" t="s">
        <v>1150</v>
      </c>
      <c r="N444" s="35" t="s">
        <v>282</v>
      </c>
      <c r="O444" s="68">
        <v>2024.2</v>
      </c>
      <c r="P444" s="70">
        <v>25</v>
      </c>
    </row>
    <row r="445" spans="13:16" x14ac:dyDescent="0.15">
      <c r="M445" s="35" t="s">
        <v>276</v>
      </c>
      <c r="N445" s="35" t="s">
        <v>282</v>
      </c>
      <c r="O445" s="68">
        <v>2024.2</v>
      </c>
      <c r="P445" s="70">
        <v>273169.05</v>
      </c>
    </row>
    <row r="446" spans="13:16" x14ac:dyDescent="0.15">
      <c r="M446" s="35" t="s">
        <v>276</v>
      </c>
      <c r="N446" s="35" t="s">
        <v>282</v>
      </c>
      <c r="O446" s="68">
        <v>2024.2</v>
      </c>
      <c r="P446" s="70">
        <v>10887</v>
      </c>
    </row>
    <row r="447" spans="13:16" x14ac:dyDescent="0.15">
      <c r="M447" s="35" t="s">
        <v>276</v>
      </c>
      <c r="N447" s="35" t="s">
        <v>282</v>
      </c>
      <c r="O447" s="68">
        <v>2024.2</v>
      </c>
      <c r="P447" s="70">
        <v>78300</v>
      </c>
    </row>
    <row r="448" spans="13:16" x14ac:dyDescent="0.15">
      <c r="M448" s="35" t="s">
        <v>1146</v>
      </c>
      <c r="N448" s="35" t="s">
        <v>282</v>
      </c>
      <c r="O448" s="68">
        <v>2024.2</v>
      </c>
      <c r="P448" s="70">
        <v>208.33</v>
      </c>
    </row>
    <row r="449" spans="13:16" x14ac:dyDescent="0.15">
      <c r="M449" s="35" t="s">
        <v>1151</v>
      </c>
      <c r="N449" s="35" t="s">
        <v>282</v>
      </c>
      <c r="O449" s="68">
        <v>2024.2</v>
      </c>
      <c r="P449" s="70">
        <v>340124.8</v>
      </c>
    </row>
    <row r="450" spans="13:16" x14ac:dyDescent="0.15">
      <c r="M450" s="35" t="s">
        <v>1151</v>
      </c>
      <c r="N450" s="35" t="s">
        <v>282</v>
      </c>
      <c r="O450" s="68">
        <v>2024.2</v>
      </c>
      <c r="P450" s="70">
        <v>412.5</v>
      </c>
    </row>
    <row r="451" spans="13:16" x14ac:dyDescent="0.15">
      <c r="M451" s="35" t="s">
        <v>262</v>
      </c>
      <c r="N451" s="35" t="s">
        <v>1300</v>
      </c>
      <c r="O451" s="68">
        <v>2024.44</v>
      </c>
      <c r="P451" s="70">
        <v>141.6</v>
      </c>
    </row>
    <row r="452" spans="13:16" x14ac:dyDescent="0.15">
      <c r="M452" s="35" t="s">
        <v>276</v>
      </c>
      <c r="N452" s="35" t="s">
        <v>1300</v>
      </c>
      <c r="O452" s="68">
        <v>2024.44</v>
      </c>
      <c r="P452" s="70">
        <v>201.29</v>
      </c>
    </row>
    <row r="453" spans="13:16" x14ac:dyDescent="0.15">
      <c r="M453" s="35" t="s">
        <v>1146</v>
      </c>
      <c r="N453" s="35" t="s">
        <v>1300</v>
      </c>
      <c r="O453" s="68">
        <v>2024.44</v>
      </c>
      <c r="P453" s="70">
        <v>2623.69</v>
      </c>
    </row>
    <row r="454" spans="13:16" x14ac:dyDescent="0.15">
      <c r="M454" s="35" t="s">
        <v>1151</v>
      </c>
      <c r="N454" s="35" t="s">
        <v>1300</v>
      </c>
      <c r="O454" s="68">
        <v>2024.44</v>
      </c>
      <c r="P454" s="70">
        <v>809.14</v>
      </c>
    </row>
    <row r="455" spans="13:16" x14ac:dyDescent="0.15">
      <c r="M455" s="35" t="s">
        <v>1152</v>
      </c>
      <c r="N455" s="35" t="s">
        <v>1300</v>
      </c>
      <c r="O455" s="68">
        <v>2024.44</v>
      </c>
      <c r="P455" s="70">
        <v>94604.36</v>
      </c>
    </row>
    <row r="456" spans="13:16" x14ac:dyDescent="0.15">
      <c r="M456" s="35" t="s">
        <v>262</v>
      </c>
      <c r="N456" s="35" t="s">
        <v>1300</v>
      </c>
      <c r="O456" s="68">
        <v>2024.41</v>
      </c>
      <c r="P456" s="70">
        <v>141.6</v>
      </c>
    </row>
    <row r="457" spans="13:16" x14ac:dyDescent="0.15">
      <c r="M457" s="35" t="s">
        <v>276</v>
      </c>
      <c r="N457" s="35" t="s">
        <v>1300</v>
      </c>
      <c r="O457" s="68">
        <v>2024.41</v>
      </c>
      <c r="P457" s="70">
        <v>201.29</v>
      </c>
    </row>
    <row r="458" spans="13:16" x14ac:dyDescent="0.15">
      <c r="M458" s="35" t="s">
        <v>1146</v>
      </c>
      <c r="N458" s="35" t="s">
        <v>1300</v>
      </c>
      <c r="O458" s="68">
        <v>2024.41</v>
      </c>
      <c r="P458" s="70">
        <v>2623.69</v>
      </c>
    </row>
    <row r="459" spans="13:16" x14ac:dyDescent="0.15">
      <c r="M459" s="35" t="s">
        <v>1151</v>
      </c>
      <c r="N459" s="35" t="s">
        <v>1300</v>
      </c>
      <c r="O459" s="68">
        <v>2024.41</v>
      </c>
      <c r="P459" s="70">
        <v>809.14</v>
      </c>
    </row>
    <row r="460" spans="13:16" x14ac:dyDescent="0.15">
      <c r="M460" s="35" t="s">
        <v>1152</v>
      </c>
      <c r="N460" s="35" t="s">
        <v>1300</v>
      </c>
      <c r="O460" s="68">
        <v>2024.41</v>
      </c>
      <c r="P460" s="70">
        <v>94086.87</v>
      </c>
    </row>
    <row r="461" spans="13:16" x14ac:dyDescent="0.15">
      <c r="M461" s="35" t="s">
        <v>1152</v>
      </c>
      <c r="N461" s="35" t="s">
        <v>1300</v>
      </c>
      <c r="O461" s="68">
        <v>2024.05</v>
      </c>
      <c r="P461" s="70">
        <v>83900.82</v>
      </c>
    </row>
    <row r="462" spans="13:16" x14ac:dyDescent="0.15">
      <c r="M462" s="35" t="s">
        <v>276</v>
      </c>
      <c r="N462" s="35" t="s">
        <v>1300</v>
      </c>
      <c r="O462" s="68">
        <v>2024.2</v>
      </c>
      <c r="P462" s="70">
        <v>201.29</v>
      </c>
    </row>
    <row r="463" spans="13:16" x14ac:dyDescent="0.15">
      <c r="M463" s="35" t="s">
        <v>1146</v>
      </c>
      <c r="N463" s="35" t="s">
        <v>1300</v>
      </c>
      <c r="O463" s="68">
        <v>2024.2</v>
      </c>
      <c r="P463" s="70">
        <v>2538.54</v>
      </c>
    </row>
    <row r="464" spans="13:16" x14ac:dyDescent="0.15">
      <c r="M464" s="35" t="s">
        <v>1151</v>
      </c>
      <c r="N464" s="35" t="s">
        <v>1300</v>
      </c>
      <c r="O464" s="68">
        <v>2024.2</v>
      </c>
      <c r="P464" s="70">
        <v>809.14</v>
      </c>
    </row>
    <row r="465" spans="13:16" x14ac:dyDescent="0.15">
      <c r="M465" s="35" t="s">
        <v>1152</v>
      </c>
      <c r="N465" s="35" t="s">
        <v>1300</v>
      </c>
      <c r="O465" s="68">
        <v>2024.2</v>
      </c>
      <c r="P465" s="70">
        <v>92851.75</v>
      </c>
    </row>
    <row r="466" spans="13:16" x14ac:dyDescent="0.15">
      <c r="M466" s="35" t="s">
        <v>275</v>
      </c>
      <c r="N466" s="35" t="s">
        <v>284</v>
      </c>
      <c r="O466" s="68">
        <v>2024.44</v>
      </c>
      <c r="P466" s="70">
        <v>3668.49</v>
      </c>
    </row>
    <row r="467" spans="13:16" x14ac:dyDescent="0.15">
      <c r="M467" s="35" t="s">
        <v>275</v>
      </c>
      <c r="N467" s="35" t="s">
        <v>284</v>
      </c>
      <c r="O467" s="68">
        <v>2024.44</v>
      </c>
      <c r="P467" s="70">
        <v>20693.560000000001</v>
      </c>
    </row>
    <row r="468" spans="13:16" x14ac:dyDescent="0.15">
      <c r="M468" s="35" t="s">
        <v>275</v>
      </c>
      <c r="N468" s="35" t="s">
        <v>284</v>
      </c>
      <c r="O468" s="68">
        <v>2024.41</v>
      </c>
      <c r="P468" s="70">
        <v>3668.49</v>
      </c>
    </row>
    <row r="469" spans="13:16" x14ac:dyDescent="0.15">
      <c r="M469" s="35" t="s">
        <v>275</v>
      </c>
      <c r="N469" s="35" t="s">
        <v>284</v>
      </c>
      <c r="O469" s="68">
        <v>2024.41</v>
      </c>
      <c r="P469" s="70">
        <v>20693.560000000001</v>
      </c>
    </row>
    <row r="470" spans="13:16" x14ac:dyDescent="0.15">
      <c r="M470" s="35" t="s">
        <v>275</v>
      </c>
      <c r="N470" s="35" t="s">
        <v>284</v>
      </c>
      <c r="O470" s="68">
        <v>2024.2</v>
      </c>
      <c r="P470" s="70">
        <v>1992.71</v>
      </c>
    </row>
    <row r="471" spans="13:16" x14ac:dyDescent="0.15">
      <c r="M471" s="35" t="s">
        <v>275</v>
      </c>
      <c r="N471" s="35" t="s">
        <v>284</v>
      </c>
      <c r="O471" s="68">
        <v>2024.2</v>
      </c>
      <c r="P471" s="70">
        <v>20693.560000000001</v>
      </c>
    </row>
    <row r="472" spans="13:16" x14ac:dyDescent="0.15">
      <c r="M472" s="35" t="s">
        <v>275</v>
      </c>
      <c r="N472" s="35" t="s">
        <v>284</v>
      </c>
      <c r="O472" s="68">
        <v>2024.05</v>
      </c>
      <c r="P472" s="70">
        <v>20693.55</v>
      </c>
    </row>
    <row r="473" spans="13:16" x14ac:dyDescent="0.15">
      <c r="M473" s="35" t="s">
        <v>1152</v>
      </c>
      <c r="N473" s="35" t="s">
        <v>282</v>
      </c>
      <c r="O473" s="68">
        <v>2024.44</v>
      </c>
      <c r="P473" s="70">
        <v>5459</v>
      </c>
    </row>
    <row r="474" spans="13:16" x14ac:dyDescent="0.15">
      <c r="M474" s="35" t="s">
        <v>255</v>
      </c>
      <c r="N474" s="35" t="s">
        <v>282</v>
      </c>
      <c r="O474" s="68">
        <v>2024.44</v>
      </c>
      <c r="P474" s="70">
        <v>2382</v>
      </c>
    </row>
    <row r="475" spans="13:16" x14ac:dyDescent="0.15">
      <c r="M475" s="35" t="s">
        <v>1152</v>
      </c>
      <c r="N475" s="35" t="s">
        <v>282</v>
      </c>
      <c r="O475" s="68">
        <v>2024.41</v>
      </c>
      <c r="P475" s="70">
        <v>4613</v>
      </c>
    </row>
    <row r="476" spans="13:16" x14ac:dyDescent="0.15">
      <c r="M476" s="35" t="s">
        <v>255</v>
      </c>
      <c r="N476" s="35" t="s">
        <v>282</v>
      </c>
      <c r="O476" s="68">
        <v>2024.41</v>
      </c>
      <c r="P476" s="70">
        <v>2382</v>
      </c>
    </row>
    <row r="477" spans="13:16" x14ac:dyDescent="0.15">
      <c r="M477" s="35" t="s">
        <v>1152</v>
      </c>
      <c r="N477" s="35" t="s">
        <v>282</v>
      </c>
      <c r="O477" s="68">
        <v>2024.2</v>
      </c>
      <c r="P477" s="70">
        <v>2135</v>
      </c>
    </row>
    <row r="478" spans="13:16" x14ac:dyDescent="0.15">
      <c r="M478" s="35" t="s">
        <v>1146</v>
      </c>
      <c r="N478" s="35" t="s">
        <v>283</v>
      </c>
      <c r="O478" s="68">
        <v>2024.05</v>
      </c>
      <c r="P478" s="70">
        <v>89100</v>
      </c>
    </row>
    <row r="479" spans="13:16" x14ac:dyDescent="0.15">
      <c r="M479" s="35" t="s">
        <v>1151</v>
      </c>
      <c r="N479" s="35" t="s">
        <v>278</v>
      </c>
      <c r="O479" s="68">
        <v>2024.44</v>
      </c>
      <c r="P479" s="70">
        <v>8994.81</v>
      </c>
    </row>
    <row r="480" spans="13:16" x14ac:dyDescent="0.15">
      <c r="M480" s="35" t="s">
        <v>1137</v>
      </c>
      <c r="N480" s="35" t="s">
        <v>278</v>
      </c>
      <c r="O480" s="68">
        <v>2024.44</v>
      </c>
      <c r="P480" s="70">
        <v>78.55</v>
      </c>
    </row>
    <row r="481" spans="13:16" x14ac:dyDescent="0.15">
      <c r="M481" s="35" t="s">
        <v>1151</v>
      </c>
      <c r="N481" s="35" t="s">
        <v>278</v>
      </c>
      <c r="O481" s="68">
        <v>2024.41</v>
      </c>
      <c r="P481" s="70">
        <v>7281.13</v>
      </c>
    </row>
    <row r="482" spans="13:16" x14ac:dyDescent="0.15">
      <c r="M482" s="35" t="s">
        <v>1137</v>
      </c>
      <c r="N482" s="35" t="s">
        <v>278</v>
      </c>
      <c r="O482" s="68">
        <v>2024.41</v>
      </c>
      <c r="P482" s="70">
        <v>78.55</v>
      </c>
    </row>
    <row r="483" spans="13:16" x14ac:dyDescent="0.15">
      <c r="M483" s="35" t="s">
        <v>1151</v>
      </c>
      <c r="N483" s="35" t="s">
        <v>278</v>
      </c>
      <c r="O483" s="68">
        <v>2024.05</v>
      </c>
      <c r="P483" s="70">
        <v>1708.25</v>
      </c>
    </row>
    <row r="484" spans="13:16" x14ac:dyDescent="0.15">
      <c r="M484" s="35" t="s">
        <v>1151</v>
      </c>
      <c r="N484" s="35" t="s">
        <v>278</v>
      </c>
      <c r="O484" s="68">
        <v>2024.2</v>
      </c>
      <c r="P484" s="70">
        <v>6203.17</v>
      </c>
    </row>
    <row r="485" spans="13:16" x14ac:dyDescent="0.15">
      <c r="M485" s="35" t="s">
        <v>1137</v>
      </c>
      <c r="N485" s="35" t="s">
        <v>278</v>
      </c>
      <c r="O485" s="68">
        <v>2024.2</v>
      </c>
      <c r="P485" s="70">
        <v>78.55</v>
      </c>
    </row>
    <row r="486" spans="13:16" x14ac:dyDescent="0.15">
      <c r="M486" s="35" t="s">
        <v>1136</v>
      </c>
      <c r="N486" s="35" t="s">
        <v>277</v>
      </c>
      <c r="O486" s="68">
        <v>2024.05</v>
      </c>
      <c r="P486" s="70">
        <v>115850</v>
      </c>
    </row>
    <row r="487" spans="13:16" x14ac:dyDescent="0.15">
      <c r="M487" s="35" t="s">
        <v>1149</v>
      </c>
      <c r="N487" s="35" t="s">
        <v>280</v>
      </c>
      <c r="O487" s="68">
        <v>2024.05</v>
      </c>
      <c r="P487" s="70">
        <v>140400</v>
      </c>
    </row>
    <row r="488" spans="13:16" x14ac:dyDescent="0.15">
      <c r="M488" s="35" t="s">
        <v>1149</v>
      </c>
      <c r="N488" s="35" t="s">
        <v>280</v>
      </c>
      <c r="O488" s="68">
        <v>2024.2</v>
      </c>
      <c r="P488" s="70">
        <v>140400</v>
      </c>
    </row>
    <row r="489" spans="13:16" x14ac:dyDescent="0.15">
      <c r="M489" s="35" t="s">
        <v>1149</v>
      </c>
      <c r="N489" s="35" t="s">
        <v>277</v>
      </c>
      <c r="O489" s="68">
        <v>2024.05</v>
      </c>
      <c r="P489" s="70">
        <v>118800</v>
      </c>
    </row>
    <row r="490" spans="13:16" x14ac:dyDescent="0.15">
      <c r="M490" s="35" t="s">
        <v>1149</v>
      </c>
      <c r="N490" s="35" t="s">
        <v>277</v>
      </c>
      <c r="O490" s="68">
        <v>2024.2</v>
      </c>
      <c r="P490" s="70">
        <v>118800</v>
      </c>
    </row>
    <row r="491" spans="13:16" x14ac:dyDescent="0.15">
      <c r="M491" s="35" t="s">
        <v>1149</v>
      </c>
      <c r="N491" s="35" t="s">
        <v>280</v>
      </c>
      <c r="O491" s="68">
        <v>2024.21</v>
      </c>
      <c r="P491" s="70">
        <v>140400</v>
      </c>
    </row>
    <row r="492" spans="13:16" x14ac:dyDescent="0.15">
      <c r="M492" s="35" t="s">
        <v>1149</v>
      </c>
      <c r="N492" s="35" t="s">
        <v>277</v>
      </c>
      <c r="O492" s="68">
        <v>2024.21</v>
      </c>
      <c r="P492" s="70">
        <v>118800</v>
      </c>
    </row>
    <row r="493" spans="13:16" x14ac:dyDescent="0.15">
      <c r="M493" s="35" t="s">
        <v>1153</v>
      </c>
      <c r="N493" s="35" t="s">
        <v>1297</v>
      </c>
      <c r="O493" s="68">
        <v>2024.21</v>
      </c>
      <c r="P493" s="70">
        <v>477996</v>
      </c>
    </row>
    <row r="494" spans="13:16" x14ac:dyDescent="0.15">
      <c r="M494" s="35" t="s">
        <v>1150</v>
      </c>
      <c r="N494" s="35" t="s">
        <v>1132</v>
      </c>
      <c r="O494" s="68">
        <v>2024.21</v>
      </c>
      <c r="P494" s="70">
        <v>159933.67000000001</v>
      </c>
    </row>
    <row r="495" spans="13:16" x14ac:dyDescent="0.15">
      <c r="M495" s="35" t="s">
        <v>1150</v>
      </c>
      <c r="N495" s="35" t="s">
        <v>1132</v>
      </c>
      <c r="O495" s="68">
        <v>2024.21</v>
      </c>
      <c r="P495" s="70">
        <v>26664</v>
      </c>
    </row>
    <row r="496" spans="13:16" x14ac:dyDescent="0.15">
      <c r="M496" s="35" t="s">
        <v>1150</v>
      </c>
      <c r="N496" s="35" t="s">
        <v>282</v>
      </c>
      <c r="O496" s="68">
        <v>2024.21</v>
      </c>
      <c r="P496" s="70">
        <v>25</v>
      </c>
    </row>
    <row r="497" spans="13:16" x14ac:dyDescent="0.15">
      <c r="M497" s="35" t="s">
        <v>1150</v>
      </c>
      <c r="N497" s="35" t="s">
        <v>1299</v>
      </c>
      <c r="O497" s="68">
        <v>2024.21</v>
      </c>
      <c r="P497" s="70">
        <v>86.78</v>
      </c>
    </row>
    <row r="498" spans="13:16" x14ac:dyDescent="0.15">
      <c r="M498" s="35" t="s">
        <v>1138</v>
      </c>
      <c r="N498" s="35" t="s">
        <v>1132</v>
      </c>
      <c r="O498" s="68">
        <v>2024.21</v>
      </c>
      <c r="P498" s="70">
        <v>5215.9799999999996</v>
      </c>
    </row>
    <row r="499" spans="13:16" x14ac:dyDescent="0.15">
      <c r="M499" s="35" t="s">
        <v>1138</v>
      </c>
      <c r="N499" s="35" t="s">
        <v>1132</v>
      </c>
      <c r="O499" s="68">
        <v>2024.21</v>
      </c>
      <c r="P499" s="70">
        <v>3694.55</v>
      </c>
    </row>
    <row r="500" spans="13:16" x14ac:dyDescent="0.15">
      <c r="M500" s="35" t="s">
        <v>262</v>
      </c>
      <c r="N500" s="35" t="s">
        <v>283</v>
      </c>
      <c r="O500" s="68">
        <v>2024.21</v>
      </c>
      <c r="P500" s="70">
        <v>10517.45</v>
      </c>
    </row>
    <row r="501" spans="13:16" x14ac:dyDescent="0.15">
      <c r="M501" s="35" t="s">
        <v>262</v>
      </c>
      <c r="N501" s="35" t="s">
        <v>1297</v>
      </c>
      <c r="O501" s="68">
        <v>2024.21</v>
      </c>
      <c r="P501" s="70">
        <v>2547.54</v>
      </c>
    </row>
    <row r="502" spans="13:16" x14ac:dyDescent="0.15">
      <c r="M502" s="35" t="s">
        <v>262</v>
      </c>
      <c r="N502" s="35" t="s">
        <v>1300</v>
      </c>
      <c r="O502" s="68">
        <v>2024.21</v>
      </c>
      <c r="P502" s="70">
        <v>141.6</v>
      </c>
    </row>
    <row r="503" spans="13:16" x14ac:dyDescent="0.15">
      <c r="M503" s="35" t="s">
        <v>275</v>
      </c>
      <c r="N503" s="35" t="s">
        <v>1297</v>
      </c>
      <c r="O503" s="68">
        <v>2024.21</v>
      </c>
      <c r="P503" s="70">
        <v>7012.29</v>
      </c>
    </row>
    <row r="504" spans="13:16" x14ac:dyDescent="0.15">
      <c r="M504" s="35" t="s">
        <v>275</v>
      </c>
      <c r="N504" s="35" t="s">
        <v>1297</v>
      </c>
      <c r="O504" s="68">
        <v>2024.21</v>
      </c>
      <c r="P504" s="70">
        <v>100.56</v>
      </c>
    </row>
    <row r="505" spans="13:16" x14ac:dyDescent="0.15">
      <c r="M505" s="35" t="s">
        <v>275</v>
      </c>
      <c r="N505" s="35" t="s">
        <v>284</v>
      </c>
      <c r="O505" s="68">
        <v>2024.21</v>
      </c>
      <c r="P505" s="70">
        <v>2466.3000000000002</v>
      </c>
    </row>
    <row r="506" spans="13:16" x14ac:dyDescent="0.15">
      <c r="M506" s="35" t="s">
        <v>275</v>
      </c>
      <c r="N506" s="35" t="s">
        <v>284</v>
      </c>
      <c r="O506" s="68">
        <v>2024.21</v>
      </c>
      <c r="P506" s="70">
        <v>20693.560000000001</v>
      </c>
    </row>
    <row r="507" spans="13:16" x14ac:dyDescent="0.15">
      <c r="M507" s="35" t="s">
        <v>275</v>
      </c>
      <c r="N507" s="35" t="s">
        <v>1299</v>
      </c>
      <c r="O507" s="68">
        <v>2024.21</v>
      </c>
      <c r="P507" s="70">
        <v>92252.51</v>
      </c>
    </row>
    <row r="508" spans="13:16" x14ac:dyDescent="0.15">
      <c r="M508" s="35" t="s">
        <v>276</v>
      </c>
      <c r="N508" s="35" t="s">
        <v>1297</v>
      </c>
      <c r="O508" s="68">
        <v>2024.21</v>
      </c>
      <c r="P508" s="70">
        <v>848.98</v>
      </c>
    </row>
    <row r="509" spans="13:16" x14ac:dyDescent="0.15">
      <c r="M509" s="35" t="s">
        <v>276</v>
      </c>
      <c r="N509" s="35" t="s">
        <v>1297</v>
      </c>
      <c r="O509" s="68">
        <v>2024.21</v>
      </c>
      <c r="P509" s="70">
        <v>29544.07</v>
      </c>
    </row>
    <row r="510" spans="13:16" x14ac:dyDescent="0.15">
      <c r="M510" s="35" t="s">
        <v>276</v>
      </c>
      <c r="N510" s="35" t="s">
        <v>282</v>
      </c>
      <c r="O510" s="68">
        <v>2024.21</v>
      </c>
      <c r="P510" s="70">
        <v>12070.5</v>
      </c>
    </row>
    <row r="511" spans="13:16" x14ac:dyDescent="0.15">
      <c r="M511" s="35" t="s">
        <v>276</v>
      </c>
      <c r="N511" s="35" t="s">
        <v>282</v>
      </c>
      <c r="O511" s="68">
        <v>2024.21</v>
      </c>
      <c r="P511" s="70">
        <v>78300</v>
      </c>
    </row>
    <row r="512" spans="13:16" x14ac:dyDescent="0.15">
      <c r="M512" s="35" t="s">
        <v>276</v>
      </c>
      <c r="N512" s="35" t="s">
        <v>282</v>
      </c>
      <c r="O512" s="68">
        <v>2024.21</v>
      </c>
      <c r="P512" s="70">
        <v>280974.05</v>
      </c>
    </row>
    <row r="513" spans="13:16" x14ac:dyDescent="0.15">
      <c r="M513" s="35" t="s">
        <v>276</v>
      </c>
      <c r="N513" s="35" t="s">
        <v>1299</v>
      </c>
      <c r="O513" s="68">
        <v>2024.21</v>
      </c>
      <c r="P513" s="70">
        <v>32208</v>
      </c>
    </row>
    <row r="514" spans="13:16" x14ac:dyDescent="0.15">
      <c r="M514" s="35" t="s">
        <v>276</v>
      </c>
      <c r="N514" s="35" t="s">
        <v>1300</v>
      </c>
      <c r="O514" s="68">
        <v>2024.21</v>
      </c>
      <c r="P514" s="70">
        <v>201.29</v>
      </c>
    </row>
    <row r="515" spans="13:16" x14ac:dyDescent="0.15">
      <c r="M515" s="35" t="s">
        <v>1146</v>
      </c>
      <c r="N515" s="35" t="s">
        <v>1297</v>
      </c>
      <c r="O515" s="68">
        <v>2024.21</v>
      </c>
      <c r="P515" s="70">
        <v>4.6399999999999997</v>
      </c>
    </row>
    <row r="516" spans="13:16" x14ac:dyDescent="0.15">
      <c r="M516" s="35" t="s">
        <v>1146</v>
      </c>
      <c r="N516" s="35" t="s">
        <v>1297</v>
      </c>
      <c r="O516" s="68">
        <v>2024.21</v>
      </c>
      <c r="P516" s="70">
        <v>202.85</v>
      </c>
    </row>
    <row r="517" spans="13:16" x14ac:dyDescent="0.15">
      <c r="M517" s="35" t="s">
        <v>1146</v>
      </c>
      <c r="N517" s="35" t="s">
        <v>1297</v>
      </c>
      <c r="O517" s="68">
        <v>2024.21</v>
      </c>
      <c r="P517" s="70">
        <v>118000</v>
      </c>
    </row>
    <row r="518" spans="13:16" x14ac:dyDescent="0.15">
      <c r="M518" s="35" t="s">
        <v>1146</v>
      </c>
      <c r="N518" s="35" t="s">
        <v>1297</v>
      </c>
      <c r="O518" s="68">
        <v>2024.21</v>
      </c>
      <c r="P518" s="70">
        <v>1699.31</v>
      </c>
    </row>
    <row r="519" spans="13:16" x14ac:dyDescent="0.15">
      <c r="M519" s="35" t="s">
        <v>1146</v>
      </c>
      <c r="N519" s="35" t="s">
        <v>283</v>
      </c>
      <c r="O519" s="68">
        <v>2024.21</v>
      </c>
      <c r="P519" s="70">
        <v>7952.91</v>
      </c>
    </row>
    <row r="520" spans="13:16" x14ac:dyDescent="0.15">
      <c r="M520" s="35" t="s">
        <v>1146</v>
      </c>
      <c r="N520" s="35" t="s">
        <v>283</v>
      </c>
      <c r="O520" s="68">
        <v>2024.21</v>
      </c>
      <c r="P520" s="70">
        <v>17820</v>
      </c>
    </row>
    <row r="521" spans="13:16" x14ac:dyDescent="0.15">
      <c r="M521" s="35" t="s">
        <v>1146</v>
      </c>
      <c r="N521" s="35" t="s">
        <v>1298</v>
      </c>
      <c r="O521" s="68">
        <v>2024.21</v>
      </c>
      <c r="P521" s="70">
        <v>7781.45</v>
      </c>
    </row>
    <row r="522" spans="13:16" x14ac:dyDescent="0.15">
      <c r="M522" s="35" t="s">
        <v>1146</v>
      </c>
      <c r="N522" s="35" t="s">
        <v>1298</v>
      </c>
      <c r="O522" s="68">
        <v>2024.21</v>
      </c>
      <c r="P522" s="70">
        <v>109451.96</v>
      </c>
    </row>
    <row r="523" spans="13:16" x14ac:dyDescent="0.15">
      <c r="M523" s="35" t="s">
        <v>1146</v>
      </c>
      <c r="N523" s="35" t="s">
        <v>282</v>
      </c>
      <c r="O523" s="68">
        <v>2024.21</v>
      </c>
      <c r="P523" s="70">
        <v>208.33</v>
      </c>
    </row>
    <row r="524" spans="13:16" x14ac:dyDescent="0.15">
      <c r="M524" s="35" t="s">
        <v>1146</v>
      </c>
      <c r="N524" s="35" t="s">
        <v>1299</v>
      </c>
      <c r="O524" s="68">
        <v>2024.21</v>
      </c>
      <c r="P524" s="70">
        <v>72812.63</v>
      </c>
    </row>
    <row r="525" spans="13:16" x14ac:dyDescent="0.15">
      <c r="M525" s="35" t="s">
        <v>1146</v>
      </c>
      <c r="N525" s="35" t="s">
        <v>1300</v>
      </c>
      <c r="O525" s="68">
        <v>2024.21</v>
      </c>
      <c r="P525" s="70">
        <v>2623.69</v>
      </c>
    </row>
    <row r="526" spans="13:16" x14ac:dyDescent="0.15">
      <c r="M526" s="35" t="s">
        <v>1151</v>
      </c>
      <c r="N526" s="35" t="s">
        <v>282</v>
      </c>
      <c r="O526" s="68">
        <v>2024.21</v>
      </c>
      <c r="P526" s="70">
        <v>412.5</v>
      </c>
    </row>
    <row r="527" spans="13:16" x14ac:dyDescent="0.15">
      <c r="M527" s="35" t="s">
        <v>1151</v>
      </c>
      <c r="N527" s="35" t="s">
        <v>282</v>
      </c>
      <c r="O527" s="68">
        <v>2024.21</v>
      </c>
      <c r="P527" s="70">
        <v>341874.8</v>
      </c>
    </row>
    <row r="528" spans="13:16" x14ac:dyDescent="0.15">
      <c r="M528" s="35" t="s">
        <v>1151</v>
      </c>
      <c r="N528" s="35" t="s">
        <v>283</v>
      </c>
      <c r="O528" s="68">
        <v>2024.21</v>
      </c>
      <c r="P528" s="70">
        <v>1521.16</v>
      </c>
    </row>
    <row r="529" spans="13:16" x14ac:dyDescent="0.15">
      <c r="M529" s="35" t="s">
        <v>1151</v>
      </c>
      <c r="N529" s="35" t="s">
        <v>278</v>
      </c>
      <c r="O529" s="68">
        <v>2024.21</v>
      </c>
      <c r="P529" s="70">
        <v>6396.65</v>
      </c>
    </row>
    <row r="530" spans="13:16" x14ac:dyDescent="0.15">
      <c r="M530" s="35" t="s">
        <v>1151</v>
      </c>
      <c r="N530" s="35" t="s">
        <v>1297</v>
      </c>
      <c r="O530" s="68">
        <v>2024.21</v>
      </c>
      <c r="P530" s="70">
        <v>94392.2</v>
      </c>
    </row>
    <row r="531" spans="13:16" x14ac:dyDescent="0.15">
      <c r="M531" s="35" t="s">
        <v>1151</v>
      </c>
      <c r="N531" s="35" t="s">
        <v>1299</v>
      </c>
      <c r="O531" s="68">
        <v>2024.21</v>
      </c>
      <c r="P531" s="70">
        <v>48.56</v>
      </c>
    </row>
    <row r="532" spans="13:16" x14ac:dyDescent="0.15">
      <c r="M532" s="35" t="s">
        <v>1151</v>
      </c>
      <c r="N532" s="35" t="s">
        <v>1300</v>
      </c>
      <c r="O532" s="68">
        <v>2024.21</v>
      </c>
      <c r="P532" s="70">
        <v>809.14</v>
      </c>
    </row>
    <row r="533" spans="13:16" x14ac:dyDescent="0.15">
      <c r="M533" s="35" t="s">
        <v>1152</v>
      </c>
      <c r="N533" s="35" t="s">
        <v>1297</v>
      </c>
      <c r="O533" s="68">
        <v>2024.21</v>
      </c>
      <c r="P533" s="70">
        <v>667.84</v>
      </c>
    </row>
    <row r="534" spans="13:16" x14ac:dyDescent="0.15">
      <c r="M534" s="35" t="s">
        <v>1152</v>
      </c>
      <c r="N534" s="35" t="s">
        <v>1297</v>
      </c>
      <c r="O534" s="68">
        <v>2024.21</v>
      </c>
      <c r="P534" s="70">
        <v>8080.12</v>
      </c>
    </row>
    <row r="535" spans="13:16" x14ac:dyDescent="0.15">
      <c r="M535" s="35" t="s">
        <v>1152</v>
      </c>
      <c r="N535" s="35" t="s">
        <v>282</v>
      </c>
      <c r="O535" s="68">
        <v>2024.21</v>
      </c>
      <c r="P535" s="70">
        <v>2687</v>
      </c>
    </row>
    <row r="536" spans="13:16" x14ac:dyDescent="0.15">
      <c r="M536" s="35" t="s">
        <v>1152</v>
      </c>
      <c r="N536" s="35" t="s">
        <v>1298</v>
      </c>
      <c r="O536" s="68">
        <v>2024.21</v>
      </c>
      <c r="P536" s="70">
        <v>52355</v>
      </c>
    </row>
    <row r="537" spans="13:16" x14ac:dyDescent="0.15">
      <c r="M537" s="35" t="s">
        <v>1152</v>
      </c>
      <c r="N537" s="35" t="s">
        <v>1299</v>
      </c>
      <c r="O537" s="68">
        <v>2024.21</v>
      </c>
      <c r="P537" s="70">
        <v>105165.91</v>
      </c>
    </row>
    <row r="538" spans="13:16" x14ac:dyDescent="0.15">
      <c r="M538" s="35" t="s">
        <v>1152</v>
      </c>
      <c r="N538" s="35" t="s">
        <v>1300</v>
      </c>
      <c r="O538" s="68">
        <v>2024.21</v>
      </c>
      <c r="P538" s="70">
        <v>92851.75</v>
      </c>
    </row>
    <row r="539" spans="13:16" x14ac:dyDescent="0.15">
      <c r="M539" s="35" t="s">
        <v>256</v>
      </c>
      <c r="N539" s="35" t="s">
        <v>1297</v>
      </c>
      <c r="O539" s="68">
        <v>2024.21</v>
      </c>
      <c r="P539" s="70">
        <v>317873.90000000002</v>
      </c>
    </row>
    <row r="540" spans="13:16" x14ac:dyDescent="0.15">
      <c r="M540" s="35" t="s">
        <v>1147</v>
      </c>
      <c r="N540" s="35" t="s">
        <v>280</v>
      </c>
      <c r="O540" s="68">
        <v>2024.21</v>
      </c>
      <c r="P540" s="70">
        <v>9920.06</v>
      </c>
    </row>
    <row r="541" spans="13:16" x14ac:dyDescent="0.15">
      <c r="M541" s="35" t="s">
        <v>1147</v>
      </c>
      <c r="N541" s="35" t="s">
        <v>280</v>
      </c>
      <c r="O541" s="68">
        <v>2024.21</v>
      </c>
      <c r="P541" s="70">
        <v>3693.28</v>
      </c>
    </row>
    <row r="542" spans="13:16" x14ac:dyDescent="0.15">
      <c r="M542" s="35" t="s">
        <v>1137</v>
      </c>
      <c r="N542" s="35" t="s">
        <v>278</v>
      </c>
      <c r="O542" s="68">
        <v>2024.21</v>
      </c>
      <c r="P542" s="70">
        <v>78.55</v>
      </c>
    </row>
    <row r="543" spans="13:16" x14ac:dyDescent="0.15">
      <c r="M543" s="35" t="s">
        <v>273</v>
      </c>
      <c r="N543" s="35" t="s">
        <v>288</v>
      </c>
      <c r="O543" s="68">
        <v>2024.06</v>
      </c>
      <c r="P543" s="70">
        <v>27239.52</v>
      </c>
    </row>
    <row r="544" spans="13:16" x14ac:dyDescent="0.15">
      <c r="M544" s="35" t="s">
        <v>273</v>
      </c>
      <c r="N544" s="35" t="s">
        <v>1296</v>
      </c>
      <c r="O544" s="68">
        <v>2024.06</v>
      </c>
      <c r="P544" s="70">
        <v>34330.61</v>
      </c>
    </row>
    <row r="545" spans="13:16" x14ac:dyDescent="0.15">
      <c r="M545" s="35" t="s">
        <v>273</v>
      </c>
      <c r="N545" s="35" t="s">
        <v>280</v>
      </c>
      <c r="O545" s="68">
        <v>2024.06</v>
      </c>
      <c r="P545" s="70">
        <v>10167.780000000001</v>
      </c>
    </row>
    <row r="546" spans="13:16" x14ac:dyDescent="0.15">
      <c r="M546" s="35" t="s">
        <v>273</v>
      </c>
      <c r="N546" s="35" t="s">
        <v>283</v>
      </c>
      <c r="O546" s="68">
        <v>2024.06</v>
      </c>
      <c r="P546" s="70">
        <v>1171.18</v>
      </c>
    </row>
    <row r="547" spans="13:16" x14ac:dyDescent="0.15">
      <c r="M547" s="35" t="s">
        <v>273</v>
      </c>
      <c r="N547" s="35" t="s">
        <v>1298</v>
      </c>
      <c r="O547" s="68">
        <v>2024.06</v>
      </c>
      <c r="P547" s="70">
        <v>2312.46</v>
      </c>
    </row>
    <row r="548" spans="13:16" x14ac:dyDescent="0.15">
      <c r="M548" s="35" t="s">
        <v>307</v>
      </c>
      <c r="N548" s="35" t="s">
        <v>280</v>
      </c>
      <c r="O548" s="68">
        <v>2024.06</v>
      </c>
      <c r="P548" s="70">
        <v>15000</v>
      </c>
    </row>
    <row r="549" spans="13:16" x14ac:dyDescent="0.15">
      <c r="M549" s="35" t="s">
        <v>307</v>
      </c>
      <c r="N549" s="35" t="s">
        <v>281</v>
      </c>
      <c r="O549" s="68">
        <v>2024.06</v>
      </c>
      <c r="P549" s="70">
        <v>2950.12</v>
      </c>
    </row>
    <row r="550" spans="13:16" x14ac:dyDescent="0.15">
      <c r="M550" s="35" t="s">
        <v>309</v>
      </c>
      <c r="N550" s="35" t="s">
        <v>280</v>
      </c>
      <c r="O550" s="68">
        <v>2024.06</v>
      </c>
      <c r="P550" s="70">
        <v>4594.08</v>
      </c>
    </row>
    <row r="551" spans="13:16" x14ac:dyDescent="0.15">
      <c r="M551" s="35" t="s">
        <v>309</v>
      </c>
      <c r="N551" s="35" t="s">
        <v>280</v>
      </c>
      <c r="O551" s="68">
        <v>2024.06</v>
      </c>
      <c r="P551" s="70">
        <v>16200</v>
      </c>
    </row>
    <row r="552" spans="13:16" x14ac:dyDescent="0.15">
      <c r="M552" s="35" t="s">
        <v>309</v>
      </c>
      <c r="N552" s="35" t="s">
        <v>277</v>
      </c>
      <c r="O552" s="68">
        <v>2024.06</v>
      </c>
      <c r="P552" s="70">
        <v>12828.59</v>
      </c>
    </row>
    <row r="553" spans="13:16" x14ac:dyDescent="0.15">
      <c r="M553" s="35" t="s">
        <v>274</v>
      </c>
      <c r="N553" s="35" t="s">
        <v>274</v>
      </c>
      <c r="O553" s="68">
        <v>2024.06</v>
      </c>
      <c r="P553" s="70">
        <v>25688.43</v>
      </c>
    </row>
    <row r="554" spans="13:16" x14ac:dyDescent="0.15">
      <c r="M554" s="35" t="s">
        <v>1136</v>
      </c>
      <c r="N554" s="35" t="s">
        <v>280</v>
      </c>
      <c r="O554" s="68">
        <v>2024.06</v>
      </c>
      <c r="P554" s="70">
        <v>114750</v>
      </c>
    </row>
    <row r="555" spans="13:16" x14ac:dyDescent="0.15">
      <c r="M555" s="35" t="s">
        <v>1136</v>
      </c>
      <c r="N555" s="35" t="s">
        <v>277</v>
      </c>
      <c r="O555" s="68">
        <v>2024.06</v>
      </c>
      <c r="P555" s="70">
        <v>115850</v>
      </c>
    </row>
    <row r="556" spans="13:16" x14ac:dyDescent="0.15">
      <c r="M556" s="35" t="s">
        <v>302</v>
      </c>
      <c r="N556" s="35" t="s">
        <v>283</v>
      </c>
      <c r="O556" s="68">
        <v>2024.06</v>
      </c>
      <c r="P556" s="70">
        <v>19800</v>
      </c>
    </row>
    <row r="557" spans="13:16" x14ac:dyDescent="0.15">
      <c r="M557" s="35" t="s">
        <v>302</v>
      </c>
      <c r="N557" s="35" t="s">
        <v>283</v>
      </c>
      <c r="O557" s="68">
        <v>2024.06</v>
      </c>
      <c r="P557" s="70">
        <v>32940</v>
      </c>
    </row>
    <row r="558" spans="13:16" x14ac:dyDescent="0.15">
      <c r="M558" s="35" t="s">
        <v>1149</v>
      </c>
      <c r="N558" s="35" t="s">
        <v>280</v>
      </c>
      <c r="O558" s="68">
        <v>2024.06</v>
      </c>
      <c r="P558" s="70">
        <v>140400</v>
      </c>
    </row>
    <row r="559" spans="13:16" x14ac:dyDescent="0.15">
      <c r="M559" s="35" t="s">
        <v>1149</v>
      </c>
      <c r="N559" s="35" t="s">
        <v>277</v>
      </c>
      <c r="O559" s="68">
        <v>2024.06</v>
      </c>
      <c r="P559" s="70">
        <v>118800</v>
      </c>
    </row>
    <row r="560" spans="13:16" x14ac:dyDescent="0.15">
      <c r="M560" s="35" t="s">
        <v>1153</v>
      </c>
      <c r="N560" s="35" t="s">
        <v>1297</v>
      </c>
      <c r="O560" s="68">
        <v>2024.06</v>
      </c>
      <c r="P560" s="70">
        <v>477996</v>
      </c>
    </row>
    <row r="561" spans="13:16" x14ac:dyDescent="0.15">
      <c r="M561" s="35" t="s">
        <v>1150</v>
      </c>
      <c r="N561" s="35" t="s">
        <v>1132</v>
      </c>
      <c r="O561" s="68">
        <v>2024.06</v>
      </c>
      <c r="P561" s="70">
        <v>128588.98</v>
      </c>
    </row>
    <row r="562" spans="13:16" x14ac:dyDescent="0.15">
      <c r="M562" s="35" t="s">
        <v>1150</v>
      </c>
      <c r="N562" s="35" t="s">
        <v>1132</v>
      </c>
      <c r="O562" s="68">
        <v>2024.06</v>
      </c>
      <c r="P562" s="70">
        <v>17143.5</v>
      </c>
    </row>
    <row r="563" spans="13:16" x14ac:dyDescent="0.15">
      <c r="M563" s="35" t="s">
        <v>1138</v>
      </c>
      <c r="N563" s="35" t="s">
        <v>1132</v>
      </c>
      <c r="O563" s="68">
        <v>2024.06</v>
      </c>
      <c r="P563" s="70">
        <v>1772.55</v>
      </c>
    </row>
    <row r="564" spans="13:16" x14ac:dyDescent="0.15">
      <c r="M564" s="35" t="s">
        <v>1138</v>
      </c>
      <c r="N564" s="35" t="s">
        <v>1132</v>
      </c>
      <c r="O564" s="68">
        <v>2024.06</v>
      </c>
      <c r="P564" s="70">
        <v>3694.55</v>
      </c>
    </row>
    <row r="565" spans="13:16" x14ac:dyDescent="0.15">
      <c r="M565" s="35" t="s">
        <v>275</v>
      </c>
      <c r="N565" s="35" t="s">
        <v>1297</v>
      </c>
      <c r="O565" s="68">
        <v>2024.06</v>
      </c>
      <c r="P565" s="70">
        <v>7012.29</v>
      </c>
    </row>
    <row r="566" spans="13:16" x14ac:dyDescent="0.15">
      <c r="M566" s="35" t="s">
        <v>275</v>
      </c>
      <c r="N566" s="35" t="s">
        <v>1297</v>
      </c>
      <c r="O566" s="68">
        <v>2024.06</v>
      </c>
      <c r="P566" s="70">
        <v>99.9</v>
      </c>
    </row>
    <row r="567" spans="13:16" x14ac:dyDescent="0.15">
      <c r="M567" s="35" t="s">
        <v>275</v>
      </c>
      <c r="N567" s="35" t="s">
        <v>284</v>
      </c>
      <c r="O567" s="68">
        <v>2024.06</v>
      </c>
      <c r="P567" s="70">
        <v>79.739999999999995</v>
      </c>
    </row>
    <row r="568" spans="13:16" x14ac:dyDescent="0.15">
      <c r="M568" s="35" t="s">
        <v>275</v>
      </c>
      <c r="N568" s="35" t="s">
        <v>284</v>
      </c>
      <c r="O568" s="68">
        <v>2024.06</v>
      </c>
      <c r="P568" s="70">
        <v>20693.55</v>
      </c>
    </row>
    <row r="569" spans="13:16" x14ac:dyDescent="0.15">
      <c r="M569" s="35" t="s">
        <v>275</v>
      </c>
      <c r="N569" s="35" t="s">
        <v>1299</v>
      </c>
      <c r="O569" s="68">
        <v>2024.06</v>
      </c>
      <c r="P569" s="70">
        <v>89201.06</v>
      </c>
    </row>
    <row r="570" spans="13:16" x14ac:dyDescent="0.15">
      <c r="M570" s="35" t="s">
        <v>276</v>
      </c>
      <c r="N570" s="35" t="s">
        <v>1297</v>
      </c>
      <c r="O570" s="68">
        <v>2024.06</v>
      </c>
      <c r="P570" s="70">
        <v>845.24</v>
      </c>
    </row>
    <row r="571" spans="13:16" x14ac:dyDescent="0.15">
      <c r="M571" s="35" t="s">
        <v>276</v>
      </c>
      <c r="N571" s="35" t="s">
        <v>1297</v>
      </c>
      <c r="O571" s="68">
        <v>2024.06</v>
      </c>
      <c r="P571" s="70">
        <v>23265.13</v>
      </c>
    </row>
    <row r="572" spans="13:16" x14ac:dyDescent="0.15">
      <c r="M572" s="35" t="s">
        <v>276</v>
      </c>
      <c r="N572" s="35" t="s">
        <v>282</v>
      </c>
      <c r="O572" s="68">
        <v>2024.06</v>
      </c>
      <c r="P572" s="70">
        <v>78300</v>
      </c>
    </row>
    <row r="573" spans="13:16" x14ac:dyDescent="0.15">
      <c r="M573" s="35" t="s">
        <v>276</v>
      </c>
      <c r="N573" s="35" t="s">
        <v>282</v>
      </c>
      <c r="O573" s="68">
        <v>2024.06</v>
      </c>
      <c r="P573" s="70">
        <v>139173.04999999999</v>
      </c>
    </row>
    <row r="574" spans="13:16" x14ac:dyDescent="0.15">
      <c r="M574" s="35" t="s">
        <v>1146</v>
      </c>
      <c r="N574" s="35" t="s">
        <v>1297</v>
      </c>
      <c r="O574" s="68">
        <v>2024.06</v>
      </c>
      <c r="P574" s="70">
        <v>45.34</v>
      </c>
    </row>
    <row r="575" spans="13:16" x14ac:dyDescent="0.15">
      <c r="M575" s="35" t="s">
        <v>1146</v>
      </c>
      <c r="N575" s="35" t="s">
        <v>1297</v>
      </c>
      <c r="O575" s="68">
        <v>2024.06</v>
      </c>
      <c r="P575" s="70">
        <v>3223.6</v>
      </c>
    </row>
    <row r="576" spans="13:16" x14ac:dyDescent="0.15">
      <c r="M576" s="35" t="s">
        <v>1146</v>
      </c>
      <c r="N576" s="35" t="s">
        <v>283</v>
      </c>
      <c r="O576" s="68">
        <v>2024.06</v>
      </c>
      <c r="P576" s="70">
        <v>89100</v>
      </c>
    </row>
    <row r="577" spans="13:16" x14ac:dyDescent="0.15">
      <c r="M577" s="35" t="s">
        <v>1146</v>
      </c>
      <c r="N577" s="35" t="s">
        <v>1298</v>
      </c>
      <c r="O577" s="68">
        <v>2024.06</v>
      </c>
      <c r="P577" s="70">
        <v>159.47999999999999</v>
      </c>
    </row>
    <row r="578" spans="13:16" x14ac:dyDescent="0.15">
      <c r="M578" s="35" t="s">
        <v>1146</v>
      </c>
      <c r="N578" s="35" t="s">
        <v>1298</v>
      </c>
      <c r="O578" s="68">
        <v>2024.06</v>
      </c>
      <c r="P578" s="70">
        <v>109451.95</v>
      </c>
    </row>
    <row r="579" spans="13:16" x14ac:dyDescent="0.15">
      <c r="M579" s="35" t="s">
        <v>1146</v>
      </c>
      <c r="N579" s="35" t="s">
        <v>1299</v>
      </c>
      <c r="O579" s="68">
        <v>2024.06</v>
      </c>
      <c r="P579" s="70">
        <v>91571.91</v>
      </c>
    </row>
    <row r="580" spans="13:16" x14ac:dyDescent="0.15">
      <c r="M580" s="35" t="s">
        <v>1146</v>
      </c>
      <c r="N580" s="35" t="s">
        <v>1300</v>
      </c>
      <c r="O580" s="68">
        <v>2024.06</v>
      </c>
      <c r="P580" s="70">
        <v>496.52</v>
      </c>
    </row>
    <row r="581" spans="13:16" x14ac:dyDescent="0.15">
      <c r="M581" s="35" t="s">
        <v>1151</v>
      </c>
      <c r="N581" s="35" t="s">
        <v>282</v>
      </c>
      <c r="O581" s="68">
        <v>2024.06</v>
      </c>
      <c r="P581" s="70">
        <v>412.5</v>
      </c>
    </row>
    <row r="582" spans="13:16" x14ac:dyDescent="0.15">
      <c r="M582" s="35" t="s">
        <v>1151</v>
      </c>
      <c r="N582" s="35" t="s">
        <v>282</v>
      </c>
      <c r="O582" s="68">
        <v>2024.06</v>
      </c>
      <c r="P582" s="70">
        <v>262042.8</v>
      </c>
    </row>
    <row r="583" spans="13:16" x14ac:dyDescent="0.15">
      <c r="M583" s="35" t="s">
        <v>1151</v>
      </c>
      <c r="N583" s="35" t="s">
        <v>278</v>
      </c>
      <c r="O583" s="68">
        <v>2024.06</v>
      </c>
      <c r="P583" s="70">
        <v>2258.0300000000002</v>
      </c>
    </row>
    <row r="584" spans="13:16" x14ac:dyDescent="0.15">
      <c r="M584" s="35" t="s">
        <v>1151</v>
      </c>
      <c r="N584" s="35" t="s">
        <v>1297</v>
      </c>
      <c r="O584" s="68">
        <v>2024.06</v>
      </c>
      <c r="P584" s="70">
        <v>87727.74</v>
      </c>
    </row>
    <row r="585" spans="13:16" x14ac:dyDescent="0.15">
      <c r="M585" s="35" t="s">
        <v>1152</v>
      </c>
      <c r="N585" s="35" t="s">
        <v>1297</v>
      </c>
      <c r="O585" s="68">
        <v>2024.06</v>
      </c>
      <c r="P585" s="70">
        <v>534.80999999999995</v>
      </c>
    </row>
    <row r="586" spans="13:16" x14ac:dyDescent="0.15">
      <c r="M586" s="35" t="s">
        <v>1152</v>
      </c>
      <c r="N586" s="35" t="s">
        <v>1297</v>
      </c>
      <c r="O586" s="68">
        <v>2024.06</v>
      </c>
      <c r="P586" s="70">
        <v>8040.68</v>
      </c>
    </row>
    <row r="587" spans="13:16" x14ac:dyDescent="0.15">
      <c r="M587" s="35" t="s">
        <v>1152</v>
      </c>
      <c r="N587" s="35" t="s">
        <v>282</v>
      </c>
      <c r="O587" s="68">
        <v>2024.06</v>
      </c>
      <c r="P587" s="70">
        <v>340</v>
      </c>
    </row>
    <row r="588" spans="13:16" x14ac:dyDescent="0.15">
      <c r="M588" s="35" t="s">
        <v>1152</v>
      </c>
      <c r="N588" s="35" t="s">
        <v>1299</v>
      </c>
      <c r="O588" s="68">
        <v>2024.06</v>
      </c>
      <c r="P588" s="70">
        <v>100715.35</v>
      </c>
    </row>
    <row r="589" spans="13:16" x14ac:dyDescent="0.15">
      <c r="M589" s="35" t="s">
        <v>1152</v>
      </c>
      <c r="N589" s="35" t="s">
        <v>1300</v>
      </c>
      <c r="O589" s="68">
        <v>2024.06</v>
      </c>
      <c r="P589" s="70">
        <v>85766.86</v>
      </c>
    </row>
    <row r="590" spans="13:16" x14ac:dyDescent="0.15">
      <c r="M590" s="35" t="s">
        <v>256</v>
      </c>
      <c r="N590" s="35" t="s">
        <v>1297</v>
      </c>
      <c r="O590" s="68">
        <v>2024.06</v>
      </c>
      <c r="P590" s="70">
        <v>371816.9</v>
      </c>
    </row>
    <row r="591" spans="13:16" x14ac:dyDescent="0.15">
      <c r="M591" s="35" t="s">
        <v>1147</v>
      </c>
      <c r="N591" s="35" t="s">
        <v>280</v>
      </c>
      <c r="O591" s="68">
        <v>2024.06</v>
      </c>
      <c r="P591" s="70">
        <v>9920.06</v>
      </c>
    </row>
    <row r="592" spans="13:16" x14ac:dyDescent="0.15">
      <c r="M592" s="35" t="s">
        <v>1147</v>
      </c>
      <c r="N592" s="35" t="s">
        <v>280</v>
      </c>
      <c r="O592" s="68">
        <v>2024.06</v>
      </c>
      <c r="P592" s="70">
        <v>1711.52</v>
      </c>
    </row>
    <row r="593" spans="13:16" x14ac:dyDescent="0.15">
      <c r="M593" s="35" t="s">
        <v>273</v>
      </c>
      <c r="N593" s="35" t="s">
        <v>288</v>
      </c>
      <c r="O593" s="68">
        <v>2024.14</v>
      </c>
      <c r="P593" s="70">
        <v>33655.440000000002</v>
      </c>
    </row>
    <row r="594" spans="13:16" x14ac:dyDescent="0.15">
      <c r="M594" s="35" t="s">
        <v>273</v>
      </c>
      <c r="N594" s="35" t="s">
        <v>1296</v>
      </c>
      <c r="O594" s="68">
        <v>2024.14</v>
      </c>
      <c r="P594" s="70">
        <v>46290.07</v>
      </c>
    </row>
    <row r="595" spans="13:16" x14ac:dyDescent="0.15">
      <c r="M595" s="35" t="s">
        <v>273</v>
      </c>
      <c r="N595" s="35" t="s">
        <v>280</v>
      </c>
      <c r="O595" s="68">
        <v>2024.14</v>
      </c>
      <c r="P595" s="70">
        <v>12848.26</v>
      </c>
    </row>
    <row r="596" spans="13:16" x14ac:dyDescent="0.15">
      <c r="M596" s="35" t="s">
        <v>273</v>
      </c>
      <c r="N596" s="35" t="s">
        <v>277</v>
      </c>
      <c r="O596" s="68">
        <v>2024.14</v>
      </c>
      <c r="P596" s="70">
        <v>166.2</v>
      </c>
    </row>
    <row r="597" spans="13:16" x14ac:dyDescent="0.15">
      <c r="M597" s="35" t="s">
        <v>273</v>
      </c>
      <c r="N597" s="35" t="s">
        <v>283</v>
      </c>
      <c r="O597" s="68">
        <v>2024.14</v>
      </c>
      <c r="P597" s="70">
        <v>3589.1</v>
      </c>
    </row>
    <row r="598" spans="13:16" x14ac:dyDescent="0.15">
      <c r="M598" s="35" t="s">
        <v>273</v>
      </c>
      <c r="N598" s="35" t="s">
        <v>1298</v>
      </c>
      <c r="O598" s="68">
        <v>2024.14</v>
      </c>
      <c r="P598" s="70">
        <v>4004.82</v>
      </c>
    </row>
    <row r="599" spans="13:16" x14ac:dyDescent="0.15">
      <c r="M599" s="35" t="s">
        <v>307</v>
      </c>
      <c r="N599" s="35" t="s">
        <v>280</v>
      </c>
      <c r="O599" s="68">
        <v>2024.14</v>
      </c>
      <c r="P599" s="70">
        <v>1464.8</v>
      </c>
    </row>
    <row r="600" spans="13:16" x14ac:dyDescent="0.15">
      <c r="M600" s="35" t="s">
        <v>307</v>
      </c>
      <c r="N600" s="35" t="s">
        <v>280</v>
      </c>
      <c r="O600" s="68">
        <v>2024.14</v>
      </c>
      <c r="P600" s="70">
        <v>15000</v>
      </c>
    </row>
    <row r="601" spans="13:16" x14ac:dyDescent="0.15">
      <c r="M601" s="35" t="s">
        <v>307</v>
      </c>
      <c r="N601" s="35" t="s">
        <v>281</v>
      </c>
      <c r="O601" s="68">
        <v>2024.14</v>
      </c>
      <c r="P601" s="70">
        <v>5319.73</v>
      </c>
    </row>
    <row r="602" spans="13:16" x14ac:dyDescent="0.15">
      <c r="M602" s="35" t="s">
        <v>307</v>
      </c>
      <c r="N602" s="35" t="s">
        <v>1297</v>
      </c>
      <c r="O602" s="68">
        <v>2024.14</v>
      </c>
      <c r="P602" s="70">
        <v>20.8</v>
      </c>
    </row>
    <row r="603" spans="13:16" x14ac:dyDescent="0.15">
      <c r="M603" s="35" t="s">
        <v>307</v>
      </c>
      <c r="N603" s="35" t="s">
        <v>1299</v>
      </c>
      <c r="O603" s="68">
        <v>2024.14</v>
      </c>
      <c r="P603" s="70">
        <v>26.23</v>
      </c>
    </row>
    <row r="604" spans="13:16" x14ac:dyDescent="0.15">
      <c r="M604" s="35" t="s">
        <v>309</v>
      </c>
      <c r="N604" s="35" t="s">
        <v>280</v>
      </c>
      <c r="O604" s="68">
        <v>2024.14</v>
      </c>
      <c r="P604" s="70">
        <v>11440.16</v>
      </c>
    </row>
    <row r="605" spans="13:16" x14ac:dyDescent="0.15">
      <c r="M605" s="35" t="s">
        <v>309</v>
      </c>
      <c r="N605" s="35" t="s">
        <v>280</v>
      </c>
      <c r="O605" s="68">
        <v>2024.14</v>
      </c>
      <c r="P605" s="70">
        <v>16200</v>
      </c>
    </row>
    <row r="606" spans="13:16" x14ac:dyDescent="0.15">
      <c r="M606" s="35" t="s">
        <v>309</v>
      </c>
      <c r="N606" s="35" t="s">
        <v>277</v>
      </c>
      <c r="O606" s="68">
        <v>2024.14</v>
      </c>
      <c r="P606" s="70">
        <v>24999.45</v>
      </c>
    </row>
    <row r="607" spans="13:16" x14ac:dyDescent="0.15">
      <c r="M607" s="35" t="s">
        <v>274</v>
      </c>
      <c r="N607" s="35" t="s">
        <v>274</v>
      </c>
      <c r="O607" s="68">
        <v>2024.14</v>
      </c>
      <c r="P607" s="70">
        <v>32127.040000000001</v>
      </c>
    </row>
    <row r="608" spans="13:16" x14ac:dyDescent="0.15">
      <c r="M608" s="35" t="s">
        <v>1136</v>
      </c>
      <c r="N608" s="35" t="s">
        <v>280</v>
      </c>
      <c r="O608" s="68">
        <v>2024.14</v>
      </c>
      <c r="P608" s="70">
        <v>114750</v>
      </c>
    </row>
    <row r="609" spans="13:16" x14ac:dyDescent="0.15">
      <c r="M609" s="35" t="s">
        <v>1136</v>
      </c>
      <c r="N609" s="35" t="s">
        <v>277</v>
      </c>
      <c r="O609" s="68">
        <v>2024.14</v>
      </c>
      <c r="P609" s="70">
        <v>115850</v>
      </c>
    </row>
    <row r="610" spans="13:16" x14ac:dyDescent="0.15">
      <c r="M610" s="35" t="s">
        <v>302</v>
      </c>
      <c r="N610" s="35" t="s">
        <v>283</v>
      </c>
      <c r="O610" s="68">
        <v>2024.14</v>
      </c>
      <c r="P610" s="70">
        <v>19800</v>
      </c>
    </row>
    <row r="611" spans="13:16" x14ac:dyDescent="0.15">
      <c r="M611" s="35" t="s">
        <v>302</v>
      </c>
      <c r="N611" s="35" t="s">
        <v>283</v>
      </c>
      <c r="O611" s="68">
        <v>2024.14</v>
      </c>
      <c r="P611" s="70">
        <v>32940</v>
      </c>
    </row>
    <row r="612" spans="13:16" x14ac:dyDescent="0.15">
      <c r="M612" s="35" t="s">
        <v>1149</v>
      </c>
      <c r="N612" s="35" t="s">
        <v>280</v>
      </c>
      <c r="O612" s="68">
        <v>2024.14</v>
      </c>
      <c r="P612" s="70">
        <v>140400</v>
      </c>
    </row>
    <row r="613" spans="13:16" x14ac:dyDescent="0.15">
      <c r="M613" s="35" t="s">
        <v>1149</v>
      </c>
      <c r="N613" s="35" t="s">
        <v>277</v>
      </c>
      <c r="O613" s="68">
        <v>2024.14</v>
      </c>
      <c r="P613" s="70">
        <v>118800</v>
      </c>
    </row>
    <row r="614" spans="13:16" x14ac:dyDescent="0.15">
      <c r="M614" s="35" t="s">
        <v>1153</v>
      </c>
      <c r="N614" s="35" t="s">
        <v>1297</v>
      </c>
      <c r="O614" s="68">
        <v>2024.14</v>
      </c>
      <c r="P614" s="70">
        <v>477996</v>
      </c>
    </row>
    <row r="615" spans="13:16" x14ac:dyDescent="0.15">
      <c r="M615" s="35" t="s">
        <v>1150</v>
      </c>
      <c r="N615" s="35" t="s">
        <v>1132</v>
      </c>
      <c r="O615" s="68">
        <v>2024.14</v>
      </c>
      <c r="P615" s="70">
        <v>153395.57</v>
      </c>
    </row>
    <row r="616" spans="13:16" x14ac:dyDescent="0.15">
      <c r="M616" s="35" t="s">
        <v>1150</v>
      </c>
      <c r="N616" s="35" t="s">
        <v>1132</v>
      </c>
      <c r="O616" s="68">
        <v>2024.14</v>
      </c>
      <c r="P616" s="70">
        <v>26664</v>
      </c>
    </row>
    <row r="617" spans="13:16" x14ac:dyDescent="0.15">
      <c r="M617" s="35" t="s">
        <v>1150</v>
      </c>
      <c r="N617" s="35" t="s">
        <v>282</v>
      </c>
      <c r="O617" s="68">
        <v>2024.14</v>
      </c>
      <c r="P617" s="70">
        <v>25</v>
      </c>
    </row>
    <row r="618" spans="13:16" x14ac:dyDescent="0.15">
      <c r="M618" s="35" t="s">
        <v>1150</v>
      </c>
      <c r="N618" s="35" t="s">
        <v>1299</v>
      </c>
      <c r="O618" s="68">
        <v>2024.14</v>
      </c>
      <c r="P618" s="70">
        <v>59.88</v>
      </c>
    </row>
    <row r="619" spans="13:16" x14ac:dyDescent="0.15">
      <c r="M619" s="35" t="s">
        <v>1138</v>
      </c>
      <c r="N619" s="35" t="s">
        <v>1132</v>
      </c>
      <c r="O619" s="68">
        <v>2024.14</v>
      </c>
      <c r="P619" s="70">
        <v>5215.9799999999996</v>
      </c>
    </row>
    <row r="620" spans="13:16" x14ac:dyDescent="0.15">
      <c r="M620" s="35" t="s">
        <v>1138</v>
      </c>
      <c r="N620" s="35" t="s">
        <v>1132</v>
      </c>
      <c r="O620" s="68">
        <v>2024.14</v>
      </c>
      <c r="P620" s="70">
        <v>3694.55</v>
      </c>
    </row>
    <row r="621" spans="13:16" x14ac:dyDescent="0.15">
      <c r="M621" s="35" t="s">
        <v>262</v>
      </c>
      <c r="N621" s="35" t="s">
        <v>283</v>
      </c>
      <c r="O621" s="68">
        <v>2024.14</v>
      </c>
      <c r="P621" s="70">
        <v>5989.79</v>
      </c>
    </row>
    <row r="622" spans="13:16" x14ac:dyDescent="0.15">
      <c r="M622" s="35" t="s">
        <v>262</v>
      </c>
      <c r="N622" s="35" t="s">
        <v>1297</v>
      </c>
      <c r="O622" s="68">
        <v>2024.14</v>
      </c>
      <c r="P622" s="70">
        <v>2546.25</v>
      </c>
    </row>
    <row r="623" spans="13:16" x14ac:dyDescent="0.15">
      <c r="M623" s="35" t="s">
        <v>275</v>
      </c>
      <c r="N623" s="35" t="s">
        <v>1297</v>
      </c>
      <c r="O623" s="68">
        <v>2024.14</v>
      </c>
      <c r="P623" s="70">
        <v>7012.29</v>
      </c>
    </row>
    <row r="624" spans="13:16" x14ac:dyDescent="0.15">
      <c r="M624" s="35" t="s">
        <v>275</v>
      </c>
      <c r="N624" s="35" t="s">
        <v>1297</v>
      </c>
      <c r="O624" s="68">
        <v>2024.14</v>
      </c>
      <c r="P624" s="70">
        <v>100.56</v>
      </c>
    </row>
    <row r="625" spans="13:16" x14ac:dyDescent="0.15">
      <c r="M625" s="35" t="s">
        <v>275</v>
      </c>
      <c r="N625" s="35" t="s">
        <v>284</v>
      </c>
      <c r="O625" s="68">
        <v>2024.14</v>
      </c>
      <c r="P625" s="70">
        <v>717.66</v>
      </c>
    </row>
    <row r="626" spans="13:16" x14ac:dyDescent="0.15">
      <c r="M626" s="35" t="s">
        <v>275</v>
      </c>
      <c r="N626" s="35" t="s">
        <v>284</v>
      </c>
      <c r="O626" s="68">
        <v>2024.14</v>
      </c>
      <c r="P626" s="70">
        <v>20693.55</v>
      </c>
    </row>
    <row r="627" spans="13:16" x14ac:dyDescent="0.15">
      <c r="M627" s="35" t="s">
        <v>275</v>
      </c>
      <c r="N627" s="35" t="s">
        <v>1299</v>
      </c>
      <c r="O627" s="68">
        <v>2024.14</v>
      </c>
      <c r="P627" s="70">
        <v>90090.880000000005</v>
      </c>
    </row>
    <row r="628" spans="13:16" x14ac:dyDescent="0.15">
      <c r="M628" s="35" t="s">
        <v>276</v>
      </c>
      <c r="N628" s="35" t="s">
        <v>1297</v>
      </c>
      <c r="O628" s="68">
        <v>2024.14</v>
      </c>
      <c r="P628" s="70">
        <v>848.98</v>
      </c>
    </row>
    <row r="629" spans="13:16" x14ac:dyDescent="0.15">
      <c r="M629" s="35" t="s">
        <v>276</v>
      </c>
      <c r="N629" s="35" t="s">
        <v>1297</v>
      </c>
      <c r="O629" s="68">
        <v>2024.14</v>
      </c>
      <c r="P629" s="70">
        <v>27605.45</v>
      </c>
    </row>
    <row r="630" spans="13:16" x14ac:dyDescent="0.15">
      <c r="M630" s="35" t="s">
        <v>276</v>
      </c>
      <c r="N630" s="35" t="s">
        <v>282</v>
      </c>
      <c r="O630" s="68">
        <v>2024.14</v>
      </c>
      <c r="P630" s="70">
        <v>7001</v>
      </c>
    </row>
    <row r="631" spans="13:16" x14ac:dyDescent="0.15">
      <c r="M631" s="35" t="s">
        <v>276</v>
      </c>
      <c r="N631" s="35" t="s">
        <v>282</v>
      </c>
      <c r="O631" s="68">
        <v>2024.14</v>
      </c>
      <c r="P631" s="70">
        <v>78300</v>
      </c>
    </row>
    <row r="632" spans="13:16" x14ac:dyDescent="0.15">
      <c r="M632" s="35" t="s">
        <v>276</v>
      </c>
      <c r="N632" s="35" t="s">
        <v>282</v>
      </c>
      <c r="O632" s="68">
        <v>2024.14</v>
      </c>
      <c r="P632" s="70">
        <v>258996.05</v>
      </c>
    </row>
    <row r="633" spans="13:16" x14ac:dyDescent="0.15">
      <c r="M633" s="35" t="s">
        <v>276</v>
      </c>
      <c r="N633" s="35" t="s">
        <v>1299</v>
      </c>
      <c r="O633" s="68">
        <v>2024.14</v>
      </c>
      <c r="P633" s="70">
        <v>32208</v>
      </c>
    </row>
    <row r="634" spans="13:16" x14ac:dyDescent="0.15">
      <c r="M634" s="35" t="s">
        <v>1146</v>
      </c>
      <c r="N634" s="35" t="s">
        <v>1297</v>
      </c>
      <c r="O634" s="68">
        <v>2024.14</v>
      </c>
      <c r="P634" s="70">
        <v>4.6399999999999997</v>
      </c>
    </row>
    <row r="635" spans="13:16" x14ac:dyDescent="0.15">
      <c r="M635" s="35" t="s">
        <v>1146</v>
      </c>
      <c r="N635" s="35" t="s">
        <v>1297</v>
      </c>
      <c r="O635" s="68">
        <v>2024.14</v>
      </c>
      <c r="P635" s="70">
        <v>105.32</v>
      </c>
    </row>
    <row r="636" spans="13:16" x14ac:dyDescent="0.15">
      <c r="M636" s="35" t="s">
        <v>1146</v>
      </c>
      <c r="N636" s="35" t="s">
        <v>1297</v>
      </c>
      <c r="O636" s="68">
        <v>2024.14</v>
      </c>
      <c r="P636" s="70">
        <v>118000</v>
      </c>
    </row>
    <row r="637" spans="13:16" x14ac:dyDescent="0.15">
      <c r="M637" s="35" t="s">
        <v>1146</v>
      </c>
      <c r="N637" s="35" t="s">
        <v>1297</v>
      </c>
      <c r="O637" s="68">
        <v>2024.14</v>
      </c>
      <c r="P637" s="70">
        <v>3911.91</v>
      </c>
    </row>
    <row r="638" spans="13:16" x14ac:dyDescent="0.15">
      <c r="M638" s="35" t="s">
        <v>1146</v>
      </c>
      <c r="N638" s="35" t="s">
        <v>283</v>
      </c>
      <c r="O638" s="68">
        <v>2024.14</v>
      </c>
      <c r="P638" s="70">
        <v>6855.31</v>
      </c>
    </row>
    <row r="639" spans="13:16" x14ac:dyDescent="0.15">
      <c r="M639" s="35" t="s">
        <v>1146</v>
      </c>
      <c r="N639" s="35" t="s">
        <v>283</v>
      </c>
      <c r="O639" s="68">
        <v>2024.14</v>
      </c>
      <c r="P639" s="70">
        <v>89100</v>
      </c>
    </row>
    <row r="640" spans="13:16" x14ac:dyDescent="0.15">
      <c r="M640" s="35" t="s">
        <v>1146</v>
      </c>
      <c r="N640" s="35" t="s">
        <v>1298</v>
      </c>
      <c r="O640" s="68">
        <v>2024.14</v>
      </c>
      <c r="P640" s="70">
        <v>358.83</v>
      </c>
    </row>
    <row r="641" spans="13:16" x14ac:dyDescent="0.15">
      <c r="M641" s="35" t="s">
        <v>1146</v>
      </c>
      <c r="N641" s="35" t="s">
        <v>1298</v>
      </c>
      <c r="O641" s="68">
        <v>2024.14</v>
      </c>
      <c r="P641" s="70">
        <v>109451.95</v>
      </c>
    </row>
    <row r="642" spans="13:16" x14ac:dyDescent="0.15">
      <c r="M642" s="35" t="s">
        <v>1146</v>
      </c>
      <c r="N642" s="35" t="s">
        <v>282</v>
      </c>
      <c r="O642" s="68">
        <v>2024.14</v>
      </c>
      <c r="P642" s="70">
        <v>208.33</v>
      </c>
    </row>
    <row r="643" spans="13:16" x14ac:dyDescent="0.15">
      <c r="M643" s="35" t="s">
        <v>1146</v>
      </c>
      <c r="N643" s="35" t="s">
        <v>1299</v>
      </c>
      <c r="O643" s="68">
        <v>2024.14</v>
      </c>
      <c r="P643" s="70">
        <v>99931.76</v>
      </c>
    </row>
    <row r="644" spans="13:16" x14ac:dyDescent="0.15">
      <c r="M644" s="35" t="s">
        <v>1146</v>
      </c>
      <c r="N644" s="35" t="s">
        <v>1300</v>
      </c>
      <c r="O644" s="68">
        <v>2024.14</v>
      </c>
      <c r="P644" s="70">
        <v>496.52</v>
      </c>
    </row>
    <row r="645" spans="13:16" x14ac:dyDescent="0.15">
      <c r="M645" s="35" t="s">
        <v>1151</v>
      </c>
      <c r="N645" s="35" t="s">
        <v>282</v>
      </c>
      <c r="O645" s="68">
        <v>2024.14</v>
      </c>
      <c r="P645" s="70">
        <v>412.5</v>
      </c>
    </row>
    <row r="646" spans="13:16" x14ac:dyDescent="0.15">
      <c r="M646" s="35" t="s">
        <v>1151</v>
      </c>
      <c r="N646" s="35" t="s">
        <v>282</v>
      </c>
      <c r="O646" s="68">
        <v>2024.14</v>
      </c>
      <c r="P646" s="70">
        <v>352361.8</v>
      </c>
    </row>
    <row r="647" spans="13:16" x14ac:dyDescent="0.15">
      <c r="M647" s="35" t="s">
        <v>1151</v>
      </c>
      <c r="N647" s="35" t="s">
        <v>283</v>
      </c>
      <c r="O647" s="68">
        <v>2024.14</v>
      </c>
      <c r="P647" s="70">
        <v>1521.16</v>
      </c>
    </row>
    <row r="648" spans="13:16" x14ac:dyDescent="0.15">
      <c r="M648" s="35" t="s">
        <v>1151</v>
      </c>
      <c r="N648" s="35" t="s">
        <v>278</v>
      </c>
      <c r="O648" s="68">
        <v>2024.14</v>
      </c>
      <c r="P648" s="70">
        <v>4682.97</v>
      </c>
    </row>
    <row r="649" spans="13:16" x14ac:dyDescent="0.15">
      <c r="M649" s="35" t="s">
        <v>1151</v>
      </c>
      <c r="N649" s="35" t="s">
        <v>1297</v>
      </c>
      <c r="O649" s="68">
        <v>2024.14</v>
      </c>
      <c r="P649" s="70">
        <v>94308.09</v>
      </c>
    </row>
    <row r="650" spans="13:16" x14ac:dyDescent="0.15">
      <c r="M650" s="35" t="s">
        <v>1152</v>
      </c>
      <c r="N650" s="35" t="s">
        <v>1297</v>
      </c>
      <c r="O650" s="68">
        <v>2024.14</v>
      </c>
      <c r="P650" s="70">
        <v>667.84</v>
      </c>
    </row>
    <row r="651" spans="13:16" x14ac:dyDescent="0.15">
      <c r="M651" s="35" t="s">
        <v>1152</v>
      </c>
      <c r="N651" s="35" t="s">
        <v>1297</v>
      </c>
      <c r="O651" s="68">
        <v>2024.14</v>
      </c>
      <c r="P651" s="70">
        <v>8070.74</v>
      </c>
    </row>
    <row r="652" spans="13:16" x14ac:dyDescent="0.15">
      <c r="M652" s="35" t="s">
        <v>1152</v>
      </c>
      <c r="N652" s="35" t="s">
        <v>282</v>
      </c>
      <c r="O652" s="68">
        <v>2024.14</v>
      </c>
      <c r="P652" s="70">
        <v>2135</v>
      </c>
    </row>
    <row r="653" spans="13:16" x14ac:dyDescent="0.15">
      <c r="M653" s="35" t="s">
        <v>1152</v>
      </c>
      <c r="N653" s="35" t="s">
        <v>1298</v>
      </c>
      <c r="O653" s="68">
        <v>2024.14</v>
      </c>
      <c r="P653" s="70">
        <v>52355</v>
      </c>
    </row>
    <row r="654" spans="13:16" x14ac:dyDescent="0.15">
      <c r="M654" s="35" t="s">
        <v>1152</v>
      </c>
      <c r="N654" s="35" t="s">
        <v>1299</v>
      </c>
      <c r="O654" s="68">
        <v>2024.14</v>
      </c>
      <c r="P654" s="70">
        <v>106038.8</v>
      </c>
    </row>
    <row r="655" spans="13:16" x14ac:dyDescent="0.15">
      <c r="M655" s="35" t="s">
        <v>1152</v>
      </c>
      <c r="N655" s="35" t="s">
        <v>1300</v>
      </c>
      <c r="O655" s="68">
        <v>2024.14</v>
      </c>
      <c r="P655" s="70">
        <v>91826.6</v>
      </c>
    </row>
    <row r="656" spans="13:16" x14ac:dyDescent="0.15">
      <c r="M656" s="35" t="s">
        <v>256</v>
      </c>
      <c r="N656" s="35" t="s">
        <v>1297</v>
      </c>
      <c r="O656" s="68">
        <v>2024.14</v>
      </c>
      <c r="P656" s="70">
        <v>308993.90000000002</v>
      </c>
    </row>
    <row r="657" spans="13:16" x14ac:dyDescent="0.15">
      <c r="M657" s="35" t="s">
        <v>1147</v>
      </c>
      <c r="N657" s="35" t="s">
        <v>280</v>
      </c>
      <c r="O657" s="68">
        <v>2024.14</v>
      </c>
      <c r="P657" s="70">
        <v>9920.06</v>
      </c>
    </row>
    <row r="658" spans="13:16" x14ac:dyDescent="0.15">
      <c r="M658" s="35" t="s">
        <v>1147</v>
      </c>
      <c r="N658" s="35" t="s">
        <v>280</v>
      </c>
      <c r="O658" s="68">
        <v>2024.14</v>
      </c>
      <c r="P658" s="70">
        <v>3693.28</v>
      </c>
    </row>
    <row r="659" spans="13:16" x14ac:dyDescent="0.15">
      <c r="M659" s="35" t="s">
        <v>1137</v>
      </c>
      <c r="N659" s="35" t="s">
        <v>278</v>
      </c>
      <c r="O659" s="68">
        <v>2024.14</v>
      </c>
      <c r="P659" s="70">
        <v>78.55</v>
      </c>
    </row>
    <row r="660" spans="13:16" x14ac:dyDescent="0.15">
      <c r="M660" s="35" t="s">
        <v>273</v>
      </c>
      <c r="N660" s="35" t="s">
        <v>288</v>
      </c>
      <c r="O660" s="68">
        <v>2024.49</v>
      </c>
      <c r="P660" s="70">
        <v>57968.4</v>
      </c>
    </row>
    <row r="661" spans="13:16" x14ac:dyDescent="0.15">
      <c r="M661" s="35" t="s">
        <v>273</v>
      </c>
      <c r="N661" s="35" t="s">
        <v>1296</v>
      </c>
      <c r="O661" s="68">
        <v>2024.49</v>
      </c>
      <c r="P661" s="70">
        <v>89422.18</v>
      </c>
    </row>
    <row r="662" spans="13:16" x14ac:dyDescent="0.15">
      <c r="M662" s="35" t="s">
        <v>273</v>
      </c>
      <c r="N662" s="35" t="s">
        <v>280</v>
      </c>
      <c r="O662" s="68">
        <v>2024.49</v>
      </c>
      <c r="P662" s="70">
        <v>22735.66</v>
      </c>
    </row>
    <row r="663" spans="13:16" x14ac:dyDescent="0.15">
      <c r="M663" s="35" t="s">
        <v>273</v>
      </c>
      <c r="N663" s="35" t="s">
        <v>277</v>
      </c>
      <c r="O663" s="68">
        <v>2024.49</v>
      </c>
      <c r="P663" s="70">
        <v>166.2</v>
      </c>
    </row>
    <row r="664" spans="13:16" x14ac:dyDescent="0.15">
      <c r="M664" s="35" t="s">
        <v>273</v>
      </c>
      <c r="N664" s="35" t="s">
        <v>283</v>
      </c>
      <c r="O664" s="68">
        <v>2024.49</v>
      </c>
      <c r="P664" s="70">
        <v>6127.3</v>
      </c>
    </row>
    <row r="665" spans="13:16" x14ac:dyDescent="0.15">
      <c r="M665" s="35" t="s">
        <v>273</v>
      </c>
      <c r="N665" s="35" t="s">
        <v>1298</v>
      </c>
      <c r="O665" s="68">
        <v>2024.49</v>
      </c>
      <c r="P665" s="70">
        <v>13950.24</v>
      </c>
    </row>
    <row r="666" spans="13:16" x14ac:dyDescent="0.15">
      <c r="M666" s="35" t="s">
        <v>307</v>
      </c>
      <c r="N666" s="35" t="s">
        <v>280</v>
      </c>
      <c r="O666" s="68">
        <v>2024.49</v>
      </c>
      <c r="P666" s="70">
        <v>8825.42</v>
      </c>
    </row>
    <row r="667" spans="13:16" x14ac:dyDescent="0.15">
      <c r="M667" s="35" t="s">
        <v>307</v>
      </c>
      <c r="N667" s="35" t="s">
        <v>280</v>
      </c>
      <c r="O667" s="68">
        <v>2024.49</v>
      </c>
      <c r="P667" s="70">
        <v>15000</v>
      </c>
    </row>
    <row r="668" spans="13:16" x14ac:dyDescent="0.15">
      <c r="M668" s="35" t="s">
        <v>307</v>
      </c>
      <c r="N668" s="35" t="s">
        <v>281</v>
      </c>
      <c r="O668" s="68">
        <v>2024.49</v>
      </c>
      <c r="P668" s="70">
        <v>10611.33</v>
      </c>
    </row>
    <row r="669" spans="13:16" x14ac:dyDescent="0.15">
      <c r="M669" s="35" t="s">
        <v>307</v>
      </c>
      <c r="N669" s="35" t="s">
        <v>1297</v>
      </c>
      <c r="O669" s="68">
        <v>2024.49</v>
      </c>
      <c r="P669" s="70">
        <v>20.8</v>
      </c>
    </row>
    <row r="670" spans="13:16" x14ac:dyDescent="0.15">
      <c r="M670" s="35" t="s">
        <v>307</v>
      </c>
      <c r="N670" s="35" t="s">
        <v>1299</v>
      </c>
      <c r="O670" s="68">
        <v>2024.49</v>
      </c>
      <c r="P670" s="70">
        <v>26.23</v>
      </c>
    </row>
    <row r="671" spans="13:16" x14ac:dyDescent="0.15">
      <c r="M671" s="35" t="s">
        <v>309</v>
      </c>
      <c r="N671" s="35" t="s">
        <v>280</v>
      </c>
      <c r="O671" s="68">
        <v>2024.49</v>
      </c>
      <c r="P671" s="70">
        <v>12758.48</v>
      </c>
    </row>
    <row r="672" spans="13:16" x14ac:dyDescent="0.15">
      <c r="M672" s="35" t="s">
        <v>309</v>
      </c>
      <c r="N672" s="35" t="s">
        <v>277</v>
      </c>
      <c r="O672" s="68">
        <v>2024.49</v>
      </c>
      <c r="P672" s="70">
        <v>47426.8</v>
      </c>
    </row>
    <row r="673" spans="13:16" x14ac:dyDescent="0.15">
      <c r="M673" s="35" t="s">
        <v>274</v>
      </c>
      <c r="N673" s="35" t="s">
        <v>274</v>
      </c>
      <c r="O673" s="68">
        <v>2024.49</v>
      </c>
      <c r="P673" s="70">
        <v>44967.19</v>
      </c>
    </row>
    <row r="674" spans="13:16" x14ac:dyDescent="0.15">
      <c r="M674" s="35" t="s">
        <v>1136</v>
      </c>
      <c r="N674" s="35" t="s">
        <v>280</v>
      </c>
      <c r="O674" s="68">
        <v>2024.49</v>
      </c>
      <c r="P674" s="70">
        <v>5273.28</v>
      </c>
    </row>
    <row r="675" spans="13:16" x14ac:dyDescent="0.15">
      <c r="M675" s="35" t="s">
        <v>1136</v>
      </c>
      <c r="N675" s="35" t="s">
        <v>280</v>
      </c>
      <c r="O675" s="68">
        <v>2024.49</v>
      </c>
      <c r="P675" s="70">
        <v>18000</v>
      </c>
    </row>
    <row r="676" spans="13:16" x14ac:dyDescent="0.15">
      <c r="M676" s="35" t="s">
        <v>1136</v>
      </c>
      <c r="N676" s="35" t="s">
        <v>277</v>
      </c>
      <c r="O676" s="68">
        <v>2024.49</v>
      </c>
      <c r="P676" s="70">
        <v>14287.19</v>
      </c>
    </row>
    <row r="677" spans="13:16" x14ac:dyDescent="0.15">
      <c r="M677" s="35" t="s">
        <v>1136</v>
      </c>
      <c r="N677" s="35" t="s">
        <v>283</v>
      </c>
      <c r="O677" s="68">
        <v>2024.49</v>
      </c>
      <c r="P677" s="70">
        <v>10461.5</v>
      </c>
    </row>
    <row r="678" spans="13:16" x14ac:dyDescent="0.15">
      <c r="M678" s="35" t="s">
        <v>1136</v>
      </c>
      <c r="N678" s="35" t="s">
        <v>282</v>
      </c>
      <c r="O678" s="68">
        <v>2024.49</v>
      </c>
      <c r="P678" s="70">
        <v>856.25</v>
      </c>
    </row>
    <row r="679" spans="13:16" x14ac:dyDescent="0.15">
      <c r="M679" s="35" t="s">
        <v>302</v>
      </c>
      <c r="N679" s="35" t="s">
        <v>283</v>
      </c>
      <c r="O679" s="68">
        <v>2024.49</v>
      </c>
      <c r="P679" s="70">
        <v>3960</v>
      </c>
    </row>
    <row r="680" spans="13:16" x14ac:dyDescent="0.15">
      <c r="M680" s="35" t="s">
        <v>302</v>
      </c>
      <c r="N680" s="35" t="s">
        <v>283</v>
      </c>
      <c r="O680" s="68">
        <v>2024.49</v>
      </c>
      <c r="P680" s="70">
        <v>6588</v>
      </c>
    </row>
    <row r="681" spans="13:16" x14ac:dyDescent="0.15">
      <c r="M681" s="35" t="s">
        <v>302</v>
      </c>
      <c r="N681" s="35" t="s">
        <v>1298</v>
      </c>
      <c r="O681" s="68">
        <v>2024.49</v>
      </c>
      <c r="P681" s="70">
        <v>1985.44</v>
      </c>
    </row>
    <row r="682" spans="13:16" x14ac:dyDescent="0.15">
      <c r="M682" s="35" t="s">
        <v>1149</v>
      </c>
      <c r="N682" s="35" t="s">
        <v>277</v>
      </c>
      <c r="O682" s="68">
        <v>2024.49</v>
      </c>
      <c r="P682" s="70">
        <v>575.74</v>
      </c>
    </row>
    <row r="683" spans="13:16" x14ac:dyDescent="0.15">
      <c r="M683" s="35" t="s">
        <v>1149</v>
      </c>
      <c r="N683" s="35" t="s">
        <v>1298</v>
      </c>
      <c r="O683" s="68">
        <v>2024.49</v>
      </c>
      <c r="P683" s="70">
        <v>437.16</v>
      </c>
    </row>
    <row r="684" spans="13:16" x14ac:dyDescent="0.15">
      <c r="M684" s="35" t="s">
        <v>1149</v>
      </c>
      <c r="N684" s="35" t="s">
        <v>1298</v>
      </c>
      <c r="O684" s="68">
        <v>2024.49</v>
      </c>
      <c r="P684" s="70">
        <v>10394.799999999999</v>
      </c>
    </row>
    <row r="685" spans="13:16" x14ac:dyDescent="0.15">
      <c r="M685" s="35" t="s">
        <v>1153</v>
      </c>
      <c r="N685" s="35" t="s">
        <v>1297</v>
      </c>
      <c r="O685" s="68">
        <v>2024.49</v>
      </c>
      <c r="P685" s="70">
        <v>477996</v>
      </c>
    </row>
    <row r="686" spans="13:16" x14ac:dyDescent="0.15">
      <c r="M686" s="35" t="s">
        <v>1153</v>
      </c>
      <c r="N686" s="35" t="s">
        <v>1297</v>
      </c>
      <c r="O686" s="68">
        <v>2024.49</v>
      </c>
      <c r="P686" s="70">
        <v>21108.92</v>
      </c>
    </row>
    <row r="687" spans="13:16" x14ac:dyDescent="0.15">
      <c r="M687" s="35" t="s">
        <v>1150</v>
      </c>
      <c r="N687" s="35" t="s">
        <v>1132</v>
      </c>
      <c r="O687" s="68">
        <v>2024.49</v>
      </c>
      <c r="P687" s="70">
        <v>201099.42</v>
      </c>
    </row>
    <row r="688" spans="13:16" x14ac:dyDescent="0.15">
      <c r="M688" s="35" t="s">
        <v>1150</v>
      </c>
      <c r="N688" s="35" t="s">
        <v>1132</v>
      </c>
      <c r="O688" s="68">
        <v>2024.49</v>
      </c>
      <c r="P688" s="70">
        <v>29023.5</v>
      </c>
    </row>
    <row r="689" spans="13:16" x14ac:dyDescent="0.15">
      <c r="M689" s="35" t="s">
        <v>1150</v>
      </c>
      <c r="N689" s="35" t="s">
        <v>282</v>
      </c>
      <c r="O689" s="68">
        <v>2024.49</v>
      </c>
      <c r="P689" s="70">
        <v>25</v>
      </c>
    </row>
    <row r="690" spans="13:16" x14ac:dyDescent="0.15">
      <c r="M690" s="35" t="s">
        <v>1150</v>
      </c>
      <c r="N690" s="35" t="s">
        <v>1299</v>
      </c>
      <c r="O690" s="68">
        <v>2024.49</v>
      </c>
      <c r="P690" s="70">
        <v>86.78</v>
      </c>
    </row>
    <row r="691" spans="13:16" x14ac:dyDescent="0.15">
      <c r="M691" s="35" t="s">
        <v>1138</v>
      </c>
      <c r="N691" s="35" t="s">
        <v>1132</v>
      </c>
      <c r="O691" s="68">
        <v>2024.49</v>
      </c>
      <c r="P691" s="70">
        <v>8523.6200000000008</v>
      </c>
    </row>
    <row r="692" spans="13:16" x14ac:dyDescent="0.15">
      <c r="M692" s="35" t="s">
        <v>1138</v>
      </c>
      <c r="N692" s="35" t="s">
        <v>1132</v>
      </c>
      <c r="O692" s="68">
        <v>2024.49</v>
      </c>
      <c r="P692" s="70">
        <v>3694.55</v>
      </c>
    </row>
    <row r="693" spans="13:16" x14ac:dyDescent="0.15">
      <c r="M693" s="35" t="s">
        <v>262</v>
      </c>
      <c r="N693" s="35" t="s">
        <v>1297</v>
      </c>
      <c r="O693" s="68">
        <v>2024.49</v>
      </c>
      <c r="P693" s="70">
        <v>277.61</v>
      </c>
    </row>
    <row r="694" spans="13:16" x14ac:dyDescent="0.15">
      <c r="M694" s="35" t="s">
        <v>262</v>
      </c>
      <c r="N694" s="35" t="s">
        <v>1297</v>
      </c>
      <c r="O694" s="68">
        <v>2024.49</v>
      </c>
      <c r="P694" s="70">
        <v>2930.33</v>
      </c>
    </row>
    <row r="695" spans="13:16" x14ac:dyDescent="0.15">
      <c r="M695" s="35" t="s">
        <v>262</v>
      </c>
      <c r="N695" s="35" t="s">
        <v>283</v>
      </c>
      <c r="O695" s="68">
        <v>2024.49</v>
      </c>
      <c r="P695" s="70">
        <v>15045.08</v>
      </c>
    </row>
    <row r="696" spans="13:16" x14ac:dyDescent="0.15">
      <c r="M696" s="35" t="s">
        <v>262</v>
      </c>
      <c r="N696" s="35" t="s">
        <v>1300</v>
      </c>
      <c r="O696" s="68">
        <v>2024.49</v>
      </c>
      <c r="P696" s="70">
        <v>141.6</v>
      </c>
    </row>
    <row r="697" spans="13:16" x14ac:dyDescent="0.15">
      <c r="M697" s="35" t="s">
        <v>275</v>
      </c>
      <c r="N697" s="35" t="s">
        <v>1297</v>
      </c>
      <c r="O697" s="68">
        <v>2024.49</v>
      </c>
      <c r="P697" s="70">
        <v>7012.29</v>
      </c>
    </row>
    <row r="698" spans="13:16" x14ac:dyDescent="0.15">
      <c r="M698" s="35" t="s">
        <v>275</v>
      </c>
      <c r="N698" s="35" t="s">
        <v>1297</v>
      </c>
      <c r="O698" s="68">
        <v>2024.49</v>
      </c>
      <c r="P698" s="70">
        <v>177.18</v>
      </c>
    </row>
    <row r="699" spans="13:16" x14ac:dyDescent="0.15">
      <c r="M699" s="35" t="s">
        <v>275</v>
      </c>
      <c r="N699" s="35" t="s">
        <v>284</v>
      </c>
      <c r="O699" s="68">
        <v>2024.49</v>
      </c>
      <c r="P699" s="70">
        <v>4251.37</v>
      </c>
    </row>
    <row r="700" spans="13:16" x14ac:dyDescent="0.15">
      <c r="M700" s="35" t="s">
        <v>275</v>
      </c>
      <c r="N700" s="35" t="s">
        <v>284</v>
      </c>
      <c r="O700" s="68">
        <v>2024.49</v>
      </c>
      <c r="P700" s="70">
        <v>20693.560000000001</v>
      </c>
    </row>
    <row r="701" spans="13:16" x14ac:dyDescent="0.15">
      <c r="M701" s="35" t="s">
        <v>275</v>
      </c>
      <c r="N701" s="35" t="s">
        <v>1299</v>
      </c>
      <c r="O701" s="68">
        <v>2024.49</v>
      </c>
      <c r="P701" s="70">
        <v>96480.46</v>
      </c>
    </row>
    <row r="702" spans="13:16" x14ac:dyDescent="0.15">
      <c r="M702" s="35" t="s">
        <v>276</v>
      </c>
      <c r="N702" s="35" t="s">
        <v>1297</v>
      </c>
      <c r="O702" s="68">
        <v>2024.49</v>
      </c>
      <c r="P702" s="70">
        <v>874.96</v>
      </c>
    </row>
    <row r="703" spans="13:16" x14ac:dyDescent="0.15">
      <c r="M703" s="35" t="s">
        <v>276</v>
      </c>
      <c r="N703" s="35" t="s">
        <v>1297</v>
      </c>
      <c r="O703" s="68">
        <v>2024.49</v>
      </c>
      <c r="P703" s="70">
        <v>32584.58</v>
      </c>
    </row>
    <row r="704" spans="13:16" x14ac:dyDescent="0.15">
      <c r="M704" s="35" t="s">
        <v>276</v>
      </c>
      <c r="N704" s="35" t="s">
        <v>282</v>
      </c>
      <c r="O704" s="68">
        <v>2024.49</v>
      </c>
      <c r="P704" s="70">
        <v>16706.5</v>
      </c>
    </row>
    <row r="705" spans="13:16" x14ac:dyDescent="0.15">
      <c r="M705" s="35" t="s">
        <v>276</v>
      </c>
      <c r="N705" s="35" t="s">
        <v>282</v>
      </c>
      <c r="O705" s="68">
        <v>2024.49</v>
      </c>
      <c r="P705" s="70">
        <v>78300</v>
      </c>
    </row>
    <row r="706" spans="13:16" x14ac:dyDescent="0.15">
      <c r="M706" s="35" t="s">
        <v>276</v>
      </c>
      <c r="N706" s="35" t="s">
        <v>282</v>
      </c>
      <c r="O706" s="68">
        <v>2024.49</v>
      </c>
      <c r="P706" s="70">
        <v>320232.05</v>
      </c>
    </row>
    <row r="707" spans="13:16" x14ac:dyDescent="0.15">
      <c r="M707" s="35" t="s">
        <v>276</v>
      </c>
      <c r="N707" s="35" t="s">
        <v>1299</v>
      </c>
      <c r="O707" s="68">
        <v>2024.49</v>
      </c>
      <c r="P707" s="70">
        <v>36132.57</v>
      </c>
    </row>
    <row r="708" spans="13:16" x14ac:dyDescent="0.15">
      <c r="M708" s="35" t="s">
        <v>276</v>
      </c>
      <c r="N708" s="35" t="s">
        <v>1300</v>
      </c>
      <c r="O708" s="68">
        <v>2024.49</v>
      </c>
      <c r="P708" s="70">
        <v>201.29</v>
      </c>
    </row>
    <row r="709" spans="13:16" x14ac:dyDescent="0.15">
      <c r="M709" s="35" t="s">
        <v>1146</v>
      </c>
      <c r="N709" s="35" t="s">
        <v>1297</v>
      </c>
      <c r="O709" s="68">
        <v>2024.49</v>
      </c>
      <c r="P709" s="70">
        <v>31.88</v>
      </c>
    </row>
    <row r="710" spans="13:16" x14ac:dyDescent="0.15">
      <c r="M710" s="35" t="s">
        <v>1146</v>
      </c>
      <c r="N710" s="35" t="s">
        <v>1297</v>
      </c>
      <c r="O710" s="68">
        <v>2024.49</v>
      </c>
      <c r="P710" s="70">
        <v>206.05</v>
      </c>
    </row>
    <row r="711" spans="13:16" x14ac:dyDescent="0.15">
      <c r="M711" s="35" t="s">
        <v>1146</v>
      </c>
      <c r="N711" s="35" t="s">
        <v>1297</v>
      </c>
      <c r="O711" s="68">
        <v>2024.49</v>
      </c>
      <c r="P711" s="70">
        <v>118000</v>
      </c>
    </row>
    <row r="712" spans="13:16" x14ac:dyDescent="0.15">
      <c r="M712" s="35" t="s">
        <v>1146</v>
      </c>
      <c r="N712" s="35" t="s">
        <v>1297</v>
      </c>
      <c r="O712" s="68">
        <v>2024.49</v>
      </c>
      <c r="P712" s="70">
        <v>4019.35</v>
      </c>
    </row>
    <row r="713" spans="13:16" x14ac:dyDescent="0.15">
      <c r="M713" s="35" t="s">
        <v>1146</v>
      </c>
      <c r="N713" s="35" t="s">
        <v>283</v>
      </c>
      <c r="O713" s="68">
        <v>2024.49</v>
      </c>
      <c r="P713" s="70">
        <v>21913.01</v>
      </c>
    </row>
    <row r="714" spans="13:16" x14ac:dyDescent="0.15">
      <c r="M714" s="35" t="s">
        <v>1146</v>
      </c>
      <c r="N714" s="35" t="s">
        <v>283</v>
      </c>
      <c r="O714" s="68">
        <v>2024.49</v>
      </c>
      <c r="P714" s="70">
        <v>29558</v>
      </c>
    </row>
    <row r="715" spans="13:16" x14ac:dyDescent="0.15">
      <c r="M715" s="35" t="s">
        <v>1146</v>
      </c>
      <c r="N715" s="35" t="s">
        <v>1298</v>
      </c>
      <c r="O715" s="68">
        <v>2024.49</v>
      </c>
      <c r="P715" s="70">
        <v>11825.18</v>
      </c>
    </row>
    <row r="716" spans="13:16" x14ac:dyDescent="0.15">
      <c r="M716" s="35" t="s">
        <v>1146</v>
      </c>
      <c r="N716" s="35" t="s">
        <v>1298</v>
      </c>
      <c r="O716" s="68">
        <v>2024.49</v>
      </c>
      <c r="P716" s="70">
        <v>107160.55</v>
      </c>
    </row>
    <row r="717" spans="13:16" x14ac:dyDescent="0.15">
      <c r="M717" s="35" t="s">
        <v>1146</v>
      </c>
      <c r="N717" s="35" t="s">
        <v>282</v>
      </c>
      <c r="O717" s="68">
        <v>2024.49</v>
      </c>
      <c r="P717" s="70">
        <v>208.33</v>
      </c>
    </row>
    <row r="718" spans="13:16" x14ac:dyDescent="0.15">
      <c r="M718" s="35" t="s">
        <v>1146</v>
      </c>
      <c r="N718" s="35" t="s">
        <v>1299</v>
      </c>
      <c r="O718" s="68">
        <v>2024.49</v>
      </c>
      <c r="P718" s="70">
        <v>97590.69</v>
      </c>
    </row>
    <row r="719" spans="13:16" x14ac:dyDescent="0.15">
      <c r="M719" s="35" t="s">
        <v>1146</v>
      </c>
      <c r="N719" s="35" t="s">
        <v>1300</v>
      </c>
      <c r="O719" s="68">
        <v>2024.49</v>
      </c>
      <c r="P719" s="70">
        <v>2623.69</v>
      </c>
    </row>
    <row r="720" spans="13:16" x14ac:dyDescent="0.15">
      <c r="M720" s="35" t="s">
        <v>1151</v>
      </c>
      <c r="N720" s="35" t="s">
        <v>282</v>
      </c>
      <c r="O720" s="68">
        <v>2024.49</v>
      </c>
      <c r="P720" s="70">
        <v>27396.25</v>
      </c>
    </row>
    <row r="721" spans="13:16" x14ac:dyDescent="0.15">
      <c r="M721" s="35" t="s">
        <v>1151</v>
      </c>
      <c r="N721" s="35" t="s">
        <v>282</v>
      </c>
      <c r="O721" s="68">
        <v>2024.49</v>
      </c>
      <c r="P721" s="70">
        <v>492219.8</v>
      </c>
    </row>
    <row r="722" spans="13:16" x14ac:dyDescent="0.15">
      <c r="M722" s="35" t="s">
        <v>1151</v>
      </c>
      <c r="N722" s="35" t="s">
        <v>283</v>
      </c>
      <c r="O722" s="68">
        <v>2024.49</v>
      </c>
      <c r="P722" s="70">
        <v>3819.28</v>
      </c>
    </row>
    <row r="723" spans="13:16" x14ac:dyDescent="0.15">
      <c r="M723" s="35" t="s">
        <v>1151</v>
      </c>
      <c r="N723" s="35" t="s">
        <v>278</v>
      </c>
      <c r="O723" s="68">
        <v>2024.49</v>
      </c>
      <c r="P723" s="70">
        <v>12677.84</v>
      </c>
    </row>
    <row r="724" spans="13:16" x14ac:dyDescent="0.15">
      <c r="M724" s="35" t="s">
        <v>1151</v>
      </c>
      <c r="N724" s="35" t="s">
        <v>1297</v>
      </c>
      <c r="O724" s="68">
        <v>2024.49</v>
      </c>
      <c r="P724" s="70">
        <v>124402.24000000001</v>
      </c>
    </row>
    <row r="725" spans="13:16" x14ac:dyDescent="0.15">
      <c r="M725" s="35" t="s">
        <v>1151</v>
      </c>
      <c r="N725" s="35" t="s">
        <v>1299</v>
      </c>
      <c r="O725" s="68">
        <v>2024.49</v>
      </c>
      <c r="P725" s="70">
        <v>48.56</v>
      </c>
    </row>
    <row r="726" spans="13:16" x14ac:dyDescent="0.15">
      <c r="M726" s="35" t="s">
        <v>1151</v>
      </c>
      <c r="N726" s="35" t="s">
        <v>1300</v>
      </c>
      <c r="O726" s="68">
        <v>2024.49</v>
      </c>
      <c r="P726" s="70">
        <v>809.14</v>
      </c>
    </row>
    <row r="727" spans="13:16" x14ac:dyDescent="0.15">
      <c r="M727" s="35" t="s">
        <v>1152</v>
      </c>
      <c r="N727" s="35" t="s">
        <v>1297</v>
      </c>
      <c r="O727" s="68">
        <v>2024.49</v>
      </c>
      <c r="P727" s="70">
        <v>88</v>
      </c>
    </row>
    <row r="728" spans="13:16" x14ac:dyDescent="0.15">
      <c r="M728" s="35" t="s">
        <v>1152</v>
      </c>
      <c r="N728" s="35" t="s">
        <v>1297</v>
      </c>
      <c r="O728" s="68">
        <v>2024.49</v>
      </c>
      <c r="P728" s="70">
        <v>667.84</v>
      </c>
    </row>
    <row r="729" spans="13:16" x14ac:dyDescent="0.15">
      <c r="M729" s="35" t="s">
        <v>1152</v>
      </c>
      <c r="N729" s="35" t="s">
        <v>1297</v>
      </c>
      <c r="O729" s="68">
        <v>2024.49</v>
      </c>
      <c r="P729" s="70">
        <v>8469.4599999999991</v>
      </c>
    </row>
    <row r="730" spans="13:16" x14ac:dyDescent="0.15">
      <c r="M730" s="35" t="s">
        <v>1152</v>
      </c>
      <c r="N730" s="35" t="s">
        <v>282</v>
      </c>
      <c r="O730" s="68">
        <v>2024.49</v>
      </c>
      <c r="P730" s="70">
        <v>5799</v>
      </c>
    </row>
    <row r="731" spans="13:16" x14ac:dyDescent="0.15">
      <c r="M731" s="35" t="s">
        <v>1152</v>
      </c>
      <c r="N731" s="35" t="s">
        <v>1298</v>
      </c>
      <c r="O731" s="68">
        <v>2024.49</v>
      </c>
      <c r="P731" s="70">
        <v>2723.14</v>
      </c>
    </row>
    <row r="732" spans="13:16" x14ac:dyDescent="0.15">
      <c r="M732" s="35" t="s">
        <v>1152</v>
      </c>
      <c r="N732" s="35" t="s">
        <v>1298</v>
      </c>
      <c r="O732" s="68">
        <v>2024.49</v>
      </c>
      <c r="P732" s="70">
        <v>52355</v>
      </c>
    </row>
    <row r="733" spans="13:16" x14ac:dyDescent="0.15">
      <c r="M733" s="35" t="s">
        <v>1152</v>
      </c>
      <c r="N733" s="35" t="s">
        <v>1299</v>
      </c>
      <c r="O733" s="68">
        <v>2024.49</v>
      </c>
      <c r="P733" s="70">
        <v>107708.78</v>
      </c>
    </row>
    <row r="734" spans="13:16" x14ac:dyDescent="0.15">
      <c r="M734" s="35" t="s">
        <v>1152</v>
      </c>
      <c r="N734" s="35" t="s">
        <v>1300</v>
      </c>
      <c r="O734" s="68">
        <v>2024.49</v>
      </c>
      <c r="P734" s="70">
        <v>97018.34</v>
      </c>
    </row>
    <row r="735" spans="13:16" x14ac:dyDescent="0.15">
      <c r="M735" s="35" t="s">
        <v>256</v>
      </c>
      <c r="N735" s="35" t="s">
        <v>1297</v>
      </c>
      <c r="O735" s="68">
        <v>2024.49</v>
      </c>
      <c r="P735" s="70">
        <v>420612.8</v>
      </c>
    </row>
    <row r="736" spans="13:16" x14ac:dyDescent="0.15">
      <c r="M736" s="35" t="s">
        <v>1147</v>
      </c>
      <c r="N736" s="35" t="s">
        <v>280</v>
      </c>
      <c r="O736" s="68">
        <v>2024.49</v>
      </c>
      <c r="P736" s="70">
        <v>9920.06</v>
      </c>
    </row>
    <row r="737" spans="13:16" x14ac:dyDescent="0.15">
      <c r="M737" s="35" t="s">
        <v>1147</v>
      </c>
      <c r="N737" s="35" t="s">
        <v>280</v>
      </c>
      <c r="O737" s="68">
        <v>2024.49</v>
      </c>
      <c r="P737" s="70">
        <v>3693.28</v>
      </c>
    </row>
    <row r="738" spans="13:16" x14ac:dyDescent="0.15">
      <c r="M738" s="35" t="s">
        <v>255</v>
      </c>
      <c r="N738" s="35" t="s">
        <v>282</v>
      </c>
      <c r="O738" s="68">
        <v>2024.49</v>
      </c>
      <c r="P738" s="70">
        <v>3872</v>
      </c>
    </row>
    <row r="739" spans="13:16" x14ac:dyDescent="0.15">
      <c r="M739" s="35" t="s">
        <v>255</v>
      </c>
      <c r="N739" s="35" t="s">
        <v>283</v>
      </c>
      <c r="O739" s="68">
        <v>2024.49</v>
      </c>
      <c r="P739" s="70">
        <v>1440.6</v>
      </c>
    </row>
    <row r="740" spans="13:16" x14ac:dyDescent="0.15">
      <c r="M740" s="35" t="s">
        <v>1137</v>
      </c>
      <c r="N740" s="35" t="s">
        <v>283</v>
      </c>
      <c r="O740" s="68">
        <v>2024.49</v>
      </c>
      <c r="P740" s="70">
        <v>686</v>
      </c>
    </row>
    <row r="741" spans="13:16" x14ac:dyDescent="0.15">
      <c r="M741" s="35" t="s">
        <v>1137</v>
      </c>
      <c r="N741" s="35" t="s">
        <v>278</v>
      </c>
      <c r="O741" s="68">
        <v>2024.49</v>
      </c>
      <c r="P741" s="70">
        <v>78.55</v>
      </c>
    </row>
    <row r="742" spans="13:16" x14ac:dyDescent="0.15">
      <c r="M742" s="35" t="s">
        <v>273</v>
      </c>
      <c r="N742" s="35" t="s">
        <v>288</v>
      </c>
      <c r="O742" s="68">
        <v>2024.12</v>
      </c>
      <c r="P742" s="70">
        <v>29940.959999999999</v>
      </c>
    </row>
    <row r="743" spans="13:16" x14ac:dyDescent="0.15">
      <c r="M743" s="35" t="s">
        <v>273</v>
      </c>
      <c r="N743" s="35" t="s">
        <v>1296</v>
      </c>
      <c r="O743" s="68">
        <v>2024.12</v>
      </c>
      <c r="P743" s="70">
        <v>41891.839999999997</v>
      </c>
    </row>
    <row r="744" spans="13:16" x14ac:dyDescent="0.15">
      <c r="M744" s="35" t="s">
        <v>273</v>
      </c>
      <c r="N744" s="35" t="s">
        <v>280</v>
      </c>
      <c r="O744" s="68">
        <v>2024.12</v>
      </c>
      <c r="P744" s="70">
        <v>11969.38</v>
      </c>
    </row>
    <row r="745" spans="13:16" x14ac:dyDescent="0.15">
      <c r="M745" s="35" t="s">
        <v>273</v>
      </c>
      <c r="N745" s="35" t="s">
        <v>277</v>
      </c>
      <c r="O745" s="68">
        <v>2024.12</v>
      </c>
      <c r="P745" s="70">
        <v>166.2</v>
      </c>
    </row>
    <row r="746" spans="13:16" x14ac:dyDescent="0.15">
      <c r="M746" s="35" t="s">
        <v>273</v>
      </c>
      <c r="N746" s="35" t="s">
        <v>283</v>
      </c>
      <c r="O746" s="68">
        <v>2024.12</v>
      </c>
      <c r="P746" s="70">
        <v>3589.1</v>
      </c>
    </row>
    <row r="747" spans="13:16" x14ac:dyDescent="0.15">
      <c r="M747" s="35" t="s">
        <v>273</v>
      </c>
      <c r="N747" s="35" t="s">
        <v>1298</v>
      </c>
      <c r="O747" s="68">
        <v>2024.12</v>
      </c>
      <c r="P747" s="70">
        <v>3640.52</v>
      </c>
    </row>
    <row r="748" spans="13:16" x14ac:dyDescent="0.15">
      <c r="M748" s="35" t="s">
        <v>307</v>
      </c>
      <c r="N748" s="35" t="s">
        <v>280</v>
      </c>
      <c r="O748" s="68">
        <v>2024.12</v>
      </c>
      <c r="P748" s="70">
        <v>15000</v>
      </c>
    </row>
    <row r="749" spans="13:16" x14ac:dyDescent="0.15">
      <c r="M749" s="35" t="s">
        <v>307</v>
      </c>
      <c r="N749" s="35" t="s">
        <v>281</v>
      </c>
      <c r="O749" s="68">
        <v>2024.12</v>
      </c>
      <c r="P749" s="70">
        <v>4166.2</v>
      </c>
    </row>
    <row r="750" spans="13:16" x14ac:dyDescent="0.15">
      <c r="M750" s="35" t="s">
        <v>307</v>
      </c>
      <c r="N750" s="35" t="s">
        <v>1297</v>
      </c>
      <c r="O750" s="68">
        <v>2024.12</v>
      </c>
      <c r="P750" s="70">
        <v>20.8</v>
      </c>
    </row>
    <row r="751" spans="13:16" x14ac:dyDescent="0.15">
      <c r="M751" s="35" t="s">
        <v>307</v>
      </c>
      <c r="N751" s="35" t="s">
        <v>1299</v>
      </c>
      <c r="O751" s="68">
        <v>2024.12</v>
      </c>
      <c r="P751" s="70">
        <v>26.23</v>
      </c>
    </row>
    <row r="752" spans="13:16" x14ac:dyDescent="0.15">
      <c r="M752" s="35" t="s">
        <v>309</v>
      </c>
      <c r="N752" s="35" t="s">
        <v>280</v>
      </c>
      <c r="O752" s="68">
        <v>2024.12</v>
      </c>
      <c r="P752" s="70">
        <v>11440.16</v>
      </c>
    </row>
    <row r="753" spans="13:16" x14ac:dyDescent="0.15">
      <c r="M753" s="35" t="s">
        <v>309</v>
      </c>
      <c r="N753" s="35" t="s">
        <v>280</v>
      </c>
      <c r="O753" s="68">
        <v>2024.12</v>
      </c>
      <c r="P753" s="70">
        <v>16200</v>
      </c>
    </row>
    <row r="754" spans="13:16" x14ac:dyDescent="0.15">
      <c r="M754" s="35" t="s">
        <v>309</v>
      </c>
      <c r="N754" s="35" t="s">
        <v>277</v>
      </c>
      <c r="O754" s="68">
        <v>2024.12</v>
      </c>
      <c r="P754" s="70">
        <v>22280.19</v>
      </c>
    </row>
    <row r="755" spans="13:16" x14ac:dyDescent="0.15">
      <c r="M755" s="35" t="s">
        <v>274</v>
      </c>
      <c r="N755" s="35" t="s">
        <v>274</v>
      </c>
      <c r="O755" s="68">
        <v>2024.12</v>
      </c>
      <c r="P755" s="70">
        <v>31437.63</v>
      </c>
    </row>
    <row r="756" spans="13:16" x14ac:dyDescent="0.15">
      <c r="M756" s="35" t="s">
        <v>1136</v>
      </c>
      <c r="N756" s="35" t="s">
        <v>280</v>
      </c>
      <c r="O756" s="68">
        <v>2024.12</v>
      </c>
      <c r="P756" s="70">
        <v>114750</v>
      </c>
    </row>
    <row r="757" spans="13:16" x14ac:dyDescent="0.15">
      <c r="M757" s="35" t="s">
        <v>1136</v>
      </c>
      <c r="N757" s="35" t="s">
        <v>277</v>
      </c>
      <c r="O757" s="68">
        <v>2024.12</v>
      </c>
      <c r="P757" s="70">
        <v>115850</v>
      </c>
    </row>
    <row r="758" spans="13:16" x14ac:dyDescent="0.15">
      <c r="M758" s="35" t="s">
        <v>302</v>
      </c>
      <c r="N758" s="35" t="s">
        <v>283</v>
      </c>
      <c r="O758" s="68">
        <v>2024.12</v>
      </c>
      <c r="P758" s="70">
        <v>19800</v>
      </c>
    </row>
    <row r="759" spans="13:16" x14ac:dyDescent="0.15">
      <c r="M759" s="35" t="s">
        <v>302</v>
      </c>
      <c r="N759" s="35" t="s">
        <v>283</v>
      </c>
      <c r="O759" s="68">
        <v>2024.12</v>
      </c>
      <c r="P759" s="70">
        <v>32940</v>
      </c>
    </row>
    <row r="760" spans="13:16" x14ac:dyDescent="0.15">
      <c r="M760" s="35" t="s">
        <v>1149</v>
      </c>
      <c r="N760" s="35" t="s">
        <v>280</v>
      </c>
      <c r="O760" s="68">
        <v>2024.12</v>
      </c>
      <c r="P760" s="70">
        <v>140400</v>
      </c>
    </row>
    <row r="761" spans="13:16" x14ac:dyDescent="0.15">
      <c r="M761" s="35" t="s">
        <v>1149</v>
      </c>
      <c r="N761" s="35" t="s">
        <v>277</v>
      </c>
      <c r="O761" s="68">
        <v>2024.12</v>
      </c>
      <c r="P761" s="70">
        <v>118800</v>
      </c>
    </row>
    <row r="762" spans="13:16" x14ac:dyDescent="0.15">
      <c r="M762" s="35" t="s">
        <v>1153</v>
      </c>
      <c r="N762" s="35" t="s">
        <v>1297</v>
      </c>
      <c r="O762" s="68">
        <v>2024.12</v>
      </c>
      <c r="P762" s="70">
        <v>477996</v>
      </c>
    </row>
    <row r="763" spans="13:16" x14ac:dyDescent="0.15">
      <c r="M763" s="35" t="s">
        <v>1150</v>
      </c>
      <c r="N763" s="35" t="s">
        <v>1132</v>
      </c>
      <c r="O763" s="68">
        <v>2024.12</v>
      </c>
      <c r="P763" s="70">
        <v>149209.73000000001</v>
      </c>
    </row>
    <row r="764" spans="13:16" x14ac:dyDescent="0.15">
      <c r="M764" s="35" t="s">
        <v>1150</v>
      </c>
      <c r="N764" s="35" t="s">
        <v>1132</v>
      </c>
      <c r="O764" s="68">
        <v>2024.12</v>
      </c>
      <c r="P764" s="70">
        <v>25261.5</v>
      </c>
    </row>
    <row r="765" spans="13:16" x14ac:dyDescent="0.15">
      <c r="M765" s="35" t="s">
        <v>1150</v>
      </c>
      <c r="N765" s="35" t="s">
        <v>282</v>
      </c>
      <c r="O765" s="68">
        <v>2024.12</v>
      </c>
      <c r="P765" s="70">
        <v>25</v>
      </c>
    </row>
    <row r="766" spans="13:16" x14ac:dyDescent="0.15">
      <c r="M766" s="35" t="s">
        <v>1150</v>
      </c>
      <c r="N766" s="35" t="s">
        <v>1299</v>
      </c>
      <c r="O766" s="68">
        <v>2024.12</v>
      </c>
      <c r="P766" s="70">
        <v>59.88</v>
      </c>
    </row>
    <row r="767" spans="13:16" x14ac:dyDescent="0.15">
      <c r="M767" s="35" t="s">
        <v>1138</v>
      </c>
      <c r="N767" s="35" t="s">
        <v>1132</v>
      </c>
      <c r="O767" s="68">
        <v>2024.12</v>
      </c>
      <c r="P767" s="70">
        <v>4756.3500000000004</v>
      </c>
    </row>
    <row r="768" spans="13:16" x14ac:dyDescent="0.15">
      <c r="M768" s="35" t="s">
        <v>1138</v>
      </c>
      <c r="N768" s="35" t="s">
        <v>1132</v>
      </c>
      <c r="O768" s="68">
        <v>2024.12</v>
      </c>
      <c r="P768" s="70">
        <v>3694.55</v>
      </c>
    </row>
    <row r="769" spans="13:16" x14ac:dyDescent="0.15">
      <c r="M769" s="35" t="s">
        <v>262</v>
      </c>
      <c r="N769" s="35" t="s">
        <v>283</v>
      </c>
      <c r="O769" s="68">
        <v>2024.12</v>
      </c>
      <c r="P769" s="70">
        <v>4780.6899999999996</v>
      </c>
    </row>
    <row r="770" spans="13:16" x14ac:dyDescent="0.15">
      <c r="M770" s="35" t="s">
        <v>262</v>
      </c>
      <c r="N770" s="35" t="s">
        <v>1297</v>
      </c>
      <c r="O770" s="68">
        <v>2024.12</v>
      </c>
      <c r="P770" s="70">
        <v>264.60000000000002</v>
      </c>
    </row>
    <row r="771" spans="13:16" x14ac:dyDescent="0.15">
      <c r="M771" s="35" t="s">
        <v>275</v>
      </c>
      <c r="N771" s="35" t="s">
        <v>1297</v>
      </c>
      <c r="O771" s="68">
        <v>2024.12</v>
      </c>
      <c r="P771" s="70">
        <v>7012.29</v>
      </c>
    </row>
    <row r="772" spans="13:16" x14ac:dyDescent="0.15">
      <c r="M772" s="35" t="s">
        <v>275</v>
      </c>
      <c r="N772" s="35" t="s">
        <v>1297</v>
      </c>
      <c r="O772" s="68">
        <v>2024.12</v>
      </c>
      <c r="P772" s="70">
        <v>100.56</v>
      </c>
    </row>
    <row r="773" spans="13:16" x14ac:dyDescent="0.15">
      <c r="M773" s="35" t="s">
        <v>275</v>
      </c>
      <c r="N773" s="35" t="s">
        <v>284</v>
      </c>
      <c r="O773" s="68">
        <v>2024.12</v>
      </c>
      <c r="P773" s="70">
        <v>717.66</v>
      </c>
    </row>
    <row r="774" spans="13:16" x14ac:dyDescent="0.15">
      <c r="M774" s="35" t="s">
        <v>275</v>
      </c>
      <c r="N774" s="35" t="s">
        <v>284</v>
      </c>
      <c r="O774" s="68">
        <v>2024.12</v>
      </c>
      <c r="P774" s="70">
        <v>20693.55</v>
      </c>
    </row>
    <row r="775" spans="13:16" x14ac:dyDescent="0.15">
      <c r="M775" s="35" t="s">
        <v>275</v>
      </c>
      <c r="N775" s="35" t="s">
        <v>1299</v>
      </c>
      <c r="O775" s="68">
        <v>2024.12</v>
      </c>
      <c r="P775" s="70">
        <v>90090.880000000005</v>
      </c>
    </row>
    <row r="776" spans="13:16" x14ac:dyDescent="0.15">
      <c r="M776" s="35" t="s">
        <v>276</v>
      </c>
      <c r="N776" s="35" t="s">
        <v>1297</v>
      </c>
      <c r="O776" s="68">
        <v>2024.12</v>
      </c>
      <c r="P776" s="70">
        <v>848.98</v>
      </c>
    </row>
    <row r="777" spans="13:16" x14ac:dyDescent="0.15">
      <c r="M777" s="35" t="s">
        <v>276</v>
      </c>
      <c r="N777" s="35" t="s">
        <v>1297</v>
      </c>
      <c r="O777" s="68">
        <v>2024.12</v>
      </c>
      <c r="P777" s="70">
        <v>27605.45</v>
      </c>
    </row>
    <row r="778" spans="13:16" x14ac:dyDescent="0.15">
      <c r="M778" s="35" t="s">
        <v>276</v>
      </c>
      <c r="N778" s="35" t="s">
        <v>282</v>
      </c>
      <c r="O778" s="68">
        <v>2024.12</v>
      </c>
      <c r="P778" s="70">
        <v>6329</v>
      </c>
    </row>
    <row r="779" spans="13:16" x14ac:dyDescent="0.15">
      <c r="M779" s="35" t="s">
        <v>276</v>
      </c>
      <c r="N779" s="35" t="s">
        <v>282</v>
      </c>
      <c r="O779" s="68">
        <v>2024.12</v>
      </c>
      <c r="P779" s="70">
        <v>78300</v>
      </c>
    </row>
    <row r="780" spans="13:16" x14ac:dyDescent="0.15">
      <c r="M780" s="35" t="s">
        <v>276</v>
      </c>
      <c r="N780" s="35" t="s">
        <v>282</v>
      </c>
      <c r="O780" s="68">
        <v>2024.12</v>
      </c>
      <c r="P780" s="70">
        <v>258996.05</v>
      </c>
    </row>
    <row r="781" spans="13:16" x14ac:dyDescent="0.15">
      <c r="M781" s="35" t="s">
        <v>276</v>
      </c>
      <c r="N781" s="35" t="s">
        <v>1299</v>
      </c>
      <c r="O781" s="68">
        <v>2024.12</v>
      </c>
      <c r="P781" s="70">
        <v>32208</v>
      </c>
    </row>
    <row r="782" spans="13:16" x14ac:dyDescent="0.15">
      <c r="M782" s="35" t="s">
        <v>1146</v>
      </c>
      <c r="N782" s="35" t="s">
        <v>1297</v>
      </c>
      <c r="O782" s="68">
        <v>2024.12</v>
      </c>
      <c r="P782" s="70">
        <v>45.34</v>
      </c>
    </row>
    <row r="783" spans="13:16" x14ac:dyDescent="0.15">
      <c r="M783" s="35" t="s">
        <v>1146</v>
      </c>
      <c r="N783" s="35" t="s">
        <v>1297</v>
      </c>
      <c r="O783" s="68">
        <v>2024.12</v>
      </c>
      <c r="P783" s="70">
        <v>118000</v>
      </c>
    </row>
    <row r="784" spans="13:16" x14ac:dyDescent="0.15">
      <c r="M784" s="35" t="s">
        <v>1146</v>
      </c>
      <c r="N784" s="35" t="s">
        <v>1297</v>
      </c>
      <c r="O784" s="68">
        <v>2024.12</v>
      </c>
      <c r="P784" s="70">
        <v>3641.59</v>
      </c>
    </row>
    <row r="785" spans="13:16" x14ac:dyDescent="0.15">
      <c r="M785" s="35" t="s">
        <v>1146</v>
      </c>
      <c r="N785" s="35" t="s">
        <v>283</v>
      </c>
      <c r="O785" s="68">
        <v>2024.12</v>
      </c>
      <c r="P785" s="70">
        <v>5020.26</v>
      </c>
    </row>
    <row r="786" spans="13:16" x14ac:dyDescent="0.15">
      <c r="M786" s="35" t="s">
        <v>1146</v>
      </c>
      <c r="N786" s="35" t="s">
        <v>283</v>
      </c>
      <c r="O786" s="68">
        <v>2024.12</v>
      </c>
      <c r="P786" s="70">
        <v>89100</v>
      </c>
    </row>
    <row r="787" spans="13:16" x14ac:dyDescent="0.15">
      <c r="M787" s="35" t="s">
        <v>1146</v>
      </c>
      <c r="N787" s="35" t="s">
        <v>1298</v>
      </c>
      <c r="O787" s="68">
        <v>2024.12</v>
      </c>
      <c r="P787" s="70">
        <v>358.83</v>
      </c>
    </row>
    <row r="788" spans="13:16" x14ac:dyDescent="0.15">
      <c r="M788" s="35" t="s">
        <v>1146</v>
      </c>
      <c r="N788" s="35" t="s">
        <v>1298</v>
      </c>
      <c r="O788" s="68">
        <v>2024.12</v>
      </c>
      <c r="P788" s="70">
        <v>116901.95</v>
      </c>
    </row>
    <row r="789" spans="13:16" x14ac:dyDescent="0.15">
      <c r="M789" s="35" t="s">
        <v>1146</v>
      </c>
      <c r="N789" s="35" t="s">
        <v>1299</v>
      </c>
      <c r="O789" s="68">
        <v>2024.12</v>
      </c>
      <c r="P789" s="70">
        <v>98519.679999999993</v>
      </c>
    </row>
    <row r="790" spans="13:16" x14ac:dyDescent="0.15">
      <c r="M790" s="35" t="s">
        <v>1146</v>
      </c>
      <c r="N790" s="35" t="s">
        <v>1300</v>
      </c>
      <c r="O790" s="68">
        <v>2024.12</v>
      </c>
      <c r="P790" s="70">
        <v>496.52</v>
      </c>
    </row>
    <row r="791" spans="13:16" x14ac:dyDescent="0.15">
      <c r="M791" s="35" t="s">
        <v>1151</v>
      </c>
      <c r="N791" s="35" t="s">
        <v>282</v>
      </c>
      <c r="O791" s="68">
        <v>2024.12</v>
      </c>
      <c r="P791" s="70">
        <v>412.5</v>
      </c>
    </row>
    <row r="792" spans="13:16" x14ac:dyDescent="0.15">
      <c r="M792" s="35" t="s">
        <v>1151</v>
      </c>
      <c r="N792" s="35" t="s">
        <v>282</v>
      </c>
      <c r="O792" s="68">
        <v>2024.12</v>
      </c>
      <c r="P792" s="70">
        <v>352361.8</v>
      </c>
    </row>
    <row r="793" spans="13:16" x14ac:dyDescent="0.15">
      <c r="M793" s="35" t="s">
        <v>1151</v>
      </c>
      <c r="N793" s="35" t="s">
        <v>283</v>
      </c>
      <c r="O793" s="68">
        <v>2024.12</v>
      </c>
      <c r="P793" s="70">
        <v>1246.76</v>
      </c>
    </row>
    <row r="794" spans="13:16" x14ac:dyDescent="0.15">
      <c r="M794" s="35" t="s">
        <v>1151</v>
      </c>
      <c r="N794" s="35" t="s">
        <v>278</v>
      </c>
      <c r="O794" s="68">
        <v>2024.12</v>
      </c>
      <c r="P794" s="70">
        <v>4457.1499999999996</v>
      </c>
    </row>
    <row r="795" spans="13:16" x14ac:dyDescent="0.15">
      <c r="M795" s="35" t="s">
        <v>1151</v>
      </c>
      <c r="N795" s="35" t="s">
        <v>1297</v>
      </c>
      <c r="O795" s="68">
        <v>2024.12</v>
      </c>
      <c r="P795" s="70">
        <v>93803.13</v>
      </c>
    </row>
    <row r="796" spans="13:16" x14ac:dyDescent="0.15">
      <c r="M796" s="35" t="s">
        <v>1152</v>
      </c>
      <c r="N796" s="35" t="s">
        <v>1297</v>
      </c>
      <c r="O796" s="68">
        <v>2024.12</v>
      </c>
      <c r="P796" s="70">
        <v>667.84</v>
      </c>
    </row>
    <row r="797" spans="13:16" x14ac:dyDescent="0.15">
      <c r="M797" s="35" t="s">
        <v>1152</v>
      </c>
      <c r="N797" s="35" t="s">
        <v>1297</v>
      </c>
      <c r="O797" s="68">
        <v>2024.12</v>
      </c>
      <c r="P797" s="70">
        <v>8070.74</v>
      </c>
    </row>
    <row r="798" spans="13:16" x14ac:dyDescent="0.15">
      <c r="M798" s="35" t="s">
        <v>1152</v>
      </c>
      <c r="N798" s="35" t="s">
        <v>282</v>
      </c>
      <c r="O798" s="68">
        <v>2024.12</v>
      </c>
      <c r="P798" s="70">
        <v>1903</v>
      </c>
    </row>
    <row r="799" spans="13:16" x14ac:dyDescent="0.15">
      <c r="M799" s="35" t="s">
        <v>1152</v>
      </c>
      <c r="N799" s="35" t="s">
        <v>1298</v>
      </c>
      <c r="O799" s="68">
        <v>2024.12</v>
      </c>
      <c r="P799" s="70">
        <v>52355</v>
      </c>
    </row>
    <row r="800" spans="13:16" x14ac:dyDescent="0.15">
      <c r="M800" s="35" t="s">
        <v>1152</v>
      </c>
      <c r="N800" s="35" t="s">
        <v>1299</v>
      </c>
      <c r="O800" s="68">
        <v>2024.12</v>
      </c>
      <c r="P800" s="70">
        <v>106038.8</v>
      </c>
    </row>
    <row r="801" spans="13:16" x14ac:dyDescent="0.15">
      <c r="M801" s="35" t="s">
        <v>1152</v>
      </c>
      <c r="N801" s="35" t="s">
        <v>1300</v>
      </c>
      <c r="O801" s="68">
        <v>2024.12</v>
      </c>
      <c r="P801" s="70">
        <v>91826.6</v>
      </c>
    </row>
    <row r="802" spans="13:16" x14ac:dyDescent="0.15">
      <c r="M802" s="35" t="s">
        <v>256</v>
      </c>
      <c r="N802" s="35" t="s">
        <v>1297</v>
      </c>
      <c r="O802" s="68">
        <v>2024.12</v>
      </c>
      <c r="P802" s="70">
        <v>371816.9</v>
      </c>
    </row>
    <row r="803" spans="13:16" x14ac:dyDescent="0.15">
      <c r="M803" s="35" t="s">
        <v>1147</v>
      </c>
      <c r="N803" s="35" t="s">
        <v>280</v>
      </c>
      <c r="O803" s="68">
        <v>2024.12</v>
      </c>
      <c r="P803" s="70">
        <v>9920.06</v>
      </c>
    </row>
    <row r="804" spans="13:16" x14ac:dyDescent="0.15">
      <c r="M804" s="35" t="s">
        <v>1147</v>
      </c>
      <c r="N804" s="35" t="s">
        <v>280</v>
      </c>
      <c r="O804" s="68">
        <v>2024.12</v>
      </c>
      <c r="P804" s="70">
        <v>3693.28</v>
      </c>
    </row>
    <row r="805" spans="13:16" x14ac:dyDescent="0.15">
      <c r="M805" s="35" t="s">
        <v>1137</v>
      </c>
      <c r="N805" s="35" t="s">
        <v>278</v>
      </c>
      <c r="O805" s="68">
        <v>2024.12</v>
      </c>
      <c r="P805" s="70">
        <v>78.55</v>
      </c>
    </row>
    <row r="806" spans="13:16" x14ac:dyDescent="0.15">
      <c r="M806" s="35" t="s">
        <v>273</v>
      </c>
      <c r="N806" s="35" t="s">
        <v>288</v>
      </c>
      <c r="O806" s="68">
        <v>2024.17</v>
      </c>
      <c r="P806" s="70">
        <v>33655.440000000002</v>
      </c>
    </row>
    <row r="807" spans="13:16" x14ac:dyDescent="0.15">
      <c r="M807" s="35" t="s">
        <v>273</v>
      </c>
      <c r="N807" s="35" t="s">
        <v>1296</v>
      </c>
      <c r="O807" s="68">
        <v>2024.17</v>
      </c>
      <c r="P807" s="70">
        <v>46290.7</v>
      </c>
    </row>
    <row r="808" spans="13:16" x14ac:dyDescent="0.15">
      <c r="M808" s="35" t="s">
        <v>273</v>
      </c>
      <c r="N808" s="35" t="s">
        <v>280</v>
      </c>
      <c r="O808" s="68">
        <v>2024.17</v>
      </c>
      <c r="P808" s="70">
        <v>12921.5</v>
      </c>
    </row>
    <row r="809" spans="13:16" x14ac:dyDescent="0.15">
      <c r="M809" s="35" t="s">
        <v>273</v>
      </c>
      <c r="N809" s="35" t="s">
        <v>277</v>
      </c>
      <c r="O809" s="68">
        <v>2024.17</v>
      </c>
      <c r="P809" s="70">
        <v>166.2</v>
      </c>
    </row>
    <row r="810" spans="13:16" x14ac:dyDescent="0.15">
      <c r="M810" s="35" t="s">
        <v>273</v>
      </c>
      <c r="N810" s="35" t="s">
        <v>283</v>
      </c>
      <c r="O810" s="68">
        <v>2024.17</v>
      </c>
      <c r="P810" s="70">
        <v>3589.1</v>
      </c>
    </row>
    <row r="811" spans="13:16" x14ac:dyDescent="0.15">
      <c r="M811" s="35" t="s">
        <v>273</v>
      </c>
      <c r="N811" s="35" t="s">
        <v>1298</v>
      </c>
      <c r="O811" s="68">
        <v>2024.17</v>
      </c>
      <c r="P811" s="70">
        <v>5662.39</v>
      </c>
    </row>
    <row r="812" spans="13:16" x14ac:dyDescent="0.15">
      <c r="M812" s="35" t="s">
        <v>307</v>
      </c>
      <c r="N812" s="35" t="s">
        <v>280</v>
      </c>
      <c r="O812" s="68">
        <v>2024.17</v>
      </c>
      <c r="P812" s="70">
        <v>1464.8</v>
      </c>
    </row>
    <row r="813" spans="13:16" x14ac:dyDescent="0.15">
      <c r="M813" s="35" t="s">
        <v>307</v>
      </c>
      <c r="N813" s="35" t="s">
        <v>280</v>
      </c>
      <c r="O813" s="68">
        <v>2024.17</v>
      </c>
      <c r="P813" s="70">
        <v>15000</v>
      </c>
    </row>
    <row r="814" spans="13:16" x14ac:dyDescent="0.15">
      <c r="M814" s="35" t="s">
        <v>307</v>
      </c>
      <c r="N814" s="35" t="s">
        <v>281</v>
      </c>
      <c r="O814" s="68">
        <v>2024.17</v>
      </c>
      <c r="P814" s="70">
        <v>5319.73</v>
      </c>
    </row>
    <row r="815" spans="13:16" x14ac:dyDescent="0.15">
      <c r="M815" s="35" t="s">
        <v>307</v>
      </c>
      <c r="N815" s="35" t="s">
        <v>1297</v>
      </c>
      <c r="O815" s="68">
        <v>2024.17</v>
      </c>
      <c r="P815" s="70">
        <v>20.8</v>
      </c>
    </row>
    <row r="816" spans="13:16" x14ac:dyDescent="0.15">
      <c r="M816" s="35" t="s">
        <v>307</v>
      </c>
      <c r="N816" s="35" t="s">
        <v>1299</v>
      </c>
      <c r="O816" s="68">
        <v>2024.17</v>
      </c>
      <c r="P816" s="70">
        <v>26.23</v>
      </c>
    </row>
    <row r="817" spans="13:16" x14ac:dyDescent="0.15">
      <c r="M817" s="35" t="s">
        <v>309</v>
      </c>
      <c r="N817" s="35" t="s">
        <v>280</v>
      </c>
      <c r="O817" s="68">
        <v>2024.17</v>
      </c>
      <c r="P817" s="70">
        <v>11440.16</v>
      </c>
    </row>
    <row r="818" spans="13:16" x14ac:dyDescent="0.15">
      <c r="M818" s="35" t="s">
        <v>309</v>
      </c>
      <c r="N818" s="35" t="s">
        <v>280</v>
      </c>
      <c r="O818" s="68">
        <v>2024.17</v>
      </c>
      <c r="P818" s="70">
        <v>16200</v>
      </c>
    </row>
    <row r="819" spans="13:16" x14ac:dyDescent="0.15">
      <c r="M819" s="35" t="s">
        <v>309</v>
      </c>
      <c r="N819" s="35" t="s">
        <v>277</v>
      </c>
      <c r="O819" s="68">
        <v>2024.17</v>
      </c>
      <c r="P819" s="70">
        <v>24999.45</v>
      </c>
    </row>
    <row r="820" spans="13:16" x14ac:dyDescent="0.15">
      <c r="M820" s="35" t="s">
        <v>274</v>
      </c>
      <c r="N820" s="35" t="s">
        <v>274</v>
      </c>
      <c r="O820" s="68">
        <v>2024.17</v>
      </c>
      <c r="P820" s="70">
        <v>32127.4</v>
      </c>
    </row>
    <row r="821" spans="13:16" x14ac:dyDescent="0.15">
      <c r="M821" s="35" t="s">
        <v>1136</v>
      </c>
      <c r="N821" s="35" t="s">
        <v>280</v>
      </c>
      <c r="O821" s="68">
        <v>2024.17</v>
      </c>
      <c r="P821" s="70">
        <v>114750</v>
      </c>
    </row>
    <row r="822" spans="13:16" x14ac:dyDescent="0.15">
      <c r="M822" s="35" t="s">
        <v>1136</v>
      </c>
      <c r="N822" s="35" t="s">
        <v>277</v>
      </c>
      <c r="O822" s="68">
        <v>2024.17</v>
      </c>
      <c r="P822" s="70">
        <v>115850</v>
      </c>
    </row>
    <row r="823" spans="13:16" x14ac:dyDescent="0.15">
      <c r="M823" s="35" t="s">
        <v>302</v>
      </c>
      <c r="N823" s="35" t="s">
        <v>283</v>
      </c>
      <c r="O823" s="68">
        <v>2024.17</v>
      </c>
      <c r="P823" s="70">
        <v>19800</v>
      </c>
    </row>
    <row r="824" spans="13:16" x14ac:dyDescent="0.15">
      <c r="M824" s="35" t="s">
        <v>302</v>
      </c>
      <c r="N824" s="35" t="s">
        <v>283</v>
      </c>
      <c r="O824" s="68">
        <v>2024.17</v>
      </c>
      <c r="P824" s="70">
        <v>32940</v>
      </c>
    </row>
    <row r="825" spans="13:16" x14ac:dyDescent="0.15">
      <c r="M825" s="35" t="s">
        <v>1149</v>
      </c>
      <c r="N825" s="35" t="s">
        <v>280</v>
      </c>
      <c r="O825" s="68">
        <v>2024.17</v>
      </c>
      <c r="P825" s="70">
        <v>140400</v>
      </c>
    </row>
    <row r="826" spans="13:16" x14ac:dyDescent="0.15">
      <c r="M826" s="35" t="s">
        <v>1149</v>
      </c>
      <c r="N826" s="35" t="s">
        <v>277</v>
      </c>
      <c r="O826" s="68">
        <v>2024.17</v>
      </c>
      <c r="P826" s="70">
        <v>118800</v>
      </c>
    </row>
    <row r="827" spans="13:16" x14ac:dyDescent="0.15">
      <c r="M827" s="35" t="s">
        <v>1153</v>
      </c>
      <c r="N827" s="35" t="s">
        <v>1297</v>
      </c>
      <c r="O827" s="68">
        <v>2024.17</v>
      </c>
      <c r="P827" s="70">
        <v>477996</v>
      </c>
    </row>
    <row r="828" spans="13:16" x14ac:dyDescent="0.15">
      <c r="M828" s="35" t="s">
        <v>1150</v>
      </c>
      <c r="N828" s="35" t="s">
        <v>1132</v>
      </c>
      <c r="O828" s="68">
        <v>2024.17</v>
      </c>
      <c r="P828" s="70">
        <v>153395.57</v>
      </c>
    </row>
    <row r="829" spans="13:16" x14ac:dyDescent="0.15">
      <c r="M829" s="35" t="s">
        <v>1150</v>
      </c>
      <c r="N829" s="35" t="s">
        <v>1132</v>
      </c>
      <c r="O829" s="68">
        <v>2024.17</v>
      </c>
      <c r="P829" s="70">
        <v>26664</v>
      </c>
    </row>
    <row r="830" spans="13:16" x14ac:dyDescent="0.15">
      <c r="M830" s="35" t="s">
        <v>1150</v>
      </c>
      <c r="N830" s="35" t="s">
        <v>282</v>
      </c>
      <c r="O830" s="68">
        <v>2024.17</v>
      </c>
      <c r="P830" s="70">
        <v>25</v>
      </c>
    </row>
    <row r="831" spans="13:16" x14ac:dyDescent="0.15">
      <c r="M831" s="35" t="s">
        <v>1150</v>
      </c>
      <c r="N831" s="35" t="s">
        <v>1299</v>
      </c>
      <c r="O831" s="68">
        <v>2024.17</v>
      </c>
      <c r="P831" s="70">
        <v>86.78</v>
      </c>
    </row>
    <row r="832" spans="13:16" x14ac:dyDescent="0.15">
      <c r="M832" s="35" t="s">
        <v>1138</v>
      </c>
      <c r="N832" s="35" t="s">
        <v>1132</v>
      </c>
      <c r="O832" s="68">
        <v>2024.17</v>
      </c>
      <c r="P832" s="70">
        <v>5215.9799999999996</v>
      </c>
    </row>
    <row r="833" spans="13:16" x14ac:dyDescent="0.15">
      <c r="M833" s="35" t="s">
        <v>1138</v>
      </c>
      <c r="N833" s="35" t="s">
        <v>1132</v>
      </c>
      <c r="O833" s="68">
        <v>2024.17</v>
      </c>
      <c r="P833" s="70">
        <v>3694.55</v>
      </c>
    </row>
    <row r="834" spans="13:16" x14ac:dyDescent="0.15">
      <c r="M834" s="35" t="s">
        <v>262</v>
      </c>
      <c r="N834" s="35" t="s">
        <v>283</v>
      </c>
      <c r="O834" s="68">
        <v>2024.17</v>
      </c>
      <c r="P834" s="70">
        <v>6126.99</v>
      </c>
    </row>
    <row r="835" spans="13:16" x14ac:dyDescent="0.15">
      <c r="M835" s="35" t="s">
        <v>262</v>
      </c>
      <c r="N835" s="35" t="s">
        <v>1297</v>
      </c>
      <c r="O835" s="68">
        <v>2024.17</v>
      </c>
      <c r="P835" s="70">
        <v>2546.25</v>
      </c>
    </row>
    <row r="836" spans="13:16" x14ac:dyDescent="0.15">
      <c r="M836" s="35" t="s">
        <v>275</v>
      </c>
      <c r="N836" s="35" t="s">
        <v>1297</v>
      </c>
      <c r="O836" s="68">
        <v>2024.17</v>
      </c>
      <c r="P836" s="70">
        <v>7012.29</v>
      </c>
    </row>
    <row r="837" spans="13:16" x14ac:dyDescent="0.15">
      <c r="M837" s="35" t="s">
        <v>275</v>
      </c>
      <c r="N837" s="35" t="s">
        <v>1297</v>
      </c>
      <c r="O837" s="68">
        <v>2024.17</v>
      </c>
      <c r="P837" s="70">
        <v>100.56</v>
      </c>
    </row>
    <row r="838" spans="13:16" x14ac:dyDescent="0.15">
      <c r="M838" s="35" t="s">
        <v>275</v>
      </c>
      <c r="N838" s="35" t="s">
        <v>284</v>
      </c>
      <c r="O838" s="68">
        <v>2024.17</v>
      </c>
      <c r="P838" s="70">
        <v>717.66</v>
      </c>
    </row>
    <row r="839" spans="13:16" x14ac:dyDescent="0.15">
      <c r="M839" s="35" t="s">
        <v>275</v>
      </c>
      <c r="N839" s="35" t="s">
        <v>284</v>
      </c>
      <c r="O839" s="68">
        <v>2024.17</v>
      </c>
      <c r="P839" s="70">
        <v>20693.560000000001</v>
      </c>
    </row>
    <row r="840" spans="13:16" x14ac:dyDescent="0.15">
      <c r="M840" s="35" t="s">
        <v>275</v>
      </c>
      <c r="N840" s="35" t="s">
        <v>1299</v>
      </c>
      <c r="O840" s="68">
        <v>2024.17</v>
      </c>
      <c r="P840" s="70">
        <v>90142.92</v>
      </c>
    </row>
    <row r="841" spans="13:16" x14ac:dyDescent="0.15">
      <c r="M841" s="35" t="s">
        <v>276</v>
      </c>
      <c r="N841" s="35" t="s">
        <v>1297</v>
      </c>
      <c r="O841" s="68">
        <v>2024.17</v>
      </c>
      <c r="P841" s="70">
        <v>848.98</v>
      </c>
    </row>
    <row r="842" spans="13:16" x14ac:dyDescent="0.15">
      <c r="M842" s="35" t="s">
        <v>276</v>
      </c>
      <c r="N842" s="35" t="s">
        <v>1297</v>
      </c>
      <c r="O842" s="68">
        <v>2024.17</v>
      </c>
      <c r="P842" s="70">
        <v>28035.85</v>
      </c>
    </row>
    <row r="843" spans="13:16" x14ac:dyDescent="0.15">
      <c r="M843" s="35" t="s">
        <v>276</v>
      </c>
      <c r="N843" s="35" t="s">
        <v>282</v>
      </c>
      <c r="O843" s="68">
        <v>2024.17</v>
      </c>
      <c r="P843" s="70">
        <v>10457</v>
      </c>
    </row>
    <row r="844" spans="13:16" x14ac:dyDescent="0.15">
      <c r="M844" s="35" t="s">
        <v>276</v>
      </c>
      <c r="N844" s="35" t="s">
        <v>282</v>
      </c>
      <c r="O844" s="68">
        <v>2024.17</v>
      </c>
      <c r="P844" s="70">
        <v>78300</v>
      </c>
    </row>
    <row r="845" spans="13:16" x14ac:dyDescent="0.15">
      <c r="M845" s="35" t="s">
        <v>276</v>
      </c>
      <c r="N845" s="35" t="s">
        <v>282</v>
      </c>
      <c r="O845" s="68">
        <v>2024.17</v>
      </c>
      <c r="P845" s="70">
        <v>258996.5</v>
      </c>
    </row>
    <row r="846" spans="13:16" x14ac:dyDescent="0.15">
      <c r="M846" s="35" t="s">
        <v>276</v>
      </c>
      <c r="N846" s="35" t="s">
        <v>1299</v>
      </c>
      <c r="O846" s="68">
        <v>2024.17</v>
      </c>
      <c r="P846" s="70">
        <v>32208</v>
      </c>
    </row>
    <row r="847" spans="13:16" x14ac:dyDescent="0.15">
      <c r="M847" s="35" t="s">
        <v>1146</v>
      </c>
      <c r="N847" s="35" t="s">
        <v>1297</v>
      </c>
      <c r="O847" s="68">
        <v>2024.17</v>
      </c>
      <c r="P847" s="70">
        <v>4.6399999999999997</v>
      </c>
    </row>
    <row r="848" spans="13:16" x14ac:dyDescent="0.15">
      <c r="M848" s="35" t="s">
        <v>1146</v>
      </c>
      <c r="N848" s="35" t="s">
        <v>1297</v>
      </c>
      <c r="O848" s="68">
        <v>2024.17</v>
      </c>
      <c r="P848" s="70">
        <v>124.19</v>
      </c>
    </row>
    <row r="849" spans="13:16" x14ac:dyDescent="0.15">
      <c r="M849" s="35" t="s">
        <v>1146</v>
      </c>
      <c r="N849" s="35" t="s">
        <v>1297</v>
      </c>
      <c r="O849" s="68">
        <v>2024.17</v>
      </c>
      <c r="P849" s="70">
        <v>118000</v>
      </c>
    </row>
    <row r="850" spans="13:16" x14ac:dyDescent="0.15">
      <c r="M850" s="35" t="s">
        <v>1146</v>
      </c>
      <c r="N850" s="35" t="s">
        <v>1297</v>
      </c>
      <c r="O850" s="68">
        <v>2024.17</v>
      </c>
      <c r="P850" s="70">
        <v>4044.93</v>
      </c>
    </row>
    <row r="851" spans="13:16" x14ac:dyDescent="0.15">
      <c r="M851" s="35" t="s">
        <v>1146</v>
      </c>
      <c r="N851" s="35" t="s">
        <v>283</v>
      </c>
      <c r="O851" s="68">
        <v>2024.17</v>
      </c>
      <c r="P851" s="70">
        <v>7952.91</v>
      </c>
    </row>
    <row r="852" spans="13:16" x14ac:dyDescent="0.15">
      <c r="M852" s="35" t="s">
        <v>1146</v>
      </c>
      <c r="N852" s="35" t="s">
        <v>283</v>
      </c>
      <c r="O852" s="68">
        <v>2024.17</v>
      </c>
      <c r="P852" s="70">
        <v>89100</v>
      </c>
    </row>
    <row r="853" spans="13:16" x14ac:dyDescent="0.15">
      <c r="M853" s="35" t="s">
        <v>1146</v>
      </c>
      <c r="N853" s="35" t="s">
        <v>1298</v>
      </c>
      <c r="O853" s="68">
        <v>2024.17</v>
      </c>
      <c r="P853" s="70">
        <v>1633.88</v>
      </c>
    </row>
    <row r="854" spans="13:16" x14ac:dyDescent="0.15">
      <c r="M854" s="35" t="s">
        <v>1146</v>
      </c>
      <c r="N854" s="35" t="s">
        <v>1298</v>
      </c>
      <c r="O854" s="68">
        <v>2024.17</v>
      </c>
      <c r="P854" s="70">
        <v>109451.96</v>
      </c>
    </row>
    <row r="855" spans="13:16" x14ac:dyDescent="0.15">
      <c r="M855" s="35" t="s">
        <v>1146</v>
      </c>
      <c r="N855" s="35" t="s">
        <v>282</v>
      </c>
      <c r="O855" s="68">
        <v>2024.17</v>
      </c>
      <c r="P855" s="70">
        <v>208.33</v>
      </c>
    </row>
    <row r="856" spans="13:16" x14ac:dyDescent="0.15">
      <c r="M856" s="35" t="s">
        <v>1146</v>
      </c>
      <c r="N856" s="35" t="s">
        <v>1299</v>
      </c>
      <c r="O856" s="68">
        <v>2024.17</v>
      </c>
      <c r="P856" s="70">
        <v>83340.91</v>
      </c>
    </row>
    <row r="857" spans="13:16" x14ac:dyDescent="0.15">
      <c r="M857" s="35" t="s">
        <v>1146</v>
      </c>
      <c r="N857" s="35" t="s">
        <v>1300</v>
      </c>
      <c r="O857" s="68">
        <v>2024.17</v>
      </c>
      <c r="P857" s="70">
        <v>917.7</v>
      </c>
    </row>
    <row r="858" spans="13:16" x14ac:dyDescent="0.15">
      <c r="M858" s="35" t="s">
        <v>1151</v>
      </c>
      <c r="N858" s="35" t="s">
        <v>282</v>
      </c>
      <c r="O858" s="68">
        <v>2024.17</v>
      </c>
      <c r="P858" s="70">
        <v>412.5</v>
      </c>
    </row>
    <row r="859" spans="13:16" x14ac:dyDescent="0.15">
      <c r="M859" s="35" t="s">
        <v>1151</v>
      </c>
      <c r="N859" s="35" t="s">
        <v>282</v>
      </c>
      <c r="O859" s="68">
        <v>2024.17</v>
      </c>
      <c r="P859" s="70">
        <v>352361.8</v>
      </c>
    </row>
    <row r="860" spans="13:16" x14ac:dyDescent="0.15">
      <c r="M860" s="35" t="s">
        <v>1151</v>
      </c>
      <c r="N860" s="35" t="s">
        <v>283</v>
      </c>
      <c r="O860" s="68">
        <v>2024.17</v>
      </c>
      <c r="P860" s="70">
        <v>1521.16</v>
      </c>
    </row>
    <row r="861" spans="13:16" x14ac:dyDescent="0.15">
      <c r="M861" s="35" t="s">
        <v>1151</v>
      </c>
      <c r="N861" s="35" t="s">
        <v>278</v>
      </c>
      <c r="O861" s="68">
        <v>2024.17</v>
      </c>
      <c r="P861" s="70">
        <v>5401.61</v>
      </c>
    </row>
    <row r="862" spans="13:16" x14ac:dyDescent="0.15">
      <c r="M862" s="35" t="s">
        <v>1151</v>
      </c>
      <c r="N862" s="35" t="s">
        <v>1297</v>
      </c>
      <c r="O862" s="68">
        <v>2024.17</v>
      </c>
      <c r="P862" s="70">
        <v>94308.9</v>
      </c>
    </row>
    <row r="863" spans="13:16" x14ac:dyDescent="0.15">
      <c r="M863" s="35" t="s">
        <v>1152</v>
      </c>
      <c r="N863" s="35" t="s">
        <v>1297</v>
      </c>
      <c r="O863" s="68">
        <v>2024.17</v>
      </c>
      <c r="P863" s="70">
        <v>667.84</v>
      </c>
    </row>
    <row r="864" spans="13:16" x14ac:dyDescent="0.15">
      <c r="M864" s="35" t="s">
        <v>1152</v>
      </c>
      <c r="N864" s="35" t="s">
        <v>1297</v>
      </c>
      <c r="O864" s="68">
        <v>2024.17</v>
      </c>
      <c r="P864" s="70">
        <v>8070.74</v>
      </c>
    </row>
    <row r="865" spans="13:16" x14ac:dyDescent="0.15">
      <c r="M865" s="35" t="s">
        <v>1152</v>
      </c>
      <c r="N865" s="35" t="s">
        <v>282</v>
      </c>
      <c r="O865" s="68">
        <v>2024.17</v>
      </c>
      <c r="P865" s="70">
        <v>2135</v>
      </c>
    </row>
    <row r="866" spans="13:16" x14ac:dyDescent="0.15">
      <c r="M866" s="35" t="s">
        <v>1152</v>
      </c>
      <c r="N866" s="35" t="s">
        <v>1298</v>
      </c>
      <c r="O866" s="68">
        <v>2024.17</v>
      </c>
      <c r="P866" s="70">
        <v>52355</v>
      </c>
    </row>
    <row r="867" spans="13:16" x14ac:dyDescent="0.15">
      <c r="M867" s="35" t="s">
        <v>1152</v>
      </c>
      <c r="N867" s="35" t="s">
        <v>1299</v>
      </c>
      <c r="O867" s="68">
        <v>2024.17</v>
      </c>
      <c r="P867" s="70">
        <v>104768</v>
      </c>
    </row>
    <row r="868" spans="13:16" x14ac:dyDescent="0.15">
      <c r="M868" s="35" t="s">
        <v>1152</v>
      </c>
      <c r="N868" s="35" t="s">
        <v>1300</v>
      </c>
      <c r="O868" s="68">
        <v>2024.17</v>
      </c>
      <c r="P868" s="70">
        <v>91826.6</v>
      </c>
    </row>
    <row r="869" spans="13:16" x14ac:dyDescent="0.15">
      <c r="M869" s="35" t="s">
        <v>256</v>
      </c>
      <c r="N869" s="35" t="s">
        <v>1297</v>
      </c>
      <c r="O869" s="68">
        <v>2024.17</v>
      </c>
      <c r="P869" s="70">
        <v>308993.90000000002</v>
      </c>
    </row>
    <row r="870" spans="13:16" x14ac:dyDescent="0.15">
      <c r="M870" s="35" t="s">
        <v>1147</v>
      </c>
      <c r="N870" s="35" t="s">
        <v>280</v>
      </c>
      <c r="O870" s="68">
        <v>2024.17</v>
      </c>
      <c r="P870" s="70">
        <v>9920.6</v>
      </c>
    </row>
    <row r="871" spans="13:16" x14ac:dyDescent="0.15">
      <c r="M871" s="35" t="s">
        <v>1147</v>
      </c>
      <c r="N871" s="35" t="s">
        <v>280</v>
      </c>
      <c r="O871" s="68">
        <v>2024.17</v>
      </c>
      <c r="P871" s="70">
        <v>3693.28</v>
      </c>
    </row>
    <row r="872" spans="13:16" x14ac:dyDescent="0.15">
      <c r="M872" s="35" t="s">
        <v>1137</v>
      </c>
      <c r="N872" s="35" t="s">
        <v>278</v>
      </c>
      <c r="O872" s="68">
        <v>2024.17</v>
      </c>
      <c r="P872" s="70">
        <v>78.55</v>
      </c>
    </row>
    <row r="873" spans="13:16" x14ac:dyDescent="0.15">
      <c r="M873" s="35" t="s">
        <v>273</v>
      </c>
      <c r="N873" s="35" t="s">
        <v>283</v>
      </c>
      <c r="O873" s="68">
        <v>2024.05</v>
      </c>
      <c r="P873" s="70">
        <v>906.72</v>
      </c>
    </row>
    <row r="874" spans="13:16" x14ac:dyDescent="0.15">
      <c r="M874" s="35" t="s">
        <v>1146</v>
      </c>
      <c r="N874" s="35" t="s">
        <v>1300</v>
      </c>
      <c r="O874" s="68">
        <v>2024.05</v>
      </c>
      <c r="P874" s="70">
        <v>496.52</v>
      </c>
    </row>
    <row r="875" spans="13:16" x14ac:dyDescent="0.15">
      <c r="M875" s="35" t="s">
        <v>273</v>
      </c>
      <c r="N875" s="35" t="s">
        <v>288</v>
      </c>
      <c r="O875" s="68">
        <v>2024.48</v>
      </c>
      <c r="P875" s="70">
        <v>51890.16</v>
      </c>
    </row>
    <row r="876" spans="13:16" x14ac:dyDescent="0.15">
      <c r="M876" s="35" t="s">
        <v>273</v>
      </c>
      <c r="N876" s="35" t="s">
        <v>1296</v>
      </c>
      <c r="O876" s="68">
        <v>2024.48</v>
      </c>
      <c r="P876" s="70">
        <v>83870.179999999993</v>
      </c>
    </row>
    <row r="877" spans="13:16" x14ac:dyDescent="0.15">
      <c r="M877" s="35" t="s">
        <v>273</v>
      </c>
      <c r="N877" s="35" t="s">
        <v>280</v>
      </c>
      <c r="O877" s="68">
        <v>2024.48</v>
      </c>
      <c r="P877" s="70">
        <v>21856.78</v>
      </c>
    </row>
    <row r="878" spans="13:16" x14ac:dyDescent="0.15">
      <c r="M878" s="35" t="s">
        <v>273</v>
      </c>
      <c r="N878" s="35" t="s">
        <v>277</v>
      </c>
      <c r="O878" s="68">
        <v>2024.48</v>
      </c>
      <c r="P878" s="70">
        <v>166.2</v>
      </c>
    </row>
    <row r="879" spans="13:16" x14ac:dyDescent="0.15">
      <c r="M879" s="35" t="s">
        <v>273</v>
      </c>
      <c r="N879" s="35" t="s">
        <v>283</v>
      </c>
      <c r="O879" s="68">
        <v>2024.48</v>
      </c>
      <c r="P879" s="70">
        <v>6127.3</v>
      </c>
    </row>
    <row r="880" spans="13:16" x14ac:dyDescent="0.15">
      <c r="M880" s="35" t="s">
        <v>273</v>
      </c>
      <c r="N880" s="35" t="s">
        <v>1298</v>
      </c>
      <c r="O880" s="68">
        <v>2024.48</v>
      </c>
      <c r="P880" s="70">
        <v>12675.18</v>
      </c>
    </row>
    <row r="881" spans="13:16" x14ac:dyDescent="0.15">
      <c r="M881" s="35" t="s">
        <v>307</v>
      </c>
      <c r="N881" s="35" t="s">
        <v>280</v>
      </c>
      <c r="O881" s="68">
        <v>2024.48</v>
      </c>
      <c r="P881" s="70">
        <v>5932.44</v>
      </c>
    </row>
    <row r="882" spans="13:16" x14ac:dyDescent="0.15">
      <c r="M882" s="35" t="s">
        <v>307</v>
      </c>
      <c r="N882" s="35" t="s">
        <v>280</v>
      </c>
      <c r="O882" s="68">
        <v>2024.48</v>
      </c>
      <c r="P882" s="70">
        <v>15000</v>
      </c>
    </row>
    <row r="883" spans="13:16" x14ac:dyDescent="0.15">
      <c r="M883" s="35" t="s">
        <v>307</v>
      </c>
      <c r="N883" s="35" t="s">
        <v>281</v>
      </c>
      <c r="O883" s="68">
        <v>2024.48</v>
      </c>
      <c r="P883" s="70">
        <v>10611.33</v>
      </c>
    </row>
    <row r="884" spans="13:16" x14ac:dyDescent="0.15">
      <c r="M884" s="35" t="s">
        <v>307</v>
      </c>
      <c r="N884" s="35" t="s">
        <v>1297</v>
      </c>
      <c r="O884" s="68">
        <v>2024.48</v>
      </c>
      <c r="P884" s="70">
        <v>20.8</v>
      </c>
    </row>
    <row r="885" spans="13:16" x14ac:dyDescent="0.15">
      <c r="M885" s="35" t="s">
        <v>307</v>
      </c>
      <c r="N885" s="35" t="s">
        <v>1299</v>
      </c>
      <c r="O885" s="68">
        <v>2024.48</v>
      </c>
      <c r="P885" s="70">
        <v>26.23</v>
      </c>
    </row>
    <row r="886" spans="13:16" x14ac:dyDescent="0.15">
      <c r="M886" s="35" t="s">
        <v>309</v>
      </c>
      <c r="N886" s="35" t="s">
        <v>280</v>
      </c>
      <c r="O886" s="68">
        <v>2024.48</v>
      </c>
      <c r="P886" s="70">
        <v>12758.48</v>
      </c>
    </row>
    <row r="887" spans="13:16" x14ac:dyDescent="0.15">
      <c r="M887" s="35" t="s">
        <v>309</v>
      </c>
      <c r="N887" s="35" t="s">
        <v>277</v>
      </c>
      <c r="O887" s="68">
        <v>2024.48</v>
      </c>
      <c r="P887" s="70">
        <v>45354.13</v>
      </c>
    </row>
    <row r="888" spans="13:16" x14ac:dyDescent="0.15">
      <c r="M888" s="35" t="s">
        <v>274</v>
      </c>
      <c r="N888" s="35" t="s">
        <v>274</v>
      </c>
      <c r="O888" s="68">
        <v>2024.48</v>
      </c>
      <c r="P888" s="70">
        <v>44651.21</v>
      </c>
    </row>
    <row r="889" spans="13:16" x14ac:dyDescent="0.15">
      <c r="M889" s="35" t="s">
        <v>1136</v>
      </c>
      <c r="N889" s="35" t="s">
        <v>280</v>
      </c>
      <c r="O889" s="68">
        <v>2024.48</v>
      </c>
      <c r="P889" s="70">
        <v>878.88</v>
      </c>
    </row>
    <row r="890" spans="13:16" x14ac:dyDescent="0.15">
      <c r="M890" s="35" t="s">
        <v>1136</v>
      </c>
      <c r="N890" s="35" t="s">
        <v>280</v>
      </c>
      <c r="O890" s="68">
        <v>2024.48</v>
      </c>
      <c r="P890" s="70">
        <v>18000</v>
      </c>
    </row>
    <row r="891" spans="13:16" x14ac:dyDescent="0.15">
      <c r="M891" s="35" t="s">
        <v>1136</v>
      </c>
      <c r="N891" s="35" t="s">
        <v>277</v>
      </c>
      <c r="O891" s="68">
        <v>2024.48</v>
      </c>
      <c r="P891" s="70">
        <v>5075.3599999999997</v>
      </c>
    </row>
    <row r="892" spans="13:16" x14ac:dyDescent="0.15">
      <c r="M892" s="35" t="s">
        <v>1136</v>
      </c>
      <c r="N892" s="35" t="s">
        <v>283</v>
      </c>
      <c r="O892" s="68">
        <v>2024.48</v>
      </c>
      <c r="P892" s="70">
        <v>10461.5</v>
      </c>
    </row>
    <row r="893" spans="13:16" x14ac:dyDescent="0.15">
      <c r="M893" s="35" t="s">
        <v>302</v>
      </c>
      <c r="N893" s="35" t="s">
        <v>283</v>
      </c>
      <c r="O893" s="68">
        <v>2024.48</v>
      </c>
      <c r="P893" s="70">
        <v>3960</v>
      </c>
    </row>
    <row r="894" spans="13:16" x14ac:dyDescent="0.15">
      <c r="M894" s="35" t="s">
        <v>302</v>
      </c>
      <c r="N894" s="35" t="s">
        <v>283</v>
      </c>
      <c r="O894" s="68">
        <v>2024.48</v>
      </c>
      <c r="P894" s="70">
        <v>6588</v>
      </c>
    </row>
    <row r="895" spans="13:16" x14ac:dyDescent="0.15">
      <c r="M895" s="35" t="s">
        <v>302</v>
      </c>
      <c r="N895" s="35" t="s">
        <v>1298</v>
      </c>
      <c r="O895" s="68">
        <v>2024.48</v>
      </c>
      <c r="P895" s="70">
        <v>1985.44</v>
      </c>
    </row>
    <row r="896" spans="13:16" x14ac:dyDescent="0.15">
      <c r="M896" s="35" t="s">
        <v>1149</v>
      </c>
      <c r="N896" s="35" t="s">
        <v>277</v>
      </c>
      <c r="O896" s="68">
        <v>2024.48</v>
      </c>
      <c r="P896" s="70">
        <v>575.74</v>
      </c>
    </row>
    <row r="897" spans="13:16" x14ac:dyDescent="0.15">
      <c r="M897" s="35" t="s">
        <v>1149</v>
      </c>
      <c r="N897" s="35" t="s">
        <v>1298</v>
      </c>
      <c r="O897" s="68">
        <v>2024.48</v>
      </c>
      <c r="P897" s="70">
        <v>437.16</v>
      </c>
    </row>
    <row r="898" spans="13:16" x14ac:dyDescent="0.15">
      <c r="M898" s="35" t="s">
        <v>1149</v>
      </c>
      <c r="N898" s="35" t="s">
        <v>1298</v>
      </c>
      <c r="O898" s="68">
        <v>2024.48</v>
      </c>
      <c r="P898" s="70">
        <v>10394.799999999999</v>
      </c>
    </row>
    <row r="899" spans="13:16" x14ac:dyDescent="0.15">
      <c r="M899" s="35" t="s">
        <v>1153</v>
      </c>
      <c r="N899" s="35" t="s">
        <v>1297</v>
      </c>
      <c r="O899" s="68">
        <v>2024.48</v>
      </c>
      <c r="P899" s="70">
        <v>477996</v>
      </c>
    </row>
    <row r="900" spans="13:16" x14ac:dyDescent="0.15">
      <c r="M900" s="35" t="s">
        <v>1153</v>
      </c>
      <c r="N900" s="35" t="s">
        <v>1297</v>
      </c>
      <c r="O900" s="68">
        <v>2024.48</v>
      </c>
      <c r="P900" s="70">
        <v>21108.92</v>
      </c>
    </row>
    <row r="901" spans="13:16" x14ac:dyDescent="0.15">
      <c r="M901" s="35" t="s">
        <v>1150</v>
      </c>
      <c r="N901" s="35" t="s">
        <v>1132</v>
      </c>
      <c r="O901" s="68">
        <v>2024.48</v>
      </c>
      <c r="P901" s="70">
        <v>196913.58</v>
      </c>
    </row>
    <row r="902" spans="13:16" x14ac:dyDescent="0.15">
      <c r="M902" s="35" t="s">
        <v>1150</v>
      </c>
      <c r="N902" s="35" t="s">
        <v>1132</v>
      </c>
      <c r="O902" s="68">
        <v>2024.48</v>
      </c>
      <c r="P902" s="70">
        <v>29023.5</v>
      </c>
    </row>
    <row r="903" spans="13:16" x14ac:dyDescent="0.15">
      <c r="M903" s="35" t="s">
        <v>1150</v>
      </c>
      <c r="N903" s="35" t="s">
        <v>282</v>
      </c>
      <c r="O903" s="68">
        <v>2024.48</v>
      </c>
      <c r="P903" s="70">
        <v>25</v>
      </c>
    </row>
    <row r="904" spans="13:16" x14ac:dyDescent="0.15">
      <c r="M904" s="35" t="s">
        <v>1150</v>
      </c>
      <c r="N904" s="35" t="s">
        <v>1299</v>
      </c>
      <c r="O904" s="68">
        <v>2024.48</v>
      </c>
      <c r="P904" s="70">
        <v>86.78</v>
      </c>
    </row>
    <row r="905" spans="13:16" x14ac:dyDescent="0.15">
      <c r="M905" s="35" t="s">
        <v>1138</v>
      </c>
      <c r="N905" s="35" t="s">
        <v>1132</v>
      </c>
      <c r="O905" s="68">
        <v>2024.48</v>
      </c>
      <c r="P905" s="70">
        <v>7120.13</v>
      </c>
    </row>
    <row r="906" spans="13:16" x14ac:dyDescent="0.15">
      <c r="M906" s="35" t="s">
        <v>1138</v>
      </c>
      <c r="N906" s="35" t="s">
        <v>1132</v>
      </c>
      <c r="O906" s="68">
        <v>2024.48</v>
      </c>
      <c r="P906" s="70">
        <v>3694.55</v>
      </c>
    </row>
    <row r="907" spans="13:16" x14ac:dyDescent="0.15">
      <c r="M907" s="35" t="s">
        <v>262</v>
      </c>
      <c r="N907" s="35" t="s">
        <v>1297</v>
      </c>
      <c r="O907" s="68">
        <v>2024.48</v>
      </c>
      <c r="P907" s="70">
        <v>277.61</v>
      </c>
    </row>
    <row r="908" spans="13:16" x14ac:dyDescent="0.15">
      <c r="M908" s="35" t="s">
        <v>262</v>
      </c>
      <c r="N908" s="35" t="s">
        <v>1297</v>
      </c>
      <c r="O908" s="68">
        <v>2024.48</v>
      </c>
      <c r="P908" s="70">
        <v>2930.33</v>
      </c>
    </row>
    <row r="909" spans="13:16" x14ac:dyDescent="0.15">
      <c r="M909" s="35" t="s">
        <v>262</v>
      </c>
      <c r="N909" s="35" t="s">
        <v>283</v>
      </c>
      <c r="O909" s="68">
        <v>2024.48</v>
      </c>
      <c r="P909" s="70">
        <v>13501.58</v>
      </c>
    </row>
    <row r="910" spans="13:16" x14ac:dyDescent="0.15">
      <c r="M910" s="35" t="s">
        <v>262</v>
      </c>
      <c r="N910" s="35" t="s">
        <v>1300</v>
      </c>
      <c r="O910" s="68">
        <v>2024.48</v>
      </c>
      <c r="P910" s="70">
        <v>141.6</v>
      </c>
    </row>
    <row r="911" spans="13:16" x14ac:dyDescent="0.15">
      <c r="M911" s="35" t="s">
        <v>275</v>
      </c>
      <c r="N911" s="35" t="s">
        <v>1297</v>
      </c>
      <c r="O911" s="68">
        <v>2024.48</v>
      </c>
      <c r="P911" s="70">
        <v>7012.29</v>
      </c>
    </row>
    <row r="912" spans="13:16" x14ac:dyDescent="0.15">
      <c r="M912" s="35" t="s">
        <v>275</v>
      </c>
      <c r="N912" s="35" t="s">
        <v>1297</v>
      </c>
      <c r="O912" s="68">
        <v>2024.48</v>
      </c>
      <c r="P912" s="70">
        <v>177.18</v>
      </c>
    </row>
    <row r="913" spans="13:16" x14ac:dyDescent="0.15">
      <c r="M913" s="35" t="s">
        <v>275</v>
      </c>
      <c r="N913" s="35" t="s">
        <v>284</v>
      </c>
      <c r="O913" s="68">
        <v>2024.48</v>
      </c>
      <c r="P913" s="70">
        <v>4251.37</v>
      </c>
    </row>
    <row r="914" spans="13:16" x14ac:dyDescent="0.15">
      <c r="M914" s="35" t="s">
        <v>275</v>
      </c>
      <c r="N914" s="35" t="s">
        <v>284</v>
      </c>
      <c r="O914" s="68">
        <v>2024.48</v>
      </c>
      <c r="P914" s="70">
        <v>20693.560000000001</v>
      </c>
    </row>
    <row r="915" spans="13:16" x14ac:dyDescent="0.15">
      <c r="M915" s="35" t="s">
        <v>275</v>
      </c>
      <c r="N915" s="35" t="s">
        <v>1299</v>
      </c>
      <c r="O915" s="68">
        <v>2024.48</v>
      </c>
      <c r="P915" s="70">
        <v>93258.01</v>
      </c>
    </row>
    <row r="916" spans="13:16" x14ac:dyDescent="0.15">
      <c r="M916" s="35" t="s">
        <v>276</v>
      </c>
      <c r="N916" s="35" t="s">
        <v>1297</v>
      </c>
      <c r="O916" s="68">
        <v>2024.48</v>
      </c>
      <c r="P916" s="70">
        <v>874.96</v>
      </c>
    </row>
    <row r="917" spans="13:16" x14ac:dyDescent="0.15">
      <c r="M917" s="35" t="s">
        <v>276</v>
      </c>
      <c r="N917" s="35" t="s">
        <v>1297</v>
      </c>
      <c r="O917" s="68">
        <v>2024.48</v>
      </c>
      <c r="P917" s="70">
        <v>32583.48</v>
      </c>
    </row>
    <row r="918" spans="13:16" x14ac:dyDescent="0.15">
      <c r="M918" s="35" t="s">
        <v>276</v>
      </c>
      <c r="N918" s="35" t="s">
        <v>282</v>
      </c>
      <c r="O918" s="68">
        <v>2024.48</v>
      </c>
      <c r="P918" s="70">
        <v>14320.5</v>
      </c>
    </row>
    <row r="919" spans="13:16" x14ac:dyDescent="0.15">
      <c r="M919" s="35" t="s">
        <v>276</v>
      </c>
      <c r="N919" s="35" t="s">
        <v>282</v>
      </c>
      <c r="O919" s="68">
        <v>2024.48</v>
      </c>
      <c r="P919" s="70">
        <v>78300</v>
      </c>
    </row>
    <row r="920" spans="13:16" x14ac:dyDescent="0.15">
      <c r="M920" s="35" t="s">
        <v>276</v>
      </c>
      <c r="N920" s="35" t="s">
        <v>282</v>
      </c>
      <c r="O920" s="68">
        <v>2024.48</v>
      </c>
      <c r="P920" s="70">
        <v>305558.05</v>
      </c>
    </row>
    <row r="921" spans="13:16" x14ac:dyDescent="0.15">
      <c r="M921" s="35" t="s">
        <v>276</v>
      </c>
      <c r="N921" s="35" t="s">
        <v>1299</v>
      </c>
      <c r="O921" s="68">
        <v>2024.48</v>
      </c>
      <c r="P921" s="70">
        <v>36132.57</v>
      </c>
    </row>
    <row r="922" spans="13:16" x14ac:dyDescent="0.15">
      <c r="M922" s="35" t="s">
        <v>276</v>
      </c>
      <c r="N922" s="35" t="s">
        <v>1300</v>
      </c>
      <c r="O922" s="68">
        <v>2024.48</v>
      </c>
      <c r="P922" s="70">
        <v>201.29</v>
      </c>
    </row>
    <row r="923" spans="13:16" x14ac:dyDescent="0.15">
      <c r="M923" s="35" t="s">
        <v>1146</v>
      </c>
      <c r="N923" s="35" t="s">
        <v>1297</v>
      </c>
      <c r="O923" s="68">
        <v>2024.48</v>
      </c>
      <c r="P923" s="70">
        <v>31.88</v>
      </c>
    </row>
    <row r="924" spans="13:16" x14ac:dyDescent="0.15">
      <c r="M924" s="35" t="s">
        <v>1146</v>
      </c>
      <c r="N924" s="35" t="s">
        <v>1297</v>
      </c>
      <c r="O924" s="68">
        <v>2024.48</v>
      </c>
      <c r="P924" s="70">
        <v>206.05</v>
      </c>
    </row>
    <row r="925" spans="13:16" x14ac:dyDescent="0.15">
      <c r="M925" s="35" t="s">
        <v>1146</v>
      </c>
      <c r="N925" s="35" t="s">
        <v>1297</v>
      </c>
      <c r="O925" s="68">
        <v>2024.48</v>
      </c>
      <c r="P925" s="70">
        <v>118000</v>
      </c>
    </row>
    <row r="926" spans="13:16" x14ac:dyDescent="0.15">
      <c r="M926" s="35" t="s">
        <v>1146</v>
      </c>
      <c r="N926" s="35" t="s">
        <v>1297</v>
      </c>
      <c r="O926" s="68">
        <v>2024.48</v>
      </c>
      <c r="P926" s="70">
        <v>3981.85</v>
      </c>
    </row>
    <row r="927" spans="13:16" x14ac:dyDescent="0.15">
      <c r="M927" s="35" t="s">
        <v>1146</v>
      </c>
      <c r="N927" s="35" t="s">
        <v>283</v>
      </c>
      <c r="O927" s="68">
        <v>2024.48</v>
      </c>
      <c r="P927" s="70">
        <v>20541.009999999998</v>
      </c>
    </row>
    <row r="928" spans="13:16" x14ac:dyDescent="0.15">
      <c r="M928" s="35" t="s">
        <v>1146</v>
      </c>
      <c r="N928" s="35" t="s">
        <v>283</v>
      </c>
      <c r="O928" s="68">
        <v>2024.48</v>
      </c>
      <c r="P928" s="70">
        <v>24898</v>
      </c>
    </row>
    <row r="929" spans="13:16" x14ac:dyDescent="0.15">
      <c r="M929" s="35" t="s">
        <v>1146</v>
      </c>
      <c r="N929" s="35" t="s">
        <v>1298</v>
      </c>
      <c r="O929" s="68">
        <v>2024.48</v>
      </c>
      <c r="P929" s="70">
        <v>10878</v>
      </c>
    </row>
    <row r="930" spans="13:16" x14ac:dyDescent="0.15">
      <c r="M930" s="35" t="s">
        <v>1146</v>
      </c>
      <c r="N930" s="35" t="s">
        <v>1298</v>
      </c>
      <c r="O930" s="68">
        <v>2024.48</v>
      </c>
      <c r="P930" s="70">
        <v>107160.55</v>
      </c>
    </row>
    <row r="931" spans="13:16" x14ac:dyDescent="0.15">
      <c r="M931" s="35" t="s">
        <v>1146</v>
      </c>
      <c r="N931" s="35" t="s">
        <v>282</v>
      </c>
      <c r="O931" s="68">
        <v>2024.48</v>
      </c>
      <c r="P931" s="70">
        <v>208.33</v>
      </c>
    </row>
    <row r="932" spans="13:16" x14ac:dyDescent="0.15">
      <c r="M932" s="35" t="s">
        <v>1146</v>
      </c>
      <c r="N932" s="35" t="s">
        <v>1299</v>
      </c>
      <c r="O932" s="68">
        <v>2024.48</v>
      </c>
      <c r="P932" s="70">
        <v>83324.19</v>
      </c>
    </row>
    <row r="933" spans="13:16" x14ac:dyDescent="0.15">
      <c r="M933" s="35" t="s">
        <v>1146</v>
      </c>
      <c r="N933" s="35" t="s">
        <v>1300</v>
      </c>
      <c r="O933" s="68">
        <v>2024.48</v>
      </c>
      <c r="P933" s="70">
        <v>2623.69</v>
      </c>
    </row>
    <row r="934" spans="13:16" x14ac:dyDescent="0.15">
      <c r="M934" s="35" t="s">
        <v>1151</v>
      </c>
      <c r="N934" s="35" t="s">
        <v>282</v>
      </c>
      <c r="O934" s="68">
        <v>2024.48</v>
      </c>
      <c r="P934" s="70">
        <v>27246.25</v>
      </c>
    </row>
    <row r="935" spans="13:16" x14ac:dyDescent="0.15">
      <c r="M935" s="35" t="s">
        <v>1151</v>
      </c>
      <c r="N935" s="35" t="s">
        <v>282</v>
      </c>
      <c r="O935" s="68">
        <v>2024.48</v>
      </c>
      <c r="P935" s="70">
        <v>483691.8</v>
      </c>
    </row>
    <row r="936" spans="13:16" x14ac:dyDescent="0.15">
      <c r="M936" s="35" t="s">
        <v>1151</v>
      </c>
      <c r="N936" s="35" t="s">
        <v>283</v>
      </c>
      <c r="O936" s="68">
        <v>2024.48</v>
      </c>
      <c r="P936" s="70">
        <v>3819.28</v>
      </c>
    </row>
    <row r="937" spans="13:16" x14ac:dyDescent="0.15">
      <c r="M937" s="35" t="s">
        <v>1151</v>
      </c>
      <c r="N937" s="35" t="s">
        <v>278</v>
      </c>
      <c r="O937" s="68">
        <v>2024.48</v>
      </c>
      <c r="P937" s="70">
        <v>12429.08</v>
      </c>
    </row>
    <row r="938" spans="13:16" x14ac:dyDescent="0.15">
      <c r="M938" s="35" t="s">
        <v>1151</v>
      </c>
      <c r="N938" s="35" t="s">
        <v>1297</v>
      </c>
      <c r="O938" s="68">
        <v>2024.48</v>
      </c>
      <c r="P938" s="70">
        <v>123901.96</v>
      </c>
    </row>
    <row r="939" spans="13:16" x14ac:dyDescent="0.15">
      <c r="M939" s="35" t="s">
        <v>1151</v>
      </c>
      <c r="N939" s="35" t="s">
        <v>1299</v>
      </c>
      <c r="O939" s="68">
        <v>2024.48</v>
      </c>
      <c r="P939" s="70">
        <v>48.56</v>
      </c>
    </row>
    <row r="940" spans="13:16" x14ac:dyDescent="0.15">
      <c r="M940" s="35" t="s">
        <v>1151</v>
      </c>
      <c r="N940" s="35" t="s">
        <v>1300</v>
      </c>
      <c r="O940" s="68">
        <v>2024.48</v>
      </c>
      <c r="P940" s="70">
        <v>809.14</v>
      </c>
    </row>
    <row r="941" spans="13:16" x14ac:dyDescent="0.15">
      <c r="M941" s="35" t="s">
        <v>1152</v>
      </c>
      <c r="N941" s="35" t="s">
        <v>1297</v>
      </c>
      <c r="O941" s="68">
        <v>2024.48</v>
      </c>
      <c r="P941" s="70">
        <v>88</v>
      </c>
    </row>
    <row r="942" spans="13:16" x14ac:dyDescent="0.15">
      <c r="M942" s="35" t="s">
        <v>1152</v>
      </c>
      <c r="N942" s="35" t="s">
        <v>1297</v>
      </c>
      <c r="O942" s="68">
        <v>2024.48</v>
      </c>
      <c r="P942" s="70">
        <v>667.84</v>
      </c>
    </row>
    <row r="943" spans="13:16" x14ac:dyDescent="0.15">
      <c r="M943" s="35" t="s">
        <v>1152</v>
      </c>
      <c r="N943" s="35" t="s">
        <v>1297</v>
      </c>
      <c r="O943" s="68">
        <v>2024.48</v>
      </c>
      <c r="P943" s="70">
        <v>8469.4599999999991</v>
      </c>
    </row>
    <row r="944" spans="13:16" x14ac:dyDescent="0.15">
      <c r="M944" s="35" t="s">
        <v>1152</v>
      </c>
      <c r="N944" s="35" t="s">
        <v>282</v>
      </c>
      <c r="O944" s="68">
        <v>2024.48</v>
      </c>
      <c r="P944" s="70">
        <v>5799</v>
      </c>
    </row>
    <row r="945" spans="13:16" x14ac:dyDescent="0.15">
      <c r="M945" s="35" t="s">
        <v>1152</v>
      </c>
      <c r="N945" s="35" t="s">
        <v>1298</v>
      </c>
      <c r="O945" s="68">
        <v>2024.48</v>
      </c>
      <c r="P945" s="70">
        <v>2431.6999999999998</v>
      </c>
    </row>
    <row r="946" spans="13:16" x14ac:dyDescent="0.15">
      <c r="M946" s="35" t="s">
        <v>1152</v>
      </c>
      <c r="N946" s="35" t="s">
        <v>1298</v>
      </c>
      <c r="O946" s="68">
        <v>2024.48</v>
      </c>
      <c r="P946" s="70">
        <v>52355</v>
      </c>
    </row>
    <row r="947" spans="13:16" x14ac:dyDescent="0.15">
      <c r="M947" s="35" t="s">
        <v>1152</v>
      </c>
      <c r="N947" s="35" t="s">
        <v>1299</v>
      </c>
      <c r="O947" s="68">
        <v>2024.48</v>
      </c>
      <c r="P947" s="70">
        <v>107704.51</v>
      </c>
    </row>
    <row r="948" spans="13:16" x14ac:dyDescent="0.15">
      <c r="M948" s="35" t="s">
        <v>1152</v>
      </c>
      <c r="N948" s="35" t="s">
        <v>1300</v>
      </c>
      <c r="O948" s="68">
        <v>2024.48</v>
      </c>
      <c r="P948" s="70">
        <v>96963.8</v>
      </c>
    </row>
    <row r="949" spans="13:16" x14ac:dyDescent="0.15">
      <c r="M949" s="35" t="s">
        <v>256</v>
      </c>
      <c r="N949" s="35" t="s">
        <v>1297</v>
      </c>
      <c r="O949" s="68">
        <v>2024.48</v>
      </c>
      <c r="P949" s="70">
        <v>420612.8</v>
      </c>
    </row>
    <row r="950" spans="13:16" x14ac:dyDescent="0.15">
      <c r="M950" s="35" t="s">
        <v>1147</v>
      </c>
      <c r="N950" s="35" t="s">
        <v>280</v>
      </c>
      <c r="O950" s="68">
        <v>2024.48</v>
      </c>
      <c r="P950" s="70">
        <v>9920.06</v>
      </c>
    </row>
    <row r="951" spans="13:16" x14ac:dyDescent="0.15">
      <c r="M951" s="35" t="s">
        <v>1147</v>
      </c>
      <c r="N951" s="35" t="s">
        <v>280</v>
      </c>
      <c r="O951" s="68">
        <v>2024.48</v>
      </c>
      <c r="P951" s="70">
        <v>3693.28</v>
      </c>
    </row>
    <row r="952" spans="13:16" x14ac:dyDescent="0.15">
      <c r="M952" s="35" t="s">
        <v>255</v>
      </c>
      <c r="N952" s="35" t="s">
        <v>282</v>
      </c>
      <c r="O952" s="68">
        <v>2024.48</v>
      </c>
      <c r="P952" s="70">
        <v>2382</v>
      </c>
    </row>
    <row r="953" spans="13:16" x14ac:dyDescent="0.15">
      <c r="M953" s="35" t="s">
        <v>255</v>
      </c>
      <c r="N953" s="35" t="s">
        <v>283</v>
      </c>
      <c r="O953" s="68">
        <v>2024.48</v>
      </c>
      <c r="P953" s="70">
        <v>1097.5999999999999</v>
      </c>
    </row>
    <row r="954" spans="13:16" x14ac:dyDescent="0.15">
      <c r="M954" s="35" t="s">
        <v>1137</v>
      </c>
      <c r="N954" s="35" t="s">
        <v>283</v>
      </c>
      <c r="O954" s="68">
        <v>2024.48</v>
      </c>
      <c r="P954" s="70">
        <v>686</v>
      </c>
    </row>
    <row r="955" spans="13:16" x14ac:dyDescent="0.15">
      <c r="M955" s="35" t="s">
        <v>1137</v>
      </c>
      <c r="N955" s="35" t="s">
        <v>278</v>
      </c>
      <c r="O955" s="68">
        <v>2024.48</v>
      </c>
      <c r="P955" s="70">
        <v>78.55</v>
      </c>
    </row>
    <row r="956" spans="13:16" x14ac:dyDescent="0.15">
      <c r="M956" s="35" t="s">
        <v>273</v>
      </c>
      <c r="N956" s="35" t="s">
        <v>288</v>
      </c>
      <c r="O956" s="68">
        <v>2025.03</v>
      </c>
      <c r="P956" s="70">
        <v>58981.440000000002</v>
      </c>
    </row>
    <row r="957" spans="13:16" x14ac:dyDescent="0.15">
      <c r="M957" s="35" t="s">
        <v>273</v>
      </c>
      <c r="N957" s="35" t="s">
        <v>1296</v>
      </c>
      <c r="O957" s="68">
        <v>2025.03</v>
      </c>
      <c r="P957" s="70">
        <v>92961.58</v>
      </c>
    </row>
    <row r="958" spans="13:16" x14ac:dyDescent="0.15">
      <c r="M958" s="35" t="s">
        <v>273</v>
      </c>
      <c r="N958" s="35" t="s">
        <v>280</v>
      </c>
      <c r="O958" s="68">
        <v>2025.03</v>
      </c>
      <c r="P958" s="70">
        <v>22735.66</v>
      </c>
    </row>
    <row r="959" spans="13:16" x14ac:dyDescent="0.15">
      <c r="M959" s="35" t="s">
        <v>273</v>
      </c>
      <c r="N959" s="35" t="s">
        <v>277</v>
      </c>
      <c r="O959" s="68">
        <v>2025.03</v>
      </c>
      <c r="P959" s="70">
        <v>166.2</v>
      </c>
    </row>
    <row r="960" spans="13:16" x14ac:dyDescent="0.15">
      <c r="M960" s="35" t="s">
        <v>273</v>
      </c>
      <c r="N960" s="35" t="s">
        <v>283</v>
      </c>
      <c r="O960" s="68">
        <v>2025.03</v>
      </c>
      <c r="P960" s="70">
        <v>6127.3</v>
      </c>
    </row>
    <row r="961" spans="13:16" x14ac:dyDescent="0.15">
      <c r="M961" s="35" t="s">
        <v>273</v>
      </c>
      <c r="N961" s="35" t="s">
        <v>1298</v>
      </c>
      <c r="O961" s="68">
        <v>2025.03</v>
      </c>
      <c r="P961" s="70">
        <v>16500.34</v>
      </c>
    </row>
    <row r="962" spans="13:16" x14ac:dyDescent="0.15">
      <c r="M962" s="35" t="s">
        <v>307</v>
      </c>
      <c r="N962" s="35" t="s">
        <v>280</v>
      </c>
      <c r="O962" s="68">
        <v>2025.03</v>
      </c>
      <c r="P962" s="70">
        <v>12340.94</v>
      </c>
    </row>
    <row r="963" spans="13:16" x14ac:dyDescent="0.15">
      <c r="M963" s="35" t="s">
        <v>307</v>
      </c>
      <c r="N963" s="35" t="s">
        <v>280</v>
      </c>
      <c r="O963" s="68">
        <v>2025.03</v>
      </c>
      <c r="P963" s="70">
        <v>15000</v>
      </c>
    </row>
    <row r="964" spans="13:16" x14ac:dyDescent="0.15">
      <c r="M964" s="35" t="s">
        <v>307</v>
      </c>
      <c r="N964" s="35" t="s">
        <v>281</v>
      </c>
      <c r="O964" s="68">
        <v>2025.03</v>
      </c>
      <c r="P964" s="70">
        <v>10611.33</v>
      </c>
    </row>
    <row r="965" spans="13:16" x14ac:dyDescent="0.15">
      <c r="M965" s="35" t="s">
        <v>307</v>
      </c>
      <c r="N965" s="35" t="s">
        <v>1297</v>
      </c>
      <c r="O965" s="68">
        <v>2025.03</v>
      </c>
      <c r="P965" s="70">
        <v>20.8</v>
      </c>
    </row>
    <row r="966" spans="13:16" x14ac:dyDescent="0.15">
      <c r="M966" s="35" t="s">
        <v>307</v>
      </c>
      <c r="N966" s="35" t="s">
        <v>1299</v>
      </c>
      <c r="O966" s="68">
        <v>2025.03</v>
      </c>
      <c r="P966" s="70">
        <v>26.23</v>
      </c>
    </row>
    <row r="967" spans="13:16" x14ac:dyDescent="0.15">
      <c r="M967" s="35" t="s">
        <v>309</v>
      </c>
      <c r="N967" s="35" t="s">
        <v>280</v>
      </c>
      <c r="O967" s="68">
        <v>2025.03</v>
      </c>
      <c r="P967" s="70">
        <v>12758.48</v>
      </c>
    </row>
    <row r="968" spans="13:16" x14ac:dyDescent="0.15">
      <c r="M968" s="35" t="s">
        <v>309</v>
      </c>
      <c r="N968" s="35" t="s">
        <v>277</v>
      </c>
      <c r="O968" s="68">
        <v>2025.03</v>
      </c>
      <c r="P968" s="70">
        <v>47426.8</v>
      </c>
    </row>
    <row r="969" spans="13:16" x14ac:dyDescent="0.15">
      <c r="M969" s="35" t="s">
        <v>274</v>
      </c>
      <c r="N969" s="35" t="s">
        <v>274</v>
      </c>
      <c r="O969" s="68">
        <v>2025.03</v>
      </c>
      <c r="P969" s="70">
        <v>45436.37</v>
      </c>
    </row>
    <row r="970" spans="13:16" x14ac:dyDescent="0.15">
      <c r="M970" s="35" t="s">
        <v>1136</v>
      </c>
      <c r="N970" s="35" t="s">
        <v>280</v>
      </c>
      <c r="O970" s="68">
        <v>2025.03</v>
      </c>
      <c r="P970" s="70">
        <v>9374.7199999999993</v>
      </c>
    </row>
    <row r="971" spans="13:16" x14ac:dyDescent="0.15">
      <c r="M971" s="35" t="s">
        <v>1136</v>
      </c>
      <c r="N971" s="35" t="s">
        <v>280</v>
      </c>
      <c r="O971" s="68">
        <v>2025.03</v>
      </c>
      <c r="P971" s="70">
        <v>18000</v>
      </c>
    </row>
    <row r="972" spans="13:16" x14ac:dyDescent="0.15">
      <c r="M972" s="35" t="s">
        <v>1136</v>
      </c>
      <c r="N972" s="35" t="s">
        <v>277</v>
      </c>
      <c r="O972" s="68">
        <v>2025.03</v>
      </c>
      <c r="P972" s="70">
        <v>24871.919999999998</v>
      </c>
    </row>
    <row r="973" spans="13:16" x14ac:dyDescent="0.15">
      <c r="M973" s="35" t="s">
        <v>1136</v>
      </c>
      <c r="N973" s="35" t="s">
        <v>283</v>
      </c>
      <c r="O973" s="68">
        <v>2025.03</v>
      </c>
      <c r="P973" s="70">
        <v>10461.5</v>
      </c>
    </row>
    <row r="974" spans="13:16" x14ac:dyDescent="0.15">
      <c r="M974" s="35" t="s">
        <v>1136</v>
      </c>
      <c r="N974" s="35" t="s">
        <v>282</v>
      </c>
      <c r="O974" s="68">
        <v>2025.03</v>
      </c>
      <c r="P974" s="70">
        <v>1141.25</v>
      </c>
    </row>
    <row r="975" spans="13:16" x14ac:dyDescent="0.15">
      <c r="M975" s="35" t="s">
        <v>302</v>
      </c>
      <c r="N975" s="35" t="s">
        <v>283</v>
      </c>
      <c r="O975" s="68">
        <v>2025.03</v>
      </c>
      <c r="P975" s="70">
        <v>3960</v>
      </c>
    </row>
    <row r="976" spans="13:16" x14ac:dyDescent="0.15">
      <c r="M976" s="35" t="s">
        <v>302</v>
      </c>
      <c r="N976" s="35" t="s">
        <v>283</v>
      </c>
      <c r="O976" s="68">
        <v>2025.03</v>
      </c>
      <c r="P976" s="70">
        <v>6588</v>
      </c>
    </row>
    <row r="977" spans="13:16" x14ac:dyDescent="0.15">
      <c r="M977" s="35" t="s">
        <v>302</v>
      </c>
      <c r="N977" s="35" t="s">
        <v>1298</v>
      </c>
      <c r="O977" s="68">
        <v>2025.03</v>
      </c>
      <c r="P977" s="70">
        <v>1985.44</v>
      </c>
    </row>
    <row r="978" spans="13:16" x14ac:dyDescent="0.15">
      <c r="M978" s="35" t="s">
        <v>1149</v>
      </c>
      <c r="N978" s="35" t="s">
        <v>277</v>
      </c>
      <c r="O978" s="68">
        <v>2025.03</v>
      </c>
      <c r="P978" s="70">
        <v>575.74</v>
      </c>
    </row>
    <row r="979" spans="13:16" x14ac:dyDescent="0.15">
      <c r="M979" s="35" t="s">
        <v>1149</v>
      </c>
      <c r="N979" s="35" t="s">
        <v>1298</v>
      </c>
      <c r="O979" s="68">
        <v>2025.03</v>
      </c>
      <c r="P979" s="70">
        <v>437.16</v>
      </c>
    </row>
    <row r="980" spans="13:16" x14ac:dyDescent="0.15">
      <c r="M980" s="35" t="s">
        <v>1149</v>
      </c>
      <c r="N980" s="35" t="s">
        <v>1298</v>
      </c>
      <c r="O980" s="68">
        <v>2025.03</v>
      </c>
      <c r="P980" s="70">
        <v>10394.799999999999</v>
      </c>
    </row>
    <row r="981" spans="13:16" x14ac:dyDescent="0.15">
      <c r="M981" s="35" t="s">
        <v>1153</v>
      </c>
      <c r="N981" s="35" t="s">
        <v>1297</v>
      </c>
      <c r="O981" s="68">
        <v>2025.03</v>
      </c>
      <c r="P981" s="70">
        <v>477996</v>
      </c>
    </row>
    <row r="982" spans="13:16" x14ac:dyDescent="0.15">
      <c r="M982" s="35" t="s">
        <v>1153</v>
      </c>
      <c r="N982" s="35" t="s">
        <v>1297</v>
      </c>
      <c r="O982" s="68">
        <v>2025.03</v>
      </c>
      <c r="P982" s="70">
        <v>21108.92</v>
      </c>
    </row>
    <row r="983" spans="13:16" x14ac:dyDescent="0.15">
      <c r="M983" s="35" t="s">
        <v>1150</v>
      </c>
      <c r="N983" s="35" t="s">
        <v>1132</v>
      </c>
      <c r="O983" s="68">
        <v>2025.03</v>
      </c>
      <c r="P983" s="70">
        <v>201099.42</v>
      </c>
    </row>
    <row r="984" spans="13:16" x14ac:dyDescent="0.15">
      <c r="M984" s="35" t="s">
        <v>1150</v>
      </c>
      <c r="N984" s="35" t="s">
        <v>1132</v>
      </c>
      <c r="O984" s="68">
        <v>2025.03</v>
      </c>
      <c r="P984" s="70">
        <v>29023.5</v>
      </c>
    </row>
    <row r="985" spans="13:16" x14ac:dyDescent="0.15">
      <c r="M985" s="35" t="s">
        <v>1150</v>
      </c>
      <c r="N985" s="35" t="s">
        <v>282</v>
      </c>
      <c r="O985" s="68">
        <v>2025.03</v>
      </c>
      <c r="P985" s="70">
        <v>25</v>
      </c>
    </row>
    <row r="986" spans="13:16" x14ac:dyDescent="0.15">
      <c r="M986" s="35" t="s">
        <v>1150</v>
      </c>
      <c r="N986" s="35" t="s">
        <v>1299</v>
      </c>
      <c r="O986" s="68">
        <v>2025.03</v>
      </c>
      <c r="P986" s="70">
        <v>86.78</v>
      </c>
    </row>
    <row r="987" spans="13:16" x14ac:dyDescent="0.15">
      <c r="M987" s="35" t="s">
        <v>1138</v>
      </c>
      <c r="N987" s="35" t="s">
        <v>1132</v>
      </c>
      <c r="O987" s="68">
        <v>2025.03</v>
      </c>
      <c r="P987" s="70">
        <v>12635.6</v>
      </c>
    </row>
    <row r="988" spans="13:16" x14ac:dyDescent="0.15">
      <c r="M988" s="35" t="s">
        <v>1138</v>
      </c>
      <c r="N988" s="35" t="s">
        <v>1132</v>
      </c>
      <c r="O988" s="68">
        <v>2025.03</v>
      </c>
      <c r="P988" s="70">
        <v>3694.55</v>
      </c>
    </row>
    <row r="989" spans="13:16" x14ac:dyDescent="0.15">
      <c r="M989" s="35" t="s">
        <v>262</v>
      </c>
      <c r="N989" s="35" t="s">
        <v>1297</v>
      </c>
      <c r="O989" s="68">
        <v>2025.03</v>
      </c>
      <c r="P989" s="70">
        <v>277.61</v>
      </c>
    </row>
    <row r="990" spans="13:16" x14ac:dyDescent="0.15">
      <c r="M990" s="35" t="s">
        <v>262</v>
      </c>
      <c r="N990" s="35" t="s">
        <v>1297</v>
      </c>
      <c r="O990" s="68">
        <v>2025.03</v>
      </c>
      <c r="P990" s="70">
        <v>2930.33</v>
      </c>
    </row>
    <row r="991" spans="13:16" x14ac:dyDescent="0.15">
      <c r="M991" s="35" t="s">
        <v>262</v>
      </c>
      <c r="N991" s="35" t="s">
        <v>283</v>
      </c>
      <c r="O991" s="68">
        <v>2025.03</v>
      </c>
      <c r="P991" s="70">
        <v>17351.78</v>
      </c>
    </row>
    <row r="992" spans="13:16" x14ac:dyDescent="0.15">
      <c r="M992" s="35" t="s">
        <v>262</v>
      </c>
      <c r="N992" s="35" t="s">
        <v>1300</v>
      </c>
      <c r="O992" s="68">
        <v>2025.03</v>
      </c>
      <c r="P992" s="70">
        <v>141.6</v>
      </c>
    </row>
    <row r="993" spans="13:16" x14ac:dyDescent="0.15">
      <c r="M993" s="35" t="s">
        <v>275</v>
      </c>
      <c r="N993" s="35" t="s">
        <v>1297</v>
      </c>
      <c r="O993" s="68">
        <v>2025.03</v>
      </c>
      <c r="P993" s="70">
        <v>7012.29</v>
      </c>
    </row>
    <row r="994" spans="13:16" x14ac:dyDescent="0.15">
      <c r="M994" s="35" t="s">
        <v>275</v>
      </c>
      <c r="N994" s="35" t="s">
        <v>1297</v>
      </c>
      <c r="O994" s="68">
        <v>2025.03</v>
      </c>
      <c r="P994" s="70">
        <v>178.56</v>
      </c>
    </row>
    <row r="995" spans="13:16" x14ac:dyDescent="0.15">
      <c r="M995" s="35" t="s">
        <v>275</v>
      </c>
      <c r="N995" s="35" t="s">
        <v>284</v>
      </c>
      <c r="O995" s="68">
        <v>2025.03</v>
      </c>
      <c r="P995" s="70">
        <v>5125.6899999999996</v>
      </c>
    </row>
    <row r="996" spans="13:16" x14ac:dyDescent="0.15">
      <c r="M996" s="35" t="s">
        <v>275</v>
      </c>
      <c r="N996" s="35" t="s">
        <v>284</v>
      </c>
      <c r="O996" s="68">
        <v>2025.03</v>
      </c>
      <c r="P996" s="70">
        <v>20693.560000000001</v>
      </c>
    </row>
    <row r="997" spans="13:16" x14ac:dyDescent="0.15">
      <c r="M997" s="35" t="s">
        <v>275</v>
      </c>
      <c r="N997" s="35" t="s">
        <v>1298</v>
      </c>
      <c r="O997" s="68">
        <v>2025.03</v>
      </c>
      <c r="P997" s="70">
        <v>2649.84</v>
      </c>
    </row>
    <row r="998" spans="13:16" x14ac:dyDescent="0.15">
      <c r="M998" s="35" t="s">
        <v>275</v>
      </c>
      <c r="N998" s="35" t="s">
        <v>282</v>
      </c>
      <c r="O998" s="68">
        <v>2025.03</v>
      </c>
      <c r="P998" s="70">
        <v>21.88</v>
      </c>
    </row>
    <row r="999" spans="13:16" x14ac:dyDescent="0.15">
      <c r="M999" s="35" t="s">
        <v>275</v>
      </c>
      <c r="N999" s="35" t="s">
        <v>1299</v>
      </c>
      <c r="O999" s="68">
        <v>2025.03</v>
      </c>
      <c r="P999" s="70">
        <v>97551.81</v>
      </c>
    </row>
    <row r="1000" spans="13:16" x14ac:dyDescent="0.15">
      <c r="M1000" s="35" t="s">
        <v>275</v>
      </c>
      <c r="N1000" s="35" t="s">
        <v>1300</v>
      </c>
      <c r="O1000" s="68">
        <v>2025.03</v>
      </c>
      <c r="P1000" s="70">
        <v>11.1</v>
      </c>
    </row>
    <row r="1001" spans="13:16" x14ac:dyDescent="0.15">
      <c r="M1001" s="35" t="s">
        <v>276</v>
      </c>
      <c r="N1001" s="35" t="s">
        <v>1297</v>
      </c>
      <c r="O1001" s="68">
        <v>2025.03</v>
      </c>
      <c r="P1001" s="70">
        <v>874.96</v>
      </c>
    </row>
    <row r="1002" spans="13:16" x14ac:dyDescent="0.15">
      <c r="M1002" s="35" t="s">
        <v>276</v>
      </c>
      <c r="N1002" s="35" t="s">
        <v>1297</v>
      </c>
      <c r="O1002" s="68">
        <v>2025.03</v>
      </c>
      <c r="P1002" s="70">
        <v>40803.660000000003</v>
      </c>
    </row>
    <row r="1003" spans="13:16" x14ac:dyDescent="0.15">
      <c r="M1003" s="35" t="s">
        <v>276</v>
      </c>
      <c r="N1003" s="35" t="s">
        <v>282</v>
      </c>
      <c r="O1003" s="68">
        <v>2025.03</v>
      </c>
      <c r="P1003" s="70">
        <v>17106.5</v>
      </c>
    </row>
    <row r="1004" spans="13:16" x14ac:dyDescent="0.15">
      <c r="M1004" s="35" t="s">
        <v>276</v>
      </c>
      <c r="N1004" s="35" t="s">
        <v>282</v>
      </c>
      <c r="O1004" s="68">
        <v>2025.03</v>
      </c>
      <c r="P1004" s="70">
        <v>78300</v>
      </c>
    </row>
    <row r="1005" spans="13:16" x14ac:dyDescent="0.15">
      <c r="M1005" s="35" t="s">
        <v>276</v>
      </c>
      <c r="N1005" s="35" t="s">
        <v>282</v>
      </c>
      <c r="O1005" s="68">
        <v>2025.03</v>
      </c>
      <c r="P1005" s="70">
        <v>327229.05</v>
      </c>
    </row>
    <row r="1006" spans="13:16" x14ac:dyDescent="0.15">
      <c r="M1006" s="35" t="s">
        <v>276</v>
      </c>
      <c r="N1006" s="35" t="s">
        <v>1299</v>
      </c>
      <c r="O1006" s="68">
        <v>2025.03</v>
      </c>
      <c r="P1006" s="70">
        <v>36132.57</v>
      </c>
    </row>
    <row r="1007" spans="13:16" x14ac:dyDescent="0.15">
      <c r="M1007" s="35" t="s">
        <v>276</v>
      </c>
      <c r="N1007" s="35" t="s">
        <v>1300</v>
      </c>
      <c r="O1007" s="68">
        <v>2025.03</v>
      </c>
      <c r="P1007" s="70">
        <v>201.29</v>
      </c>
    </row>
    <row r="1008" spans="13:16" x14ac:dyDescent="0.15">
      <c r="M1008" s="35" t="s">
        <v>1146</v>
      </c>
      <c r="N1008" s="35" t="s">
        <v>1297</v>
      </c>
      <c r="O1008" s="68">
        <v>2025.03</v>
      </c>
      <c r="P1008" s="70">
        <v>31.88</v>
      </c>
    </row>
    <row r="1009" spans="13:16" x14ac:dyDescent="0.15">
      <c r="M1009" s="35" t="s">
        <v>1146</v>
      </c>
      <c r="N1009" s="35" t="s">
        <v>1297</v>
      </c>
      <c r="O1009" s="68">
        <v>2025.03</v>
      </c>
      <c r="P1009" s="70">
        <v>206.05</v>
      </c>
    </row>
    <row r="1010" spans="13:16" x14ac:dyDescent="0.15">
      <c r="M1010" s="35" t="s">
        <v>1146</v>
      </c>
      <c r="N1010" s="35" t="s">
        <v>1297</v>
      </c>
      <c r="O1010" s="68">
        <v>2025.03</v>
      </c>
      <c r="P1010" s="70">
        <v>118000</v>
      </c>
    </row>
    <row r="1011" spans="13:16" x14ac:dyDescent="0.15">
      <c r="M1011" s="35" t="s">
        <v>1146</v>
      </c>
      <c r="N1011" s="35" t="s">
        <v>1297</v>
      </c>
      <c r="O1011" s="68">
        <v>2025.03</v>
      </c>
      <c r="P1011" s="70">
        <v>4073.79</v>
      </c>
    </row>
    <row r="1012" spans="13:16" x14ac:dyDescent="0.15">
      <c r="M1012" s="35" t="s">
        <v>1146</v>
      </c>
      <c r="N1012" s="35" t="s">
        <v>283</v>
      </c>
      <c r="O1012" s="68">
        <v>2025.03</v>
      </c>
      <c r="P1012" s="70">
        <v>24931.42</v>
      </c>
    </row>
    <row r="1013" spans="13:16" x14ac:dyDescent="0.15">
      <c r="M1013" s="35" t="s">
        <v>1146</v>
      </c>
      <c r="N1013" s="35" t="s">
        <v>283</v>
      </c>
      <c r="O1013" s="68">
        <v>2025.03</v>
      </c>
      <c r="P1013" s="70">
        <v>32258</v>
      </c>
    </row>
    <row r="1014" spans="13:16" x14ac:dyDescent="0.15">
      <c r="M1014" s="35" t="s">
        <v>1146</v>
      </c>
      <c r="N1014" s="35" t="s">
        <v>1298</v>
      </c>
      <c r="O1014" s="68">
        <v>2025.03</v>
      </c>
      <c r="P1014" s="70">
        <v>13719.54</v>
      </c>
    </row>
    <row r="1015" spans="13:16" x14ac:dyDescent="0.15">
      <c r="M1015" s="35" t="s">
        <v>1146</v>
      </c>
      <c r="N1015" s="35" t="s">
        <v>1298</v>
      </c>
      <c r="O1015" s="68">
        <v>2025.03</v>
      </c>
      <c r="P1015" s="70">
        <v>107160.56</v>
      </c>
    </row>
    <row r="1016" spans="13:16" x14ac:dyDescent="0.15">
      <c r="M1016" s="35" t="s">
        <v>1146</v>
      </c>
      <c r="N1016" s="35" t="s">
        <v>282</v>
      </c>
      <c r="O1016" s="68">
        <v>2025.03</v>
      </c>
      <c r="P1016" s="70">
        <v>208.33</v>
      </c>
    </row>
    <row r="1017" spans="13:16" x14ac:dyDescent="0.15">
      <c r="M1017" s="35" t="s">
        <v>1146</v>
      </c>
      <c r="N1017" s="35" t="s">
        <v>1299</v>
      </c>
      <c r="O1017" s="68">
        <v>2025.03</v>
      </c>
      <c r="P1017" s="70">
        <v>100815.92</v>
      </c>
    </row>
    <row r="1018" spans="13:16" x14ac:dyDescent="0.15">
      <c r="M1018" s="35" t="s">
        <v>1146</v>
      </c>
      <c r="N1018" s="35" t="s">
        <v>1300</v>
      </c>
      <c r="O1018" s="68">
        <v>2025.03</v>
      </c>
      <c r="P1018" s="70">
        <v>2696.35</v>
      </c>
    </row>
    <row r="1019" spans="13:16" x14ac:dyDescent="0.15">
      <c r="M1019" s="35" t="s">
        <v>1151</v>
      </c>
      <c r="N1019" s="35" t="s">
        <v>282</v>
      </c>
      <c r="O1019" s="68">
        <v>2025.03</v>
      </c>
      <c r="P1019" s="70">
        <v>27972.75</v>
      </c>
    </row>
    <row r="1020" spans="13:16" x14ac:dyDescent="0.15">
      <c r="M1020" s="35" t="s">
        <v>1151</v>
      </c>
      <c r="N1020" s="35" t="s">
        <v>282</v>
      </c>
      <c r="O1020" s="68">
        <v>2025.03</v>
      </c>
      <c r="P1020" s="70">
        <v>496482.8</v>
      </c>
    </row>
    <row r="1021" spans="13:16" x14ac:dyDescent="0.15">
      <c r="M1021" s="35" t="s">
        <v>1151</v>
      </c>
      <c r="N1021" s="35" t="s">
        <v>283</v>
      </c>
      <c r="O1021" s="68">
        <v>2025.03</v>
      </c>
      <c r="P1021" s="70">
        <v>4676.79</v>
      </c>
    </row>
    <row r="1022" spans="13:16" x14ac:dyDescent="0.15">
      <c r="M1022" s="35" t="s">
        <v>1151</v>
      </c>
      <c r="N1022" s="35" t="s">
        <v>278</v>
      </c>
      <c r="O1022" s="68">
        <v>2025.03</v>
      </c>
      <c r="P1022" s="70">
        <v>13037.16</v>
      </c>
    </row>
    <row r="1023" spans="13:16" x14ac:dyDescent="0.15">
      <c r="M1023" s="35" t="s">
        <v>1151</v>
      </c>
      <c r="N1023" s="35" t="s">
        <v>1297</v>
      </c>
      <c r="O1023" s="68">
        <v>2025.03</v>
      </c>
      <c r="P1023" s="70">
        <v>125263.05</v>
      </c>
    </row>
    <row r="1024" spans="13:16" x14ac:dyDescent="0.15">
      <c r="M1024" s="35" t="s">
        <v>1151</v>
      </c>
      <c r="N1024" s="35" t="s">
        <v>1299</v>
      </c>
      <c r="O1024" s="68">
        <v>2025.03</v>
      </c>
      <c r="P1024" s="70">
        <v>48.56</v>
      </c>
    </row>
    <row r="1025" spans="13:16" x14ac:dyDescent="0.15">
      <c r="M1025" s="35" t="s">
        <v>1151</v>
      </c>
      <c r="N1025" s="35" t="s">
        <v>1300</v>
      </c>
      <c r="O1025" s="68">
        <v>2025.03</v>
      </c>
      <c r="P1025" s="70">
        <v>809.14</v>
      </c>
    </row>
    <row r="1026" spans="13:16" x14ac:dyDescent="0.15">
      <c r="M1026" s="35" t="s">
        <v>1152</v>
      </c>
      <c r="N1026" s="35" t="s">
        <v>1297</v>
      </c>
      <c r="O1026" s="68">
        <v>2025.03</v>
      </c>
      <c r="P1026" s="70">
        <v>187.24</v>
      </c>
    </row>
    <row r="1027" spans="13:16" x14ac:dyDescent="0.15">
      <c r="M1027" s="35" t="s">
        <v>1152</v>
      </c>
      <c r="N1027" s="35" t="s">
        <v>1297</v>
      </c>
      <c r="O1027" s="68">
        <v>2025.03</v>
      </c>
      <c r="P1027" s="70">
        <v>667.84</v>
      </c>
    </row>
    <row r="1028" spans="13:16" x14ac:dyDescent="0.15">
      <c r="M1028" s="35" t="s">
        <v>1152</v>
      </c>
      <c r="N1028" s="35" t="s">
        <v>1297</v>
      </c>
      <c r="O1028" s="68">
        <v>2025.03</v>
      </c>
      <c r="P1028" s="70">
        <v>8801.57</v>
      </c>
    </row>
    <row r="1029" spans="13:16" x14ac:dyDescent="0.15">
      <c r="M1029" s="35" t="s">
        <v>1152</v>
      </c>
      <c r="N1029" s="35" t="s">
        <v>282</v>
      </c>
      <c r="O1029" s="68">
        <v>2025.03</v>
      </c>
      <c r="P1029" s="70">
        <v>5799</v>
      </c>
    </row>
    <row r="1030" spans="13:16" x14ac:dyDescent="0.15">
      <c r="M1030" s="35" t="s">
        <v>1152</v>
      </c>
      <c r="N1030" s="35" t="s">
        <v>282</v>
      </c>
      <c r="O1030" s="68">
        <v>2025.03</v>
      </c>
      <c r="P1030" s="70">
        <v>75.8</v>
      </c>
    </row>
    <row r="1031" spans="13:16" x14ac:dyDescent="0.15">
      <c r="M1031" s="35" t="s">
        <v>1152</v>
      </c>
      <c r="N1031" s="35" t="s">
        <v>1298</v>
      </c>
      <c r="O1031" s="68">
        <v>2025.03</v>
      </c>
      <c r="P1031" s="70">
        <v>3961.76</v>
      </c>
    </row>
    <row r="1032" spans="13:16" x14ac:dyDescent="0.15">
      <c r="M1032" s="35" t="s">
        <v>1152</v>
      </c>
      <c r="N1032" s="35" t="s">
        <v>1298</v>
      </c>
      <c r="O1032" s="68">
        <v>2025.03</v>
      </c>
      <c r="P1032" s="70">
        <v>52355</v>
      </c>
    </row>
    <row r="1033" spans="13:16" x14ac:dyDescent="0.15">
      <c r="M1033" s="35" t="s">
        <v>1152</v>
      </c>
      <c r="N1033" s="35" t="s">
        <v>1299</v>
      </c>
      <c r="O1033" s="68">
        <v>2025.03</v>
      </c>
      <c r="P1033" s="70">
        <v>110264.88</v>
      </c>
    </row>
    <row r="1034" spans="13:16" x14ac:dyDescent="0.15">
      <c r="M1034" s="35" t="s">
        <v>1152</v>
      </c>
      <c r="N1034" s="35" t="s">
        <v>1300</v>
      </c>
      <c r="O1034" s="68">
        <v>2025.03</v>
      </c>
      <c r="P1034" s="70">
        <v>99323.31</v>
      </c>
    </row>
    <row r="1035" spans="13:16" x14ac:dyDescent="0.15">
      <c r="M1035" s="35" t="s">
        <v>256</v>
      </c>
      <c r="N1035" s="35" t="s">
        <v>1297</v>
      </c>
      <c r="O1035" s="68">
        <v>2025.03</v>
      </c>
      <c r="P1035" s="70">
        <v>420612.8</v>
      </c>
    </row>
    <row r="1036" spans="13:16" x14ac:dyDescent="0.15">
      <c r="M1036" s="35" t="s">
        <v>1147</v>
      </c>
      <c r="N1036" s="35" t="s">
        <v>280</v>
      </c>
      <c r="O1036" s="68">
        <v>2025.03</v>
      </c>
      <c r="P1036" s="70">
        <v>9920.06</v>
      </c>
    </row>
    <row r="1037" spans="13:16" x14ac:dyDescent="0.15">
      <c r="M1037" s="35" t="s">
        <v>1147</v>
      </c>
      <c r="N1037" s="35" t="s">
        <v>280</v>
      </c>
      <c r="O1037" s="68">
        <v>2025.03</v>
      </c>
      <c r="P1037" s="70">
        <v>3693.28</v>
      </c>
    </row>
    <row r="1038" spans="13:16" x14ac:dyDescent="0.15">
      <c r="M1038" s="35" t="s">
        <v>255</v>
      </c>
      <c r="N1038" s="35" t="s">
        <v>282</v>
      </c>
      <c r="O1038" s="68">
        <v>2025.03</v>
      </c>
      <c r="P1038" s="70">
        <v>3872</v>
      </c>
    </row>
    <row r="1039" spans="13:16" x14ac:dyDescent="0.15">
      <c r="M1039" s="35" t="s">
        <v>255</v>
      </c>
      <c r="N1039" s="35" t="s">
        <v>283</v>
      </c>
      <c r="O1039" s="68">
        <v>2025.03</v>
      </c>
      <c r="P1039" s="70">
        <v>1783.6</v>
      </c>
    </row>
    <row r="1040" spans="13:16" x14ac:dyDescent="0.15">
      <c r="M1040" s="35" t="s">
        <v>255</v>
      </c>
      <c r="N1040" s="35" t="s">
        <v>1298</v>
      </c>
      <c r="O1040" s="68">
        <v>2025.03</v>
      </c>
      <c r="P1040" s="70">
        <v>582.88</v>
      </c>
    </row>
    <row r="1041" spans="13:16" x14ac:dyDescent="0.15">
      <c r="M1041" s="35" t="s">
        <v>1137</v>
      </c>
      <c r="N1041" s="35" t="s">
        <v>283</v>
      </c>
      <c r="O1041" s="68">
        <v>2025.03</v>
      </c>
      <c r="P1041" s="70">
        <v>1029</v>
      </c>
    </row>
    <row r="1042" spans="13:16" x14ac:dyDescent="0.15">
      <c r="M1042" s="35" t="s">
        <v>1137</v>
      </c>
      <c r="N1042" s="35" t="s">
        <v>278</v>
      </c>
      <c r="O1042" s="68">
        <v>2025.03</v>
      </c>
      <c r="P1042" s="70">
        <v>78.55</v>
      </c>
    </row>
    <row r="1043" spans="13:16" x14ac:dyDescent="0.15">
      <c r="M1043" s="35" t="s">
        <v>1137</v>
      </c>
      <c r="N1043" s="35" t="s">
        <v>1298</v>
      </c>
      <c r="O1043" s="68">
        <v>2025.03</v>
      </c>
      <c r="P1043" s="70">
        <v>1020.04</v>
      </c>
    </row>
    <row r="1044" spans="13:16" x14ac:dyDescent="0.15">
      <c r="M1044" s="35" t="s">
        <v>273</v>
      </c>
      <c r="N1044" s="35" t="s">
        <v>288</v>
      </c>
      <c r="O1044" s="68">
        <v>2024.09</v>
      </c>
      <c r="P1044" s="70">
        <v>27239.52</v>
      </c>
    </row>
    <row r="1045" spans="13:16" x14ac:dyDescent="0.15">
      <c r="M1045" s="35" t="s">
        <v>273</v>
      </c>
      <c r="N1045" s="35" t="s">
        <v>1296</v>
      </c>
      <c r="O1045" s="68">
        <v>2024.09</v>
      </c>
      <c r="P1045" s="70">
        <v>34884.17</v>
      </c>
    </row>
    <row r="1046" spans="13:16" x14ac:dyDescent="0.15">
      <c r="M1046" s="35" t="s">
        <v>273</v>
      </c>
      <c r="N1046" s="35" t="s">
        <v>280</v>
      </c>
      <c r="O1046" s="68">
        <v>2024.09</v>
      </c>
      <c r="P1046" s="70">
        <v>10167.780000000001</v>
      </c>
    </row>
    <row r="1047" spans="13:16" x14ac:dyDescent="0.15">
      <c r="M1047" s="35" t="s">
        <v>273</v>
      </c>
      <c r="N1047" s="35" t="s">
        <v>283</v>
      </c>
      <c r="O1047" s="68">
        <v>2024.09</v>
      </c>
      <c r="P1047" s="70">
        <v>3589.1</v>
      </c>
    </row>
    <row r="1048" spans="13:16" x14ac:dyDescent="0.15">
      <c r="M1048" s="35" t="s">
        <v>273</v>
      </c>
      <c r="N1048" s="35" t="s">
        <v>1298</v>
      </c>
      <c r="O1048" s="68">
        <v>2024.09</v>
      </c>
      <c r="P1048" s="70">
        <v>2910.51</v>
      </c>
    </row>
    <row r="1049" spans="13:16" x14ac:dyDescent="0.15">
      <c r="M1049" s="35" t="s">
        <v>307</v>
      </c>
      <c r="N1049" s="35" t="s">
        <v>280</v>
      </c>
      <c r="O1049" s="68">
        <v>2024.09</v>
      </c>
      <c r="P1049" s="70">
        <v>15000</v>
      </c>
    </row>
    <row r="1050" spans="13:16" x14ac:dyDescent="0.15">
      <c r="M1050" s="35" t="s">
        <v>307</v>
      </c>
      <c r="N1050" s="35" t="s">
        <v>281</v>
      </c>
      <c r="O1050" s="68">
        <v>2024.09</v>
      </c>
      <c r="P1050" s="70">
        <v>2950.12</v>
      </c>
    </row>
    <row r="1051" spans="13:16" x14ac:dyDescent="0.15">
      <c r="M1051" s="35" t="s">
        <v>309</v>
      </c>
      <c r="N1051" s="35" t="s">
        <v>280</v>
      </c>
      <c r="O1051" s="68">
        <v>2024.09</v>
      </c>
      <c r="P1051" s="70">
        <v>4594.08</v>
      </c>
    </row>
    <row r="1052" spans="13:16" x14ac:dyDescent="0.15">
      <c r="M1052" s="35" t="s">
        <v>309</v>
      </c>
      <c r="N1052" s="35" t="s">
        <v>280</v>
      </c>
      <c r="O1052" s="68">
        <v>2024.09</v>
      </c>
      <c r="P1052" s="70">
        <v>16200</v>
      </c>
    </row>
    <row r="1053" spans="13:16" x14ac:dyDescent="0.15">
      <c r="M1053" s="35" t="s">
        <v>309</v>
      </c>
      <c r="N1053" s="35" t="s">
        <v>277</v>
      </c>
      <c r="O1053" s="68">
        <v>2024.09</v>
      </c>
      <c r="P1053" s="70">
        <v>15716.32</v>
      </c>
    </row>
    <row r="1054" spans="13:16" x14ac:dyDescent="0.15">
      <c r="M1054" s="35" t="s">
        <v>274</v>
      </c>
      <c r="N1054" s="35" t="s">
        <v>274</v>
      </c>
      <c r="O1054" s="68">
        <v>2024.09</v>
      </c>
      <c r="P1054" s="70">
        <v>28250.83</v>
      </c>
    </row>
    <row r="1055" spans="13:16" x14ac:dyDescent="0.15">
      <c r="M1055" s="35" t="s">
        <v>1136</v>
      </c>
      <c r="N1055" s="35" t="s">
        <v>280</v>
      </c>
      <c r="O1055" s="68">
        <v>2024.09</v>
      </c>
      <c r="P1055" s="70">
        <v>114750</v>
      </c>
    </row>
    <row r="1056" spans="13:16" x14ac:dyDescent="0.15">
      <c r="M1056" s="35" t="s">
        <v>1136</v>
      </c>
      <c r="N1056" s="35" t="s">
        <v>277</v>
      </c>
      <c r="O1056" s="68">
        <v>2024.09</v>
      </c>
      <c r="P1056" s="70">
        <v>115850</v>
      </c>
    </row>
    <row r="1057" spans="13:16" x14ac:dyDescent="0.15">
      <c r="M1057" s="35" t="s">
        <v>302</v>
      </c>
      <c r="N1057" s="35" t="s">
        <v>283</v>
      </c>
      <c r="O1057" s="68">
        <v>2024.09</v>
      </c>
      <c r="P1057" s="70">
        <v>19800</v>
      </c>
    </row>
    <row r="1058" spans="13:16" x14ac:dyDescent="0.15">
      <c r="M1058" s="35" t="s">
        <v>302</v>
      </c>
      <c r="N1058" s="35" t="s">
        <v>283</v>
      </c>
      <c r="O1058" s="68">
        <v>2024.09</v>
      </c>
      <c r="P1058" s="70">
        <v>32940</v>
      </c>
    </row>
    <row r="1059" spans="13:16" x14ac:dyDescent="0.15">
      <c r="M1059" s="35" t="s">
        <v>1149</v>
      </c>
      <c r="N1059" s="35" t="s">
        <v>280</v>
      </c>
      <c r="O1059" s="68">
        <v>2024.09</v>
      </c>
      <c r="P1059" s="70">
        <v>140400</v>
      </c>
    </row>
    <row r="1060" spans="13:16" x14ac:dyDescent="0.15">
      <c r="M1060" s="35" t="s">
        <v>1149</v>
      </c>
      <c r="N1060" s="35" t="s">
        <v>277</v>
      </c>
      <c r="O1060" s="68">
        <v>2024.09</v>
      </c>
      <c r="P1060" s="70">
        <v>118800</v>
      </c>
    </row>
    <row r="1061" spans="13:16" x14ac:dyDescent="0.15">
      <c r="M1061" s="35" t="s">
        <v>1153</v>
      </c>
      <c r="N1061" s="35" t="s">
        <v>1297</v>
      </c>
      <c r="O1061" s="68">
        <v>2024.09</v>
      </c>
      <c r="P1061" s="70">
        <v>477996</v>
      </c>
    </row>
    <row r="1062" spans="13:16" x14ac:dyDescent="0.15">
      <c r="M1062" s="35" t="s">
        <v>1150</v>
      </c>
      <c r="N1062" s="35" t="s">
        <v>1132</v>
      </c>
      <c r="O1062" s="68">
        <v>2024.09</v>
      </c>
      <c r="P1062" s="70">
        <v>133532.43</v>
      </c>
    </row>
    <row r="1063" spans="13:16" x14ac:dyDescent="0.15">
      <c r="M1063" s="35" t="s">
        <v>1150</v>
      </c>
      <c r="N1063" s="35" t="s">
        <v>1132</v>
      </c>
      <c r="O1063" s="68">
        <v>2024.09</v>
      </c>
      <c r="P1063" s="70">
        <v>17143.5</v>
      </c>
    </row>
    <row r="1064" spans="13:16" x14ac:dyDescent="0.15">
      <c r="M1064" s="35" t="s">
        <v>1138</v>
      </c>
      <c r="N1064" s="35" t="s">
        <v>1132</v>
      </c>
      <c r="O1064" s="68">
        <v>2024.09</v>
      </c>
      <c r="P1064" s="70">
        <v>1772.55</v>
      </c>
    </row>
    <row r="1065" spans="13:16" x14ac:dyDescent="0.15">
      <c r="M1065" s="35" t="s">
        <v>1138</v>
      </c>
      <c r="N1065" s="35" t="s">
        <v>1132</v>
      </c>
      <c r="O1065" s="68">
        <v>2024.09</v>
      </c>
      <c r="P1065" s="70">
        <v>3694.55</v>
      </c>
    </row>
    <row r="1066" spans="13:16" x14ac:dyDescent="0.15">
      <c r="M1066" s="35" t="s">
        <v>262</v>
      </c>
      <c r="N1066" s="35" t="s">
        <v>283</v>
      </c>
      <c r="O1066" s="68">
        <v>2024.09</v>
      </c>
      <c r="P1066" s="70">
        <v>1549</v>
      </c>
    </row>
    <row r="1067" spans="13:16" x14ac:dyDescent="0.15">
      <c r="M1067" s="35" t="s">
        <v>262</v>
      </c>
      <c r="N1067" s="35" t="s">
        <v>1297</v>
      </c>
      <c r="O1067" s="68">
        <v>2024.09</v>
      </c>
      <c r="P1067" s="70">
        <v>26.3</v>
      </c>
    </row>
    <row r="1068" spans="13:16" x14ac:dyDescent="0.15">
      <c r="M1068" s="35" t="s">
        <v>275</v>
      </c>
      <c r="N1068" s="35" t="s">
        <v>1297</v>
      </c>
      <c r="O1068" s="68">
        <v>2024.09</v>
      </c>
      <c r="P1068" s="70">
        <v>7012.29</v>
      </c>
    </row>
    <row r="1069" spans="13:16" x14ac:dyDescent="0.15">
      <c r="M1069" s="35" t="s">
        <v>275</v>
      </c>
      <c r="N1069" s="35" t="s">
        <v>1297</v>
      </c>
      <c r="O1069" s="68">
        <v>2024.09</v>
      </c>
      <c r="P1069" s="70">
        <v>99.9</v>
      </c>
    </row>
    <row r="1070" spans="13:16" x14ac:dyDescent="0.15">
      <c r="M1070" s="35" t="s">
        <v>275</v>
      </c>
      <c r="N1070" s="35" t="s">
        <v>284</v>
      </c>
      <c r="O1070" s="68">
        <v>2024.09</v>
      </c>
      <c r="P1070" s="70">
        <v>79.739999999999995</v>
      </c>
    </row>
    <row r="1071" spans="13:16" x14ac:dyDescent="0.15">
      <c r="M1071" s="35" t="s">
        <v>275</v>
      </c>
      <c r="N1071" s="35" t="s">
        <v>284</v>
      </c>
      <c r="O1071" s="68">
        <v>2024.09</v>
      </c>
      <c r="P1071" s="70">
        <v>20693.55</v>
      </c>
    </row>
    <row r="1072" spans="13:16" x14ac:dyDescent="0.15">
      <c r="M1072" s="35" t="s">
        <v>275</v>
      </c>
      <c r="N1072" s="35" t="s">
        <v>1299</v>
      </c>
      <c r="O1072" s="68">
        <v>2024.09</v>
      </c>
      <c r="P1072" s="70">
        <v>89339.07</v>
      </c>
    </row>
    <row r="1073" spans="13:16" x14ac:dyDescent="0.15">
      <c r="M1073" s="35" t="s">
        <v>276</v>
      </c>
      <c r="N1073" s="35" t="s">
        <v>1297</v>
      </c>
      <c r="O1073" s="68">
        <v>2024.09</v>
      </c>
      <c r="P1073" s="70">
        <v>848.98</v>
      </c>
    </row>
    <row r="1074" spans="13:16" x14ac:dyDescent="0.15">
      <c r="M1074" s="35" t="s">
        <v>276</v>
      </c>
      <c r="N1074" s="35" t="s">
        <v>1297</v>
      </c>
      <c r="O1074" s="68">
        <v>2024.09</v>
      </c>
      <c r="P1074" s="70">
        <v>27084.01</v>
      </c>
    </row>
    <row r="1075" spans="13:16" x14ac:dyDescent="0.15">
      <c r="M1075" s="35" t="s">
        <v>276</v>
      </c>
      <c r="N1075" s="35" t="s">
        <v>282</v>
      </c>
      <c r="O1075" s="68">
        <v>2024.09</v>
      </c>
      <c r="P1075" s="70">
        <v>78300</v>
      </c>
    </row>
    <row r="1076" spans="13:16" x14ac:dyDescent="0.15">
      <c r="M1076" s="35" t="s">
        <v>276</v>
      </c>
      <c r="N1076" s="35" t="s">
        <v>282</v>
      </c>
      <c r="O1076" s="68">
        <v>2024.09</v>
      </c>
      <c r="P1076" s="70">
        <v>251319.05</v>
      </c>
    </row>
    <row r="1077" spans="13:16" x14ac:dyDescent="0.15">
      <c r="M1077" s="35" t="s">
        <v>276</v>
      </c>
      <c r="N1077" s="35" t="s">
        <v>1299</v>
      </c>
      <c r="O1077" s="68">
        <v>2024.09</v>
      </c>
      <c r="P1077" s="70">
        <v>5244</v>
      </c>
    </row>
    <row r="1078" spans="13:16" x14ac:dyDescent="0.15">
      <c r="M1078" s="35" t="s">
        <v>1146</v>
      </c>
      <c r="N1078" s="35" t="s">
        <v>1297</v>
      </c>
      <c r="O1078" s="68">
        <v>2024.09</v>
      </c>
      <c r="P1078" s="70">
        <v>45.34</v>
      </c>
    </row>
    <row r="1079" spans="13:16" x14ac:dyDescent="0.15">
      <c r="M1079" s="35" t="s">
        <v>1146</v>
      </c>
      <c r="N1079" s="35" t="s">
        <v>1297</v>
      </c>
      <c r="O1079" s="68">
        <v>2024.09</v>
      </c>
      <c r="P1079" s="70">
        <v>118000</v>
      </c>
    </row>
    <row r="1080" spans="13:16" x14ac:dyDescent="0.15">
      <c r="M1080" s="35" t="s">
        <v>1146</v>
      </c>
      <c r="N1080" s="35" t="s">
        <v>1297</v>
      </c>
      <c r="O1080" s="68">
        <v>2024.09</v>
      </c>
      <c r="P1080" s="70">
        <v>3386.17</v>
      </c>
    </row>
    <row r="1081" spans="13:16" x14ac:dyDescent="0.15">
      <c r="M1081" s="35" t="s">
        <v>1146</v>
      </c>
      <c r="N1081" s="35" t="s">
        <v>283</v>
      </c>
      <c r="O1081" s="68">
        <v>2024.09</v>
      </c>
      <c r="P1081" s="70">
        <v>1511.2</v>
      </c>
    </row>
    <row r="1082" spans="13:16" x14ac:dyDescent="0.15">
      <c r="M1082" s="35" t="s">
        <v>1146</v>
      </c>
      <c r="N1082" s="35" t="s">
        <v>283</v>
      </c>
      <c r="O1082" s="68">
        <v>2024.09</v>
      </c>
      <c r="P1082" s="70">
        <v>89100</v>
      </c>
    </row>
    <row r="1083" spans="13:16" x14ac:dyDescent="0.15">
      <c r="M1083" s="35" t="s">
        <v>1146</v>
      </c>
      <c r="N1083" s="35" t="s">
        <v>1298</v>
      </c>
      <c r="O1083" s="68">
        <v>2024.09</v>
      </c>
      <c r="P1083" s="70">
        <v>358.83</v>
      </c>
    </row>
    <row r="1084" spans="13:16" x14ac:dyDescent="0.15">
      <c r="M1084" s="35" t="s">
        <v>1146</v>
      </c>
      <c r="N1084" s="35" t="s">
        <v>1298</v>
      </c>
      <c r="O1084" s="68">
        <v>2024.09</v>
      </c>
      <c r="P1084" s="70">
        <v>109451.95</v>
      </c>
    </row>
    <row r="1085" spans="13:16" x14ac:dyDescent="0.15">
      <c r="M1085" s="35" t="s">
        <v>1146</v>
      </c>
      <c r="N1085" s="35" t="s">
        <v>1299</v>
      </c>
      <c r="O1085" s="68">
        <v>2024.09</v>
      </c>
      <c r="P1085" s="70">
        <v>97893.83</v>
      </c>
    </row>
    <row r="1086" spans="13:16" x14ac:dyDescent="0.15">
      <c r="M1086" s="35" t="s">
        <v>1146</v>
      </c>
      <c r="N1086" s="35" t="s">
        <v>1300</v>
      </c>
      <c r="O1086" s="68">
        <v>2024.09</v>
      </c>
      <c r="P1086" s="70">
        <v>496.52</v>
      </c>
    </row>
    <row r="1087" spans="13:16" x14ac:dyDescent="0.15">
      <c r="M1087" s="35" t="s">
        <v>1151</v>
      </c>
      <c r="N1087" s="35" t="s">
        <v>282</v>
      </c>
      <c r="O1087" s="68">
        <v>2024.09</v>
      </c>
      <c r="P1087" s="70">
        <v>412.5</v>
      </c>
    </row>
    <row r="1088" spans="13:16" x14ac:dyDescent="0.15">
      <c r="M1088" s="35" t="s">
        <v>1151</v>
      </c>
      <c r="N1088" s="35" t="s">
        <v>282</v>
      </c>
      <c r="O1088" s="68">
        <v>2024.09</v>
      </c>
      <c r="P1088" s="70">
        <v>343395.8</v>
      </c>
    </row>
    <row r="1089" spans="13:16" x14ac:dyDescent="0.15">
      <c r="M1089" s="35" t="s">
        <v>1151</v>
      </c>
      <c r="N1089" s="35" t="s">
        <v>278</v>
      </c>
      <c r="O1089" s="68">
        <v>2024.09</v>
      </c>
      <c r="P1089" s="70">
        <v>3121.97</v>
      </c>
    </row>
    <row r="1090" spans="13:16" x14ac:dyDescent="0.15">
      <c r="M1090" s="35" t="s">
        <v>1151</v>
      </c>
      <c r="N1090" s="35" t="s">
        <v>1297</v>
      </c>
      <c r="O1090" s="68">
        <v>2024.09</v>
      </c>
      <c r="P1090" s="70">
        <v>94021.37</v>
      </c>
    </row>
    <row r="1091" spans="13:16" x14ac:dyDescent="0.15">
      <c r="M1091" s="35" t="s">
        <v>1152</v>
      </c>
      <c r="N1091" s="35" t="s">
        <v>1297</v>
      </c>
      <c r="O1091" s="68">
        <v>2024.09</v>
      </c>
      <c r="P1091" s="70">
        <v>534.80999999999995</v>
      </c>
    </row>
    <row r="1092" spans="13:16" x14ac:dyDescent="0.15">
      <c r="M1092" s="35" t="s">
        <v>1152</v>
      </c>
      <c r="N1092" s="35" t="s">
        <v>1297</v>
      </c>
      <c r="O1092" s="68">
        <v>2024.09</v>
      </c>
      <c r="P1092" s="70">
        <v>8040.68</v>
      </c>
    </row>
    <row r="1093" spans="13:16" x14ac:dyDescent="0.15">
      <c r="M1093" s="35" t="s">
        <v>1152</v>
      </c>
      <c r="N1093" s="35" t="s">
        <v>282</v>
      </c>
      <c r="O1093" s="68">
        <v>2024.09</v>
      </c>
      <c r="P1093" s="70">
        <v>340</v>
      </c>
    </row>
    <row r="1094" spans="13:16" x14ac:dyDescent="0.15">
      <c r="M1094" s="35" t="s">
        <v>1152</v>
      </c>
      <c r="N1094" s="35" t="s">
        <v>1299</v>
      </c>
      <c r="O1094" s="68">
        <v>2024.09</v>
      </c>
      <c r="P1094" s="70">
        <v>101403.94</v>
      </c>
    </row>
    <row r="1095" spans="13:16" x14ac:dyDescent="0.15">
      <c r="M1095" s="35" t="s">
        <v>1152</v>
      </c>
      <c r="N1095" s="35" t="s">
        <v>1300</v>
      </c>
      <c r="O1095" s="68">
        <v>2024.09</v>
      </c>
      <c r="P1095" s="70">
        <v>91826.6</v>
      </c>
    </row>
    <row r="1096" spans="13:16" x14ac:dyDescent="0.15">
      <c r="M1096" s="35" t="s">
        <v>256</v>
      </c>
      <c r="N1096" s="35" t="s">
        <v>1297</v>
      </c>
      <c r="O1096" s="68">
        <v>2024.09</v>
      </c>
      <c r="P1096" s="70">
        <v>371816.9</v>
      </c>
    </row>
    <row r="1097" spans="13:16" x14ac:dyDescent="0.15">
      <c r="M1097" s="35" t="s">
        <v>1147</v>
      </c>
      <c r="N1097" s="35" t="s">
        <v>280</v>
      </c>
      <c r="O1097" s="68">
        <v>2024.09</v>
      </c>
      <c r="P1097" s="70">
        <v>9920.06</v>
      </c>
    </row>
    <row r="1098" spans="13:16" x14ac:dyDescent="0.15">
      <c r="M1098" s="35" t="s">
        <v>1147</v>
      </c>
      <c r="N1098" s="35" t="s">
        <v>280</v>
      </c>
      <c r="O1098" s="68">
        <v>2024.09</v>
      </c>
      <c r="P1098" s="70">
        <v>3693.28</v>
      </c>
    </row>
    <row r="1099" spans="13:16" x14ac:dyDescent="0.15">
      <c r="M1099" s="35" t="s">
        <v>1137</v>
      </c>
      <c r="N1099" s="35" t="s">
        <v>278</v>
      </c>
      <c r="O1099" s="68">
        <v>2024.09</v>
      </c>
      <c r="P1099" s="70">
        <v>78.55</v>
      </c>
    </row>
    <row r="1100" spans="13:16" x14ac:dyDescent="0.15">
      <c r="M1100" s="35" t="s">
        <v>273</v>
      </c>
      <c r="N1100" s="35" t="s">
        <v>288</v>
      </c>
      <c r="O1100" s="68">
        <v>2023.51</v>
      </c>
      <c r="P1100" s="70">
        <v>18009.599999999999</v>
      </c>
    </row>
    <row r="1101" spans="13:16" x14ac:dyDescent="0.15">
      <c r="M1101" s="35" t="s">
        <v>273</v>
      </c>
      <c r="N1101" s="35" t="s">
        <v>1296</v>
      </c>
      <c r="O1101" s="68">
        <v>2023.51</v>
      </c>
      <c r="P1101" s="70">
        <v>16359.68</v>
      </c>
    </row>
    <row r="1102" spans="13:16" x14ac:dyDescent="0.15">
      <c r="M1102" s="35" t="s">
        <v>273</v>
      </c>
      <c r="N1102" s="35" t="s">
        <v>280</v>
      </c>
      <c r="O1102" s="68">
        <v>2023.51</v>
      </c>
      <c r="P1102" s="70">
        <v>5843.94</v>
      </c>
    </row>
    <row r="1103" spans="13:16" x14ac:dyDescent="0.15">
      <c r="M1103" s="35" t="s">
        <v>307</v>
      </c>
      <c r="N1103" s="35" t="s">
        <v>281</v>
      </c>
      <c r="O1103" s="68">
        <v>2023.51</v>
      </c>
      <c r="P1103" s="70">
        <v>1069.7</v>
      </c>
    </row>
    <row r="1104" spans="13:16" x14ac:dyDescent="0.15">
      <c r="M1104" s="35" t="s">
        <v>309</v>
      </c>
      <c r="N1104" s="35" t="s">
        <v>277</v>
      </c>
      <c r="O1104" s="68">
        <v>2023.51</v>
      </c>
      <c r="P1104" s="70">
        <v>3656.4</v>
      </c>
    </row>
    <row r="1105" spans="13:16" x14ac:dyDescent="0.15">
      <c r="M1105" s="35" t="s">
        <v>274</v>
      </c>
      <c r="N1105" s="35" t="s">
        <v>274</v>
      </c>
      <c r="O1105" s="68">
        <v>2023.51</v>
      </c>
      <c r="P1105" s="70">
        <v>16110.25</v>
      </c>
    </row>
    <row r="1106" spans="13:16" x14ac:dyDescent="0.15">
      <c r="M1106" s="35" t="s">
        <v>1153</v>
      </c>
      <c r="N1106" s="35" t="s">
        <v>1297</v>
      </c>
      <c r="O1106" s="68">
        <v>2023.51</v>
      </c>
      <c r="P1106" s="70">
        <v>477996</v>
      </c>
    </row>
    <row r="1107" spans="13:16" x14ac:dyDescent="0.15">
      <c r="M1107" s="35" t="s">
        <v>1150</v>
      </c>
      <c r="N1107" s="35" t="s">
        <v>1132</v>
      </c>
      <c r="O1107" s="68">
        <v>2023.51</v>
      </c>
      <c r="P1107" s="70">
        <v>79755.600000000006</v>
      </c>
    </row>
    <row r="1108" spans="13:16" x14ac:dyDescent="0.15">
      <c r="M1108" s="35" t="s">
        <v>1150</v>
      </c>
      <c r="N1108" s="35" t="s">
        <v>1132</v>
      </c>
      <c r="O1108" s="68">
        <v>2023.51</v>
      </c>
      <c r="P1108" s="70">
        <v>3168</v>
      </c>
    </row>
    <row r="1109" spans="13:16" x14ac:dyDescent="0.15">
      <c r="M1109" s="35" t="s">
        <v>275</v>
      </c>
      <c r="N1109" s="35" t="s">
        <v>1297</v>
      </c>
      <c r="O1109" s="68">
        <v>2023.51</v>
      </c>
      <c r="P1109" s="70">
        <v>7012.29</v>
      </c>
    </row>
    <row r="1110" spans="13:16" x14ac:dyDescent="0.15">
      <c r="M1110" s="35" t="s">
        <v>275</v>
      </c>
      <c r="N1110" s="35" t="s">
        <v>1297</v>
      </c>
      <c r="O1110" s="68">
        <v>2023.51</v>
      </c>
      <c r="P1110" s="70">
        <v>16.399999999999999</v>
      </c>
    </row>
    <row r="1111" spans="13:16" x14ac:dyDescent="0.15">
      <c r="M1111" s="35" t="s">
        <v>275</v>
      </c>
      <c r="N1111" s="35" t="s">
        <v>1299</v>
      </c>
      <c r="O1111" s="68">
        <v>2023.51</v>
      </c>
      <c r="P1111" s="70">
        <v>71510.37</v>
      </c>
    </row>
    <row r="1112" spans="13:16" x14ac:dyDescent="0.15">
      <c r="M1112" s="35" t="s">
        <v>276</v>
      </c>
      <c r="N1112" s="35" t="s">
        <v>282</v>
      </c>
      <c r="O1112" s="68">
        <v>2023.51</v>
      </c>
      <c r="P1112" s="70">
        <v>83465</v>
      </c>
    </row>
    <row r="1113" spans="13:16" x14ac:dyDescent="0.15">
      <c r="M1113" s="35" t="s">
        <v>276</v>
      </c>
      <c r="N1113" s="35" t="s">
        <v>1297</v>
      </c>
      <c r="O1113" s="68">
        <v>2023.51</v>
      </c>
      <c r="P1113" s="70">
        <v>6831.96</v>
      </c>
    </row>
    <row r="1114" spans="13:16" x14ac:dyDescent="0.15">
      <c r="M1114" s="35" t="s">
        <v>1151</v>
      </c>
      <c r="N1114" s="35" t="s">
        <v>282</v>
      </c>
      <c r="O1114" s="68">
        <v>2023.51</v>
      </c>
      <c r="P1114" s="70">
        <v>33094</v>
      </c>
    </row>
    <row r="1115" spans="13:16" x14ac:dyDescent="0.15">
      <c r="M1115" s="35" t="s">
        <v>1152</v>
      </c>
      <c r="N1115" s="35" t="s">
        <v>1297</v>
      </c>
      <c r="O1115" s="68">
        <v>2023.51</v>
      </c>
      <c r="P1115" s="70">
        <v>7490.48</v>
      </c>
    </row>
    <row r="1116" spans="13:16" x14ac:dyDescent="0.15">
      <c r="M1116" s="35" t="s">
        <v>1152</v>
      </c>
      <c r="N1116" s="35" t="s">
        <v>1299</v>
      </c>
      <c r="O1116" s="68">
        <v>2023.51</v>
      </c>
      <c r="P1116" s="70">
        <v>81446.98</v>
      </c>
    </row>
    <row r="1117" spans="13:16" x14ac:dyDescent="0.15">
      <c r="M1117" s="35" t="s">
        <v>1152</v>
      </c>
      <c r="N1117" s="35" t="s">
        <v>1300</v>
      </c>
      <c r="O1117" s="68">
        <v>2023.51</v>
      </c>
      <c r="P1117" s="70">
        <v>56315.98</v>
      </c>
    </row>
    <row r="1118" spans="13:16" x14ac:dyDescent="0.15">
      <c r="M1118" s="35" t="s">
        <v>256</v>
      </c>
      <c r="N1118" s="35" t="s">
        <v>1297</v>
      </c>
      <c r="O1118" s="68">
        <v>2023.51</v>
      </c>
      <c r="P1118" s="70">
        <v>207866.9</v>
      </c>
    </row>
    <row r="1119" spans="13:16" x14ac:dyDescent="0.15">
      <c r="M1119" s="35" t="s">
        <v>1147</v>
      </c>
      <c r="N1119" s="35" t="s">
        <v>280</v>
      </c>
      <c r="O1119" s="68">
        <v>2023.51</v>
      </c>
      <c r="P1119" s="70">
        <v>9559.74</v>
      </c>
    </row>
    <row r="1120" spans="13:16" x14ac:dyDescent="0.15">
      <c r="M1120" s="35" t="s">
        <v>273</v>
      </c>
      <c r="N1120" s="35" t="s">
        <v>288</v>
      </c>
      <c r="O1120" s="68">
        <v>2024.39</v>
      </c>
      <c r="P1120" s="70">
        <v>41590.92</v>
      </c>
    </row>
    <row r="1121" spans="13:16" x14ac:dyDescent="0.15">
      <c r="M1121" s="35" t="s">
        <v>273</v>
      </c>
      <c r="N1121" s="35" t="s">
        <v>1296</v>
      </c>
      <c r="O1121" s="68">
        <v>2024.39</v>
      </c>
      <c r="P1121" s="70">
        <v>73026.429999999993</v>
      </c>
    </row>
    <row r="1122" spans="13:16" x14ac:dyDescent="0.15">
      <c r="M1122" s="35" t="s">
        <v>273</v>
      </c>
      <c r="N1122" s="35" t="s">
        <v>280</v>
      </c>
      <c r="O1122" s="68">
        <v>2024.39</v>
      </c>
      <c r="P1122" s="70">
        <v>18048.3</v>
      </c>
    </row>
    <row r="1123" spans="13:16" x14ac:dyDescent="0.15">
      <c r="M1123" s="35" t="s">
        <v>273</v>
      </c>
      <c r="N1123" s="35" t="s">
        <v>277</v>
      </c>
      <c r="O1123" s="68">
        <v>2024.39</v>
      </c>
      <c r="P1123" s="70">
        <v>166.2</v>
      </c>
    </row>
    <row r="1124" spans="13:16" x14ac:dyDescent="0.15">
      <c r="M1124" s="35" t="s">
        <v>273</v>
      </c>
      <c r="N1124" s="35" t="s">
        <v>283</v>
      </c>
      <c r="O1124" s="68">
        <v>2024.39</v>
      </c>
      <c r="P1124" s="70">
        <v>3932.1</v>
      </c>
    </row>
    <row r="1125" spans="13:16" x14ac:dyDescent="0.15">
      <c r="M1125" s="35" t="s">
        <v>273</v>
      </c>
      <c r="N1125" s="35" t="s">
        <v>1298</v>
      </c>
      <c r="O1125" s="68">
        <v>2024.39</v>
      </c>
      <c r="P1125" s="70">
        <v>7028.52</v>
      </c>
    </row>
    <row r="1126" spans="13:16" x14ac:dyDescent="0.15">
      <c r="M1126" s="35" t="s">
        <v>307</v>
      </c>
      <c r="N1126" s="35" t="s">
        <v>280</v>
      </c>
      <c r="O1126" s="68">
        <v>2024.39</v>
      </c>
      <c r="P1126" s="70">
        <v>4101.4399999999996</v>
      </c>
    </row>
    <row r="1127" spans="13:16" x14ac:dyDescent="0.15">
      <c r="M1127" s="35" t="s">
        <v>307</v>
      </c>
      <c r="N1127" s="35" t="s">
        <v>280</v>
      </c>
      <c r="O1127" s="68">
        <v>2024.39</v>
      </c>
      <c r="P1127" s="70">
        <v>15000</v>
      </c>
    </row>
    <row r="1128" spans="13:16" x14ac:dyDescent="0.15">
      <c r="M1128" s="35" t="s">
        <v>307</v>
      </c>
      <c r="N1128" s="35" t="s">
        <v>281</v>
      </c>
      <c r="O1128" s="68">
        <v>2024.39</v>
      </c>
      <c r="P1128" s="70">
        <v>7150.73</v>
      </c>
    </row>
    <row r="1129" spans="13:16" x14ac:dyDescent="0.15">
      <c r="M1129" s="35" t="s">
        <v>307</v>
      </c>
      <c r="N1129" s="35" t="s">
        <v>1297</v>
      </c>
      <c r="O1129" s="68">
        <v>2024.39</v>
      </c>
      <c r="P1129" s="70">
        <v>20.8</v>
      </c>
    </row>
    <row r="1130" spans="13:16" x14ac:dyDescent="0.15">
      <c r="M1130" s="35" t="s">
        <v>307</v>
      </c>
      <c r="N1130" s="35" t="s">
        <v>1299</v>
      </c>
      <c r="O1130" s="68">
        <v>2024.39</v>
      </c>
      <c r="P1130" s="70">
        <v>26.23</v>
      </c>
    </row>
    <row r="1131" spans="13:16" x14ac:dyDescent="0.15">
      <c r="M1131" s="35" t="s">
        <v>309</v>
      </c>
      <c r="N1131" s="35" t="s">
        <v>280</v>
      </c>
      <c r="O1131" s="68">
        <v>2024.39</v>
      </c>
      <c r="P1131" s="70">
        <v>11586.64</v>
      </c>
    </row>
    <row r="1132" spans="13:16" x14ac:dyDescent="0.15">
      <c r="M1132" s="35" t="s">
        <v>309</v>
      </c>
      <c r="N1132" s="35" t="s">
        <v>277</v>
      </c>
      <c r="O1132" s="68">
        <v>2024.39</v>
      </c>
      <c r="P1132" s="70">
        <v>31217.46</v>
      </c>
    </row>
    <row r="1133" spans="13:16" x14ac:dyDescent="0.15">
      <c r="M1133" s="35" t="s">
        <v>274</v>
      </c>
      <c r="N1133" s="35" t="s">
        <v>274</v>
      </c>
      <c r="O1133" s="68">
        <v>2024.39</v>
      </c>
      <c r="P1133" s="70">
        <v>40878.65</v>
      </c>
    </row>
    <row r="1134" spans="13:16" x14ac:dyDescent="0.15">
      <c r="M1134" s="35" t="s">
        <v>1136</v>
      </c>
      <c r="N1134" s="35" t="s">
        <v>280</v>
      </c>
      <c r="O1134" s="68">
        <v>2024.39</v>
      </c>
      <c r="P1134" s="70">
        <v>878.88</v>
      </c>
    </row>
    <row r="1135" spans="13:16" x14ac:dyDescent="0.15">
      <c r="M1135" s="35" t="s">
        <v>1136</v>
      </c>
      <c r="N1135" s="35" t="s">
        <v>277</v>
      </c>
      <c r="O1135" s="68">
        <v>2024.39</v>
      </c>
      <c r="P1135" s="70">
        <v>5075.3599999999997</v>
      </c>
    </row>
    <row r="1136" spans="13:16" x14ac:dyDescent="0.15">
      <c r="M1136" s="35" t="s">
        <v>1136</v>
      </c>
      <c r="N1136" s="35" t="s">
        <v>283</v>
      </c>
      <c r="O1136" s="68">
        <v>2024.39</v>
      </c>
      <c r="P1136" s="70">
        <v>10461.5</v>
      </c>
    </row>
    <row r="1137" spans="13:16" x14ac:dyDescent="0.15">
      <c r="M1137" s="35" t="s">
        <v>302</v>
      </c>
      <c r="N1137" s="35" t="s">
        <v>283</v>
      </c>
      <c r="O1137" s="68">
        <v>2024.39</v>
      </c>
      <c r="P1137" s="70">
        <v>3960</v>
      </c>
    </row>
    <row r="1138" spans="13:16" x14ac:dyDescent="0.15">
      <c r="M1138" s="35" t="s">
        <v>302</v>
      </c>
      <c r="N1138" s="35" t="s">
        <v>283</v>
      </c>
      <c r="O1138" s="68">
        <v>2024.39</v>
      </c>
      <c r="P1138" s="70">
        <v>6588</v>
      </c>
    </row>
    <row r="1139" spans="13:16" x14ac:dyDescent="0.15">
      <c r="M1139" s="35" t="s">
        <v>1149</v>
      </c>
      <c r="N1139" s="35" t="s">
        <v>277</v>
      </c>
      <c r="O1139" s="68">
        <v>2024.39</v>
      </c>
      <c r="P1139" s="70">
        <v>425.16</v>
      </c>
    </row>
    <row r="1140" spans="13:16" x14ac:dyDescent="0.15">
      <c r="M1140" s="35" t="s">
        <v>1153</v>
      </c>
      <c r="N1140" s="35" t="s">
        <v>1297</v>
      </c>
      <c r="O1140" s="68">
        <v>2024.39</v>
      </c>
      <c r="P1140" s="70">
        <v>477996</v>
      </c>
    </row>
    <row r="1141" spans="13:16" x14ac:dyDescent="0.15">
      <c r="M1141" s="35" t="s">
        <v>1150</v>
      </c>
      <c r="N1141" s="35" t="s">
        <v>1132</v>
      </c>
      <c r="O1141" s="68">
        <v>2024.39</v>
      </c>
      <c r="P1141" s="70">
        <v>185513.33</v>
      </c>
    </row>
    <row r="1142" spans="13:16" x14ac:dyDescent="0.15">
      <c r="M1142" s="35" t="s">
        <v>1150</v>
      </c>
      <c r="N1142" s="35" t="s">
        <v>1132</v>
      </c>
      <c r="O1142" s="68">
        <v>2024.39</v>
      </c>
      <c r="P1142" s="70">
        <v>29023.5</v>
      </c>
    </row>
    <row r="1143" spans="13:16" x14ac:dyDescent="0.15">
      <c r="M1143" s="35" t="s">
        <v>1150</v>
      </c>
      <c r="N1143" s="35" t="s">
        <v>282</v>
      </c>
      <c r="O1143" s="68">
        <v>2024.39</v>
      </c>
      <c r="P1143" s="70">
        <v>25</v>
      </c>
    </row>
    <row r="1144" spans="13:16" x14ac:dyDescent="0.15">
      <c r="M1144" s="35" t="s">
        <v>1150</v>
      </c>
      <c r="N1144" s="35" t="s">
        <v>1299</v>
      </c>
      <c r="O1144" s="68">
        <v>2024.39</v>
      </c>
      <c r="P1144" s="70">
        <v>86.78</v>
      </c>
    </row>
    <row r="1145" spans="13:16" x14ac:dyDescent="0.15">
      <c r="M1145" s="35" t="s">
        <v>1138</v>
      </c>
      <c r="N1145" s="35" t="s">
        <v>1132</v>
      </c>
      <c r="O1145" s="68">
        <v>2024.39</v>
      </c>
      <c r="P1145" s="70">
        <v>7120.13</v>
      </c>
    </row>
    <row r="1146" spans="13:16" x14ac:dyDescent="0.15">
      <c r="M1146" s="35" t="s">
        <v>1138</v>
      </c>
      <c r="N1146" s="35" t="s">
        <v>1132</v>
      </c>
      <c r="O1146" s="68">
        <v>2024.39</v>
      </c>
      <c r="P1146" s="70">
        <v>3694.55</v>
      </c>
    </row>
    <row r="1147" spans="13:16" x14ac:dyDescent="0.15">
      <c r="M1147" s="35" t="s">
        <v>262</v>
      </c>
      <c r="N1147" s="35" t="s">
        <v>283</v>
      </c>
      <c r="O1147" s="68">
        <v>2024.39</v>
      </c>
      <c r="P1147" s="70">
        <v>12223.9</v>
      </c>
    </row>
    <row r="1148" spans="13:16" x14ac:dyDescent="0.15">
      <c r="M1148" s="35" t="s">
        <v>262</v>
      </c>
      <c r="N1148" s="35" t="s">
        <v>1297</v>
      </c>
      <c r="O1148" s="68">
        <v>2024.39</v>
      </c>
      <c r="P1148" s="70">
        <v>2892.57</v>
      </c>
    </row>
    <row r="1149" spans="13:16" x14ac:dyDescent="0.15">
      <c r="M1149" s="35" t="s">
        <v>262</v>
      </c>
      <c r="N1149" s="35" t="s">
        <v>1300</v>
      </c>
      <c r="O1149" s="68">
        <v>2024.39</v>
      </c>
      <c r="P1149" s="70">
        <v>141.6</v>
      </c>
    </row>
    <row r="1150" spans="13:16" x14ac:dyDescent="0.15">
      <c r="M1150" s="35" t="s">
        <v>275</v>
      </c>
      <c r="N1150" s="35" t="s">
        <v>1297</v>
      </c>
      <c r="O1150" s="68">
        <v>2024.39</v>
      </c>
      <c r="P1150" s="70">
        <v>7012.29</v>
      </c>
    </row>
    <row r="1151" spans="13:16" x14ac:dyDescent="0.15">
      <c r="M1151" s="35" t="s">
        <v>275</v>
      </c>
      <c r="N1151" s="35" t="s">
        <v>1297</v>
      </c>
      <c r="O1151" s="68">
        <v>2024.39</v>
      </c>
      <c r="P1151" s="70">
        <v>128.52000000000001</v>
      </c>
    </row>
    <row r="1152" spans="13:16" x14ac:dyDescent="0.15">
      <c r="M1152" s="35" t="s">
        <v>275</v>
      </c>
      <c r="N1152" s="35" t="s">
        <v>284</v>
      </c>
      <c r="O1152" s="68">
        <v>2024.39</v>
      </c>
      <c r="P1152" s="70">
        <v>3668.49</v>
      </c>
    </row>
    <row r="1153" spans="13:16" x14ac:dyDescent="0.15">
      <c r="M1153" s="35" t="s">
        <v>275</v>
      </c>
      <c r="N1153" s="35" t="s">
        <v>284</v>
      </c>
      <c r="O1153" s="68">
        <v>2024.39</v>
      </c>
      <c r="P1153" s="70">
        <v>20693.560000000001</v>
      </c>
    </row>
    <row r="1154" spans="13:16" x14ac:dyDescent="0.15">
      <c r="M1154" s="35" t="s">
        <v>275</v>
      </c>
      <c r="N1154" s="35" t="s">
        <v>1299</v>
      </c>
      <c r="O1154" s="68">
        <v>2024.39</v>
      </c>
      <c r="P1154" s="70">
        <v>92353.91</v>
      </c>
    </row>
    <row r="1155" spans="13:16" x14ac:dyDescent="0.15">
      <c r="M1155" s="35" t="s">
        <v>276</v>
      </c>
      <c r="N1155" s="35" t="s">
        <v>1297</v>
      </c>
      <c r="O1155" s="68">
        <v>2024.39</v>
      </c>
      <c r="P1155" s="70">
        <v>848.98</v>
      </c>
    </row>
    <row r="1156" spans="13:16" x14ac:dyDescent="0.15">
      <c r="M1156" s="35" t="s">
        <v>276</v>
      </c>
      <c r="N1156" s="35" t="s">
        <v>1297</v>
      </c>
      <c r="O1156" s="68">
        <v>2024.39</v>
      </c>
      <c r="P1156" s="70">
        <v>29546.59</v>
      </c>
    </row>
    <row r="1157" spans="13:16" x14ac:dyDescent="0.15">
      <c r="M1157" s="35" t="s">
        <v>276</v>
      </c>
      <c r="N1157" s="35" t="s">
        <v>282</v>
      </c>
      <c r="O1157" s="68">
        <v>2024.39</v>
      </c>
      <c r="P1157" s="70">
        <v>13150.5</v>
      </c>
    </row>
    <row r="1158" spans="13:16" x14ac:dyDescent="0.15">
      <c r="M1158" s="35" t="s">
        <v>276</v>
      </c>
      <c r="N1158" s="35" t="s">
        <v>282</v>
      </c>
      <c r="O1158" s="68">
        <v>2024.39</v>
      </c>
      <c r="P1158" s="70">
        <v>78300</v>
      </c>
    </row>
    <row r="1159" spans="13:16" x14ac:dyDescent="0.15">
      <c r="M1159" s="35" t="s">
        <v>276</v>
      </c>
      <c r="N1159" s="35" t="s">
        <v>282</v>
      </c>
      <c r="O1159" s="68">
        <v>2024.39</v>
      </c>
      <c r="P1159" s="70">
        <v>280974.05</v>
      </c>
    </row>
    <row r="1160" spans="13:16" x14ac:dyDescent="0.15">
      <c r="M1160" s="35" t="s">
        <v>276</v>
      </c>
      <c r="N1160" s="35" t="s">
        <v>1299</v>
      </c>
      <c r="O1160" s="68">
        <v>2024.39</v>
      </c>
      <c r="P1160" s="70">
        <v>32208</v>
      </c>
    </row>
    <row r="1161" spans="13:16" x14ac:dyDescent="0.15">
      <c r="M1161" s="35" t="s">
        <v>276</v>
      </c>
      <c r="N1161" s="35" t="s">
        <v>1300</v>
      </c>
      <c r="O1161" s="68">
        <v>2024.39</v>
      </c>
      <c r="P1161" s="70">
        <v>201.29</v>
      </c>
    </row>
    <row r="1162" spans="13:16" x14ac:dyDescent="0.15">
      <c r="M1162" s="35" t="s">
        <v>1146</v>
      </c>
      <c r="N1162" s="35" t="s">
        <v>1297</v>
      </c>
      <c r="O1162" s="68">
        <v>2024.39</v>
      </c>
      <c r="P1162" s="70">
        <v>31.88</v>
      </c>
    </row>
    <row r="1163" spans="13:16" x14ac:dyDescent="0.15">
      <c r="M1163" s="35" t="s">
        <v>1146</v>
      </c>
      <c r="N1163" s="35" t="s">
        <v>1297</v>
      </c>
      <c r="O1163" s="68">
        <v>2024.39</v>
      </c>
      <c r="P1163" s="70">
        <v>206.05</v>
      </c>
    </row>
    <row r="1164" spans="13:16" x14ac:dyDescent="0.15">
      <c r="M1164" s="35" t="s">
        <v>1146</v>
      </c>
      <c r="N1164" s="35" t="s">
        <v>1297</v>
      </c>
      <c r="O1164" s="68">
        <v>2024.39</v>
      </c>
      <c r="P1164" s="70">
        <v>118000</v>
      </c>
    </row>
    <row r="1165" spans="13:16" x14ac:dyDescent="0.15">
      <c r="M1165" s="35" t="s">
        <v>1146</v>
      </c>
      <c r="N1165" s="35" t="s">
        <v>1297</v>
      </c>
      <c r="O1165" s="68">
        <v>2024.39</v>
      </c>
      <c r="P1165" s="70">
        <v>1940.48</v>
      </c>
    </row>
    <row r="1166" spans="13:16" x14ac:dyDescent="0.15">
      <c r="M1166" s="35" t="s">
        <v>1146</v>
      </c>
      <c r="N1166" s="35" t="s">
        <v>283</v>
      </c>
      <c r="O1166" s="68">
        <v>2024.39</v>
      </c>
      <c r="P1166" s="70">
        <v>7952.91</v>
      </c>
    </row>
    <row r="1167" spans="13:16" x14ac:dyDescent="0.15">
      <c r="M1167" s="35" t="s">
        <v>1146</v>
      </c>
      <c r="N1167" s="35" t="s">
        <v>283</v>
      </c>
      <c r="O1167" s="68">
        <v>2024.39</v>
      </c>
      <c r="P1167" s="70">
        <v>17820</v>
      </c>
    </row>
    <row r="1168" spans="13:16" x14ac:dyDescent="0.15">
      <c r="M1168" s="35" t="s">
        <v>1146</v>
      </c>
      <c r="N1168" s="35" t="s">
        <v>1298</v>
      </c>
      <c r="O1168" s="68">
        <v>2024.39</v>
      </c>
      <c r="P1168" s="70">
        <v>8728.6299999999992</v>
      </c>
    </row>
    <row r="1169" spans="13:16" x14ac:dyDescent="0.15">
      <c r="M1169" s="35" t="s">
        <v>1146</v>
      </c>
      <c r="N1169" s="35" t="s">
        <v>1298</v>
      </c>
      <c r="O1169" s="68">
        <v>2024.39</v>
      </c>
      <c r="P1169" s="70">
        <v>10151.959999999999</v>
      </c>
    </row>
    <row r="1170" spans="13:16" x14ac:dyDescent="0.15">
      <c r="M1170" s="35" t="s">
        <v>1146</v>
      </c>
      <c r="N1170" s="35" t="s">
        <v>282</v>
      </c>
      <c r="O1170" s="68">
        <v>2024.39</v>
      </c>
      <c r="P1170" s="70">
        <v>208.33</v>
      </c>
    </row>
    <row r="1171" spans="13:16" x14ac:dyDescent="0.15">
      <c r="M1171" s="35" t="s">
        <v>1146</v>
      </c>
      <c r="N1171" s="35" t="s">
        <v>1299</v>
      </c>
      <c r="O1171" s="68">
        <v>2024.39</v>
      </c>
      <c r="P1171" s="70">
        <v>71759.100000000006</v>
      </c>
    </row>
    <row r="1172" spans="13:16" x14ac:dyDescent="0.15">
      <c r="M1172" s="35" t="s">
        <v>1146</v>
      </c>
      <c r="N1172" s="35" t="s">
        <v>1300</v>
      </c>
      <c r="O1172" s="68">
        <v>2024.39</v>
      </c>
      <c r="P1172" s="70">
        <v>2623.69</v>
      </c>
    </row>
    <row r="1173" spans="13:16" x14ac:dyDescent="0.15">
      <c r="M1173" s="35" t="s">
        <v>1151</v>
      </c>
      <c r="N1173" s="35" t="s">
        <v>282</v>
      </c>
      <c r="O1173" s="68">
        <v>2024.39</v>
      </c>
      <c r="P1173" s="70">
        <v>3220.5</v>
      </c>
    </row>
    <row r="1174" spans="13:16" x14ac:dyDescent="0.15">
      <c r="M1174" s="35" t="s">
        <v>1151</v>
      </c>
      <c r="N1174" s="35" t="s">
        <v>282</v>
      </c>
      <c r="O1174" s="68">
        <v>2024.39</v>
      </c>
      <c r="P1174" s="70">
        <v>362753.8</v>
      </c>
    </row>
    <row r="1175" spans="13:16" x14ac:dyDescent="0.15">
      <c r="M1175" s="35" t="s">
        <v>1151</v>
      </c>
      <c r="N1175" s="35" t="s">
        <v>283</v>
      </c>
      <c r="O1175" s="68">
        <v>2024.39</v>
      </c>
      <c r="P1175" s="70">
        <v>1521.16</v>
      </c>
    </row>
    <row r="1176" spans="13:16" x14ac:dyDescent="0.15">
      <c r="M1176" s="35" t="s">
        <v>1151</v>
      </c>
      <c r="N1176" s="35" t="s">
        <v>278</v>
      </c>
      <c r="O1176" s="68">
        <v>2024.39</v>
      </c>
      <c r="P1176" s="70">
        <v>6783.61</v>
      </c>
    </row>
    <row r="1177" spans="13:16" x14ac:dyDescent="0.15">
      <c r="M1177" s="35" t="s">
        <v>1151</v>
      </c>
      <c r="N1177" s="35" t="s">
        <v>1297</v>
      </c>
      <c r="O1177" s="68">
        <v>2024.39</v>
      </c>
      <c r="P1177" s="70">
        <v>94403.96</v>
      </c>
    </row>
    <row r="1178" spans="13:16" x14ac:dyDescent="0.15">
      <c r="M1178" s="35" t="s">
        <v>1151</v>
      </c>
      <c r="N1178" s="35" t="s">
        <v>1299</v>
      </c>
      <c r="O1178" s="68">
        <v>2024.39</v>
      </c>
      <c r="P1178" s="70">
        <v>48.56</v>
      </c>
    </row>
    <row r="1179" spans="13:16" x14ac:dyDescent="0.15">
      <c r="M1179" s="35" t="s">
        <v>1151</v>
      </c>
      <c r="N1179" s="35" t="s">
        <v>1300</v>
      </c>
      <c r="O1179" s="68">
        <v>2024.39</v>
      </c>
      <c r="P1179" s="70">
        <v>809.14</v>
      </c>
    </row>
    <row r="1180" spans="13:16" x14ac:dyDescent="0.15">
      <c r="M1180" s="35" t="s">
        <v>1152</v>
      </c>
      <c r="N1180" s="35" t="s">
        <v>1297</v>
      </c>
      <c r="O1180" s="68">
        <v>2024.39</v>
      </c>
      <c r="P1180" s="70">
        <v>8</v>
      </c>
    </row>
    <row r="1181" spans="13:16" x14ac:dyDescent="0.15">
      <c r="M1181" s="35" t="s">
        <v>1152</v>
      </c>
      <c r="N1181" s="35" t="s">
        <v>1297</v>
      </c>
      <c r="O1181" s="68">
        <v>2024.39</v>
      </c>
      <c r="P1181" s="70">
        <v>667.84</v>
      </c>
    </row>
    <row r="1182" spans="13:16" x14ac:dyDescent="0.15">
      <c r="M1182" s="35" t="s">
        <v>1152</v>
      </c>
      <c r="N1182" s="35" t="s">
        <v>1297</v>
      </c>
      <c r="O1182" s="68">
        <v>2024.39</v>
      </c>
      <c r="P1182" s="70">
        <v>8268.32</v>
      </c>
    </row>
    <row r="1183" spans="13:16" x14ac:dyDescent="0.15">
      <c r="M1183" s="35" t="s">
        <v>1152</v>
      </c>
      <c r="N1183" s="35" t="s">
        <v>282</v>
      </c>
      <c r="O1183" s="68">
        <v>2024.39</v>
      </c>
      <c r="P1183" s="70">
        <v>4613</v>
      </c>
    </row>
    <row r="1184" spans="13:16" x14ac:dyDescent="0.15">
      <c r="M1184" s="35" t="s">
        <v>1152</v>
      </c>
      <c r="N1184" s="35" t="s">
        <v>1298</v>
      </c>
      <c r="O1184" s="68">
        <v>2024.39</v>
      </c>
      <c r="P1184" s="70">
        <v>72.86</v>
      </c>
    </row>
    <row r="1185" spans="13:16" x14ac:dyDescent="0.15">
      <c r="M1185" s="35" t="s">
        <v>1152</v>
      </c>
      <c r="N1185" s="35" t="s">
        <v>1298</v>
      </c>
      <c r="O1185" s="68">
        <v>2024.39</v>
      </c>
      <c r="P1185" s="70">
        <v>52355</v>
      </c>
    </row>
    <row r="1186" spans="13:16" x14ac:dyDescent="0.15">
      <c r="M1186" s="35" t="s">
        <v>1152</v>
      </c>
      <c r="N1186" s="35" t="s">
        <v>1299</v>
      </c>
      <c r="O1186" s="68">
        <v>2024.39</v>
      </c>
      <c r="P1186" s="70">
        <v>106647.54</v>
      </c>
    </row>
    <row r="1187" spans="13:16" x14ac:dyDescent="0.15">
      <c r="M1187" s="35" t="s">
        <v>1152</v>
      </c>
      <c r="N1187" s="35" t="s">
        <v>1300</v>
      </c>
      <c r="O1187" s="68">
        <v>2024.39</v>
      </c>
      <c r="P1187" s="70">
        <v>94036.18</v>
      </c>
    </row>
    <row r="1188" spans="13:16" x14ac:dyDescent="0.15">
      <c r="M1188" s="35" t="s">
        <v>256</v>
      </c>
      <c r="N1188" s="35" t="s">
        <v>1297</v>
      </c>
      <c r="O1188" s="68">
        <v>2024.39</v>
      </c>
      <c r="P1188" s="70">
        <v>317873.90000000002</v>
      </c>
    </row>
    <row r="1189" spans="13:16" x14ac:dyDescent="0.15">
      <c r="M1189" s="35" t="s">
        <v>1147</v>
      </c>
      <c r="N1189" s="35" t="s">
        <v>280</v>
      </c>
      <c r="O1189" s="68">
        <v>2024.39</v>
      </c>
      <c r="P1189" s="70">
        <v>9920.06</v>
      </c>
    </row>
    <row r="1190" spans="13:16" x14ac:dyDescent="0.15">
      <c r="M1190" s="35" t="s">
        <v>1147</v>
      </c>
      <c r="N1190" s="35" t="s">
        <v>280</v>
      </c>
      <c r="O1190" s="68">
        <v>2024.39</v>
      </c>
      <c r="P1190" s="70">
        <v>3693.28</v>
      </c>
    </row>
    <row r="1191" spans="13:16" x14ac:dyDescent="0.15">
      <c r="M1191" s="35" t="s">
        <v>255</v>
      </c>
      <c r="N1191" s="35" t="s">
        <v>282</v>
      </c>
      <c r="O1191" s="68">
        <v>2024.39</v>
      </c>
      <c r="P1191" s="70">
        <v>2382</v>
      </c>
    </row>
    <row r="1192" spans="13:16" x14ac:dyDescent="0.15">
      <c r="M1192" s="35" t="s">
        <v>1137</v>
      </c>
      <c r="N1192" s="35" t="s">
        <v>278</v>
      </c>
      <c r="O1192" s="68">
        <v>2024.39</v>
      </c>
      <c r="P1192" s="70">
        <v>78.55</v>
      </c>
    </row>
    <row r="1193" spans="13:16" x14ac:dyDescent="0.15">
      <c r="M1193" s="35" t="s">
        <v>273</v>
      </c>
      <c r="N1193" s="35" t="s">
        <v>288</v>
      </c>
      <c r="O1193" s="68">
        <v>2024.1</v>
      </c>
      <c r="P1193" s="70">
        <v>29940.959999999999</v>
      </c>
    </row>
    <row r="1194" spans="13:16" x14ac:dyDescent="0.15">
      <c r="M1194" s="35" t="s">
        <v>273</v>
      </c>
      <c r="N1194" s="35" t="s">
        <v>1296</v>
      </c>
      <c r="O1194" s="68">
        <v>2024.1</v>
      </c>
      <c r="P1194" s="70">
        <v>35081.870000000003</v>
      </c>
    </row>
    <row r="1195" spans="13:16" x14ac:dyDescent="0.15">
      <c r="M1195" s="35" t="s">
        <v>273</v>
      </c>
      <c r="N1195" s="35" t="s">
        <v>280</v>
      </c>
      <c r="O1195" s="68">
        <v>2024.1</v>
      </c>
      <c r="P1195" s="70">
        <v>11969.38</v>
      </c>
    </row>
    <row r="1196" spans="13:16" x14ac:dyDescent="0.15">
      <c r="M1196" s="35" t="s">
        <v>273</v>
      </c>
      <c r="N1196" s="35" t="s">
        <v>277</v>
      </c>
      <c r="O1196" s="68">
        <v>2024.1</v>
      </c>
      <c r="P1196" s="70">
        <v>166.2</v>
      </c>
    </row>
    <row r="1197" spans="13:16" x14ac:dyDescent="0.15">
      <c r="M1197" s="35" t="s">
        <v>273</v>
      </c>
      <c r="N1197" s="35" t="s">
        <v>283</v>
      </c>
      <c r="O1197" s="68">
        <v>2024.1</v>
      </c>
      <c r="P1197" s="70">
        <v>3589.1</v>
      </c>
    </row>
    <row r="1198" spans="13:16" x14ac:dyDescent="0.15">
      <c r="M1198" s="35" t="s">
        <v>273</v>
      </c>
      <c r="N1198" s="35" t="s">
        <v>1298</v>
      </c>
      <c r="O1198" s="68">
        <v>2024.1</v>
      </c>
      <c r="P1198" s="70">
        <v>3030.12</v>
      </c>
    </row>
    <row r="1199" spans="13:16" x14ac:dyDescent="0.15">
      <c r="M1199" s="35" t="s">
        <v>307</v>
      </c>
      <c r="N1199" s="35" t="s">
        <v>280</v>
      </c>
      <c r="O1199" s="68">
        <v>2024.1</v>
      </c>
      <c r="P1199" s="70">
        <v>15000</v>
      </c>
    </row>
    <row r="1200" spans="13:16" x14ac:dyDescent="0.15">
      <c r="M1200" s="35" t="s">
        <v>307</v>
      </c>
      <c r="N1200" s="35" t="s">
        <v>281</v>
      </c>
      <c r="O1200" s="68">
        <v>2024.1</v>
      </c>
      <c r="P1200" s="70">
        <v>4166.2</v>
      </c>
    </row>
    <row r="1201" spans="13:16" x14ac:dyDescent="0.15">
      <c r="M1201" s="35" t="s">
        <v>309</v>
      </c>
      <c r="N1201" s="35" t="s">
        <v>280</v>
      </c>
      <c r="O1201" s="68">
        <v>2024.1</v>
      </c>
      <c r="P1201" s="70">
        <v>11440.16</v>
      </c>
    </row>
    <row r="1202" spans="13:16" x14ac:dyDescent="0.15">
      <c r="M1202" s="35" t="s">
        <v>309</v>
      </c>
      <c r="N1202" s="35" t="s">
        <v>280</v>
      </c>
      <c r="O1202" s="68">
        <v>2024.1</v>
      </c>
      <c r="P1202" s="70">
        <v>16200</v>
      </c>
    </row>
    <row r="1203" spans="13:16" x14ac:dyDescent="0.15">
      <c r="M1203" s="35" t="s">
        <v>309</v>
      </c>
      <c r="N1203" s="35" t="s">
        <v>277</v>
      </c>
      <c r="O1203" s="68">
        <v>2024.1</v>
      </c>
      <c r="P1203" s="70">
        <v>19029.95</v>
      </c>
    </row>
    <row r="1204" spans="13:16" x14ac:dyDescent="0.15">
      <c r="M1204" s="35" t="s">
        <v>274</v>
      </c>
      <c r="N1204" s="35" t="s">
        <v>274</v>
      </c>
      <c r="O1204" s="68">
        <v>2024.1</v>
      </c>
      <c r="P1204" s="70">
        <v>31437.63</v>
      </c>
    </row>
    <row r="1205" spans="13:16" x14ac:dyDescent="0.15">
      <c r="M1205" s="35" t="s">
        <v>1136</v>
      </c>
      <c r="N1205" s="35" t="s">
        <v>280</v>
      </c>
      <c r="O1205" s="68">
        <v>2024.1</v>
      </c>
      <c r="P1205" s="70">
        <v>114750</v>
      </c>
    </row>
    <row r="1206" spans="13:16" x14ac:dyDescent="0.15">
      <c r="M1206" s="35" t="s">
        <v>1136</v>
      </c>
      <c r="N1206" s="35" t="s">
        <v>277</v>
      </c>
      <c r="O1206" s="68">
        <v>2024.1</v>
      </c>
      <c r="P1206" s="70">
        <v>115850</v>
      </c>
    </row>
    <row r="1207" spans="13:16" x14ac:dyDescent="0.15">
      <c r="M1207" s="35" t="s">
        <v>302</v>
      </c>
      <c r="N1207" s="35" t="s">
        <v>283</v>
      </c>
      <c r="O1207" s="68">
        <v>2024.1</v>
      </c>
      <c r="P1207" s="70">
        <v>19800</v>
      </c>
    </row>
    <row r="1208" spans="13:16" x14ac:dyDescent="0.15">
      <c r="M1208" s="35" t="s">
        <v>302</v>
      </c>
      <c r="N1208" s="35" t="s">
        <v>283</v>
      </c>
      <c r="O1208" s="68">
        <v>2024.1</v>
      </c>
      <c r="P1208" s="70">
        <v>32940</v>
      </c>
    </row>
    <row r="1209" spans="13:16" x14ac:dyDescent="0.15">
      <c r="M1209" s="35" t="s">
        <v>1149</v>
      </c>
      <c r="N1209" s="35" t="s">
        <v>280</v>
      </c>
      <c r="O1209" s="68">
        <v>2024.1</v>
      </c>
      <c r="P1209" s="70">
        <v>140400</v>
      </c>
    </row>
    <row r="1210" spans="13:16" x14ac:dyDescent="0.15">
      <c r="M1210" s="35" t="s">
        <v>1149</v>
      </c>
      <c r="N1210" s="35" t="s">
        <v>277</v>
      </c>
      <c r="O1210" s="68">
        <v>2024.1</v>
      </c>
      <c r="P1210" s="70">
        <v>118800</v>
      </c>
    </row>
    <row r="1211" spans="13:16" x14ac:dyDescent="0.15">
      <c r="M1211" s="35" t="s">
        <v>1153</v>
      </c>
      <c r="N1211" s="35" t="s">
        <v>1297</v>
      </c>
      <c r="O1211" s="68">
        <v>2024.1</v>
      </c>
      <c r="P1211" s="70">
        <v>477996</v>
      </c>
    </row>
    <row r="1212" spans="13:16" x14ac:dyDescent="0.15">
      <c r="M1212" s="35" t="s">
        <v>1150</v>
      </c>
      <c r="N1212" s="35" t="s">
        <v>1132</v>
      </c>
      <c r="O1212" s="68">
        <v>2024.1</v>
      </c>
      <c r="P1212" s="70">
        <v>147831.07999999999</v>
      </c>
    </row>
    <row r="1213" spans="13:16" x14ac:dyDescent="0.15">
      <c r="M1213" s="35" t="s">
        <v>1150</v>
      </c>
      <c r="N1213" s="35" t="s">
        <v>1132</v>
      </c>
      <c r="O1213" s="68">
        <v>2024.1</v>
      </c>
      <c r="P1213" s="70">
        <v>25261.5</v>
      </c>
    </row>
    <row r="1214" spans="13:16" x14ac:dyDescent="0.15">
      <c r="M1214" s="35" t="s">
        <v>1138</v>
      </c>
      <c r="N1214" s="35" t="s">
        <v>1132</v>
      </c>
      <c r="O1214" s="68">
        <v>2024.1</v>
      </c>
      <c r="P1214" s="70">
        <v>4756.3500000000004</v>
      </c>
    </row>
    <row r="1215" spans="13:16" x14ac:dyDescent="0.15">
      <c r="M1215" s="35" t="s">
        <v>1138</v>
      </c>
      <c r="N1215" s="35" t="s">
        <v>1132</v>
      </c>
      <c r="O1215" s="68">
        <v>2024.1</v>
      </c>
      <c r="P1215" s="70">
        <v>3694.55</v>
      </c>
    </row>
    <row r="1216" spans="13:16" x14ac:dyDescent="0.15">
      <c r="M1216" s="35" t="s">
        <v>262</v>
      </c>
      <c r="N1216" s="35" t="s">
        <v>283</v>
      </c>
      <c r="O1216" s="68">
        <v>2024.1</v>
      </c>
      <c r="P1216" s="70">
        <v>2455.7199999999998</v>
      </c>
    </row>
    <row r="1217" spans="13:16" x14ac:dyDescent="0.15">
      <c r="M1217" s="35" t="s">
        <v>262</v>
      </c>
      <c r="N1217" s="35" t="s">
        <v>1297</v>
      </c>
      <c r="O1217" s="68">
        <v>2024.1</v>
      </c>
      <c r="P1217" s="70">
        <v>264.60000000000002</v>
      </c>
    </row>
    <row r="1218" spans="13:16" x14ac:dyDescent="0.15">
      <c r="M1218" s="35" t="s">
        <v>275</v>
      </c>
      <c r="N1218" s="35" t="s">
        <v>1297</v>
      </c>
      <c r="O1218" s="68">
        <v>2024.1</v>
      </c>
      <c r="P1218" s="70">
        <v>7012.29</v>
      </c>
    </row>
    <row r="1219" spans="13:16" x14ac:dyDescent="0.15">
      <c r="M1219" s="35" t="s">
        <v>275</v>
      </c>
      <c r="N1219" s="35" t="s">
        <v>1297</v>
      </c>
      <c r="O1219" s="68">
        <v>2024.1</v>
      </c>
      <c r="P1219" s="70">
        <v>99.9</v>
      </c>
    </row>
    <row r="1220" spans="13:16" x14ac:dyDescent="0.15">
      <c r="M1220" s="35" t="s">
        <v>275</v>
      </c>
      <c r="N1220" s="35" t="s">
        <v>284</v>
      </c>
      <c r="O1220" s="68">
        <v>2024.1</v>
      </c>
      <c r="P1220" s="70">
        <v>79.739999999999995</v>
      </c>
    </row>
    <row r="1221" spans="13:16" x14ac:dyDescent="0.15">
      <c r="M1221" s="35" t="s">
        <v>275</v>
      </c>
      <c r="N1221" s="35" t="s">
        <v>284</v>
      </c>
      <c r="O1221" s="68">
        <v>2024.1</v>
      </c>
      <c r="P1221" s="70">
        <v>20693.55</v>
      </c>
    </row>
    <row r="1222" spans="13:16" x14ac:dyDescent="0.15">
      <c r="M1222" s="35" t="s">
        <v>275</v>
      </c>
      <c r="N1222" s="35" t="s">
        <v>1299</v>
      </c>
      <c r="O1222" s="68">
        <v>2024.1</v>
      </c>
      <c r="P1222" s="70">
        <v>89968.75</v>
      </c>
    </row>
    <row r="1223" spans="13:16" x14ac:dyDescent="0.15">
      <c r="M1223" s="35" t="s">
        <v>276</v>
      </c>
      <c r="N1223" s="35" t="s">
        <v>1297</v>
      </c>
      <c r="O1223" s="68">
        <v>2024.1</v>
      </c>
      <c r="P1223" s="70">
        <v>848.98</v>
      </c>
    </row>
    <row r="1224" spans="13:16" x14ac:dyDescent="0.15">
      <c r="M1224" s="35" t="s">
        <v>276</v>
      </c>
      <c r="N1224" s="35" t="s">
        <v>1297</v>
      </c>
      <c r="O1224" s="68">
        <v>2024.1</v>
      </c>
      <c r="P1224" s="70">
        <v>27560.77</v>
      </c>
    </row>
    <row r="1225" spans="13:16" x14ac:dyDescent="0.15">
      <c r="M1225" s="35" t="s">
        <v>276</v>
      </c>
      <c r="N1225" s="35" t="s">
        <v>282</v>
      </c>
      <c r="O1225" s="68">
        <v>2024.1</v>
      </c>
      <c r="P1225" s="70">
        <v>78300</v>
      </c>
    </row>
    <row r="1226" spans="13:16" x14ac:dyDescent="0.15">
      <c r="M1226" s="35" t="s">
        <v>276</v>
      </c>
      <c r="N1226" s="35" t="s">
        <v>282</v>
      </c>
      <c r="O1226" s="68">
        <v>2024.1</v>
      </c>
      <c r="P1226" s="70">
        <v>268520.05</v>
      </c>
    </row>
    <row r="1227" spans="13:16" x14ac:dyDescent="0.15">
      <c r="M1227" s="35" t="s">
        <v>276</v>
      </c>
      <c r="N1227" s="35" t="s">
        <v>1299</v>
      </c>
      <c r="O1227" s="68">
        <v>2024.1</v>
      </c>
      <c r="P1227" s="70">
        <v>32208</v>
      </c>
    </row>
    <row r="1228" spans="13:16" x14ac:dyDescent="0.15">
      <c r="M1228" s="35" t="s">
        <v>1146</v>
      </c>
      <c r="N1228" s="35" t="s">
        <v>1297</v>
      </c>
      <c r="O1228" s="68">
        <v>2024.1</v>
      </c>
      <c r="P1228" s="70">
        <v>45.34</v>
      </c>
    </row>
    <row r="1229" spans="13:16" x14ac:dyDescent="0.15">
      <c r="M1229" s="35" t="s">
        <v>1146</v>
      </c>
      <c r="N1229" s="35" t="s">
        <v>1297</v>
      </c>
      <c r="O1229" s="68">
        <v>2024.1</v>
      </c>
      <c r="P1229" s="70">
        <v>118000</v>
      </c>
    </row>
    <row r="1230" spans="13:16" x14ac:dyDescent="0.15">
      <c r="M1230" s="35" t="s">
        <v>1146</v>
      </c>
      <c r="N1230" s="35" t="s">
        <v>1297</v>
      </c>
      <c r="O1230" s="68">
        <v>2024.1</v>
      </c>
      <c r="P1230" s="70">
        <v>3466.63</v>
      </c>
    </row>
    <row r="1231" spans="13:16" x14ac:dyDescent="0.15">
      <c r="M1231" s="35" t="s">
        <v>1146</v>
      </c>
      <c r="N1231" s="35" t="s">
        <v>283</v>
      </c>
      <c r="O1231" s="68">
        <v>2024.1</v>
      </c>
      <c r="P1231" s="70">
        <v>3022.4</v>
      </c>
    </row>
    <row r="1232" spans="13:16" x14ac:dyDescent="0.15">
      <c r="M1232" s="35" t="s">
        <v>1146</v>
      </c>
      <c r="N1232" s="35" t="s">
        <v>283</v>
      </c>
      <c r="O1232" s="68">
        <v>2024.1</v>
      </c>
      <c r="P1232" s="70">
        <v>89100</v>
      </c>
    </row>
    <row r="1233" spans="13:16" x14ac:dyDescent="0.15">
      <c r="M1233" s="35" t="s">
        <v>1146</v>
      </c>
      <c r="N1233" s="35" t="s">
        <v>1298</v>
      </c>
      <c r="O1233" s="68">
        <v>2024.1</v>
      </c>
      <c r="P1233" s="70">
        <v>358.83</v>
      </c>
    </row>
    <row r="1234" spans="13:16" x14ac:dyDescent="0.15">
      <c r="M1234" s="35" t="s">
        <v>1146</v>
      </c>
      <c r="N1234" s="35" t="s">
        <v>1298</v>
      </c>
      <c r="O1234" s="68">
        <v>2024.1</v>
      </c>
      <c r="P1234" s="70">
        <v>109451.95</v>
      </c>
    </row>
    <row r="1235" spans="13:16" x14ac:dyDescent="0.15">
      <c r="M1235" s="35" t="s">
        <v>1146</v>
      </c>
      <c r="N1235" s="35" t="s">
        <v>1299</v>
      </c>
      <c r="O1235" s="68">
        <v>2024.1</v>
      </c>
      <c r="P1235" s="70">
        <v>97914.08</v>
      </c>
    </row>
    <row r="1236" spans="13:16" x14ac:dyDescent="0.15">
      <c r="M1236" s="35" t="s">
        <v>1146</v>
      </c>
      <c r="N1236" s="35" t="s">
        <v>1300</v>
      </c>
      <c r="O1236" s="68">
        <v>2024.1</v>
      </c>
      <c r="P1236" s="70">
        <v>496.52</v>
      </c>
    </row>
    <row r="1237" spans="13:16" x14ac:dyDescent="0.15">
      <c r="M1237" s="35" t="s">
        <v>1151</v>
      </c>
      <c r="N1237" s="35" t="s">
        <v>282</v>
      </c>
      <c r="O1237" s="68">
        <v>2024.1</v>
      </c>
      <c r="P1237" s="70">
        <v>412.5</v>
      </c>
    </row>
    <row r="1238" spans="13:16" x14ac:dyDescent="0.15">
      <c r="M1238" s="35" t="s">
        <v>1151</v>
      </c>
      <c r="N1238" s="35" t="s">
        <v>282</v>
      </c>
      <c r="O1238" s="68">
        <v>2024.1</v>
      </c>
      <c r="P1238" s="70">
        <v>343395.8</v>
      </c>
    </row>
    <row r="1239" spans="13:16" x14ac:dyDescent="0.15">
      <c r="M1239" s="35" t="s">
        <v>1151</v>
      </c>
      <c r="N1239" s="35" t="s">
        <v>283</v>
      </c>
      <c r="O1239" s="68">
        <v>2024.1</v>
      </c>
      <c r="P1239" s="70">
        <v>935.07</v>
      </c>
    </row>
    <row r="1240" spans="13:16" x14ac:dyDescent="0.15">
      <c r="M1240" s="35" t="s">
        <v>1151</v>
      </c>
      <c r="N1240" s="35" t="s">
        <v>278</v>
      </c>
      <c r="O1240" s="68">
        <v>2024.1</v>
      </c>
      <c r="P1240" s="70">
        <v>4064.45</v>
      </c>
    </row>
    <row r="1241" spans="13:16" x14ac:dyDescent="0.15">
      <c r="M1241" s="35" t="s">
        <v>1151</v>
      </c>
      <c r="N1241" s="35" t="s">
        <v>1297</v>
      </c>
      <c r="O1241" s="68">
        <v>2024.1</v>
      </c>
      <c r="P1241" s="70">
        <v>93835.23</v>
      </c>
    </row>
    <row r="1242" spans="13:16" x14ac:dyDescent="0.15">
      <c r="M1242" s="35" t="s">
        <v>1152</v>
      </c>
      <c r="N1242" s="35" t="s">
        <v>1297</v>
      </c>
      <c r="O1242" s="68">
        <v>2024.1</v>
      </c>
      <c r="P1242" s="70">
        <v>534.80999999999995</v>
      </c>
    </row>
    <row r="1243" spans="13:16" x14ac:dyDescent="0.15">
      <c r="M1243" s="35" t="s">
        <v>1152</v>
      </c>
      <c r="N1243" s="35" t="s">
        <v>1297</v>
      </c>
      <c r="O1243" s="68">
        <v>2024.1</v>
      </c>
      <c r="P1243" s="70">
        <v>8040.68</v>
      </c>
    </row>
    <row r="1244" spans="13:16" x14ac:dyDescent="0.15">
      <c r="M1244" s="35" t="s">
        <v>1152</v>
      </c>
      <c r="N1244" s="35" t="s">
        <v>282</v>
      </c>
      <c r="O1244" s="68">
        <v>2024.1</v>
      </c>
      <c r="P1244" s="70">
        <v>340</v>
      </c>
    </row>
    <row r="1245" spans="13:16" x14ac:dyDescent="0.15">
      <c r="M1245" s="35" t="s">
        <v>1152</v>
      </c>
      <c r="N1245" s="35" t="s">
        <v>1299</v>
      </c>
      <c r="O1245" s="68">
        <v>2024.1</v>
      </c>
      <c r="P1245" s="70">
        <v>101403.94</v>
      </c>
    </row>
    <row r="1246" spans="13:16" x14ac:dyDescent="0.15">
      <c r="M1246" s="35" t="s">
        <v>1152</v>
      </c>
      <c r="N1246" s="35" t="s">
        <v>1300</v>
      </c>
      <c r="O1246" s="68">
        <v>2024.1</v>
      </c>
      <c r="P1246" s="70">
        <v>91826.6</v>
      </c>
    </row>
    <row r="1247" spans="13:16" x14ac:dyDescent="0.15">
      <c r="M1247" s="35" t="s">
        <v>256</v>
      </c>
      <c r="N1247" s="35" t="s">
        <v>1297</v>
      </c>
      <c r="O1247" s="68">
        <v>2024.1</v>
      </c>
      <c r="P1247" s="70">
        <v>371816.9</v>
      </c>
    </row>
    <row r="1248" spans="13:16" x14ac:dyDescent="0.15">
      <c r="M1248" s="35" t="s">
        <v>1147</v>
      </c>
      <c r="N1248" s="35" t="s">
        <v>280</v>
      </c>
      <c r="O1248" s="68">
        <v>2024.1</v>
      </c>
      <c r="P1248" s="70">
        <v>9920.06</v>
      </c>
    </row>
    <row r="1249" spans="13:16" x14ac:dyDescent="0.15">
      <c r="M1249" s="35" t="s">
        <v>1147</v>
      </c>
      <c r="N1249" s="35" t="s">
        <v>280</v>
      </c>
      <c r="O1249" s="68">
        <v>2024.1</v>
      </c>
      <c r="P1249" s="70">
        <v>3693.28</v>
      </c>
    </row>
    <row r="1250" spans="13:16" x14ac:dyDescent="0.15">
      <c r="M1250" s="35" t="s">
        <v>1137</v>
      </c>
      <c r="N1250" s="35" t="s">
        <v>278</v>
      </c>
      <c r="O1250" s="68">
        <v>2024.1</v>
      </c>
      <c r="P1250" s="70">
        <v>78.55</v>
      </c>
    </row>
    <row r="1251" spans="13:16" x14ac:dyDescent="0.15">
      <c r="M1251" s="35" t="s">
        <v>273</v>
      </c>
      <c r="N1251" s="35" t="s">
        <v>288</v>
      </c>
      <c r="O1251" s="68">
        <v>2024.38</v>
      </c>
      <c r="P1251" s="70">
        <v>41590.92</v>
      </c>
    </row>
    <row r="1252" spans="13:16" x14ac:dyDescent="0.15">
      <c r="M1252" s="35" t="s">
        <v>273</v>
      </c>
      <c r="N1252" s="35" t="s">
        <v>1296</v>
      </c>
      <c r="O1252" s="68">
        <v>2024.38</v>
      </c>
      <c r="P1252" s="70">
        <v>72974.38</v>
      </c>
    </row>
    <row r="1253" spans="13:16" x14ac:dyDescent="0.15">
      <c r="M1253" s="35" t="s">
        <v>273</v>
      </c>
      <c r="N1253" s="35" t="s">
        <v>280</v>
      </c>
      <c r="O1253" s="68">
        <v>2024.38</v>
      </c>
      <c r="P1253" s="70">
        <v>18048.3</v>
      </c>
    </row>
    <row r="1254" spans="13:16" x14ac:dyDescent="0.15">
      <c r="M1254" s="35" t="s">
        <v>273</v>
      </c>
      <c r="N1254" s="35" t="s">
        <v>277</v>
      </c>
      <c r="O1254" s="68">
        <v>2024.38</v>
      </c>
      <c r="P1254" s="70">
        <v>166.2</v>
      </c>
    </row>
    <row r="1255" spans="13:16" x14ac:dyDescent="0.15">
      <c r="M1255" s="35" t="s">
        <v>273</v>
      </c>
      <c r="N1255" s="35" t="s">
        <v>283</v>
      </c>
      <c r="O1255" s="68">
        <v>2024.38</v>
      </c>
      <c r="P1255" s="70">
        <v>3932.1</v>
      </c>
    </row>
    <row r="1256" spans="13:16" x14ac:dyDescent="0.15">
      <c r="M1256" s="35" t="s">
        <v>273</v>
      </c>
      <c r="N1256" s="35" t="s">
        <v>1298</v>
      </c>
      <c r="O1256" s="68">
        <v>2024.38</v>
      </c>
      <c r="P1256" s="70">
        <v>7028.52</v>
      </c>
    </row>
    <row r="1257" spans="13:16" x14ac:dyDescent="0.15">
      <c r="M1257" s="35" t="s">
        <v>307</v>
      </c>
      <c r="N1257" s="35" t="s">
        <v>280</v>
      </c>
      <c r="O1257" s="68">
        <v>2024.38</v>
      </c>
      <c r="P1257" s="70">
        <v>4101.4399999999996</v>
      </c>
    </row>
    <row r="1258" spans="13:16" x14ac:dyDescent="0.15">
      <c r="M1258" s="35" t="s">
        <v>307</v>
      </c>
      <c r="N1258" s="35" t="s">
        <v>280</v>
      </c>
      <c r="O1258" s="68">
        <v>2024.38</v>
      </c>
      <c r="P1258" s="70">
        <v>15000</v>
      </c>
    </row>
    <row r="1259" spans="13:16" x14ac:dyDescent="0.15">
      <c r="M1259" s="35" t="s">
        <v>307</v>
      </c>
      <c r="N1259" s="35" t="s">
        <v>281</v>
      </c>
      <c r="O1259" s="68">
        <v>2024.38</v>
      </c>
      <c r="P1259" s="70">
        <v>7150.73</v>
      </c>
    </row>
    <row r="1260" spans="13:16" x14ac:dyDescent="0.15">
      <c r="M1260" s="35" t="s">
        <v>307</v>
      </c>
      <c r="N1260" s="35" t="s">
        <v>1297</v>
      </c>
      <c r="O1260" s="68">
        <v>2024.38</v>
      </c>
      <c r="P1260" s="70">
        <v>20.8</v>
      </c>
    </row>
    <row r="1261" spans="13:16" x14ac:dyDescent="0.15">
      <c r="M1261" s="35" t="s">
        <v>307</v>
      </c>
      <c r="N1261" s="35" t="s">
        <v>1299</v>
      </c>
      <c r="O1261" s="68">
        <v>2024.38</v>
      </c>
      <c r="P1261" s="70">
        <v>26.23</v>
      </c>
    </row>
    <row r="1262" spans="13:16" x14ac:dyDescent="0.15">
      <c r="M1262" s="35" t="s">
        <v>309</v>
      </c>
      <c r="N1262" s="35" t="s">
        <v>280</v>
      </c>
      <c r="O1262" s="68">
        <v>2024.38</v>
      </c>
      <c r="P1262" s="70">
        <v>11586.64</v>
      </c>
    </row>
    <row r="1263" spans="13:16" x14ac:dyDescent="0.15">
      <c r="M1263" s="35" t="s">
        <v>309</v>
      </c>
      <c r="N1263" s="35" t="s">
        <v>280</v>
      </c>
      <c r="O1263" s="68">
        <v>2024.38</v>
      </c>
      <c r="P1263" s="70">
        <v>16200</v>
      </c>
    </row>
    <row r="1264" spans="13:16" x14ac:dyDescent="0.15">
      <c r="M1264" s="35" t="s">
        <v>309</v>
      </c>
      <c r="N1264" s="35" t="s">
        <v>277</v>
      </c>
      <c r="O1264" s="68">
        <v>2024.38</v>
      </c>
      <c r="P1264" s="70">
        <v>31217.46</v>
      </c>
    </row>
    <row r="1265" spans="13:16" x14ac:dyDescent="0.15">
      <c r="M1265" s="35" t="s">
        <v>274</v>
      </c>
      <c r="N1265" s="35" t="s">
        <v>274</v>
      </c>
      <c r="O1265" s="68">
        <v>2024.38</v>
      </c>
      <c r="P1265" s="70">
        <v>40878.65</v>
      </c>
    </row>
    <row r="1266" spans="13:16" x14ac:dyDescent="0.15">
      <c r="M1266" s="35" t="s">
        <v>1136</v>
      </c>
      <c r="N1266" s="35" t="s">
        <v>280</v>
      </c>
      <c r="O1266" s="68">
        <v>2024.38</v>
      </c>
      <c r="P1266" s="70">
        <v>878.88</v>
      </c>
    </row>
    <row r="1267" spans="13:16" x14ac:dyDescent="0.15">
      <c r="M1267" s="35" t="s">
        <v>1136</v>
      </c>
      <c r="N1267" s="35" t="s">
        <v>280</v>
      </c>
      <c r="O1267" s="68">
        <v>2024.38</v>
      </c>
      <c r="P1267" s="70">
        <v>114750</v>
      </c>
    </row>
    <row r="1268" spans="13:16" x14ac:dyDescent="0.15">
      <c r="M1268" s="35" t="s">
        <v>1136</v>
      </c>
      <c r="N1268" s="35" t="s">
        <v>277</v>
      </c>
      <c r="O1268" s="68">
        <v>2024.38</v>
      </c>
      <c r="P1268" s="70">
        <v>5075.3599999999997</v>
      </c>
    </row>
    <row r="1269" spans="13:16" x14ac:dyDescent="0.15">
      <c r="M1269" s="35" t="s">
        <v>1136</v>
      </c>
      <c r="N1269" s="35" t="s">
        <v>277</v>
      </c>
      <c r="O1269" s="68">
        <v>2024.38</v>
      </c>
      <c r="P1269" s="70">
        <v>115850</v>
      </c>
    </row>
    <row r="1270" spans="13:16" x14ac:dyDescent="0.15">
      <c r="M1270" s="35" t="s">
        <v>1136</v>
      </c>
      <c r="N1270" s="35" t="s">
        <v>283</v>
      </c>
      <c r="O1270" s="68">
        <v>2024.38</v>
      </c>
      <c r="P1270" s="70">
        <v>10461.5</v>
      </c>
    </row>
    <row r="1271" spans="13:16" x14ac:dyDescent="0.15">
      <c r="M1271" s="35" t="s">
        <v>302</v>
      </c>
      <c r="N1271" s="35" t="s">
        <v>283</v>
      </c>
      <c r="O1271" s="68">
        <v>2024.38</v>
      </c>
      <c r="P1271" s="70">
        <v>3960</v>
      </c>
    </row>
    <row r="1272" spans="13:16" x14ac:dyDescent="0.15">
      <c r="M1272" s="35" t="s">
        <v>302</v>
      </c>
      <c r="N1272" s="35" t="s">
        <v>283</v>
      </c>
      <c r="O1272" s="68">
        <v>2024.38</v>
      </c>
      <c r="P1272" s="70">
        <v>6588</v>
      </c>
    </row>
    <row r="1273" spans="13:16" x14ac:dyDescent="0.15">
      <c r="M1273" s="35" t="s">
        <v>1149</v>
      </c>
      <c r="N1273" s="35" t="s">
        <v>280</v>
      </c>
      <c r="O1273" s="68">
        <v>2024.38</v>
      </c>
      <c r="P1273" s="70">
        <v>140400</v>
      </c>
    </row>
    <row r="1274" spans="13:16" x14ac:dyDescent="0.15">
      <c r="M1274" s="35" t="s">
        <v>1149</v>
      </c>
      <c r="N1274" s="35" t="s">
        <v>277</v>
      </c>
      <c r="O1274" s="68">
        <v>2024.38</v>
      </c>
      <c r="P1274" s="70">
        <v>425.16</v>
      </c>
    </row>
    <row r="1275" spans="13:16" x14ac:dyDescent="0.15">
      <c r="M1275" s="35" t="s">
        <v>1149</v>
      </c>
      <c r="N1275" s="35" t="s">
        <v>277</v>
      </c>
      <c r="O1275" s="68">
        <v>2024.38</v>
      </c>
      <c r="P1275" s="70">
        <v>118800</v>
      </c>
    </row>
    <row r="1276" spans="13:16" x14ac:dyDescent="0.15">
      <c r="M1276" s="35" t="s">
        <v>1153</v>
      </c>
      <c r="N1276" s="35" t="s">
        <v>1297</v>
      </c>
      <c r="O1276" s="68">
        <v>2024.38</v>
      </c>
      <c r="P1276" s="70">
        <v>477996</v>
      </c>
    </row>
    <row r="1277" spans="13:16" x14ac:dyDescent="0.15">
      <c r="M1277" s="35" t="s">
        <v>1150</v>
      </c>
      <c r="N1277" s="35" t="s">
        <v>1132</v>
      </c>
      <c r="O1277" s="68">
        <v>2024.38</v>
      </c>
      <c r="P1277" s="70">
        <v>185513.33</v>
      </c>
    </row>
    <row r="1278" spans="13:16" x14ac:dyDescent="0.15">
      <c r="M1278" s="35" t="s">
        <v>1150</v>
      </c>
      <c r="N1278" s="35" t="s">
        <v>1132</v>
      </c>
      <c r="O1278" s="68">
        <v>2024.38</v>
      </c>
      <c r="P1278" s="70">
        <v>27291</v>
      </c>
    </row>
    <row r="1279" spans="13:16" x14ac:dyDescent="0.15">
      <c r="M1279" s="35" t="s">
        <v>1150</v>
      </c>
      <c r="N1279" s="35" t="s">
        <v>282</v>
      </c>
      <c r="O1279" s="68">
        <v>2024.38</v>
      </c>
      <c r="P1279" s="70">
        <v>25</v>
      </c>
    </row>
    <row r="1280" spans="13:16" x14ac:dyDescent="0.15">
      <c r="M1280" s="35" t="s">
        <v>1150</v>
      </c>
      <c r="N1280" s="35" t="s">
        <v>1299</v>
      </c>
      <c r="O1280" s="68">
        <v>2024.38</v>
      </c>
      <c r="P1280" s="70">
        <v>86.78</v>
      </c>
    </row>
    <row r="1281" spans="13:16" x14ac:dyDescent="0.15">
      <c r="M1281" s="35" t="s">
        <v>1138</v>
      </c>
      <c r="N1281" s="35" t="s">
        <v>1132</v>
      </c>
      <c r="O1281" s="68">
        <v>2024.38</v>
      </c>
      <c r="P1281" s="70">
        <v>7120.13</v>
      </c>
    </row>
    <row r="1282" spans="13:16" x14ac:dyDescent="0.15">
      <c r="M1282" s="35" t="s">
        <v>1138</v>
      </c>
      <c r="N1282" s="35" t="s">
        <v>1132</v>
      </c>
      <c r="O1282" s="68">
        <v>2024.38</v>
      </c>
      <c r="P1282" s="70">
        <v>3694.55</v>
      </c>
    </row>
    <row r="1283" spans="13:16" x14ac:dyDescent="0.15">
      <c r="M1283" s="35" t="s">
        <v>262</v>
      </c>
      <c r="N1283" s="35" t="s">
        <v>283</v>
      </c>
      <c r="O1283" s="68">
        <v>2024.38</v>
      </c>
      <c r="P1283" s="70">
        <v>12223.9</v>
      </c>
    </row>
    <row r="1284" spans="13:16" x14ac:dyDescent="0.15">
      <c r="M1284" s="35" t="s">
        <v>262</v>
      </c>
      <c r="N1284" s="35" t="s">
        <v>1297</v>
      </c>
      <c r="O1284" s="68">
        <v>2024.38</v>
      </c>
      <c r="P1284" s="70">
        <v>2892.57</v>
      </c>
    </row>
    <row r="1285" spans="13:16" x14ac:dyDescent="0.15">
      <c r="M1285" s="35" t="s">
        <v>262</v>
      </c>
      <c r="N1285" s="35" t="s">
        <v>1300</v>
      </c>
      <c r="O1285" s="68">
        <v>2024.38</v>
      </c>
      <c r="P1285" s="70">
        <v>141.6</v>
      </c>
    </row>
    <row r="1286" spans="13:16" x14ac:dyDescent="0.15">
      <c r="M1286" s="35" t="s">
        <v>275</v>
      </c>
      <c r="N1286" s="35" t="s">
        <v>1297</v>
      </c>
      <c r="O1286" s="68">
        <v>2024.38</v>
      </c>
      <c r="P1286" s="70">
        <v>7012.29</v>
      </c>
    </row>
    <row r="1287" spans="13:16" x14ac:dyDescent="0.15">
      <c r="M1287" s="35" t="s">
        <v>275</v>
      </c>
      <c r="N1287" s="35" t="s">
        <v>1297</v>
      </c>
      <c r="O1287" s="68">
        <v>2024.38</v>
      </c>
      <c r="P1287" s="70">
        <v>128.52000000000001</v>
      </c>
    </row>
    <row r="1288" spans="13:16" x14ac:dyDescent="0.15">
      <c r="M1288" s="35" t="s">
        <v>275</v>
      </c>
      <c r="N1288" s="35" t="s">
        <v>284</v>
      </c>
      <c r="O1288" s="68">
        <v>2024.38</v>
      </c>
      <c r="P1288" s="70">
        <v>3668.49</v>
      </c>
    </row>
    <row r="1289" spans="13:16" x14ac:dyDescent="0.15">
      <c r="M1289" s="35" t="s">
        <v>275</v>
      </c>
      <c r="N1289" s="35" t="s">
        <v>284</v>
      </c>
      <c r="O1289" s="68">
        <v>2024.38</v>
      </c>
      <c r="P1289" s="70">
        <v>20693.560000000001</v>
      </c>
    </row>
    <row r="1290" spans="13:16" x14ac:dyDescent="0.15">
      <c r="M1290" s="35" t="s">
        <v>275</v>
      </c>
      <c r="N1290" s="35" t="s">
        <v>1299</v>
      </c>
      <c r="O1290" s="68">
        <v>2024.38</v>
      </c>
      <c r="P1290" s="70">
        <v>92353.91</v>
      </c>
    </row>
    <row r="1291" spans="13:16" x14ac:dyDescent="0.15">
      <c r="M1291" s="35" t="s">
        <v>276</v>
      </c>
      <c r="N1291" s="35" t="s">
        <v>1297</v>
      </c>
      <c r="O1291" s="68">
        <v>2024.38</v>
      </c>
      <c r="P1291" s="70">
        <v>848.98</v>
      </c>
    </row>
    <row r="1292" spans="13:16" x14ac:dyDescent="0.15">
      <c r="M1292" s="35" t="s">
        <v>276</v>
      </c>
      <c r="N1292" s="35" t="s">
        <v>1297</v>
      </c>
      <c r="O1292" s="68">
        <v>2024.38</v>
      </c>
      <c r="P1292" s="70">
        <v>29546.59</v>
      </c>
    </row>
    <row r="1293" spans="13:16" x14ac:dyDescent="0.15">
      <c r="M1293" s="35" t="s">
        <v>276</v>
      </c>
      <c r="N1293" s="35" t="s">
        <v>282</v>
      </c>
      <c r="O1293" s="68">
        <v>2024.38</v>
      </c>
      <c r="P1293" s="70">
        <v>13150.5</v>
      </c>
    </row>
    <row r="1294" spans="13:16" x14ac:dyDescent="0.15">
      <c r="M1294" s="35" t="s">
        <v>276</v>
      </c>
      <c r="N1294" s="35" t="s">
        <v>282</v>
      </c>
      <c r="O1294" s="68">
        <v>2024.38</v>
      </c>
      <c r="P1294" s="70">
        <v>78300</v>
      </c>
    </row>
    <row r="1295" spans="13:16" x14ac:dyDescent="0.15">
      <c r="M1295" s="35" t="s">
        <v>276</v>
      </c>
      <c r="N1295" s="35" t="s">
        <v>282</v>
      </c>
      <c r="O1295" s="68">
        <v>2024.38</v>
      </c>
      <c r="P1295" s="70">
        <v>280974.05</v>
      </c>
    </row>
    <row r="1296" spans="13:16" x14ac:dyDescent="0.15">
      <c r="M1296" s="35" t="s">
        <v>276</v>
      </c>
      <c r="N1296" s="35" t="s">
        <v>1299</v>
      </c>
      <c r="O1296" s="68">
        <v>2024.38</v>
      </c>
      <c r="P1296" s="70">
        <v>32208</v>
      </c>
    </row>
    <row r="1297" spans="13:16" x14ac:dyDescent="0.15">
      <c r="M1297" s="35" t="s">
        <v>276</v>
      </c>
      <c r="N1297" s="35" t="s">
        <v>1300</v>
      </c>
      <c r="O1297" s="68">
        <v>2024.38</v>
      </c>
      <c r="P1297" s="70">
        <v>201.29</v>
      </c>
    </row>
    <row r="1298" spans="13:16" x14ac:dyDescent="0.15">
      <c r="M1298" s="35" t="s">
        <v>1146</v>
      </c>
      <c r="N1298" s="35" t="s">
        <v>1297</v>
      </c>
      <c r="O1298" s="68">
        <v>2024.38</v>
      </c>
      <c r="P1298" s="70">
        <v>31.88</v>
      </c>
    </row>
    <row r="1299" spans="13:16" x14ac:dyDescent="0.15">
      <c r="M1299" s="35" t="s">
        <v>1146</v>
      </c>
      <c r="N1299" s="35" t="s">
        <v>1297</v>
      </c>
      <c r="O1299" s="68">
        <v>2024.38</v>
      </c>
      <c r="P1299" s="70">
        <v>206.05</v>
      </c>
    </row>
    <row r="1300" spans="13:16" x14ac:dyDescent="0.15">
      <c r="M1300" s="35" t="s">
        <v>1146</v>
      </c>
      <c r="N1300" s="35" t="s">
        <v>1297</v>
      </c>
      <c r="O1300" s="68">
        <v>2024.38</v>
      </c>
      <c r="P1300" s="70">
        <v>118000</v>
      </c>
    </row>
    <row r="1301" spans="13:16" x14ac:dyDescent="0.15">
      <c r="M1301" s="35" t="s">
        <v>1146</v>
      </c>
      <c r="N1301" s="35" t="s">
        <v>1297</v>
      </c>
      <c r="O1301" s="68">
        <v>2024.38</v>
      </c>
      <c r="P1301" s="70">
        <v>1940.48</v>
      </c>
    </row>
    <row r="1302" spans="13:16" x14ac:dyDescent="0.15">
      <c r="M1302" s="35" t="s">
        <v>1146</v>
      </c>
      <c r="N1302" s="35" t="s">
        <v>283</v>
      </c>
      <c r="O1302" s="68">
        <v>2024.38</v>
      </c>
      <c r="P1302" s="70">
        <v>7952.91</v>
      </c>
    </row>
    <row r="1303" spans="13:16" x14ac:dyDescent="0.15">
      <c r="M1303" s="35" t="s">
        <v>1146</v>
      </c>
      <c r="N1303" s="35" t="s">
        <v>283</v>
      </c>
      <c r="O1303" s="68">
        <v>2024.38</v>
      </c>
      <c r="P1303" s="70">
        <v>17820</v>
      </c>
    </row>
    <row r="1304" spans="13:16" x14ac:dyDescent="0.15">
      <c r="M1304" s="35" t="s">
        <v>1146</v>
      </c>
      <c r="N1304" s="35" t="s">
        <v>1298</v>
      </c>
      <c r="O1304" s="68">
        <v>2024.38</v>
      </c>
      <c r="P1304" s="70">
        <v>8728.6299999999992</v>
      </c>
    </row>
    <row r="1305" spans="13:16" x14ac:dyDescent="0.15">
      <c r="M1305" s="35" t="s">
        <v>1146</v>
      </c>
      <c r="N1305" s="35" t="s">
        <v>1298</v>
      </c>
      <c r="O1305" s="68">
        <v>2024.38</v>
      </c>
      <c r="P1305" s="70">
        <v>109451.96</v>
      </c>
    </row>
    <row r="1306" spans="13:16" x14ac:dyDescent="0.15">
      <c r="M1306" s="35" t="s">
        <v>1146</v>
      </c>
      <c r="N1306" s="35" t="s">
        <v>282</v>
      </c>
      <c r="O1306" s="68">
        <v>2024.38</v>
      </c>
      <c r="P1306" s="70">
        <v>208.33</v>
      </c>
    </row>
    <row r="1307" spans="13:16" x14ac:dyDescent="0.15">
      <c r="M1307" s="35" t="s">
        <v>1146</v>
      </c>
      <c r="N1307" s="35" t="s">
        <v>1299</v>
      </c>
      <c r="O1307" s="68">
        <v>2024.38</v>
      </c>
      <c r="P1307" s="70">
        <v>77459.100000000006</v>
      </c>
    </row>
    <row r="1308" spans="13:16" x14ac:dyDescent="0.15">
      <c r="M1308" s="35" t="s">
        <v>1146</v>
      </c>
      <c r="N1308" s="35" t="s">
        <v>1300</v>
      </c>
      <c r="O1308" s="68">
        <v>2024.38</v>
      </c>
      <c r="P1308" s="70">
        <v>2623.69</v>
      </c>
    </row>
    <row r="1309" spans="13:16" x14ac:dyDescent="0.15">
      <c r="M1309" s="35" t="s">
        <v>1151</v>
      </c>
      <c r="N1309" s="35" t="s">
        <v>282</v>
      </c>
      <c r="O1309" s="68">
        <v>2024.38</v>
      </c>
      <c r="P1309" s="70">
        <v>3220.5</v>
      </c>
    </row>
    <row r="1310" spans="13:16" x14ac:dyDescent="0.15">
      <c r="M1310" s="35" t="s">
        <v>1151</v>
      </c>
      <c r="N1310" s="35" t="s">
        <v>282</v>
      </c>
      <c r="O1310" s="68">
        <v>2024.38</v>
      </c>
      <c r="P1310" s="70">
        <v>353044.8</v>
      </c>
    </row>
    <row r="1311" spans="13:16" x14ac:dyDescent="0.15">
      <c r="M1311" s="35" t="s">
        <v>1151</v>
      </c>
      <c r="N1311" s="35" t="s">
        <v>283</v>
      </c>
      <c r="O1311" s="68">
        <v>2024.38</v>
      </c>
      <c r="P1311" s="70">
        <v>1521.16</v>
      </c>
    </row>
    <row r="1312" spans="13:16" x14ac:dyDescent="0.15">
      <c r="M1312" s="35" t="s">
        <v>1151</v>
      </c>
      <c r="N1312" s="35" t="s">
        <v>278</v>
      </c>
      <c r="O1312" s="68">
        <v>2024.38</v>
      </c>
      <c r="P1312" s="70">
        <v>6783.61</v>
      </c>
    </row>
    <row r="1313" spans="13:16" x14ac:dyDescent="0.15">
      <c r="M1313" s="35" t="s">
        <v>1151</v>
      </c>
      <c r="N1313" s="35" t="s">
        <v>1297</v>
      </c>
      <c r="O1313" s="68">
        <v>2024.38</v>
      </c>
      <c r="P1313" s="70">
        <v>94403.96</v>
      </c>
    </row>
    <row r="1314" spans="13:16" x14ac:dyDescent="0.15">
      <c r="M1314" s="35" t="s">
        <v>1151</v>
      </c>
      <c r="N1314" s="35" t="s">
        <v>1299</v>
      </c>
      <c r="O1314" s="68">
        <v>2024.38</v>
      </c>
      <c r="P1314" s="70">
        <v>48.56</v>
      </c>
    </row>
    <row r="1315" spans="13:16" x14ac:dyDescent="0.15">
      <c r="M1315" s="35" t="s">
        <v>1151</v>
      </c>
      <c r="N1315" s="35" t="s">
        <v>1300</v>
      </c>
      <c r="O1315" s="68">
        <v>2024.38</v>
      </c>
      <c r="P1315" s="70">
        <v>809.14</v>
      </c>
    </row>
    <row r="1316" spans="13:16" x14ac:dyDescent="0.15">
      <c r="M1316" s="35" t="s">
        <v>1152</v>
      </c>
      <c r="N1316" s="35" t="s">
        <v>1297</v>
      </c>
      <c r="O1316" s="68">
        <v>2024.38</v>
      </c>
      <c r="P1316" s="70">
        <v>8</v>
      </c>
    </row>
    <row r="1317" spans="13:16" x14ac:dyDescent="0.15">
      <c r="M1317" s="35" t="s">
        <v>1152</v>
      </c>
      <c r="N1317" s="35" t="s">
        <v>1297</v>
      </c>
      <c r="O1317" s="68">
        <v>2024.38</v>
      </c>
      <c r="P1317" s="70">
        <v>667.84</v>
      </c>
    </row>
    <row r="1318" spans="13:16" x14ac:dyDescent="0.15">
      <c r="M1318" s="35" t="s">
        <v>1152</v>
      </c>
      <c r="N1318" s="35" t="s">
        <v>1297</v>
      </c>
      <c r="O1318" s="68">
        <v>2024.38</v>
      </c>
      <c r="P1318" s="70">
        <v>8268.32</v>
      </c>
    </row>
    <row r="1319" spans="13:16" x14ac:dyDescent="0.15">
      <c r="M1319" s="35" t="s">
        <v>1152</v>
      </c>
      <c r="N1319" s="35" t="s">
        <v>282</v>
      </c>
      <c r="O1319" s="68">
        <v>2024.38</v>
      </c>
      <c r="P1319" s="70">
        <v>4613</v>
      </c>
    </row>
    <row r="1320" spans="13:16" x14ac:dyDescent="0.15">
      <c r="M1320" s="35" t="s">
        <v>1152</v>
      </c>
      <c r="N1320" s="35" t="s">
        <v>1298</v>
      </c>
      <c r="O1320" s="68">
        <v>2024.38</v>
      </c>
      <c r="P1320" s="70">
        <v>52355</v>
      </c>
    </row>
    <row r="1321" spans="13:16" x14ac:dyDescent="0.15">
      <c r="M1321" s="35" t="s">
        <v>1152</v>
      </c>
      <c r="N1321" s="35" t="s">
        <v>1299</v>
      </c>
      <c r="O1321" s="68">
        <v>2024.38</v>
      </c>
      <c r="P1321" s="70">
        <v>106647.54</v>
      </c>
    </row>
    <row r="1322" spans="13:16" x14ac:dyDescent="0.15">
      <c r="M1322" s="35" t="s">
        <v>1152</v>
      </c>
      <c r="N1322" s="35" t="s">
        <v>1300</v>
      </c>
      <c r="O1322" s="68">
        <v>2024.38</v>
      </c>
      <c r="P1322" s="70">
        <v>94036.18</v>
      </c>
    </row>
    <row r="1323" spans="13:16" x14ac:dyDescent="0.15">
      <c r="M1323" s="35" t="s">
        <v>256</v>
      </c>
      <c r="N1323" s="35" t="s">
        <v>1297</v>
      </c>
      <c r="O1323" s="68">
        <v>2024.38</v>
      </c>
      <c r="P1323" s="70">
        <v>317873.90000000002</v>
      </c>
    </row>
    <row r="1324" spans="13:16" x14ac:dyDescent="0.15">
      <c r="M1324" s="35" t="s">
        <v>1147</v>
      </c>
      <c r="N1324" s="35" t="s">
        <v>280</v>
      </c>
      <c r="O1324" s="68">
        <v>2024.38</v>
      </c>
      <c r="P1324" s="70">
        <v>9920.06</v>
      </c>
    </row>
    <row r="1325" spans="13:16" x14ac:dyDescent="0.15">
      <c r="M1325" s="35" t="s">
        <v>1147</v>
      </c>
      <c r="N1325" s="35" t="s">
        <v>280</v>
      </c>
      <c r="O1325" s="68">
        <v>2024.38</v>
      </c>
      <c r="P1325" s="70">
        <v>3693.28</v>
      </c>
    </row>
    <row r="1326" spans="13:16" x14ac:dyDescent="0.15">
      <c r="M1326" s="35" t="s">
        <v>255</v>
      </c>
      <c r="N1326" s="35" t="s">
        <v>282</v>
      </c>
      <c r="O1326" s="68">
        <v>2024.38</v>
      </c>
      <c r="P1326" s="70">
        <v>2382</v>
      </c>
    </row>
    <row r="1327" spans="13:16" x14ac:dyDescent="0.15">
      <c r="M1327" s="35" t="s">
        <v>1137</v>
      </c>
      <c r="N1327" s="35" t="s">
        <v>278</v>
      </c>
      <c r="O1327" s="68">
        <v>2024.38</v>
      </c>
      <c r="P1327" s="70">
        <v>78.55</v>
      </c>
    </row>
    <row r="1328" spans="13:16" x14ac:dyDescent="0.15">
      <c r="M1328" s="35" t="s">
        <v>273</v>
      </c>
      <c r="N1328" s="35" t="s">
        <v>288</v>
      </c>
      <c r="O1328" s="68">
        <v>2024.18</v>
      </c>
      <c r="P1328" s="70">
        <v>38298.54</v>
      </c>
    </row>
    <row r="1329" spans="13:16" x14ac:dyDescent="0.15">
      <c r="M1329" s="35" t="s">
        <v>273</v>
      </c>
      <c r="N1329" s="35" t="s">
        <v>1296</v>
      </c>
      <c r="O1329" s="68">
        <v>2024.18</v>
      </c>
      <c r="P1329" s="70">
        <v>46906</v>
      </c>
    </row>
    <row r="1330" spans="13:16" x14ac:dyDescent="0.15">
      <c r="M1330" s="35" t="s">
        <v>273</v>
      </c>
      <c r="N1330" s="35" t="s">
        <v>280</v>
      </c>
      <c r="O1330" s="68">
        <v>2024.18</v>
      </c>
      <c r="P1330" s="70">
        <v>13214.46</v>
      </c>
    </row>
    <row r="1331" spans="13:16" x14ac:dyDescent="0.15">
      <c r="M1331" s="35" t="s">
        <v>273</v>
      </c>
      <c r="N1331" s="35" t="s">
        <v>277</v>
      </c>
      <c r="O1331" s="68">
        <v>2024.18</v>
      </c>
      <c r="P1331" s="70">
        <v>166.2</v>
      </c>
    </row>
    <row r="1332" spans="13:16" x14ac:dyDescent="0.15">
      <c r="M1332" s="35" t="s">
        <v>273</v>
      </c>
      <c r="N1332" s="35" t="s">
        <v>283</v>
      </c>
      <c r="O1332" s="68">
        <v>2024.18</v>
      </c>
      <c r="P1332" s="70">
        <v>3589.1</v>
      </c>
    </row>
    <row r="1333" spans="13:16" x14ac:dyDescent="0.15">
      <c r="M1333" s="35" t="s">
        <v>273</v>
      </c>
      <c r="N1333" s="35" t="s">
        <v>1298</v>
      </c>
      <c r="O1333" s="68">
        <v>2024.18</v>
      </c>
      <c r="P1333" s="70">
        <v>6372.78</v>
      </c>
    </row>
    <row r="1334" spans="13:16" x14ac:dyDescent="0.15">
      <c r="M1334" s="35" t="s">
        <v>307</v>
      </c>
      <c r="N1334" s="35" t="s">
        <v>280</v>
      </c>
      <c r="O1334" s="68">
        <v>2024.18</v>
      </c>
      <c r="P1334" s="70">
        <v>1464.8</v>
      </c>
    </row>
    <row r="1335" spans="13:16" x14ac:dyDescent="0.15">
      <c r="M1335" s="35" t="s">
        <v>307</v>
      </c>
      <c r="N1335" s="35" t="s">
        <v>280</v>
      </c>
      <c r="O1335" s="68">
        <v>2024.18</v>
      </c>
      <c r="P1335" s="70">
        <v>15000</v>
      </c>
    </row>
    <row r="1336" spans="13:16" x14ac:dyDescent="0.15">
      <c r="M1336" s="35" t="s">
        <v>307</v>
      </c>
      <c r="N1336" s="35" t="s">
        <v>281</v>
      </c>
      <c r="O1336" s="68">
        <v>2024.18</v>
      </c>
      <c r="P1336" s="70">
        <v>7150.73</v>
      </c>
    </row>
    <row r="1337" spans="13:16" x14ac:dyDescent="0.15">
      <c r="M1337" s="35" t="s">
        <v>307</v>
      </c>
      <c r="N1337" s="35" t="s">
        <v>1297</v>
      </c>
      <c r="O1337" s="68">
        <v>2024.18</v>
      </c>
      <c r="P1337" s="70">
        <v>20.8</v>
      </c>
    </row>
    <row r="1338" spans="13:16" x14ac:dyDescent="0.15">
      <c r="M1338" s="35" t="s">
        <v>307</v>
      </c>
      <c r="N1338" s="35" t="s">
        <v>1299</v>
      </c>
      <c r="O1338" s="68">
        <v>2024.18</v>
      </c>
      <c r="P1338" s="70">
        <v>26.23</v>
      </c>
    </row>
    <row r="1339" spans="13:16" x14ac:dyDescent="0.15">
      <c r="M1339" s="35" t="s">
        <v>309</v>
      </c>
      <c r="N1339" s="35" t="s">
        <v>280</v>
      </c>
      <c r="O1339" s="68">
        <v>2024.18</v>
      </c>
      <c r="P1339" s="70">
        <v>11440.16</v>
      </c>
    </row>
    <row r="1340" spans="13:16" x14ac:dyDescent="0.15">
      <c r="M1340" s="35" t="s">
        <v>309</v>
      </c>
      <c r="N1340" s="35" t="s">
        <v>280</v>
      </c>
      <c r="O1340" s="68">
        <v>2024.18</v>
      </c>
      <c r="P1340" s="70">
        <v>16200</v>
      </c>
    </row>
    <row r="1341" spans="13:16" x14ac:dyDescent="0.15">
      <c r="M1341" s="35" t="s">
        <v>309</v>
      </c>
      <c r="N1341" s="35" t="s">
        <v>277</v>
      </c>
      <c r="O1341" s="68">
        <v>2024.18</v>
      </c>
      <c r="P1341" s="70">
        <v>26460.95</v>
      </c>
    </row>
    <row r="1342" spans="13:16" x14ac:dyDescent="0.15">
      <c r="M1342" s="35" t="s">
        <v>274</v>
      </c>
      <c r="N1342" s="35" t="s">
        <v>274</v>
      </c>
      <c r="O1342" s="68">
        <v>2024.18</v>
      </c>
      <c r="P1342" s="70">
        <v>37019.9</v>
      </c>
    </row>
    <row r="1343" spans="13:16" x14ac:dyDescent="0.15">
      <c r="M1343" s="35" t="s">
        <v>1136</v>
      </c>
      <c r="N1343" s="35" t="s">
        <v>280</v>
      </c>
      <c r="O1343" s="68">
        <v>2024.18</v>
      </c>
      <c r="P1343" s="70">
        <v>114750</v>
      </c>
    </row>
    <row r="1344" spans="13:16" x14ac:dyDescent="0.15">
      <c r="M1344" s="35" t="s">
        <v>1136</v>
      </c>
      <c r="N1344" s="35" t="s">
        <v>277</v>
      </c>
      <c r="O1344" s="68">
        <v>2024.18</v>
      </c>
      <c r="P1344" s="70">
        <v>159.44</v>
      </c>
    </row>
    <row r="1345" spans="13:16" x14ac:dyDescent="0.15">
      <c r="M1345" s="35" t="s">
        <v>1136</v>
      </c>
      <c r="N1345" s="35" t="s">
        <v>277</v>
      </c>
      <c r="O1345" s="68">
        <v>2024.18</v>
      </c>
      <c r="P1345" s="70">
        <v>115850</v>
      </c>
    </row>
    <row r="1346" spans="13:16" x14ac:dyDescent="0.15">
      <c r="M1346" s="35" t="s">
        <v>1136</v>
      </c>
      <c r="N1346" s="35" t="s">
        <v>283</v>
      </c>
      <c r="O1346" s="68">
        <v>2024.18</v>
      </c>
      <c r="P1346" s="70">
        <v>548.79999999999995</v>
      </c>
    </row>
    <row r="1347" spans="13:16" x14ac:dyDescent="0.15">
      <c r="M1347" s="35" t="s">
        <v>302</v>
      </c>
      <c r="N1347" s="35" t="s">
        <v>283</v>
      </c>
      <c r="O1347" s="68">
        <v>2024.18</v>
      </c>
      <c r="P1347" s="70">
        <v>3960</v>
      </c>
    </row>
    <row r="1348" spans="13:16" x14ac:dyDescent="0.15">
      <c r="M1348" s="35" t="s">
        <v>302</v>
      </c>
      <c r="N1348" s="35" t="s">
        <v>283</v>
      </c>
      <c r="O1348" s="68">
        <v>2024.18</v>
      </c>
      <c r="P1348" s="70">
        <v>6588</v>
      </c>
    </row>
    <row r="1349" spans="13:16" x14ac:dyDescent="0.15">
      <c r="M1349" s="35" t="s">
        <v>1149</v>
      </c>
      <c r="N1349" s="35" t="s">
        <v>280</v>
      </c>
      <c r="O1349" s="68">
        <v>2024.18</v>
      </c>
      <c r="P1349" s="70">
        <v>140400</v>
      </c>
    </row>
    <row r="1350" spans="13:16" x14ac:dyDescent="0.15">
      <c r="M1350" s="35" t="s">
        <v>1149</v>
      </c>
      <c r="N1350" s="35" t="s">
        <v>277</v>
      </c>
      <c r="O1350" s="68">
        <v>2024.18</v>
      </c>
      <c r="P1350" s="70">
        <v>118800</v>
      </c>
    </row>
    <row r="1351" spans="13:16" x14ac:dyDescent="0.15">
      <c r="M1351" s="35" t="s">
        <v>1153</v>
      </c>
      <c r="N1351" s="35" t="s">
        <v>1297</v>
      </c>
      <c r="O1351" s="68">
        <v>2024.18</v>
      </c>
      <c r="P1351" s="70">
        <v>477996</v>
      </c>
    </row>
    <row r="1352" spans="13:16" x14ac:dyDescent="0.15">
      <c r="M1352" s="35" t="s">
        <v>1150</v>
      </c>
      <c r="N1352" s="35" t="s">
        <v>1132</v>
      </c>
      <c r="O1352" s="68">
        <v>2024.18</v>
      </c>
      <c r="P1352" s="70">
        <v>159933.67000000001</v>
      </c>
    </row>
    <row r="1353" spans="13:16" x14ac:dyDescent="0.15">
      <c r="M1353" s="35" t="s">
        <v>1150</v>
      </c>
      <c r="N1353" s="35" t="s">
        <v>1132</v>
      </c>
      <c r="O1353" s="68">
        <v>2024.18</v>
      </c>
      <c r="P1353" s="70">
        <v>26664</v>
      </c>
    </row>
    <row r="1354" spans="13:16" x14ac:dyDescent="0.15">
      <c r="M1354" s="35" t="s">
        <v>1150</v>
      </c>
      <c r="N1354" s="35" t="s">
        <v>282</v>
      </c>
      <c r="O1354" s="68">
        <v>2024.18</v>
      </c>
      <c r="P1354" s="70">
        <v>25</v>
      </c>
    </row>
    <row r="1355" spans="13:16" x14ac:dyDescent="0.15">
      <c r="M1355" s="35" t="s">
        <v>1150</v>
      </c>
      <c r="N1355" s="35" t="s">
        <v>1299</v>
      </c>
      <c r="O1355" s="68">
        <v>2024.18</v>
      </c>
      <c r="P1355" s="70">
        <v>86.78</v>
      </c>
    </row>
    <row r="1356" spans="13:16" x14ac:dyDescent="0.15">
      <c r="M1356" s="35" t="s">
        <v>1138</v>
      </c>
      <c r="N1356" s="35" t="s">
        <v>1132</v>
      </c>
      <c r="O1356" s="68">
        <v>2024.18</v>
      </c>
      <c r="P1356" s="70">
        <v>5215.9799999999996</v>
      </c>
    </row>
    <row r="1357" spans="13:16" x14ac:dyDescent="0.15">
      <c r="M1357" s="35" t="s">
        <v>1138</v>
      </c>
      <c r="N1357" s="35" t="s">
        <v>1132</v>
      </c>
      <c r="O1357" s="68">
        <v>2024.18</v>
      </c>
      <c r="P1357" s="70">
        <v>3694.55</v>
      </c>
    </row>
    <row r="1358" spans="13:16" x14ac:dyDescent="0.15">
      <c r="M1358" s="35" t="s">
        <v>262</v>
      </c>
      <c r="N1358" s="35" t="s">
        <v>283</v>
      </c>
      <c r="O1358" s="68">
        <v>2024.18</v>
      </c>
      <c r="P1358" s="70">
        <v>7490.43</v>
      </c>
    </row>
    <row r="1359" spans="13:16" x14ac:dyDescent="0.15">
      <c r="M1359" s="35" t="s">
        <v>262</v>
      </c>
      <c r="N1359" s="35" t="s">
        <v>1297</v>
      </c>
      <c r="O1359" s="68">
        <v>2024.18</v>
      </c>
      <c r="P1359" s="70">
        <v>2546.25</v>
      </c>
    </row>
    <row r="1360" spans="13:16" x14ac:dyDescent="0.15">
      <c r="M1360" s="35" t="s">
        <v>275</v>
      </c>
      <c r="N1360" s="35" t="s">
        <v>1297</v>
      </c>
      <c r="O1360" s="68">
        <v>2024.18</v>
      </c>
      <c r="P1360" s="70">
        <v>7012.29</v>
      </c>
    </row>
    <row r="1361" spans="13:16" x14ac:dyDescent="0.15">
      <c r="M1361" s="35" t="s">
        <v>275</v>
      </c>
      <c r="N1361" s="35" t="s">
        <v>1297</v>
      </c>
      <c r="O1361" s="68">
        <v>2024.18</v>
      </c>
      <c r="P1361" s="70">
        <v>100.56</v>
      </c>
    </row>
    <row r="1362" spans="13:16" x14ac:dyDescent="0.15">
      <c r="M1362" s="35" t="s">
        <v>275</v>
      </c>
      <c r="N1362" s="35" t="s">
        <v>284</v>
      </c>
      <c r="O1362" s="68">
        <v>2024.18</v>
      </c>
      <c r="P1362" s="70">
        <v>1118.3900000000001</v>
      </c>
    </row>
    <row r="1363" spans="13:16" x14ac:dyDescent="0.15">
      <c r="M1363" s="35" t="s">
        <v>275</v>
      </c>
      <c r="N1363" s="35" t="s">
        <v>284</v>
      </c>
      <c r="O1363" s="68">
        <v>2024.18</v>
      </c>
      <c r="P1363" s="70">
        <v>20693.560000000001</v>
      </c>
    </row>
    <row r="1364" spans="13:16" x14ac:dyDescent="0.15">
      <c r="M1364" s="35" t="s">
        <v>275</v>
      </c>
      <c r="N1364" s="35" t="s">
        <v>1299</v>
      </c>
      <c r="O1364" s="68">
        <v>2024.18</v>
      </c>
      <c r="P1364" s="70">
        <v>90196.61</v>
      </c>
    </row>
    <row r="1365" spans="13:16" x14ac:dyDescent="0.15">
      <c r="M1365" s="35" t="s">
        <v>276</v>
      </c>
      <c r="N1365" s="35" t="s">
        <v>1297</v>
      </c>
      <c r="O1365" s="68">
        <v>2024.18</v>
      </c>
      <c r="P1365" s="70">
        <v>848.98</v>
      </c>
    </row>
    <row r="1366" spans="13:16" x14ac:dyDescent="0.15">
      <c r="M1366" s="35" t="s">
        <v>276</v>
      </c>
      <c r="N1366" s="35" t="s">
        <v>1297</v>
      </c>
      <c r="O1366" s="68">
        <v>2024.18</v>
      </c>
      <c r="P1366" s="70">
        <v>29501.67</v>
      </c>
    </row>
    <row r="1367" spans="13:16" x14ac:dyDescent="0.15">
      <c r="M1367" s="35" t="s">
        <v>276</v>
      </c>
      <c r="N1367" s="35" t="s">
        <v>282</v>
      </c>
      <c r="O1367" s="68">
        <v>2024.18</v>
      </c>
      <c r="P1367" s="70">
        <v>10887</v>
      </c>
    </row>
    <row r="1368" spans="13:16" x14ac:dyDescent="0.15">
      <c r="M1368" s="35" t="s">
        <v>276</v>
      </c>
      <c r="N1368" s="35" t="s">
        <v>282</v>
      </c>
      <c r="O1368" s="68">
        <v>2024.18</v>
      </c>
      <c r="P1368" s="70">
        <v>78300</v>
      </c>
    </row>
    <row r="1369" spans="13:16" x14ac:dyDescent="0.15">
      <c r="M1369" s="35" t="s">
        <v>276</v>
      </c>
      <c r="N1369" s="35" t="s">
        <v>282</v>
      </c>
      <c r="O1369" s="68">
        <v>2024.18</v>
      </c>
      <c r="P1369" s="70">
        <v>273169.05</v>
      </c>
    </row>
    <row r="1370" spans="13:16" x14ac:dyDescent="0.15">
      <c r="M1370" s="35" t="s">
        <v>276</v>
      </c>
      <c r="N1370" s="35" t="s">
        <v>1299</v>
      </c>
      <c r="O1370" s="68">
        <v>2024.18</v>
      </c>
      <c r="P1370" s="70">
        <v>32208</v>
      </c>
    </row>
    <row r="1371" spans="13:16" x14ac:dyDescent="0.15">
      <c r="M1371" s="35" t="s">
        <v>276</v>
      </c>
      <c r="N1371" s="35" t="s">
        <v>1300</v>
      </c>
      <c r="O1371" s="68">
        <v>2024.18</v>
      </c>
      <c r="P1371" s="70">
        <v>201.29</v>
      </c>
    </row>
    <row r="1372" spans="13:16" x14ac:dyDescent="0.15">
      <c r="M1372" s="35" t="s">
        <v>1146</v>
      </c>
      <c r="N1372" s="35" t="s">
        <v>1297</v>
      </c>
      <c r="O1372" s="68">
        <v>2024.18</v>
      </c>
      <c r="P1372" s="70">
        <v>4.6399999999999997</v>
      </c>
    </row>
    <row r="1373" spans="13:16" x14ac:dyDescent="0.15">
      <c r="M1373" s="35" t="s">
        <v>1146</v>
      </c>
      <c r="N1373" s="35" t="s">
        <v>1297</v>
      </c>
      <c r="O1373" s="68">
        <v>2024.18</v>
      </c>
      <c r="P1373" s="70">
        <v>199.65</v>
      </c>
    </row>
    <row r="1374" spans="13:16" x14ac:dyDescent="0.15">
      <c r="M1374" s="35" t="s">
        <v>1146</v>
      </c>
      <c r="N1374" s="35" t="s">
        <v>1297</v>
      </c>
      <c r="O1374" s="68">
        <v>2024.18</v>
      </c>
      <c r="P1374" s="70">
        <v>118000</v>
      </c>
    </row>
    <row r="1375" spans="13:16" x14ac:dyDescent="0.15">
      <c r="M1375" s="35" t="s">
        <v>1146</v>
      </c>
      <c r="N1375" s="35" t="s">
        <v>1297</v>
      </c>
      <c r="O1375" s="68">
        <v>2024.18</v>
      </c>
      <c r="P1375" s="70">
        <v>1697.97</v>
      </c>
    </row>
    <row r="1376" spans="13:16" x14ac:dyDescent="0.15">
      <c r="M1376" s="35" t="s">
        <v>1146</v>
      </c>
      <c r="N1376" s="35" t="s">
        <v>283</v>
      </c>
      <c r="O1376" s="68">
        <v>2024.18</v>
      </c>
      <c r="P1376" s="70">
        <v>7952.91</v>
      </c>
    </row>
    <row r="1377" spans="13:16" x14ac:dyDescent="0.15">
      <c r="M1377" s="35" t="s">
        <v>1146</v>
      </c>
      <c r="N1377" s="35" t="s">
        <v>283</v>
      </c>
      <c r="O1377" s="68">
        <v>2024.18</v>
      </c>
      <c r="P1377" s="70">
        <v>17820</v>
      </c>
    </row>
    <row r="1378" spans="13:16" x14ac:dyDescent="0.15">
      <c r="M1378" s="35" t="s">
        <v>1146</v>
      </c>
      <c r="N1378" s="35" t="s">
        <v>1298</v>
      </c>
      <c r="O1378" s="68">
        <v>2024.18</v>
      </c>
      <c r="P1378" s="70">
        <v>4256.84</v>
      </c>
    </row>
    <row r="1379" spans="13:16" x14ac:dyDescent="0.15">
      <c r="M1379" s="35" t="s">
        <v>1146</v>
      </c>
      <c r="N1379" s="35" t="s">
        <v>1298</v>
      </c>
      <c r="O1379" s="68">
        <v>2024.18</v>
      </c>
      <c r="P1379" s="70">
        <v>109451.96</v>
      </c>
    </row>
    <row r="1380" spans="13:16" x14ac:dyDescent="0.15">
      <c r="M1380" s="35" t="s">
        <v>1146</v>
      </c>
      <c r="N1380" s="35" t="s">
        <v>282</v>
      </c>
      <c r="O1380" s="68">
        <v>2024.18</v>
      </c>
      <c r="P1380" s="70">
        <v>208.33</v>
      </c>
    </row>
    <row r="1381" spans="13:16" x14ac:dyDescent="0.15">
      <c r="M1381" s="35" t="s">
        <v>1146</v>
      </c>
      <c r="N1381" s="35" t="s">
        <v>1299</v>
      </c>
      <c r="O1381" s="68">
        <v>2024.18</v>
      </c>
      <c r="P1381" s="70">
        <v>85182.56</v>
      </c>
    </row>
    <row r="1382" spans="13:16" x14ac:dyDescent="0.15">
      <c r="M1382" s="35" t="s">
        <v>1146</v>
      </c>
      <c r="N1382" s="35" t="s">
        <v>1300</v>
      </c>
      <c r="O1382" s="68">
        <v>2024.18</v>
      </c>
      <c r="P1382" s="70">
        <v>2281.58</v>
      </c>
    </row>
    <row r="1383" spans="13:16" x14ac:dyDescent="0.15">
      <c r="M1383" s="35" t="s">
        <v>1151</v>
      </c>
      <c r="N1383" s="35" t="s">
        <v>282</v>
      </c>
      <c r="O1383" s="68">
        <v>2024.18</v>
      </c>
      <c r="P1383" s="70">
        <v>412.5</v>
      </c>
    </row>
    <row r="1384" spans="13:16" x14ac:dyDescent="0.15">
      <c r="M1384" s="35" t="s">
        <v>1151</v>
      </c>
      <c r="N1384" s="35" t="s">
        <v>282</v>
      </c>
      <c r="O1384" s="68">
        <v>2024.18</v>
      </c>
      <c r="P1384" s="70">
        <v>340124.8</v>
      </c>
    </row>
    <row r="1385" spans="13:16" x14ac:dyDescent="0.15">
      <c r="M1385" s="35" t="s">
        <v>1151</v>
      </c>
      <c r="N1385" s="35" t="s">
        <v>283</v>
      </c>
      <c r="O1385" s="68">
        <v>2024.18</v>
      </c>
      <c r="P1385" s="70">
        <v>1521.16</v>
      </c>
    </row>
    <row r="1386" spans="13:16" x14ac:dyDescent="0.15">
      <c r="M1386" s="35" t="s">
        <v>1151</v>
      </c>
      <c r="N1386" s="35" t="s">
        <v>278</v>
      </c>
      <c r="O1386" s="68">
        <v>2024.18</v>
      </c>
      <c r="P1386" s="70">
        <v>5843.85</v>
      </c>
    </row>
    <row r="1387" spans="13:16" x14ac:dyDescent="0.15">
      <c r="M1387" s="35" t="s">
        <v>1151</v>
      </c>
      <c r="N1387" s="35" t="s">
        <v>1297</v>
      </c>
      <c r="O1387" s="68">
        <v>2024.18</v>
      </c>
      <c r="P1387" s="70">
        <v>92569.06</v>
      </c>
    </row>
    <row r="1388" spans="13:16" x14ac:dyDescent="0.15">
      <c r="M1388" s="35" t="s">
        <v>1151</v>
      </c>
      <c r="N1388" s="35" t="s">
        <v>1299</v>
      </c>
      <c r="O1388" s="68">
        <v>2024.18</v>
      </c>
      <c r="P1388" s="70">
        <v>48.56</v>
      </c>
    </row>
    <row r="1389" spans="13:16" x14ac:dyDescent="0.15">
      <c r="M1389" s="35" t="s">
        <v>1151</v>
      </c>
      <c r="N1389" s="35" t="s">
        <v>1300</v>
      </c>
      <c r="O1389" s="68">
        <v>2024.18</v>
      </c>
      <c r="P1389" s="70">
        <v>807.91</v>
      </c>
    </row>
    <row r="1390" spans="13:16" x14ac:dyDescent="0.15">
      <c r="M1390" s="35" t="s">
        <v>1152</v>
      </c>
      <c r="N1390" s="35" t="s">
        <v>1297</v>
      </c>
      <c r="O1390" s="68">
        <v>2024.18</v>
      </c>
      <c r="P1390" s="70">
        <v>667.84</v>
      </c>
    </row>
    <row r="1391" spans="13:16" x14ac:dyDescent="0.15">
      <c r="M1391" s="35" t="s">
        <v>1152</v>
      </c>
      <c r="N1391" s="35" t="s">
        <v>1297</v>
      </c>
      <c r="O1391" s="68">
        <v>2024.18</v>
      </c>
      <c r="P1391" s="70">
        <v>8073.64</v>
      </c>
    </row>
    <row r="1392" spans="13:16" x14ac:dyDescent="0.15">
      <c r="M1392" s="35" t="s">
        <v>1152</v>
      </c>
      <c r="N1392" s="35" t="s">
        <v>282</v>
      </c>
      <c r="O1392" s="68">
        <v>2024.18</v>
      </c>
      <c r="P1392" s="70">
        <v>2135</v>
      </c>
    </row>
    <row r="1393" spans="13:16" x14ac:dyDescent="0.15">
      <c r="M1393" s="35" t="s">
        <v>1152</v>
      </c>
      <c r="N1393" s="35" t="s">
        <v>1298</v>
      </c>
      <c r="O1393" s="68">
        <v>2024.18</v>
      </c>
      <c r="P1393" s="70">
        <v>52355</v>
      </c>
    </row>
    <row r="1394" spans="13:16" x14ac:dyDescent="0.15">
      <c r="M1394" s="35" t="s">
        <v>1152</v>
      </c>
      <c r="N1394" s="35" t="s">
        <v>1299</v>
      </c>
      <c r="O1394" s="68">
        <v>2024.18</v>
      </c>
      <c r="P1394" s="70">
        <v>105051.64</v>
      </c>
    </row>
    <row r="1395" spans="13:16" x14ac:dyDescent="0.15">
      <c r="M1395" s="35" t="s">
        <v>1152</v>
      </c>
      <c r="N1395" s="35" t="s">
        <v>1300</v>
      </c>
      <c r="O1395" s="68">
        <v>2024.18</v>
      </c>
      <c r="P1395" s="70">
        <v>92702.5</v>
      </c>
    </row>
    <row r="1396" spans="13:16" x14ac:dyDescent="0.15">
      <c r="M1396" s="35" t="s">
        <v>256</v>
      </c>
      <c r="N1396" s="35" t="s">
        <v>1297</v>
      </c>
      <c r="O1396" s="68">
        <v>2024.18</v>
      </c>
      <c r="P1396" s="70">
        <v>308993.90000000002</v>
      </c>
    </row>
    <row r="1397" spans="13:16" x14ac:dyDescent="0.15">
      <c r="M1397" s="35" t="s">
        <v>1147</v>
      </c>
      <c r="N1397" s="35" t="s">
        <v>280</v>
      </c>
      <c r="O1397" s="68">
        <v>2024.18</v>
      </c>
      <c r="P1397" s="70">
        <v>9920.06</v>
      </c>
    </row>
    <row r="1398" spans="13:16" x14ac:dyDescent="0.15">
      <c r="M1398" s="35" t="s">
        <v>1147</v>
      </c>
      <c r="N1398" s="35" t="s">
        <v>280</v>
      </c>
      <c r="O1398" s="68">
        <v>2024.18</v>
      </c>
      <c r="P1398" s="70">
        <v>3693.28</v>
      </c>
    </row>
    <row r="1399" spans="13:16" x14ac:dyDescent="0.15">
      <c r="M1399" s="35" t="s">
        <v>1137</v>
      </c>
      <c r="N1399" s="35" t="s">
        <v>278</v>
      </c>
      <c r="O1399" s="68">
        <v>2024.18</v>
      </c>
      <c r="P1399" s="70">
        <v>78.55</v>
      </c>
    </row>
    <row r="1400" spans="13:16" x14ac:dyDescent="0.15">
      <c r="M1400" s="35" t="s">
        <v>273</v>
      </c>
      <c r="N1400" s="35" t="s">
        <v>288</v>
      </c>
      <c r="O1400" s="68">
        <v>2024.19</v>
      </c>
      <c r="P1400" s="70">
        <v>38298.54</v>
      </c>
    </row>
    <row r="1401" spans="13:16" x14ac:dyDescent="0.15">
      <c r="M1401" s="35" t="s">
        <v>273</v>
      </c>
      <c r="N1401" s="35" t="s">
        <v>1296</v>
      </c>
      <c r="O1401" s="68">
        <v>2024.19</v>
      </c>
      <c r="P1401" s="70">
        <v>52232.45</v>
      </c>
    </row>
    <row r="1402" spans="13:16" x14ac:dyDescent="0.15">
      <c r="M1402" s="35" t="s">
        <v>273</v>
      </c>
      <c r="N1402" s="35" t="s">
        <v>280</v>
      </c>
      <c r="O1402" s="68">
        <v>2024.19</v>
      </c>
      <c r="P1402" s="70">
        <v>14386.3</v>
      </c>
    </row>
    <row r="1403" spans="13:16" x14ac:dyDescent="0.15">
      <c r="M1403" s="35" t="s">
        <v>273</v>
      </c>
      <c r="N1403" s="35" t="s">
        <v>277</v>
      </c>
      <c r="O1403" s="68">
        <v>2024.19</v>
      </c>
      <c r="P1403" s="70">
        <v>166.2</v>
      </c>
    </row>
    <row r="1404" spans="13:16" x14ac:dyDescent="0.15">
      <c r="M1404" s="35" t="s">
        <v>273</v>
      </c>
      <c r="N1404" s="35" t="s">
        <v>283</v>
      </c>
      <c r="O1404" s="68">
        <v>2024.19</v>
      </c>
      <c r="P1404" s="70">
        <v>3589.1</v>
      </c>
    </row>
    <row r="1405" spans="13:16" x14ac:dyDescent="0.15">
      <c r="M1405" s="35" t="s">
        <v>273</v>
      </c>
      <c r="N1405" s="35" t="s">
        <v>1298</v>
      </c>
      <c r="O1405" s="68">
        <v>2024.19</v>
      </c>
      <c r="P1405" s="70">
        <v>6955.66</v>
      </c>
    </row>
    <row r="1406" spans="13:16" x14ac:dyDescent="0.15">
      <c r="M1406" s="35" t="s">
        <v>307</v>
      </c>
      <c r="N1406" s="35" t="s">
        <v>280</v>
      </c>
      <c r="O1406" s="68">
        <v>2024.19</v>
      </c>
      <c r="P1406" s="70">
        <v>3222.56</v>
      </c>
    </row>
    <row r="1407" spans="13:16" x14ac:dyDescent="0.15">
      <c r="M1407" s="35" t="s">
        <v>307</v>
      </c>
      <c r="N1407" s="35" t="s">
        <v>280</v>
      </c>
      <c r="O1407" s="68">
        <v>2024.19</v>
      </c>
      <c r="P1407" s="70">
        <v>15000</v>
      </c>
    </row>
    <row r="1408" spans="13:16" x14ac:dyDescent="0.15">
      <c r="M1408" s="35" t="s">
        <v>307</v>
      </c>
      <c r="N1408" s="35" t="s">
        <v>281</v>
      </c>
      <c r="O1408" s="68">
        <v>2024.19</v>
      </c>
      <c r="P1408" s="70">
        <v>7150.73</v>
      </c>
    </row>
    <row r="1409" spans="13:16" x14ac:dyDescent="0.15">
      <c r="M1409" s="35" t="s">
        <v>307</v>
      </c>
      <c r="N1409" s="35" t="s">
        <v>1297</v>
      </c>
      <c r="O1409" s="68">
        <v>2024.19</v>
      </c>
      <c r="P1409" s="70">
        <v>20.8</v>
      </c>
    </row>
    <row r="1410" spans="13:16" x14ac:dyDescent="0.15">
      <c r="M1410" s="35" t="s">
        <v>307</v>
      </c>
      <c r="N1410" s="35" t="s">
        <v>1299</v>
      </c>
      <c r="O1410" s="68">
        <v>2024.19</v>
      </c>
      <c r="P1410" s="70">
        <v>26.23</v>
      </c>
    </row>
    <row r="1411" spans="13:16" x14ac:dyDescent="0.15">
      <c r="M1411" s="35" t="s">
        <v>309</v>
      </c>
      <c r="N1411" s="35" t="s">
        <v>280</v>
      </c>
      <c r="O1411" s="68">
        <v>2024.19</v>
      </c>
      <c r="P1411" s="70">
        <v>11440.16</v>
      </c>
    </row>
    <row r="1412" spans="13:16" x14ac:dyDescent="0.15">
      <c r="M1412" s="35" t="s">
        <v>309</v>
      </c>
      <c r="N1412" s="35" t="s">
        <v>280</v>
      </c>
      <c r="O1412" s="68">
        <v>2024.19</v>
      </c>
      <c r="P1412" s="70">
        <v>16200</v>
      </c>
    </row>
    <row r="1413" spans="13:16" x14ac:dyDescent="0.15">
      <c r="M1413" s="35" t="s">
        <v>309</v>
      </c>
      <c r="N1413" s="35" t="s">
        <v>277</v>
      </c>
      <c r="O1413" s="68">
        <v>2024.19</v>
      </c>
      <c r="P1413" s="70">
        <v>27169.55</v>
      </c>
    </row>
    <row r="1414" spans="13:16" x14ac:dyDescent="0.15">
      <c r="M1414" s="35" t="s">
        <v>274</v>
      </c>
      <c r="N1414" s="35" t="s">
        <v>274</v>
      </c>
      <c r="O1414" s="68">
        <v>2024.19</v>
      </c>
      <c r="P1414" s="70">
        <v>37019.9</v>
      </c>
    </row>
    <row r="1415" spans="13:16" x14ac:dyDescent="0.15">
      <c r="M1415" s="35" t="s">
        <v>1136</v>
      </c>
      <c r="N1415" s="35" t="s">
        <v>280</v>
      </c>
      <c r="O1415" s="68">
        <v>2024.19</v>
      </c>
      <c r="P1415" s="70">
        <v>114750</v>
      </c>
    </row>
    <row r="1416" spans="13:16" x14ac:dyDescent="0.15">
      <c r="M1416" s="35" t="s">
        <v>1136</v>
      </c>
      <c r="N1416" s="35" t="s">
        <v>277</v>
      </c>
      <c r="O1416" s="68">
        <v>2024.19</v>
      </c>
      <c r="P1416" s="70">
        <v>159.44</v>
      </c>
    </row>
    <row r="1417" spans="13:16" x14ac:dyDescent="0.15">
      <c r="M1417" s="35" t="s">
        <v>1136</v>
      </c>
      <c r="N1417" s="35" t="s">
        <v>277</v>
      </c>
      <c r="O1417" s="68">
        <v>2024.19</v>
      </c>
      <c r="P1417" s="70">
        <v>115850</v>
      </c>
    </row>
    <row r="1418" spans="13:16" x14ac:dyDescent="0.15">
      <c r="M1418" s="35" t="s">
        <v>1136</v>
      </c>
      <c r="N1418" s="35" t="s">
        <v>283</v>
      </c>
      <c r="O1418" s="68">
        <v>2024.19</v>
      </c>
      <c r="P1418" s="70">
        <v>1097.5999999999999</v>
      </c>
    </row>
    <row r="1419" spans="13:16" x14ac:dyDescent="0.15">
      <c r="M1419" s="35" t="s">
        <v>302</v>
      </c>
      <c r="N1419" s="35" t="s">
        <v>283</v>
      </c>
      <c r="O1419" s="68">
        <v>2024.19</v>
      </c>
      <c r="P1419" s="70">
        <v>3960</v>
      </c>
    </row>
    <row r="1420" spans="13:16" x14ac:dyDescent="0.15">
      <c r="M1420" s="35" t="s">
        <v>302</v>
      </c>
      <c r="N1420" s="35" t="s">
        <v>283</v>
      </c>
      <c r="O1420" s="68">
        <v>2024.19</v>
      </c>
      <c r="P1420" s="70">
        <v>6588</v>
      </c>
    </row>
    <row r="1421" spans="13:16" x14ac:dyDescent="0.15">
      <c r="M1421" s="35" t="s">
        <v>1149</v>
      </c>
      <c r="N1421" s="35" t="s">
        <v>280</v>
      </c>
      <c r="O1421" s="68">
        <v>2024.19</v>
      </c>
      <c r="P1421" s="70">
        <v>140400</v>
      </c>
    </row>
    <row r="1422" spans="13:16" x14ac:dyDescent="0.15">
      <c r="M1422" s="35" t="s">
        <v>1149</v>
      </c>
      <c r="N1422" s="35" t="s">
        <v>277</v>
      </c>
      <c r="O1422" s="68">
        <v>2024.19</v>
      </c>
      <c r="P1422" s="70">
        <v>118800</v>
      </c>
    </row>
    <row r="1423" spans="13:16" x14ac:dyDescent="0.15">
      <c r="M1423" s="35" t="s">
        <v>1153</v>
      </c>
      <c r="N1423" s="35" t="s">
        <v>1297</v>
      </c>
      <c r="O1423" s="68">
        <v>2024.19</v>
      </c>
      <c r="P1423" s="70">
        <v>477996</v>
      </c>
    </row>
    <row r="1424" spans="13:16" x14ac:dyDescent="0.15">
      <c r="M1424" s="35" t="s">
        <v>1150</v>
      </c>
      <c r="N1424" s="35" t="s">
        <v>1132</v>
      </c>
      <c r="O1424" s="68">
        <v>2024.19</v>
      </c>
      <c r="P1424" s="70">
        <v>159933.67000000001</v>
      </c>
    </row>
    <row r="1425" spans="13:16" x14ac:dyDescent="0.15">
      <c r="M1425" s="35" t="s">
        <v>1150</v>
      </c>
      <c r="N1425" s="35" t="s">
        <v>1132</v>
      </c>
      <c r="O1425" s="68">
        <v>2024.19</v>
      </c>
      <c r="P1425" s="70">
        <v>26664</v>
      </c>
    </row>
    <row r="1426" spans="13:16" x14ac:dyDescent="0.15">
      <c r="M1426" s="35" t="s">
        <v>1150</v>
      </c>
      <c r="N1426" s="35" t="s">
        <v>282</v>
      </c>
      <c r="O1426" s="68">
        <v>2024.19</v>
      </c>
      <c r="P1426" s="70">
        <v>25</v>
      </c>
    </row>
    <row r="1427" spans="13:16" x14ac:dyDescent="0.15">
      <c r="M1427" s="35" t="s">
        <v>1150</v>
      </c>
      <c r="N1427" s="35" t="s">
        <v>1299</v>
      </c>
      <c r="O1427" s="68">
        <v>2024.19</v>
      </c>
      <c r="P1427" s="70">
        <v>86.78</v>
      </c>
    </row>
    <row r="1428" spans="13:16" x14ac:dyDescent="0.15">
      <c r="M1428" s="35" t="s">
        <v>1138</v>
      </c>
      <c r="N1428" s="35" t="s">
        <v>1132</v>
      </c>
      <c r="O1428" s="68">
        <v>2024.19</v>
      </c>
      <c r="P1428" s="70">
        <v>5215.9799999999996</v>
      </c>
    </row>
    <row r="1429" spans="13:16" x14ac:dyDescent="0.15">
      <c r="M1429" s="35" t="s">
        <v>1138</v>
      </c>
      <c r="N1429" s="35" t="s">
        <v>1132</v>
      </c>
      <c r="O1429" s="68">
        <v>2024.19</v>
      </c>
      <c r="P1429" s="70">
        <v>3694.55</v>
      </c>
    </row>
    <row r="1430" spans="13:16" x14ac:dyDescent="0.15">
      <c r="M1430" s="35" t="s">
        <v>262</v>
      </c>
      <c r="N1430" s="35" t="s">
        <v>283</v>
      </c>
      <c r="O1430" s="68">
        <v>2024.19</v>
      </c>
      <c r="P1430" s="70">
        <v>8819.57</v>
      </c>
    </row>
    <row r="1431" spans="13:16" x14ac:dyDescent="0.15">
      <c r="M1431" s="35" t="s">
        <v>262</v>
      </c>
      <c r="N1431" s="35" t="s">
        <v>1297</v>
      </c>
      <c r="O1431" s="68">
        <v>2024.19</v>
      </c>
      <c r="P1431" s="70">
        <v>2546.25</v>
      </c>
    </row>
    <row r="1432" spans="13:16" x14ac:dyDescent="0.15">
      <c r="M1432" s="35" t="s">
        <v>275</v>
      </c>
      <c r="N1432" s="35" t="s">
        <v>1297</v>
      </c>
      <c r="O1432" s="68">
        <v>2024.19</v>
      </c>
      <c r="P1432" s="70">
        <v>7012.29</v>
      </c>
    </row>
    <row r="1433" spans="13:16" x14ac:dyDescent="0.15">
      <c r="M1433" s="35" t="s">
        <v>275</v>
      </c>
      <c r="N1433" s="35" t="s">
        <v>1297</v>
      </c>
      <c r="O1433" s="68">
        <v>2024.19</v>
      </c>
      <c r="P1433" s="70">
        <v>100.56</v>
      </c>
    </row>
    <row r="1434" spans="13:16" x14ac:dyDescent="0.15">
      <c r="M1434" s="35" t="s">
        <v>275</v>
      </c>
      <c r="N1434" s="35" t="s">
        <v>284</v>
      </c>
      <c r="O1434" s="68">
        <v>2024.19</v>
      </c>
      <c r="P1434" s="70">
        <v>1118.3900000000001</v>
      </c>
    </row>
    <row r="1435" spans="13:16" x14ac:dyDescent="0.15">
      <c r="M1435" s="35" t="s">
        <v>275</v>
      </c>
      <c r="N1435" s="35" t="s">
        <v>284</v>
      </c>
      <c r="O1435" s="68">
        <v>2024.19</v>
      </c>
      <c r="P1435" s="70">
        <v>20693.560000000001</v>
      </c>
    </row>
    <row r="1436" spans="13:16" x14ac:dyDescent="0.15">
      <c r="M1436" s="35" t="s">
        <v>275</v>
      </c>
      <c r="N1436" s="35" t="s">
        <v>1299</v>
      </c>
      <c r="O1436" s="68">
        <v>2024.19</v>
      </c>
      <c r="P1436" s="70">
        <v>91566.61</v>
      </c>
    </row>
    <row r="1437" spans="13:16" x14ac:dyDescent="0.15">
      <c r="M1437" s="35" t="s">
        <v>276</v>
      </c>
      <c r="N1437" s="35" t="s">
        <v>1297</v>
      </c>
      <c r="O1437" s="68">
        <v>2024.19</v>
      </c>
      <c r="P1437" s="70">
        <v>848.98</v>
      </c>
    </row>
    <row r="1438" spans="13:16" x14ac:dyDescent="0.15">
      <c r="M1438" s="35" t="s">
        <v>276</v>
      </c>
      <c r="N1438" s="35" t="s">
        <v>1297</v>
      </c>
      <c r="O1438" s="68">
        <v>2024.19</v>
      </c>
      <c r="P1438" s="70">
        <v>29501.67</v>
      </c>
    </row>
    <row r="1439" spans="13:16" x14ac:dyDescent="0.15">
      <c r="M1439" s="35" t="s">
        <v>276</v>
      </c>
      <c r="N1439" s="35" t="s">
        <v>282</v>
      </c>
      <c r="O1439" s="68">
        <v>2024.19</v>
      </c>
      <c r="P1439" s="70">
        <v>10887</v>
      </c>
    </row>
    <row r="1440" spans="13:16" x14ac:dyDescent="0.15">
      <c r="M1440" s="35" t="s">
        <v>276</v>
      </c>
      <c r="N1440" s="35" t="s">
        <v>282</v>
      </c>
      <c r="O1440" s="68">
        <v>2024.19</v>
      </c>
      <c r="P1440" s="70">
        <v>78300</v>
      </c>
    </row>
    <row r="1441" spans="13:16" x14ac:dyDescent="0.15">
      <c r="M1441" s="35" t="s">
        <v>276</v>
      </c>
      <c r="N1441" s="35" t="s">
        <v>282</v>
      </c>
      <c r="O1441" s="68">
        <v>2024.19</v>
      </c>
      <c r="P1441" s="70">
        <v>273169.05</v>
      </c>
    </row>
    <row r="1442" spans="13:16" x14ac:dyDescent="0.15">
      <c r="M1442" s="35" t="s">
        <v>276</v>
      </c>
      <c r="N1442" s="35" t="s">
        <v>1299</v>
      </c>
      <c r="O1442" s="68">
        <v>2024.19</v>
      </c>
      <c r="P1442" s="70">
        <v>32208</v>
      </c>
    </row>
    <row r="1443" spans="13:16" x14ac:dyDescent="0.15">
      <c r="M1443" s="35" t="s">
        <v>276</v>
      </c>
      <c r="N1443" s="35" t="s">
        <v>1300</v>
      </c>
      <c r="O1443" s="68">
        <v>2024.19</v>
      </c>
      <c r="P1443" s="70">
        <v>201.29</v>
      </c>
    </row>
    <row r="1444" spans="13:16" x14ac:dyDescent="0.15">
      <c r="M1444" s="35" t="s">
        <v>1146</v>
      </c>
      <c r="N1444" s="35" t="s">
        <v>1297</v>
      </c>
      <c r="O1444" s="68">
        <v>2024.19</v>
      </c>
      <c r="P1444" s="70">
        <v>4.6399999999999997</v>
      </c>
    </row>
    <row r="1445" spans="13:16" x14ac:dyDescent="0.15">
      <c r="M1445" s="35" t="s">
        <v>1146</v>
      </c>
      <c r="N1445" s="35" t="s">
        <v>1297</v>
      </c>
      <c r="O1445" s="68">
        <v>2024.19</v>
      </c>
      <c r="P1445" s="70">
        <v>202.85</v>
      </c>
    </row>
    <row r="1446" spans="13:16" x14ac:dyDescent="0.15">
      <c r="M1446" s="35" t="s">
        <v>1146</v>
      </c>
      <c r="N1446" s="35" t="s">
        <v>1297</v>
      </c>
      <c r="O1446" s="68">
        <v>2024.19</v>
      </c>
      <c r="P1446" s="70">
        <v>118000</v>
      </c>
    </row>
    <row r="1447" spans="13:16" x14ac:dyDescent="0.15">
      <c r="M1447" s="35" t="s">
        <v>1146</v>
      </c>
      <c r="N1447" s="35" t="s">
        <v>1297</v>
      </c>
      <c r="O1447" s="68">
        <v>2024.19</v>
      </c>
      <c r="P1447" s="70">
        <v>1697.97</v>
      </c>
    </row>
    <row r="1448" spans="13:16" x14ac:dyDescent="0.15">
      <c r="M1448" s="35" t="s">
        <v>1146</v>
      </c>
      <c r="N1448" s="35" t="s">
        <v>283</v>
      </c>
      <c r="O1448" s="68">
        <v>2024.19</v>
      </c>
      <c r="P1448" s="70">
        <v>7952.91</v>
      </c>
    </row>
    <row r="1449" spans="13:16" x14ac:dyDescent="0.15">
      <c r="M1449" s="35" t="s">
        <v>1146</v>
      </c>
      <c r="N1449" s="35" t="s">
        <v>283</v>
      </c>
      <c r="O1449" s="68">
        <v>2024.19</v>
      </c>
      <c r="P1449" s="70">
        <v>17820</v>
      </c>
    </row>
    <row r="1450" spans="13:16" x14ac:dyDescent="0.15">
      <c r="M1450" s="35" t="s">
        <v>1146</v>
      </c>
      <c r="N1450" s="35" t="s">
        <v>1298</v>
      </c>
      <c r="O1450" s="68">
        <v>2024.19</v>
      </c>
      <c r="P1450" s="70">
        <v>6105.67</v>
      </c>
    </row>
    <row r="1451" spans="13:16" x14ac:dyDescent="0.15">
      <c r="M1451" s="35" t="s">
        <v>1146</v>
      </c>
      <c r="N1451" s="35" t="s">
        <v>1298</v>
      </c>
      <c r="O1451" s="68">
        <v>2024.19</v>
      </c>
      <c r="P1451" s="70">
        <v>109451.96</v>
      </c>
    </row>
    <row r="1452" spans="13:16" x14ac:dyDescent="0.15">
      <c r="M1452" s="35" t="s">
        <v>1146</v>
      </c>
      <c r="N1452" s="35" t="s">
        <v>282</v>
      </c>
      <c r="O1452" s="68">
        <v>2024.19</v>
      </c>
      <c r="P1452" s="70">
        <v>208.33</v>
      </c>
    </row>
    <row r="1453" spans="13:16" x14ac:dyDescent="0.15">
      <c r="M1453" s="35" t="s">
        <v>1146</v>
      </c>
      <c r="N1453" s="35" t="s">
        <v>1299</v>
      </c>
      <c r="O1453" s="68">
        <v>2024.19</v>
      </c>
      <c r="P1453" s="70">
        <v>87770.16</v>
      </c>
    </row>
    <row r="1454" spans="13:16" x14ac:dyDescent="0.15">
      <c r="M1454" s="35" t="s">
        <v>1146</v>
      </c>
      <c r="N1454" s="35" t="s">
        <v>1300</v>
      </c>
      <c r="O1454" s="68">
        <v>2024.19</v>
      </c>
      <c r="P1454" s="70">
        <v>2538.54</v>
      </c>
    </row>
    <row r="1455" spans="13:16" x14ac:dyDescent="0.15">
      <c r="M1455" s="35" t="s">
        <v>1151</v>
      </c>
      <c r="N1455" s="35" t="s">
        <v>282</v>
      </c>
      <c r="O1455" s="68">
        <v>2024.19</v>
      </c>
      <c r="P1455" s="70">
        <v>412.5</v>
      </c>
    </row>
    <row r="1456" spans="13:16" x14ac:dyDescent="0.15">
      <c r="M1456" s="35" t="s">
        <v>1151</v>
      </c>
      <c r="N1456" s="35" t="s">
        <v>282</v>
      </c>
      <c r="O1456" s="68">
        <v>2024.19</v>
      </c>
      <c r="P1456" s="70">
        <v>340124.8</v>
      </c>
    </row>
    <row r="1457" spans="13:16" x14ac:dyDescent="0.15">
      <c r="M1457" s="35" t="s">
        <v>1151</v>
      </c>
      <c r="N1457" s="35" t="s">
        <v>283</v>
      </c>
      <c r="O1457" s="68">
        <v>2024.19</v>
      </c>
      <c r="P1457" s="70">
        <v>1521.16</v>
      </c>
    </row>
    <row r="1458" spans="13:16" x14ac:dyDescent="0.15">
      <c r="M1458" s="35" t="s">
        <v>1151</v>
      </c>
      <c r="N1458" s="35" t="s">
        <v>278</v>
      </c>
      <c r="O1458" s="68">
        <v>2024.19</v>
      </c>
      <c r="P1458" s="70">
        <v>5954.41</v>
      </c>
    </row>
    <row r="1459" spans="13:16" x14ac:dyDescent="0.15">
      <c r="M1459" s="35" t="s">
        <v>1151</v>
      </c>
      <c r="N1459" s="35" t="s">
        <v>1297</v>
      </c>
      <c r="O1459" s="68">
        <v>2024.19</v>
      </c>
      <c r="P1459" s="70">
        <v>92714.61</v>
      </c>
    </row>
    <row r="1460" spans="13:16" x14ac:dyDescent="0.15">
      <c r="M1460" s="35" t="s">
        <v>1151</v>
      </c>
      <c r="N1460" s="35" t="s">
        <v>1299</v>
      </c>
      <c r="O1460" s="68">
        <v>2024.19</v>
      </c>
      <c r="P1460" s="70">
        <v>48.56</v>
      </c>
    </row>
    <row r="1461" spans="13:16" x14ac:dyDescent="0.15">
      <c r="M1461" s="35" t="s">
        <v>1151</v>
      </c>
      <c r="N1461" s="35" t="s">
        <v>1300</v>
      </c>
      <c r="O1461" s="68">
        <v>2024.19</v>
      </c>
      <c r="P1461" s="70">
        <v>807.91</v>
      </c>
    </row>
    <row r="1462" spans="13:16" x14ac:dyDescent="0.15">
      <c r="M1462" s="35" t="s">
        <v>1152</v>
      </c>
      <c r="N1462" s="35" t="s">
        <v>1297</v>
      </c>
      <c r="O1462" s="68">
        <v>2024.19</v>
      </c>
      <c r="P1462" s="70">
        <v>667.84</v>
      </c>
    </row>
    <row r="1463" spans="13:16" x14ac:dyDescent="0.15">
      <c r="M1463" s="35" t="s">
        <v>1152</v>
      </c>
      <c r="N1463" s="35" t="s">
        <v>1297</v>
      </c>
      <c r="O1463" s="68">
        <v>2024.19</v>
      </c>
      <c r="P1463" s="70">
        <v>8076.52</v>
      </c>
    </row>
    <row r="1464" spans="13:16" x14ac:dyDescent="0.15">
      <c r="M1464" s="35" t="s">
        <v>1152</v>
      </c>
      <c r="N1464" s="35" t="s">
        <v>282</v>
      </c>
      <c r="O1464" s="68">
        <v>2024.19</v>
      </c>
      <c r="P1464" s="70">
        <v>2135</v>
      </c>
    </row>
    <row r="1465" spans="13:16" x14ac:dyDescent="0.15">
      <c r="M1465" s="35" t="s">
        <v>1152</v>
      </c>
      <c r="N1465" s="35" t="s">
        <v>1298</v>
      </c>
      <c r="O1465" s="68">
        <v>2024.19</v>
      </c>
      <c r="P1465" s="70">
        <v>52355</v>
      </c>
    </row>
    <row r="1466" spans="13:16" x14ac:dyDescent="0.15">
      <c r="M1466" s="35" t="s">
        <v>1152</v>
      </c>
      <c r="N1466" s="35" t="s">
        <v>1299</v>
      </c>
      <c r="O1466" s="68">
        <v>2024.19</v>
      </c>
      <c r="P1466" s="70">
        <v>105051.64</v>
      </c>
    </row>
    <row r="1467" spans="13:16" x14ac:dyDescent="0.15">
      <c r="M1467" s="35" t="s">
        <v>1152</v>
      </c>
      <c r="N1467" s="35" t="s">
        <v>1300</v>
      </c>
      <c r="O1467" s="68">
        <v>2024.19</v>
      </c>
      <c r="P1467" s="70">
        <v>92702.5</v>
      </c>
    </row>
    <row r="1468" spans="13:16" x14ac:dyDescent="0.15">
      <c r="M1468" s="35" t="s">
        <v>256</v>
      </c>
      <c r="N1468" s="35" t="s">
        <v>1297</v>
      </c>
      <c r="O1468" s="68">
        <v>2024.19</v>
      </c>
      <c r="P1468" s="70">
        <v>317873.90000000002</v>
      </c>
    </row>
    <row r="1469" spans="13:16" x14ac:dyDescent="0.15">
      <c r="M1469" s="35" t="s">
        <v>1147</v>
      </c>
      <c r="N1469" s="35" t="s">
        <v>280</v>
      </c>
      <c r="O1469" s="68">
        <v>2024.19</v>
      </c>
      <c r="P1469" s="70">
        <v>9920.06</v>
      </c>
    </row>
    <row r="1470" spans="13:16" x14ac:dyDescent="0.15">
      <c r="M1470" s="35" t="s">
        <v>1147</v>
      </c>
      <c r="N1470" s="35" t="s">
        <v>280</v>
      </c>
      <c r="O1470" s="68">
        <v>2024.19</v>
      </c>
      <c r="P1470" s="70">
        <v>3693.28</v>
      </c>
    </row>
    <row r="1471" spans="13:16" x14ac:dyDescent="0.15">
      <c r="M1471" s="35" t="s">
        <v>1137</v>
      </c>
      <c r="N1471" s="35" t="s">
        <v>278</v>
      </c>
      <c r="O1471" s="68">
        <v>2024.19</v>
      </c>
      <c r="P1471" s="70">
        <v>78.55</v>
      </c>
    </row>
    <row r="1472" spans="13:16" x14ac:dyDescent="0.15">
      <c r="M1472" s="35" t="s">
        <v>273</v>
      </c>
      <c r="N1472" s="35" t="s">
        <v>288</v>
      </c>
      <c r="O1472" s="68">
        <v>2024.07</v>
      </c>
      <c r="P1472" s="70">
        <v>27239.52</v>
      </c>
    </row>
    <row r="1473" spans="13:16" x14ac:dyDescent="0.15">
      <c r="M1473" s="35" t="s">
        <v>273</v>
      </c>
      <c r="N1473" s="35" t="s">
        <v>1296</v>
      </c>
      <c r="O1473" s="68">
        <v>2024.07</v>
      </c>
      <c r="P1473" s="70">
        <v>34370.15</v>
      </c>
    </row>
    <row r="1474" spans="13:16" x14ac:dyDescent="0.15">
      <c r="M1474" s="35" t="s">
        <v>273</v>
      </c>
      <c r="N1474" s="35" t="s">
        <v>280</v>
      </c>
      <c r="O1474" s="68">
        <v>2024.07</v>
      </c>
      <c r="P1474" s="70">
        <v>10167.780000000001</v>
      </c>
    </row>
    <row r="1475" spans="13:16" x14ac:dyDescent="0.15">
      <c r="M1475" s="35" t="s">
        <v>273</v>
      </c>
      <c r="N1475" s="35" t="s">
        <v>283</v>
      </c>
      <c r="O1475" s="68">
        <v>2024.07</v>
      </c>
      <c r="P1475" s="70">
        <v>2682.38</v>
      </c>
    </row>
    <row r="1476" spans="13:16" x14ac:dyDescent="0.15">
      <c r="M1476" s="35" t="s">
        <v>273</v>
      </c>
      <c r="N1476" s="35" t="s">
        <v>1298</v>
      </c>
      <c r="O1476" s="68">
        <v>2024.07</v>
      </c>
      <c r="P1476" s="70">
        <v>2312.46</v>
      </c>
    </row>
    <row r="1477" spans="13:16" x14ac:dyDescent="0.15">
      <c r="M1477" s="35" t="s">
        <v>307</v>
      </c>
      <c r="N1477" s="35" t="s">
        <v>280</v>
      </c>
      <c r="O1477" s="68">
        <v>2024.07</v>
      </c>
      <c r="P1477" s="70">
        <v>15000</v>
      </c>
    </row>
    <row r="1478" spans="13:16" x14ac:dyDescent="0.15">
      <c r="M1478" s="35" t="s">
        <v>307</v>
      </c>
      <c r="N1478" s="35" t="s">
        <v>281</v>
      </c>
      <c r="O1478" s="68">
        <v>2024.07</v>
      </c>
      <c r="P1478" s="70">
        <v>2950.12</v>
      </c>
    </row>
    <row r="1479" spans="13:16" x14ac:dyDescent="0.15">
      <c r="M1479" s="35" t="s">
        <v>309</v>
      </c>
      <c r="N1479" s="35" t="s">
        <v>280</v>
      </c>
      <c r="O1479" s="68">
        <v>2024.07</v>
      </c>
      <c r="P1479" s="70">
        <v>4594.08</v>
      </c>
    </row>
    <row r="1480" spans="13:16" x14ac:dyDescent="0.15">
      <c r="M1480" s="35" t="s">
        <v>309</v>
      </c>
      <c r="N1480" s="35" t="s">
        <v>280</v>
      </c>
      <c r="O1480" s="68">
        <v>2024.07</v>
      </c>
      <c r="P1480" s="70">
        <v>16200</v>
      </c>
    </row>
    <row r="1481" spans="13:16" x14ac:dyDescent="0.15">
      <c r="M1481" s="35" t="s">
        <v>309</v>
      </c>
      <c r="N1481" s="35" t="s">
        <v>277</v>
      </c>
      <c r="O1481" s="68">
        <v>2024.07</v>
      </c>
      <c r="P1481" s="70">
        <v>12828.59</v>
      </c>
    </row>
    <row r="1482" spans="13:16" x14ac:dyDescent="0.15">
      <c r="M1482" s="35" t="s">
        <v>274</v>
      </c>
      <c r="N1482" s="35" t="s">
        <v>274</v>
      </c>
      <c r="O1482" s="68">
        <v>2024.07</v>
      </c>
      <c r="P1482" s="70">
        <v>28250.83</v>
      </c>
    </row>
    <row r="1483" spans="13:16" x14ac:dyDescent="0.15">
      <c r="M1483" s="35" t="s">
        <v>1136</v>
      </c>
      <c r="N1483" s="35" t="s">
        <v>280</v>
      </c>
      <c r="O1483" s="68">
        <v>2024.07</v>
      </c>
      <c r="P1483" s="70">
        <v>114750</v>
      </c>
    </row>
    <row r="1484" spans="13:16" x14ac:dyDescent="0.15">
      <c r="M1484" s="35" t="s">
        <v>1136</v>
      </c>
      <c r="N1484" s="35" t="s">
        <v>277</v>
      </c>
      <c r="O1484" s="68">
        <v>2024.07</v>
      </c>
      <c r="P1484" s="70">
        <v>115850</v>
      </c>
    </row>
    <row r="1485" spans="13:16" x14ac:dyDescent="0.15">
      <c r="M1485" s="35" t="s">
        <v>302</v>
      </c>
      <c r="N1485" s="35" t="s">
        <v>283</v>
      </c>
      <c r="O1485" s="68">
        <v>2024.07</v>
      </c>
      <c r="P1485" s="70">
        <v>19800</v>
      </c>
    </row>
    <row r="1486" spans="13:16" x14ac:dyDescent="0.15">
      <c r="M1486" s="35" t="s">
        <v>302</v>
      </c>
      <c r="N1486" s="35" t="s">
        <v>283</v>
      </c>
      <c r="O1486" s="68">
        <v>2024.07</v>
      </c>
      <c r="P1486" s="70">
        <v>32940</v>
      </c>
    </row>
    <row r="1487" spans="13:16" x14ac:dyDescent="0.15">
      <c r="M1487" s="35" t="s">
        <v>1149</v>
      </c>
      <c r="N1487" s="35" t="s">
        <v>280</v>
      </c>
      <c r="O1487" s="68">
        <v>2024.07</v>
      </c>
      <c r="P1487" s="70">
        <v>140400</v>
      </c>
    </row>
    <row r="1488" spans="13:16" x14ac:dyDescent="0.15">
      <c r="M1488" s="35" t="s">
        <v>1149</v>
      </c>
      <c r="N1488" s="35" t="s">
        <v>277</v>
      </c>
      <c r="O1488" s="68">
        <v>2024.07</v>
      </c>
      <c r="P1488" s="70">
        <v>118800</v>
      </c>
    </row>
    <row r="1489" spans="13:16" x14ac:dyDescent="0.15">
      <c r="M1489" s="35" t="s">
        <v>1153</v>
      </c>
      <c r="N1489" s="35" t="s">
        <v>1297</v>
      </c>
      <c r="O1489" s="68">
        <v>2024.07</v>
      </c>
      <c r="P1489" s="70">
        <v>477996</v>
      </c>
    </row>
    <row r="1490" spans="13:16" x14ac:dyDescent="0.15">
      <c r="M1490" s="35" t="s">
        <v>1150</v>
      </c>
      <c r="N1490" s="35" t="s">
        <v>1132</v>
      </c>
      <c r="O1490" s="68">
        <v>2024.07</v>
      </c>
      <c r="P1490" s="70">
        <v>133532.43</v>
      </c>
    </row>
    <row r="1491" spans="13:16" x14ac:dyDescent="0.15">
      <c r="M1491" s="35" t="s">
        <v>1150</v>
      </c>
      <c r="N1491" s="35" t="s">
        <v>1132</v>
      </c>
      <c r="O1491" s="68">
        <v>2024.07</v>
      </c>
      <c r="P1491" s="70">
        <v>17143.5</v>
      </c>
    </row>
    <row r="1492" spans="13:16" x14ac:dyDescent="0.15">
      <c r="M1492" s="35" t="s">
        <v>1138</v>
      </c>
      <c r="N1492" s="35" t="s">
        <v>1132</v>
      </c>
      <c r="O1492" s="68">
        <v>2024.07</v>
      </c>
      <c r="P1492" s="70">
        <v>1772.55</v>
      </c>
    </row>
    <row r="1493" spans="13:16" x14ac:dyDescent="0.15">
      <c r="M1493" s="35" t="s">
        <v>1138</v>
      </c>
      <c r="N1493" s="35" t="s">
        <v>1132</v>
      </c>
      <c r="O1493" s="68">
        <v>2024.07</v>
      </c>
      <c r="P1493" s="70">
        <v>3694.55</v>
      </c>
    </row>
    <row r="1494" spans="13:16" x14ac:dyDescent="0.15">
      <c r="M1494" s="35" t="s">
        <v>275</v>
      </c>
      <c r="N1494" s="35" t="s">
        <v>1297</v>
      </c>
      <c r="O1494" s="68">
        <v>2024.07</v>
      </c>
      <c r="P1494" s="70">
        <v>7012.29</v>
      </c>
    </row>
    <row r="1495" spans="13:16" x14ac:dyDescent="0.15">
      <c r="M1495" s="35" t="s">
        <v>275</v>
      </c>
      <c r="N1495" s="35" t="s">
        <v>1297</v>
      </c>
      <c r="O1495" s="68">
        <v>2024.07</v>
      </c>
      <c r="P1495" s="70">
        <v>99.9</v>
      </c>
    </row>
    <row r="1496" spans="13:16" x14ac:dyDescent="0.15">
      <c r="M1496" s="35" t="s">
        <v>275</v>
      </c>
      <c r="N1496" s="35" t="s">
        <v>284</v>
      </c>
      <c r="O1496" s="68">
        <v>2024.07</v>
      </c>
      <c r="P1496" s="70">
        <v>79.739999999999995</v>
      </c>
    </row>
    <row r="1497" spans="13:16" x14ac:dyDescent="0.15">
      <c r="M1497" s="35" t="s">
        <v>275</v>
      </c>
      <c r="N1497" s="35" t="s">
        <v>284</v>
      </c>
      <c r="O1497" s="68">
        <v>2024.07</v>
      </c>
      <c r="P1497" s="70">
        <v>20693.55</v>
      </c>
    </row>
    <row r="1498" spans="13:16" x14ac:dyDescent="0.15">
      <c r="M1498" s="35" t="s">
        <v>275</v>
      </c>
      <c r="N1498" s="35" t="s">
        <v>1299</v>
      </c>
      <c r="O1498" s="68">
        <v>2024.07</v>
      </c>
      <c r="P1498" s="70">
        <v>89339.07</v>
      </c>
    </row>
    <row r="1499" spans="13:16" x14ac:dyDescent="0.15">
      <c r="M1499" s="35" t="s">
        <v>276</v>
      </c>
      <c r="N1499" s="35" t="s">
        <v>1297</v>
      </c>
      <c r="O1499" s="68">
        <v>2024.07</v>
      </c>
      <c r="P1499" s="70">
        <v>845.24</v>
      </c>
    </row>
    <row r="1500" spans="13:16" x14ac:dyDescent="0.15">
      <c r="M1500" s="35" t="s">
        <v>276</v>
      </c>
      <c r="N1500" s="35" t="s">
        <v>1297</v>
      </c>
      <c r="O1500" s="68">
        <v>2024.07</v>
      </c>
      <c r="P1500" s="70">
        <v>23265.13</v>
      </c>
    </row>
    <row r="1501" spans="13:16" x14ac:dyDescent="0.15">
      <c r="M1501" s="35" t="s">
        <v>276</v>
      </c>
      <c r="N1501" s="35" t="s">
        <v>282</v>
      </c>
      <c r="O1501" s="68">
        <v>2024.07</v>
      </c>
      <c r="P1501" s="70">
        <v>78300</v>
      </c>
    </row>
    <row r="1502" spans="13:16" x14ac:dyDescent="0.15">
      <c r="M1502" s="35" t="s">
        <v>276</v>
      </c>
      <c r="N1502" s="35" t="s">
        <v>282</v>
      </c>
      <c r="O1502" s="68">
        <v>2024.07</v>
      </c>
      <c r="P1502" s="70">
        <v>149853.04999999999</v>
      </c>
    </row>
    <row r="1503" spans="13:16" x14ac:dyDescent="0.15">
      <c r="M1503" s="35" t="s">
        <v>1146</v>
      </c>
      <c r="N1503" s="35" t="s">
        <v>1297</v>
      </c>
      <c r="O1503" s="68">
        <v>2024.07</v>
      </c>
      <c r="P1503" s="70">
        <v>45.34</v>
      </c>
    </row>
    <row r="1504" spans="13:16" x14ac:dyDescent="0.15">
      <c r="M1504" s="35" t="s">
        <v>1146</v>
      </c>
      <c r="N1504" s="35" t="s">
        <v>1297</v>
      </c>
      <c r="O1504" s="68">
        <v>2024.07</v>
      </c>
      <c r="P1504" s="70">
        <v>3223.6</v>
      </c>
    </row>
    <row r="1505" spans="13:16" x14ac:dyDescent="0.15">
      <c r="M1505" s="35" t="s">
        <v>1146</v>
      </c>
      <c r="N1505" s="35" t="s">
        <v>283</v>
      </c>
      <c r="O1505" s="68">
        <v>2024.07</v>
      </c>
      <c r="P1505" s="70">
        <v>89100</v>
      </c>
    </row>
    <row r="1506" spans="13:16" x14ac:dyDescent="0.15">
      <c r="M1506" s="35" t="s">
        <v>1146</v>
      </c>
      <c r="N1506" s="35" t="s">
        <v>1298</v>
      </c>
      <c r="O1506" s="68">
        <v>2024.07</v>
      </c>
      <c r="P1506" s="70">
        <v>159.47999999999999</v>
      </c>
    </row>
    <row r="1507" spans="13:16" x14ac:dyDescent="0.15">
      <c r="M1507" s="35" t="s">
        <v>1146</v>
      </c>
      <c r="N1507" s="35" t="s">
        <v>1298</v>
      </c>
      <c r="O1507" s="68">
        <v>2024.07</v>
      </c>
      <c r="P1507" s="70">
        <v>109451.95</v>
      </c>
    </row>
    <row r="1508" spans="13:16" x14ac:dyDescent="0.15">
      <c r="M1508" s="35" t="s">
        <v>1146</v>
      </c>
      <c r="N1508" s="35" t="s">
        <v>1299</v>
      </c>
      <c r="O1508" s="68">
        <v>2024.07</v>
      </c>
      <c r="P1508" s="70">
        <v>94029.9</v>
      </c>
    </row>
    <row r="1509" spans="13:16" x14ac:dyDescent="0.15">
      <c r="M1509" s="35" t="s">
        <v>1146</v>
      </c>
      <c r="N1509" s="35" t="s">
        <v>1300</v>
      </c>
      <c r="O1509" s="68">
        <v>2024.07</v>
      </c>
      <c r="P1509" s="70">
        <v>496.52</v>
      </c>
    </row>
    <row r="1510" spans="13:16" x14ac:dyDescent="0.15">
      <c r="M1510" s="35" t="s">
        <v>1151</v>
      </c>
      <c r="N1510" s="35" t="s">
        <v>282</v>
      </c>
      <c r="O1510" s="68">
        <v>2024.07</v>
      </c>
      <c r="P1510" s="70">
        <v>412.5</v>
      </c>
    </row>
    <row r="1511" spans="13:16" x14ac:dyDescent="0.15">
      <c r="M1511" s="35" t="s">
        <v>1151</v>
      </c>
      <c r="N1511" s="35" t="s">
        <v>282</v>
      </c>
      <c r="O1511" s="68">
        <v>2024.07</v>
      </c>
      <c r="P1511" s="70">
        <v>323635.8</v>
      </c>
    </row>
    <row r="1512" spans="13:16" x14ac:dyDescent="0.15">
      <c r="M1512" s="35" t="s">
        <v>1151</v>
      </c>
      <c r="N1512" s="35" t="s">
        <v>278</v>
      </c>
      <c r="O1512" s="68">
        <v>2024.07</v>
      </c>
      <c r="P1512" s="70">
        <v>2572.19</v>
      </c>
    </row>
    <row r="1513" spans="13:16" x14ac:dyDescent="0.15">
      <c r="M1513" s="35" t="s">
        <v>1151</v>
      </c>
      <c r="N1513" s="35" t="s">
        <v>1297</v>
      </c>
      <c r="O1513" s="68">
        <v>2024.07</v>
      </c>
      <c r="P1513" s="70">
        <v>87981.96</v>
      </c>
    </row>
    <row r="1514" spans="13:16" x14ac:dyDescent="0.15">
      <c r="M1514" s="35" t="s">
        <v>1152</v>
      </c>
      <c r="N1514" s="35" t="s">
        <v>1297</v>
      </c>
      <c r="O1514" s="68">
        <v>2024.07</v>
      </c>
      <c r="P1514" s="70">
        <v>534.80999999999995</v>
      </c>
    </row>
    <row r="1515" spans="13:16" x14ac:dyDescent="0.15">
      <c r="M1515" s="35" t="s">
        <v>1152</v>
      </c>
      <c r="N1515" s="35" t="s">
        <v>1297</v>
      </c>
      <c r="O1515" s="68">
        <v>2024.07</v>
      </c>
      <c r="P1515" s="70">
        <v>8040.68</v>
      </c>
    </row>
    <row r="1516" spans="13:16" x14ac:dyDescent="0.15">
      <c r="M1516" s="35" t="s">
        <v>1152</v>
      </c>
      <c r="N1516" s="35" t="s">
        <v>282</v>
      </c>
      <c r="O1516" s="68">
        <v>2024.07</v>
      </c>
      <c r="P1516" s="70">
        <v>340</v>
      </c>
    </row>
    <row r="1517" spans="13:16" x14ac:dyDescent="0.15">
      <c r="M1517" s="35" t="s">
        <v>1152</v>
      </c>
      <c r="N1517" s="35" t="s">
        <v>1299</v>
      </c>
      <c r="O1517" s="68">
        <v>2024.07</v>
      </c>
      <c r="P1517" s="70">
        <v>100728.97</v>
      </c>
    </row>
    <row r="1518" spans="13:16" x14ac:dyDescent="0.15">
      <c r="M1518" s="35" t="s">
        <v>1152</v>
      </c>
      <c r="N1518" s="35" t="s">
        <v>1300</v>
      </c>
      <c r="O1518" s="68">
        <v>2024.07</v>
      </c>
      <c r="P1518" s="70">
        <v>91611.04</v>
      </c>
    </row>
    <row r="1519" spans="13:16" x14ac:dyDescent="0.15">
      <c r="M1519" s="35" t="s">
        <v>256</v>
      </c>
      <c r="N1519" s="35" t="s">
        <v>1297</v>
      </c>
      <c r="O1519" s="68">
        <v>2024.07</v>
      </c>
      <c r="P1519" s="70">
        <v>371816.9</v>
      </c>
    </row>
    <row r="1520" spans="13:16" x14ac:dyDescent="0.15">
      <c r="M1520" s="35" t="s">
        <v>1147</v>
      </c>
      <c r="N1520" s="35" t="s">
        <v>280</v>
      </c>
      <c r="O1520" s="68">
        <v>2024.07</v>
      </c>
      <c r="P1520" s="70">
        <v>9920.06</v>
      </c>
    </row>
    <row r="1521" spans="13:16" x14ac:dyDescent="0.15">
      <c r="M1521" s="35" t="s">
        <v>1147</v>
      </c>
      <c r="N1521" s="35" t="s">
        <v>280</v>
      </c>
      <c r="O1521" s="68">
        <v>2024.07</v>
      </c>
      <c r="P1521" s="70">
        <v>1711.52</v>
      </c>
    </row>
    <row r="1522" spans="13:16" x14ac:dyDescent="0.15">
      <c r="M1522" s="35" t="s">
        <v>273</v>
      </c>
      <c r="N1522" s="35" t="s">
        <v>288</v>
      </c>
      <c r="O1522" s="68">
        <v>2024.08</v>
      </c>
      <c r="P1522" s="70">
        <v>27239.52</v>
      </c>
    </row>
    <row r="1523" spans="13:16" x14ac:dyDescent="0.15">
      <c r="M1523" s="35" t="s">
        <v>273</v>
      </c>
      <c r="N1523" s="35" t="s">
        <v>1296</v>
      </c>
      <c r="O1523" s="68">
        <v>2024.08</v>
      </c>
      <c r="P1523" s="70">
        <v>34488.769999999997</v>
      </c>
    </row>
    <row r="1524" spans="13:16" x14ac:dyDescent="0.15">
      <c r="M1524" s="35" t="s">
        <v>273</v>
      </c>
      <c r="N1524" s="35" t="s">
        <v>280</v>
      </c>
      <c r="O1524" s="68">
        <v>2024.08</v>
      </c>
      <c r="P1524" s="70">
        <v>10167.780000000001</v>
      </c>
    </row>
    <row r="1525" spans="13:16" x14ac:dyDescent="0.15">
      <c r="M1525" s="35" t="s">
        <v>273</v>
      </c>
      <c r="N1525" s="35" t="s">
        <v>283</v>
      </c>
      <c r="O1525" s="68">
        <v>2024.08</v>
      </c>
      <c r="P1525" s="70">
        <v>3589.1</v>
      </c>
    </row>
    <row r="1526" spans="13:16" x14ac:dyDescent="0.15">
      <c r="M1526" s="35" t="s">
        <v>273</v>
      </c>
      <c r="N1526" s="35" t="s">
        <v>1298</v>
      </c>
      <c r="O1526" s="68">
        <v>2024.08</v>
      </c>
      <c r="P1526" s="70">
        <v>2910.51</v>
      </c>
    </row>
    <row r="1527" spans="13:16" x14ac:dyDescent="0.15">
      <c r="M1527" s="35" t="s">
        <v>307</v>
      </c>
      <c r="N1527" s="35" t="s">
        <v>280</v>
      </c>
      <c r="O1527" s="68">
        <v>2024.08</v>
      </c>
      <c r="P1527" s="70">
        <v>15000</v>
      </c>
    </row>
    <row r="1528" spans="13:16" x14ac:dyDescent="0.15">
      <c r="M1528" s="35" t="s">
        <v>307</v>
      </c>
      <c r="N1528" s="35" t="s">
        <v>281</v>
      </c>
      <c r="O1528" s="68">
        <v>2024.08</v>
      </c>
      <c r="P1528" s="70">
        <v>2950.12</v>
      </c>
    </row>
    <row r="1529" spans="13:16" x14ac:dyDescent="0.15">
      <c r="M1529" s="35" t="s">
        <v>309</v>
      </c>
      <c r="N1529" s="35" t="s">
        <v>280</v>
      </c>
      <c r="O1529" s="68">
        <v>2024.08</v>
      </c>
      <c r="P1529" s="70">
        <v>4594.08</v>
      </c>
    </row>
    <row r="1530" spans="13:16" x14ac:dyDescent="0.15">
      <c r="M1530" s="35" t="s">
        <v>309</v>
      </c>
      <c r="N1530" s="35" t="s">
        <v>280</v>
      </c>
      <c r="O1530" s="68">
        <v>2024.08</v>
      </c>
      <c r="P1530" s="70">
        <v>16200</v>
      </c>
    </row>
    <row r="1531" spans="13:16" x14ac:dyDescent="0.15">
      <c r="M1531" s="35" t="s">
        <v>309</v>
      </c>
      <c r="N1531" s="35" t="s">
        <v>277</v>
      </c>
      <c r="O1531" s="68">
        <v>2024.08</v>
      </c>
      <c r="P1531" s="70">
        <v>12828.59</v>
      </c>
    </row>
    <row r="1532" spans="13:16" x14ac:dyDescent="0.15">
      <c r="M1532" s="35" t="s">
        <v>274</v>
      </c>
      <c r="N1532" s="35" t="s">
        <v>274</v>
      </c>
      <c r="O1532" s="68">
        <v>2024.08</v>
      </c>
      <c r="P1532" s="70">
        <v>28250.83</v>
      </c>
    </row>
    <row r="1533" spans="13:16" x14ac:dyDescent="0.15">
      <c r="M1533" s="35" t="s">
        <v>1136</v>
      </c>
      <c r="N1533" s="35" t="s">
        <v>280</v>
      </c>
      <c r="O1533" s="68">
        <v>2024.08</v>
      </c>
      <c r="P1533" s="70">
        <v>114750</v>
      </c>
    </row>
    <row r="1534" spans="13:16" x14ac:dyDescent="0.15">
      <c r="M1534" s="35" t="s">
        <v>1136</v>
      </c>
      <c r="N1534" s="35" t="s">
        <v>277</v>
      </c>
      <c r="O1534" s="68">
        <v>2024.08</v>
      </c>
      <c r="P1534" s="70">
        <v>115850</v>
      </c>
    </row>
    <row r="1535" spans="13:16" x14ac:dyDescent="0.15">
      <c r="M1535" s="35" t="s">
        <v>302</v>
      </c>
      <c r="N1535" s="35" t="s">
        <v>283</v>
      </c>
      <c r="O1535" s="68">
        <v>2024.08</v>
      </c>
      <c r="P1535" s="70">
        <v>19800</v>
      </c>
    </row>
    <row r="1536" spans="13:16" x14ac:dyDescent="0.15">
      <c r="M1536" s="35" t="s">
        <v>302</v>
      </c>
      <c r="N1536" s="35" t="s">
        <v>283</v>
      </c>
      <c r="O1536" s="68">
        <v>2024.08</v>
      </c>
      <c r="P1536" s="70">
        <v>32940</v>
      </c>
    </row>
    <row r="1537" spans="13:16" x14ac:dyDescent="0.15">
      <c r="M1537" s="35" t="s">
        <v>1149</v>
      </c>
      <c r="N1537" s="35" t="s">
        <v>280</v>
      </c>
      <c r="O1537" s="68">
        <v>2024.08</v>
      </c>
      <c r="P1537" s="70">
        <v>140400</v>
      </c>
    </row>
    <row r="1538" spans="13:16" x14ac:dyDescent="0.15">
      <c r="M1538" s="35" t="s">
        <v>1149</v>
      </c>
      <c r="N1538" s="35" t="s">
        <v>277</v>
      </c>
      <c r="O1538" s="68">
        <v>2024.08</v>
      </c>
      <c r="P1538" s="70">
        <v>118800</v>
      </c>
    </row>
    <row r="1539" spans="13:16" x14ac:dyDescent="0.15">
      <c r="M1539" s="35" t="s">
        <v>1153</v>
      </c>
      <c r="N1539" s="35" t="s">
        <v>1297</v>
      </c>
      <c r="O1539" s="68">
        <v>2024.08</v>
      </c>
      <c r="P1539" s="70">
        <v>477996</v>
      </c>
    </row>
    <row r="1540" spans="13:16" x14ac:dyDescent="0.15">
      <c r="M1540" s="35" t="s">
        <v>1150</v>
      </c>
      <c r="N1540" s="35" t="s">
        <v>1132</v>
      </c>
      <c r="O1540" s="68">
        <v>2024.08</v>
      </c>
      <c r="P1540" s="70">
        <v>133532.43</v>
      </c>
    </row>
    <row r="1541" spans="13:16" x14ac:dyDescent="0.15">
      <c r="M1541" s="35" t="s">
        <v>1150</v>
      </c>
      <c r="N1541" s="35" t="s">
        <v>1132</v>
      </c>
      <c r="O1541" s="68">
        <v>2024.08</v>
      </c>
      <c r="P1541" s="70">
        <v>17143.5</v>
      </c>
    </row>
    <row r="1542" spans="13:16" x14ac:dyDescent="0.15">
      <c r="M1542" s="35" t="s">
        <v>1138</v>
      </c>
      <c r="N1542" s="35" t="s">
        <v>1132</v>
      </c>
      <c r="O1542" s="68">
        <v>2024.08</v>
      </c>
      <c r="P1542" s="70">
        <v>1772.55</v>
      </c>
    </row>
    <row r="1543" spans="13:16" x14ac:dyDescent="0.15">
      <c r="M1543" s="35" t="s">
        <v>1138</v>
      </c>
      <c r="N1543" s="35" t="s">
        <v>1132</v>
      </c>
      <c r="O1543" s="68">
        <v>2024.08</v>
      </c>
      <c r="P1543" s="70">
        <v>3694.55</v>
      </c>
    </row>
    <row r="1544" spans="13:16" x14ac:dyDescent="0.15">
      <c r="M1544" s="35" t="s">
        <v>262</v>
      </c>
      <c r="N1544" s="35" t="s">
        <v>283</v>
      </c>
      <c r="O1544" s="68">
        <v>2024.08</v>
      </c>
      <c r="P1544" s="70">
        <v>198.35</v>
      </c>
    </row>
    <row r="1545" spans="13:16" x14ac:dyDescent="0.15">
      <c r="M1545" s="35" t="s">
        <v>275</v>
      </c>
      <c r="N1545" s="35" t="s">
        <v>1297</v>
      </c>
      <c r="O1545" s="68">
        <v>2024.08</v>
      </c>
      <c r="P1545" s="70">
        <v>7012.29</v>
      </c>
    </row>
    <row r="1546" spans="13:16" x14ac:dyDescent="0.15">
      <c r="M1546" s="35" t="s">
        <v>275</v>
      </c>
      <c r="N1546" s="35" t="s">
        <v>1297</v>
      </c>
      <c r="O1546" s="68">
        <v>2024.08</v>
      </c>
      <c r="P1546" s="70">
        <v>99.9</v>
      </c>
    </row>
    <row r="1547" spans="13:16" x14ac:dyDescent="0.15">
      <c r="M1547" s="35" t="s">
        <v>275</v>
      </c>
      <c r="N1547" s="35" t="s">
        <v>284</v>
      </c>
      <c r="O1547" s="68">
        <v>2024.08</v>
      </c>
      <c r="P1547" s="70">
        <v>79.739999999999995</v>
      </c>
    </row>
    <row r="1548" spans="13:16" x14ac:dyDescent="0.15">
      <c r="M1548" s="35" t="s">
        <v>275</v>
      </c>
      <c r="N1548" s="35" t="s">
        <v>284</v>
      </c>
      <c r="O1548" s="68">
        <v>2024.08</v>
      </c>
      <c r="P1548" s="70">
        <v>20693.55</v>
      </c>
    </row>
    <row r="1549" spans="13:16" x14ac:dyDescent="0.15">
      <c r="M1549" s="35" t="s">
        <v>275</v>
      </c>
      <c r="N1549" s="35" t="s">
        <v>1299</v>
      </c>
      <c r="O1549" s="68">
        <v>2024.08</v>
      </c>
      <c r="P1549" s="70">
        <v>89339.07</v>
      </c>
    </row>
    <row r="1550" spans="13:16" x14ac:dyDescent="0.15">
      <c r="M1550" s="35" t="s">
        <v>276</v>
      </c>
      <c r="N1550" s="35" t="s">
        <v>1297</v>
      </c>
      <c r="O1550" s="68">
        <v>2024.08</v>
      </c>
      <c r="P1550" s="70">
        <v>845.24</v>
      </c>
    </row>
    <row r="1551" spans="13:16" x14ac:dyDescent="0.15">
      <c r="M1551" s="35" t="s">
        <v>276</v>
      </c>
      <c r="N1551" s="35" t="s">
        <v>1297</v>
      </c>
      <c r="O1551" s="68">
        <v>2024.08</v>
      </c>
      <c r="P1551" s="70">
        <v>26865.85</v>
      </c>
    </row>
    <row r="1552" spans="13:16" x14ac:dyDescent="0.15">
      <c r="M1552" s="35" t="s">
        <v>276</v>
      </c>
      <c r="N1552" s="35" t="s">
        <v>282</v>
      </c>
      <c r="O1552" s="68">
        <v>2024.08</v>
      </c>
      <c r="P1552" s="70">
        <v>78300</v>
      </c>
    </row>
    <row r="1553" spans="13:16" x14ac:dyDescent="0.15">
      <c r="M1553" s="35" t="s">
        <v>276</v>
      </c>
      <c r="N1553" s="35" t="s">
        <v>282</v>
      </c>
      <c r="O1553" s="68">
        <v>2024.08</v>
      </c>
      <c r="P1553" s="70">
        <v>157839.04999999999</v>
      </c>
    </row>
    <row r="1554" spans="13:16" x14ac:dyDescent="0.15">
      <c r="M1554" s="35" t="s">
        <v>1146</v>
      </c>
      <c r="N1554" s="35" t="s">
        <v>1297</v>
      </c>
      <c r="O1554" s="68">
        <v>2024.08</v>
      </c>
      <c r="P1554" s="70">
        <v>45.34</v>
      </c>
    </row>
    <row r="1555" spans="13:16" x14ac:dyDescent="0.15">
      <c r="M1555" s="35" t="s">
        <v>1146</v>
      </c>
      <c r="N1555" s="35" t="s">
        <v>1297</v>
      </c>
      <c r="O1555" s="68">
        <v>2024.08</v>
      </c>
      <c r="P1555" s="70">
        <v>118000</v>
      </c>
    </row>
    <row r="1556" spans="13:16" x14ac:dyDescent="0.15">
      <c r="M1556" s="35" t="s">
        <v>1146</v>
      </c>
      <c r="N1556" s="35" t="s">
        <v>1297</v>
      </c>
      <c r="O1556" s="68">
        <v>2024.08</v>
      </c>
      <c r="P1556" s="70">
        <v>3223.6</v>
      </c>
    </row>
    <row r="1557" spans="13:16" x14ac:dyDescent="0.15">
      <c r="M1557" s="35" t="s">
        <v>1146</v>
      </c>
      <c r="N1557" s="35" t="s">
        <v>283</v>
      </c>
      <c r="O1557" s="68">
        <v>2024.08</v>
      </c>
      <c r="P1557" s="70">
        <v>89100</v>
      </c>
    </row>
    <row r="1558" spans="13:16" x14ac:dyDescent="0.15">
      <c r="M1558" s="35" t="s">
        <v>1146</v>
      </c>
      <c r="N1558" s="35" t="s">
        <v>1298</v>
      </c>
      <c r="O1558" s="68">
        <v>2024.08</v>
      </c>
      <c r="P1558" s="70">
        <v>199.35</v>
      </c>
    </row>
    <row r="1559" spans="13:16" x14ac:dyDescent="0.15">
      <c r="M1559" s="35" t="s">
        <v>1146</v>
      </c>
      <c r="N1559" s="35" t="s">
        <v>1298</v>
      </c>
      <c r="O1559" s="68">
        <v>2024.08</v>
      </c>
      <c r="P1559" s="70">
        <v>109451.95</v>
      </c>
    </row>
    <row r="1560" spans="13:16" x14ac:dyDescent="0.15">
      <c r="M1560" s="35" t="s">
        <v>1146</v>
      </c>
      <c r="N1560" s="35" t="s">
        <v>1299</v>
      </c>
      <c r="O1560" s="68">
        <v>2024.08</v>
      </c>
      <c r="P1560" s="70">
        <v>94574.26</v>
      </c>
    </row>
    <row r="1561" spans="13:16" x14ac:dyDescent="0.15">
      <c r="M1561" s="35" t="s">
        <v>1146</v>
      </c>
      <c r="N1561" s="35" t="s">
        <v>1300</v>
      </c>
      <c r="O1561" s="68">
        <v>2024.08</v>
      </c>
      <c r="P1561" s="70">
        <v>496.52</v>
      </c>
    </row>
    <row r="1562" spans="13:16" x14ac:dyDescent="0.15">
      <c r="M1562" s="35" t="s">
        <v>1151</v>
      </c>
      <c r="N1562" s="35" t="s">
        <v>282</v>
      </c>
      <c r="O1562" s="68">
        <v>2024.08</v>
      </c>
      <c r="P1562" s="70">
        <v>412.5</v>
      </c>
    </row>
    <row r="1563" spans="13:16" x14ac:dyDescent="0.15">
      <c r="M1563" s="35" t="s">
        <v>1151</v>
      </c>
      <c r="N1563" s="35" t="s">
        <v>282</v>
      </c>
      <c r="O1563" s="68">
        <v>2024.08</v>
      </c>
      <c r="P1563" s="70">
        <v>323635.8</v>
      </c>
    </row>
    <row r="1564" spans="13:16" x14ac:dyDescent="0.15">
      <c r="M1564" s="35" t="s">
        <v>1151</v>
      </c>
      <c r="N1564" s="35" t="s">
        <v>278</v>
      </c>
      <c r="O1564" s="68">
        <v>2024.08</v>
      </c>
      <c r="P1564" s="70">
        <v>2611.46</v>
      </c>
    </row>
    <row r="1565" spans="13:16" x14ac:dyDescent="0.15">
      <c r="M1565" s="35" t="s">
        <v>1151</v>
      </c>
      <c r="N1565" s="35" t="s">
        <v>1297</v>
      </c>
      <c r="O1565" s="68">
        <v>2024.08</v>
      </c>
      <c r="P1565" s="70">
        <v>91108.78</v>
      </c>
    </row>
    <row r="1566" spans="13:16" x14ac:dyDescent="0.15">
      <c r="M1566" s="35" t="s">
        <v>1152</v>
      </c>
      <c r="N1566" s="35" t="s">
        <v>1297</v>
      </c>
      <c r="O1566" s="68">
        <v>2024.08</v>
      </c>
      <c r="P1566" s="70">
        <v>534.80999999999995</v>
      </c>
    </row>
    <row r="1567" spans="13:16" x14ac:dyDescent="0.15">
      <c r="M1567" s="35" t="s">
        <v>1152</v>
      </c>
      <c r="N1567" s="35" t="s">
        <v>1297</v>
      </c>
      <c r="O1567" s="68">
        <v>2024.08</v>
      </c>
      <c r="P1567" s="70">
        <v>8040.68</v>
      </c>
    </row>
    <row r="1568" spans="13:16" x14ac:dyDescent="0.15">
      <c r="M1568" s="35" t="s">
        <v>1152</v>
      </c>
      <c r="N1568" s="35" t="s">
        <v>282</v>
      </c>
      <c r="O1568" s="68">
        <v>2024.08</v>
      </c>
      <c r="P1568" s="70">
        <v>340</v>
      </c>
    </row>
    <row r="1569" spans="13:16" x14ac:dyDescent="0.15">
      <c r="M1569" s="35" t="s">
        <v>1152</v>
      </c>
      <c r="N1569" s="35" t="s">
        <v>1299</v>
      </c>
      <c r="O1569" s="68">
        <v>2024.08</v>
      </c>
      <c r="P1569" s="70">
        <v>101373.45</v>
      </c>
    </row>
    <row r="1570" spans="13:16" x14ac:dyDescent="0.15">
      <c r="M1570" s="35" t="s">
        <v>1152</v>
      </c>
      <c r="N1570" s="35" t="s">
        <v>1300</v>
      </c>
      <c r="O1570" s="68">
        <v>2024.08</v>
      </c>
      <c r="P1570" s="70">
        <v>91826.6</v>
      </c>
    </row>
    <row r="1571" spans="13:16" x14ac:dyDescent="0.15">
      <c r="M1571" s="35" t="s">
        <v>256</v>
      </c>
      <c r="N1571" s="35" t="s">
        <v>1297</v>
      </c>
      <c r="O1571" s="68">
        <v>2024.08</v>
      </c>
      <c r="P1571" s="70">
        <v>371816.9</v>
      </c>
    </row>
    <row r="1572" spans="13:16" x14ac:dyDescent="0.15">
      <c r="M1572" s="35" t="s">
        <v>1147</v>
      </c>
      <c r="N1572" s="35" t="s">
        <v>280</v>
      </c>
      <c r="O1572" s="68">
        <v>2024.08</v>
      </c>
      <c r="P1572" s="70">
        <v>9920.06</v>
      </c>
    </row>
    <row r="1573" spans="13:16" x14ac:dyDescent="0.15">
      <c r="M1573" s="35" t="s">
        <v>1147</v>
      </c>
      <c r="N1573" s="35" t="s">
        <v>280</v>
      </c>
      <c r="O1573" s="68">
        <v>2024.08</v>
      </c>
      <c r="P1573" s="70">
        <v>3693.28</v>
      </c>
    </row>
    <row r="1574" spans="13:16" x14ac:dyDescent="0.15">
      <c r="M1574" s="35" t="s">
        <v>1137</v>
      </c>
      <c r="N1574" s="35" t="s">
        <v>278</v>
      </c>
      <c r="O1574" s="68">
        <v>2024.08</v>
      </c>
      <c r="P1574" s="70">
        <v>78.55</v>
      </c>
    </row>
    <row r="1575" spans="13:16" x14ac:dyDescent="0.15">
      <c r="M1575" s="35" t="s">
        <v>273</v>
      </c>
      <c r="N1575" s="35" t="s">
        <v>288</v>
      </c>
      <c r="O1575" s="68">
        <v>2024.11</v>
      </c>
      <c r="P1575" s="70">
        <v>29940.959999999999</v>
      </c>
    </row>
    <row r="1576" spans="13:16" x14ac:dyDescent="0.15">
      <c r="M1576" s="35" t="s">
        <v>273</v>
      </c>
      <c r="N1576" s="35" t="s">
        <v>1296</v>
      </c>
      <c r="O1576" s="68">
        <v>2024.11</v>
      </c>
      <c r="P1576" s="70">
        <v>41744.36</v>
      </c>
    </row>
    <row r="1577" spans="13:16" x14ac:dyDescent="0.15">
      <c r="M1577" s="35" t="s">
        <v>273</v>
      </c>
      <c r="N1577" s="35" t="s">
        <v>280</v>
      </c>
      <c r="O1577" s="68">
        <v>2024.11</v>
      </c>
      <c r="P1577" s="70">
        <v>11969.38</v>
      </c>
    </row>
    <row r="1578" spans="13:16" x14ac:dyDescent="0.15">
      <c r="M1578" s="35" t="s">
        <v>273</v>
      </c>
      <c r="N1578" s="35" t="s">
        <v>277</v>
      </c>
      <c r="O1578" s="68">
        <v>2024.11</v>
      </c>
      <c r="P1578" s="70">
        <v>166.2</v>
      </c>
    </row>
    <row r="1579" spans="13:16" x14ac:dyDescent="0.15">
      <c r="M1579" s="35" t="s">
        <v>273</v>
      </c>
      <c r="N1579" s="35" t="s">
        <v>283</v>
      </c>
      <c r="O1579" s="68">
        <v>2024.11</v>
      </c>
      <c r="P1579" s="70">
        <v>3589.1</v>
      </c>
    </row>
    <row r="1580" spans="13:16" x14ac:dyDescent="0.15">
      <c r="M1580" s="35" t="s">
        <v>273</v>
      </c>
      <c r="N1580" s="35" t="s">
        <v>1298</v>
      </c>
      <c r="O1580" s="68">
        <v>2024.11</v>
      </c>
      <c r="P1580" s="70">
        <v>3349.08</v>
      </c>
    </row>
    <row r="1581" spans="13:16" x14ac:dyDescent="0.15">
      <c r="M1581" s="35" t="s">
        <v>307</v>
      </c>
      <c r="N1581" s="35" t="s">
        <v>280</v>
      </c>
      <c r="O1581" s="68">
        <v>2024.11</v>
      </c>
      <c r="P1581" s="70">
        <v>15000</v>
      </c>
    </row>
    <row r="1582" spans="13:16" x14ac:dyDescent="0.15">
      <c r="M1582" s="35" t="s">
        <v>307</v>
      </c>
      <c r="N1582" s="35" t="s">
        <v>281</v>
      </c>
      <c r="O1582" s="68">
        <v>2024.11</v>
      </c>
      <c r="P1582" s="70">
        <v>4166.2</v>
      </c>
    </row>
    <row r="1583" spans="13:16" x14ac:dyDescent="0.15">
      <c r="M1583" s="35" t="s">
        <v>307</v>
      </c>
      <c r="N1583" s="35" t="s">
        <v>1297</v>
      </c>
      <c r="O1583" s="68">
        <v>2024.11</v>
      </c>
      <c r="P1583" s="70">
        <v>20.8</v>
      </c>
    </row>
    <row r="1584" spans="13:16" x14ac:dyDescent="0.15">
      <c r="M1584" s="35" t="s">
        <v>307</v>
      </c>
      <c r="N1584" s="35" t="s">
        <v>1299</v>
      </c>
      <c r="O1584" s="68">
        <v>2024.11</v>
      </c>
      <c r="P1584" s="70">
        <v>26.23</v>
      </c>
    </row>
    <row r="1585" spans="13:16" x14ac:dyDescent="0.15">
      <c r="M1585" s="35" t="s">
        <v>309</v>
      </c>
      <c r="N1585" s="35" t="s">
        <v>280</v>
      </c>
      <c r="O1585" s="68">
        <v>2024.11</v>
      </c>
      <c r="P1585" s="70">
        <v>11440.16</v>
      </c>
    </row>
    <row r="1586" spans="13:16" x14ac:dyDescent="0.15">
      <c r="M1586" s="35" t="s">
        <v>309</v>
      </c>
      <c r="N1586" s="35" t="s">
        <v>280</v>
      </c>
      <c r="O1586" s="68">
        <v>2024.11</v>
      </c>
      <c r="P1586" s="70">
        <v>16200</v>
      </c>
    </row>
    <row r="1587" spans="13:16" x14ac:dyDescent="0.15">
      <c r="M1587" s="35" t="s">
        <v>309</v>
      </c>
      <c r="N1587" s="35" t="s">
        <v>277</v>
      </c>
      <c r="O1587" s="68">
        <v>2024.11</v>
      </c>
      <c r="P1587" s="70">
        <v>20650.400000000001</v>
      </c>
    </row>
    <row r="1588" spans="13:16" x14ac:dyDescent="0.15">
      <c r="M1588" s="35" t="s">
        <v>274</v>
      </c>
      <c r="N1588" s="35" t="s">
        <v>274</v>
      </c>
      <c r="O1588" s="68">
        <v>2024.11</v>
      </c>
      <c r="P1588" s="70">
        <v>31437.63</v>
      </c>
    </row>
    <row r="1589" spans="13:16" x14ac:dyDescent="0.15">
      <c r="M1589" s="35" t="s">
        <v>1136</v>
      </c>
      <c r="N1589" s="35" t="s">
        <v>280</v>
      </c>
      <c r="O1589" s="68">
        <v>2024.11</v>
      </c>
      <c r="P1589" s="70">
        <v>114750</v>
      </c>
    </row>
    <row r="1590" spans="13:16" x14ac:dyDescent="0.15">
      <c r="M1590" s="35" t="s">
        <v>1136</v>
      </c>
      <c r="N1590" s="35" t="s">
        <v>277</v>
      </c>
      <c r="O1590" s="68">
        <v>2024.11</v>
      </c>
      <c r="P1590" s="70">
        <v>115850</v>
      </c>
    </row>
    <row r="1591" spans="13:16" x14ac:dyDescent="0.15">
      <c r="M1591" s="35" t="s">
        <v>302</v>
      </c>
      <c r="N1591" s="35" t="s">
        <v>283</v>
      </c>
      <c r="O1591" s="68">
        <v>2024.11</v>
      </c>
      <c r="P1591" s="70">
        <v>19800</v>
      </c>
    </row>
    <row r="1592" spans="13:16" x14ac:dyDescent="0.15">
      <c r="M1592" s="35" t="s">
        <v>302</v>
      </c>
      <c r="N1592" s="35" t="s">
        <v>283</v>
      </c>
      <c r="O1592" s="68">
        <v>2024.11</v>
      </c>
      <c r="P1592" s="70">
        <v>32940</v>
      </c>
    </row>
    <row r="1593" spans="13:16" x14ac:dyDescent="0.15">
      <c r="M1593" s="35" t="s">
        <v>1149</v>
      </c>
      <c r="N1593" s="35" t="s">
        <v>280</v>
      </c>
      <c r="O1593" s="68">
        <v>2024.11</v>
      </c>
      <c r="P1593" s="70">
        <v>140400</v>
      </c>
    </row>
    <row r="1594" spans="13:16" x14ac:dyDescent="0.15">
      <c r="M1594" s="35" t="s">
        <v>1149</v>
      </c>
      <c r="N1594" s="35" t="s">
        <v>277</v>
      </c>
      <c r="O1594" s="68">
        <v>2024.11</v>
      </c>
      <c r="P1594" s="70">
        <v>118800</v>
      </c>
    </row>
    <row r="1595" spans="13:16" x14ac:dyDescent="0.15">
      <c r="M1595" s="35" t="s">
        <v>1153</v>
      </c>
      <c r="N1595" s="35" t="s">
        <v>1297</v>
      </c>
      <c r="O1595" s="68">
        <v>2024.11</v>
      </c>
      <c r="P1595" s="70">
        <v>477996</v>
      </c>
    </row>
    <row r="1596" spans="13:16" x14ac:dyDescent="0.15">
      <c r="M1596" s="35" t="s">
        <v>1150</v>
      </c>
      <c r="N1596" s="35" t="s">
        <v>1132</v>
      </c>
      <c r="O1596" s="68">
        <v>2024.11</v>
      </c>
      <c r="P1596" s="70">
        <v>149209.73000000001</v>
      </c>
    </row>
    <row r="1597" spans="13:16" x14ac:dyDescent="0.15">
      <c r="M1597" s="35" t="s">
        <v>1150</v>
      </c>
      <c r="N1597" s="35" t="s">
        <v>1132</v>
      </c>
      <c r="O1597" s="68">
        <v>2024.11</v>
      </c>
      <c r="P1597" s="70">
        <v>25261.5</v>
      </c>
    </row>
    <row r="1598" spans="13:16" x14ac:dyDescent="0.15">
      <c r="M1598" s="35" t="s">
        <v>1150</v>
      </c>
      <c r="N1598" s="35" t="s">
        <v>282</v>
      </c>
      <c r="O1598" s="68">
        <v>2024.11</v>
      </c>
      <c r="P1598" s="70">
        <v>25</v>
      </c>
    </row>
    <row r="1599" spans="13:16" x14ac:dyDescent="0.15">
      <c r="M1599" s="35" t="s">
        <v>1150</v>
      </c>
      <c r="N1599" s="35" t="s">
        <v>1299</v>
      </c>
      <c r="O1599" s="68">
        <v>2024.11</v>
      </c>
      <c r="P1599" s="70">
        <v>37.380000000000003</v>
      </c>
    </row>
    <row r="1600" spans="13:16" x14ac:dyDescent="0.15">
      <c r="M1600" s="35" t="s">
        <v>1138</v>
      </c>
      <c r="N1600" s="35" t="s">
        <v>1132</v>
      </c>
      <c r="O1600" s="68">
        <v>2024.11</v>
      </c>
      <c r="P1600" s="70">
        <v>4756.3500000000004</v>
      </c>
    </row>
    <row r="1601" spans="13:16" x14ac:dyDescent="0.15">
      <c r="M1601" s="35" t="s">
        <v>1138</v>
      </c>
      <c r="N1601" s="35" t="s">
        <v>1132</v>
      </c>
      <c r="O1601" s="68">
        <v>2024.11</v>
      </c>
      <c r="P1601" s="70">
        <v>3694.55</v>
      </c>
    </row>
    <row r="1602" spans="13:16" x14ac:dyDescent="0.15">
      <c r="M1602" s="35" t="s">
        <v>262</v>
      </c>
      <c r="N1602" s="35" t="s">
        <v>283</v>
      </c>
      <c r="O1602" s="68">
        <v>2024.11</v>
      </c>
      <c r="P1602" s="70">
        <v>3305.78</v>
      </c>
    </row>
    <row r="1603" spans="13:16" x14ac:dyDescent="0.15">
      <c r="M1603" s="35" t="s">
        <v>262</v>
      </c>
      <c r="N1603" s="35" t="s">
        <v>1297</v>
      </c>
      <c r="O1603" s="68">
        <v>2024.11</v>
      </c>
      <c r="P1603" s="70">
        <v>264.60000000000002</v>
      </c>
    </row>
    <row r="1604" spans="13:16" x14ac:dyDescent="0.15">
      <c r="M1604" s="35" t="s">
        <v>275</v>
      </c>
      <c r="N1604" s="35" t="s">
        <v>1297</v>
      </c>
      <c r="O1604" s="68">
        <v>2024.11</v>
      </c>
      <c r="P1604" s="70">
        <v>7012.29</v>
      </c>
    </row>
    <row r="1605" spans="13:16" x14ac:dyDescent="0.15">
      <c r="M1605" s="35" t="s">
        <v>275</v>
      </c>
      <c r="N1605" s="35" t="s">
        <v>1297</v>
      </c>
      <c r="O1605" s="68">
        <v>2024.11</v>
      </c>
      <c r="P1605" s="70">
        <v>100.56</v>
      </c>
    </row>
    <row r="1606" spans="13:16" x14ac:dyDescent="0.15">
      <c r="M1606" s="35" t="s">
        <v>275</v>
      </c>
      <c r="N1606" s="35" t="s">
        <v>284</v>
      </c>
      <c r="O1606" s="68">
        <v>2024.11</v>
      </c>
      <c r="P1606" s="70">
        <v>717.66</v>
      </c>
    </row>
    <row r="1607" spans="13:16" x14ac:dyDescent="0.15">
      <c r="M1607" s="35" t="s">
        <v>275</v>
      </c>
      <c r="N1607" s="35" t="s">
        <v>284</v>
      </c>
      <c r="O1607" s="68">
        <v>2024.11</v>
      </c>
      <c r="P1607" s="70">
        <v>20693.55</v>
      </c>
    </row>
    <row r="1608" spans="13:16" x14ac:dyDescent="0.15">
      <c r="M1608" s="35" t="s">
        <v>275</v>
      </c>
      <c r="N1608" s="35" t="s">
        <v>1299</v>
      </c>
      <c r="O1608" s="68">
        <v>2024.11</v>
      </c>
      <c r="P1608" s="70">
        <v>90090.880000000005</v>
      </c>
    </row>
    <row r="1609" spans="13:16" x14ac:dyDescent="0.15">
      <c r="M1609" s="35" t="s">
        <v>276</v>
      </c>
      <c r="N1609" s="35" t="s">
        <v>1297</v>
      </c>
      <c r="O1609" s="68">
        <v>2024.11</v>
      </c>
      <c r="P1609" s="70">
        <v>848.98</v>
      </c>
    </row>
    <row r="1610" spans="13:16" x14ac:dyDescent="0.15">
      <c r="M1610" s="35" t="s">
        <v>276</v>
      </c>
      <c r="N1610" s="35" t="s">
        <v>1297</v>
      </c>
      <c r="O1610" s="68">
        <v>2024.11</v>
      </c>
      <c r="P1610" s="70">
        <v>27605.45</v>
      </c>
    </row>
    <row r="1611" spans="13:16" x14ac:dyDescent="0.15">
      <c r="M1611" s="35" t="s">
        <v>276</v>
      </c>
      <c r="N1611" s="35" t="s">
        <v>282</v>
      </c>
      <c r="O1611" s="68">
        <v>2024.11</v>
      </c>
      <c r="P1611" s="70">
        <v>78300</v>
      </c>
    </row>
    <row r="1612" spans="13:16" x14ac:dyDescent="0.15">
      <c r="M1612" s="35" t="s">
        <v>276</v>
      </c>
      <c r="N1612" s="35" t="s">
        <v>282</v>
      </c>
      <c r="O1612" s="68">
        <v>2024.11</v>
      </c>
      <c r="P1612" s="70">
        <v>258996.05</v>
      </c>
    </row>
    <row r="1613" spans="13:16" x14ac:dyDescent="0.15">
      <c r="M1613" s="35" t="s">
        <v>276</v>
      </c>
      <c r="N1613" s="35" t="s">
        <v>1299</v>
      </c>
      <c r="O1613" s="68">
        <v>2024.11</v>
      </c>
      <c r="P1613" s="70">
        <v>32208</v>
      </c>
    </row>
    <row r="1614" spans="13:16" x14ac:dyDescent="0.15">
      <c r="M1614" s="35" t="s">
        <v>1146</v>
      </c>
      <c r="N1614" s="35" t="s">
        <v>1297</v>
      </c>
      <c r="O1614" s="68">
        <v>2024.11</v>
      </c>
      <c r="P1614" s="70">
        <v>45.34</v>
      </c>
    </row>
    <row r="1615" spans="13:16" x14ac:dyDescent="0.15">
      <c r="M1615" s="35" t="s">
        <v>1146</v>
      </c>
      <c r="N1615" s="35" t="s">
        <v>1297</v>
      </c>
      <c r="O1615" s="68">
        <v>2024.11</v>
      </c>
      <c r="P1615" s="70">
        <v>118000</v>
      </c>
    </row>
    <row r="1616" spans="13:16" x14ac:dyDescent="0.15">
      <c r="M1616" s="35" t="s">
        <v>1146</v>
      </c>
      <c r="N1616" s="35" t="s">
        <v>1297</v>
      </c>
      <c r="O1616" s="68">
        <v>2024.11</v>
      </c>
      <c r="P1616" s="70">
        <v>3635.58</v>
      </c>
    </row>
    <row r="1617" spans="13:16" x14ac:dyDescent="0.15">
      <c r="M1617" s="35" t="s">
        <v>1146</v>
      </c>
      <c r="N1617" s="35" t="s">
        <v>283</v>
      </c>
      <c r="O1617" s="68">
        <v>2024.11</v>
      </c>
      <c r="P1617" s="70">
        <v>4231.3599999999997</v>
      </c>
    </row>
    <row r="1618" spans="13:16" x14ac:dyDescent="0.15">
      <c r="M1618" s="35" t="s">
        <v>1146</v>
      </c>
      <c r="N1618" s="35" t="s">
        <v>283</v>
      </c>
      <c r="O1618" s="68">
        <v>2024.11</v>
      </c>
      <c r="P1618" s="70">
        <v>89100</v>
      </c>
    </row>
    <row r="1619" spans="13:16" x14ac:dyDescent="0.15">
      <c r="M1619" s="35" t="s">
        <v>1146</v>
      </c>
      <c r="N1619" s="35" t="s">
        <v>1298</v>
      </c>
      <c r="O1619" s="68">
        <v>2024.11</v>
      </c>
      <c r="P1619" s="70">
        <v>358.83</v>
      </c>
    </row>
    <row r="1620" spans="13:16" x14ac:dyDescent="0.15">
      <c r="M1620" s="35" t="s">
        <v>1146</v>
      </c>
      <c r="N1620" s="35" t="s">
        <v>1298</v>
      </c>
      <c r="O1620" s="68">
        <v>2024.11</v>
      </c>
      <c r="P1620" s="70">
        <v>116901.95</v>
      </c>
    </row>
    <row r="1621" spans="13:16" x14ac:dyDescent="0.15">
      <c r="M1621" s="35" t="s">
        <v>1146</v>
      </c>
      <c r="N1621" s="35" t="s">
        <v>1299</v>
      </c>
      <c r="O1621" s="68">
        <v>2024.11</v>
      </c>
      <c r="P1621" s="70">
        <v>98213.9</v>
      </c>
    </row>
    <row r="1622" spans="13:16" x14ac:dyDescent="0.15">
      <c r="M1622" s="35" t="s">
        <v>1146</v>
      </c>
      <c r="N1622" s="35" t="s">
        <v>1300</v>
      </c>
      <c r="O1622" s="68">
        <v>2024.11</v>
      </c>
      <c r="P1622" s="70">
        <v>496.52</v>
      </c>
    </row>
    <row r="1623" spans="13:16" x14ac:dyDescent="0.15">
      <c r="M1623" s="35" t="s">
        <v>1151</v>
      </c>
      <c r="N1623" s="35" t="s">
        <v>282</v>
      </c>
      <c r="O1623" s="68">
        <v>2024.11</v>
      </c>
      <c r="P1623" s="70">
        <v>412.5</v>
      </c>
    </row>
    <row r="1624" spans="13:16" x14ac:dyDescent="0.15">
      <c r="M1624" s="35" t="s">
        <v>1151</v>
      </c>
      <c r="N1624" s="35" t="s">
        <v>282</v>
      </c>
      <c r="O1624" s="68">
        <v>2024.11</v>
      </c>
      <c r="P1624" s="70">
        <v>352361.8</v>
      </c>
    </row>
    <row r="1625" spans="13:16" x14ac:dyDescent="0.15">
      <c r="M1625" s="35" t="s">
        <v>1151</v>
      </c>
      <c r="N1625" s="35" t="s">
        <v>283</v>
      </c>
      <c r="O1625" s="68">
        <v>2024.11</v>
      </c>
      <c r="P1625" s="70">
        <v>1246.76</v>
      </c>
    </row>
    <row r="1626" spans="13:16" x14ac:dyDescent="0.15">
      <c r="M1626" s="35" t="s">
        <v>1151</v>
      </c>
      <c r="N1626" s="35" t="s">
        <v>278</v>
      </c>
      <c r="O1626" s="68">
        <v>2024.11</v>
      </c>
      <c r="P1626" s="70">
        <v>4457.1499999999996</v>
      </c>
    </row>
    <row r="1627" spans="13:16" x14ac:dyDescent="0.15">
      <c r="M1627" s="35" t="s">
        <v>1151</v>
      </c>
      <c r="N1627" s="35" t="s">
        <v>1297</v>
      </c>
      <c r="O1627" s="68">
        <v>2024.11</v>
      </c>
      <c r="P1627" s="70">
        <v>93740.01</v>
      </c>
    </row>
    <row r="1628" spans="13:16" x14ac:dyDescent="0.15">
      <c r="M1628" s="35" t="s">
        <v>1152</v>
      </c>
      <c r="N1628" s="35" t="s">
        <v>1297</v>
      </c>
      <c r="O1628" s="68">
        <v>2024.11</v>
      </c>
      <c r="P1628" s="70">
        <v>667.84</v>
      </c>
    </row>
    <row r="1629" spans="13:16" x14ac:dyDescent="0.15">
      <c r="M1629" s="35" t="s">
        <v>1152</v>
      </c>
      <c r="N1629" s="35" t="s">
        <v>1297</v>
      </c>
      <c r="O1629" s="68">
        <v>2024.11</v>
      </c>
      <c r="P1629" s="70">
        <v>8070.74</v>
      </c>
    </row>
    <row r="1630" spans="13:16" x14ac:dyDescent="0.15">
      <c r="M1630" s="35" t="s">
        <v>1152</v>
      </c>
      <c r="N1630" s="35" t="s">
        <v>282</v>
      </c>
      <c r="O1630" s="68">
        <v>2024.11</v>
      </c>
      <c r="P1630" s="70">
        <v>1903</v>
      </c>
    </row>
    <row r="1631" spans="13:16" x14ac:dyDescent="0.15">
      <c r="M1631" s="35" t="s">
        <v>1152</v>
      </c>
      <c r="N1631" s="35" t="s">
        <v>1298</v>
      </c>
      <c r="O1631" s="68">
        <v>2024.11</v>
      </c>
      <c r="P1631" s="70">
        <v>52355</v>
      </c>
    </row>
    <row r="1632" spans="13:16" x14ac:dyDescent="0.15">
      <c r="M1632" s="35" t="s">
        <v>1152</v>
      </c>
      <c r="N1632" s="35" t="s">
        <v>1299</v>
      </c>
      <c r="O1632" s="68">
        <v>2024.11</v>
      </c>
      <c r="P1632" s="70">
        <v>106038.8</v>
      </c>
    </row>
    <row r="1633" spans="13:16" x14ac:dyDescent="0.15">
      <c r="M1633" s="35" t="s">
        <v>1152</v>
      </c>
      <c r="N1633" s="35" t="s">
        <v>1300</v>
      </c>
      <c r="O1633" s="68">
        <v>2024.11</v>
      </c>
      <c r="P1633" s="70">
        <v>91826.6</v>
      </c>
    </row>
    <row r="1634" spans="13:16" x14ac:dyDescent="0.15">
      <c r="M1634" s="35" t="s">
        <v>256</v>
      </c>
      <c r="N1634" s="35" t="s">
        <v>1297</v>
      </c>
      <c r="O1634" s="68">
        <v>2024.11</v>
      </c>
      <c r="P1634" s="70">
        <v>371816.9</v>
      </c>
    </row>
    <row r="1635" spans="13:16" x14ac:dyDescent="0.15">
      <c r="M1635" s="35" t="s">
        <v>1147</v>
      </c>
      <c r="N1635" s="35" t="s">
        <v>280</v>
      </c>
      <c r="O1635" s="68">
        <v>2024.11</v>
      </c>
      <c r="P1635" s="70">
        <v>9920.06</v>
      </c>
    </row>
    <row r="1636" spans="13:16" x14ac:dyDescent="0.15">
      <c r="M1636" s="35" t="s">
        <v>1147</v>
      </c>
      <c r="N1636" s="35" t="s">
        <v>280</v>
      </c>
      <c r="O1636" s="68">
        <v>2024.11</v>
      </c>
      <c r="P1636" s="70">
        <v>3693.28</v>
      </c>
    </row>
    <row r="1637" spans="13:16" x14ac:dyDescent="0.15">
      <c r="M1637" s="35" t="s">
        <v>1137</v>
      </c>
      <c r="N1637" s="35" t="s">
        <v>278</v>
      </c>
      <c r="O1637" s="68">
        <v>2024.11</v>
      </c>
      <c r="P1637" s="70">
        <v>78.55</v>
      </c>
    </row>
    <row r="1638" spans="13:16" x14ac:dyDescent="0.15">
      <c r="M1638" s="35" t="s">
        <v>273</v>
      </c>
      <c r="N1638" s="35" t="s">
        <v>288</v>
      </c>
      <c r="O1638" s="68">
        <v>2024.43</v>
      </c>
      <c r="P1638" s="70">
        <v>44967.72</v>
      </c>
    </row>
    <row r="1639" spans="13:16" x14ac:dyDescent="0.15">
      <c r="M1639" s="35" t="s">
        <v>273</v>
      </c>
      <c r="N1639" s="35" t="s">
        <v>1296</v>
      </c>
      <c r="O1639" s="68">
        <v>2024.43</v>
      </c>
      <c r="P1639" s="70">
        <v>77745.63</v>
      </c>
    </row>
    <row r="1640" spans="13:16" x14ac:dyDescent="0.15">
      <c r="M1640" s="35" t="s">
        <v>273</v>
      </c>
      <c r="N1640" s="35" t="s">
        <v>280</v>
      </c>
      <c r="O1640" s="68">
        <v>2024.43</v>
      </c>
      <c r="P1640" s="70">
        <v>18927.18</v>
      </c>
    </row>
    <row r="1641" spans="13:16" x14ac:dyDescent="0.15">
      <c r="M1641" s="35" t="s">
        <v>273</v>
      </c>
      <c r="N1641" s="35" t="s">
        <v>277</v>
      </c>
      <c r="O1641" s="68">
        <v>2024.43</v>
      </c>
      <c r="P1641" s="70">
        <v>166.2</v>
      </c>
    </row>
    <row r="1642" spans="13:16" x14ac:dyDescent="0.15">
      <c r="M1642" s="35" t="s">
        <v>273</v>
      </c>
      <c r="N1642" s="35" t="s">
        <v>283</v>
      </c>
      <c r="O1642" s="68">
        <v>2024.43</v>
      </c>
      <c r="P1642" s="70">
        <v>6127.3</v>
      </c>
    </row>
    <row r="1643" spans="13:16" x14ac:dyDescent="0.15">
      <c r="M1643" s="35" t="s">
        <v>273</v>
      </c>
      <c r="N1643" s="35" t="s">
        <v>1298</v>
      </c>
      <c r="O1643" s="68">
        <v>2024.43</v>
      </c>
      <c r="P1643" s="70">
        <v>8941.1</v>
      </c>
    </row>
    <row r="1644" spans="13:16" x14ac:dyDescent="0.15">
      <c r="M1644" s="35" t="s">
        <v>307</v>
      </c>
      <c r="N1644" s="35" t="s">
        <v>280</v>
      </c>
      <c r="O1644" s="68">
        <v>2024.43</v>
      </c>
      <c r="P1644" s="70">
        <v>4687.3599999999997</v>
      </c>
    </row>
    <row r="1645" spans="13:16" x14ac:dyDescent="0.15">
      <c r="M1645" s="35" t="s">
        <v>307</v>
      </c>
      <c r="N1645" s="35" t="s">
        <v>280</v>
      </c>
      <c r="O1645" s="68">
        <v>2024.43</v>
      </c>
      <c r="P1645" s="70">
        <v>15000</v>
      </c>
    </row>
    <row r="1646" spans="13:16" x14ac:dyDescent="0.15">
      <c r="M1646" s="35" t="s">
        <v>307</v>
      </c>
      <c r="N1646" s="35" t="s">
        <v>281</v>
      </c>
      <c r="O1646" s="68">
        <v>2024.43</v>
      </c>
      <c r="P1646" s="70">
        <v>8835.25</v>
      </c>
    </row>
    <row r="1647" spans="13:16" x14ac:dyDescent="0.15">
      <c r="M1647" s="35" t="s">
        <v>307</v>
      </c>
      <c r="N1647" s="35" t="s">
        <v>1297</v>
      </c>
      <c r="O1647" s="68">
        <v>2024.43</v>
      </c>
      <c r="P1647" s="70">
        <v>20.8</v>
      </c>
    </row>
    <row r="1648" spans="13:16" x14ac:dyDescent="0.15">
      <c r="M1648" s="35" t="s">
        <v>307</v>
      </c>
      <c r="N1648" s="35" t="s">
        <v>1299</v>
      </c>
      <c r="O1648" s="68">
        <v>2024.43</v>
      </c>
      <c r="P1648" s="70">
        <v>26.23</v>
      </c>
    </row>
    <row r="1649" spans="13:16" x14ac:dyDescent="0.15">
      <c r="M1649" s="35" t="s">
        <v>309</v>
      </c>
      <c r="N1649" s="35" t="s">
        <v>280</v>
      </c>
      <c r="O1649" s="68">
        <v>2024.43</v>
      </c>
      <c r="P1649" s="70">
        <v>11586.64</v>
      </c>
    </row>
    <row r="1650" spans="13:16" x14ac:dyDescent="0.15">
      <c r="M1650" s="35" t="s">
        <v>309</v>
      </c>
      <c r="N1650" s="35" t="s">
        <v>277</v>
      </c>
      <c r="O1650" s="68">
        <v>2024.43</v>
      </c>
      <c r="P1650" s="70">
        <v>35247.65</v>
      </c>
    </row>
    <row r="1651" spans="13:16" x14ac:dyDescent="0.15">
      <c r="M1651" s="35" t="s">
        <v>274</v>
      </c>
      <c r="N1651" s="35" t="s">
        <v>274</v>
      </c>
      <c r="O1651" s="68">
        <v>2024.43</v>
      </c>
      <c r="P1651" s="70">
        <v>43607.53</v>
      </c>
    </row>
    <row r="1652" spans="13:16" x14ac:dyDescent="0.15">
      <c r="M1652" s="35" t="s">
        <v>1136</v>
      </c>
      <c r="N1652" s="35" t="s">
        <v>280</v>
      </c>
      <c r="O1652" s="68">
        <v>2024.43</v>
      </c>
      <c r="P1652" s="70">
        <v>878.88</v>
      </c>
    </row>
    <row r="1653" spans="13:16" x14ac:dyDescent="0.15">
      <c r="M1653" s="35" t="s">
        <v>1136</v>
      </c>
      <c r="N1653" s="35" t="s">
        <v>280</v>
      </c>
      <c r="O1653" s="68">
        <v>2024.43</v>
      </c>
      <c r="P1653" s="70">
        <v>18000</v>
      </c>
    </row>
    <row r="1654" spans="13:16" x14ac:dyDescent="0.15">
      <c r="M1654" s="35" t="s">
        <v>1136</v>
      </c>
      <c r="N1654" s="35" t="s">
        <v>277</v>
      </c>
      <c r="O1654" s="68">
        <v>2024.43</v>
      </c>
      <c r="P1654" s="70">
        <v>5075.3599999999997</v>
      </c>
    </row>
    <row r="1655" spans="13:16" x14ac:dyDescent="0.15">
      <c r="M1655" s="35" t="s">
        <v>1136</v>
      </c>
      <c r="N1655" s="35" t="s">
        <v>283</v>
      </c>
      <c r="O1655" s="68">
        <v>2024.43</v>
      </c>
      <c r="P1655" s="70">
        <v>10461.5</v>
      </c>
    </row>
    <row r="1656" spans="13:16" x14ac:dyDescent="0.15">
      <c r="M1656" s="35" t="s">
        <v>302</v>
      </c>
      <c r="N1656" s="35" t="s">
        <v>283</v>
      </c>
      <c r="O1656" s="68">
        <v>2024.43</v>
      </c>
      <c r="P1656" s="70">
        <v>3960</v>
      </c>
    </row>
    <row r="1657" spans="13:16" x14ac:dyDescent="0.15">
      <c r="M1657" s="35" t="s">
        <v>302</v>
      </c>
      <c r="N1657" s="35" t="s">
        <v>283</v>
      </c>
      <c r="O1657" s="68">
        <v>2024.43</v>
      </c>
      <c r="P1657" s="70">
        <v>6588</v>
      </c>
    </row>
    <row r="1658" spans="13:16" x14ac:dyDescent="0.15">
      <c r="M1658" s="35" t="s">
        <v>302</v>
      </c>
      <c r="N1658" s="35" t="s">
        <v>1298</v>
      </c>
      <c r="O1658" s="68">
        <v>2024.43</v>
      </c>
      <c r="P1658" s="70">
        <v>1985.44</v>
      </c>
    </row>
    <row r="1659" spans="13:16" x14ac:dyDescent="0.15">
      <c r="M1659" s="35" t="s">
        <v>1149</v>
      </c>
      <c r="N1659" s="35" t="s">
        <v>277</v>
      </c>
      <c r="O1659" s="68">
        <v>2024.43</v>
      </c>
      <c r="P1659" s="70">
        <v>425.16</v>
      </c>
    </row>
    <row r="1660" spans="13:16" x14ac:dyDescent="0.15">
      <c r="M1660" s="35" t="s">
        <v>1149</v>
      </c>
      <c r="N1660" s="35" t="s">
        <v>1298</v>
      </c>
      <c r="O1660" s="68">
        <v>2024.43</v>
      </c>
      <c r="P1660" s="70">
        <v>437.16</v>
      </c>
    </row>
    <row r="1661" spans="13:16" x14ac:dyDescent="0.15">
      <c r="M1661" s="35" t="s">
        <v>1153</v>
      </c>
      <c r="N1661" s="35" t="s">
        <v>1297</v>
      </c>
      <c r="O1661" s="68">
        <v>2024.43</v>
      </c>
      <c r="P1661" s="70">
        <v>477996</v>
      </c>
    </row>
    <row r="1662" spans="13:16" x14ac:dyDescent="0.15">
      <c r="M1662" s="35" t="s">
        <v>1153</v>
      </c>
      <c r="N1662" s="35" t="s">
        <v>1297</v>
      </c>
      <c r="O1662" s="68">
        <v>2024.43</v>
      </c>
      <c r="P1662" s="70">
        <v>21106.32</v>
      </c>
    </row>
    <row r="1663" spans="13:16" x14ac:dyDescent="0.15">
      <c r="M1663" s="35" t="s">
        <v>1150</v>
      </c>
      <c r="N1663" s="35" t="s">
        <v>1132</v>
      </c>
      <c r="O1663" s="68">
        <v>2024.43</v>
      </c>
      <c r="P1663" s="70">
        <v>190446.05</v>
      </c>
    </row>
    <row r="1664" spans="13:16" x14ac:dyDescent="0.15">
      <c r="M1664" s="35" t="s">
        <v>1150</v>
      </c>
      <c r="N1664" s="35" t="s">
        <v>1132</v>
      </c>
      <c r="O1664" s="68">
        <v>2024.43</v>
      </c>
      <c r="P1664" s="70">
        <v>29023.5</v>
      </c>
    </row>
    <row r="1665" spans="13:16" x14ac:dyDescent="0.15">
      <c r="M1665" s="35" t="s">
        <v>1150</v>
      </c>
      <c r="N1665" s="35" t="s">
        <v>282</v>
      </c>
      <c r="O1665" s="68">
        <v>2024.43</v>
      </c>
      <c r="P1665" s="70">
        <v>25</v>
      </c>
    </row>
    <row r="1666" spans="13:16" x14ac:dyDescent="0.15">
      <c r="M1666" s="35" t="s">
        <v>1150</v>
      </c>
      <c r="N1666" s="35" t="s">
        <v>1299</v>
      </c>
      <c r="O1666" s="68">
        <v>2024.43</v>
      </c>
      <c r="P1666" s="70">
        <v>86.78</v>
      </c>
    </row>
    <row r="1667" spans="13:16" x14ac:dyDescent="0.15">
      <c r="M1667" s="35" t="s">
        <v>1138</v>
      </c>
      <c r="N1667" s="35" t="s">
        <v>1132</v>
      </c>
      <c r="O1667" s="68">
        <v>2024.43</v>
      </c>
      <c r="P1667" s="70">
        <v>7120.13</v>
      </c>
    </row>
    <row r="1668" spans="13:16" x14ac:dyDescent="0.15">
      <c r="M1668" s="35" t="s">
        <v>1138</v>
      </c>
      <c r="N1668" s="35" t="s">
        <v>1132</v>
      </c>
      <c r="O1668" s="68">
        <v>2024.43</v>
      </c>
      <c r="P1668" s="70">
        <v>3694.55</v>
      </c>
    </row>
    <row r="1669" spans="13:16" x14ac:dyDescent="0.15">
      <c r="M1669" s="35" t="s">
        <v>262</v>
      </c>
      <c r="N1669" s="35" t="s">
        <v>1297</v>
      </c>
      <c r="O1669" s="68">
        <v>2024.43</v>
      </c>
      <c r="P1669" s="70">
        <v>2.61</v>
      </c>
    </row>
    <row r="1670" spans="13:16" x14ac:dyDescent="0.15">
      <c r="M1670" s="35" t="s">
        <v>262</v>
      </c>
      <c r="N1670" s="35" t="s">
        <v>1297</v>
      </c>
      <c r="O1670" s="68">
        <v>2024.43</v>
      </c>
      <c r="P1670" s="70">
        <v>2892.57</v>
      </c>
    </row>
    <row r="1671" spans="13:16" x14ac:dyDescent="0.15">
      <c r="M1671" s="35" t="s">
        <v>262</v>
      </c>
      <c r="N1671" s="35" t="s">
        <v>283</v>
      </c>
      <c r="O1671" s="68">
        <v>2024.43</v>
      </c>
      <c r="P1671" s="70">
        <v>12223.9</v>
      </c>
    </row>
    <row r="1672" spans="13:16" x14ac:dyDescent="0.15">
      <c r="M1672" s="35" t="s">
        <v>262</v>
      </c>
      <c r="N1672" s="35" t="s">
        <v>1300</v>
      </c>
      <c r="O1672" s="68">
        <v>2024.43</v>
      </c>
      <c r="P1672" s="70">
        <v>141.6</v>
      </c>
    </row>
    <row r="1673" spans="13:16" x14ac:dyDescent="0.15">
      <c r="M1673" s="35" t="s">
        <v>275</v>
      </c>
      <c r="N1673" s="35" t="s">
        <v>1297</v>
      </c>
      <c r="O1673" s="68">
        <v>2024.43</v>
      </c>
      <c r="P1673" s="70">
        <v>7012.29</v>
      </c>
    </row>
    <row r="1674" spans="13:16" x14ac:dyDescent="0.15">
      <c r="M1674" s="35" t="s">
        <v>275</v>
      </c>
      <c r="N1674" s="35" t="s">
        <v>1297</v>
      </c>
      <c r="O1674" s="68">
        <v>2024.43</v>
      </c>
      <c r="P1674" s="70">
        <v>128.52000000000001</v>
      </c>
    </row>
    <row r="1675" spans="13:16" x14ac:dyDescent="0.15">
      <c r="M1675" s="35" t="s">
        <v>275</v>
      </c>
      <c r="N1675" s="35" t="s">
        <v>284</v>
      </c>
      <c r="O1675" s="68">
        <v>2024.43</v>
      </c>
      <c r="P1675" s="70">
        <v>3668.49</v>
      </c>
    </row>
    <row r="1676" spans="13:16" x14ac:dyDescent="0.15">
      <c r="M1676" s="35" t="s">
        <v>275</v>
      </c>
      <c r="N1676" s="35" t="s">
        <v>284</v>
      </c>
      <c r="O1676" s="68">
        <v>2024.43</v>
      </c>
      <c r="P1676" s="70">
        <v>20693.560000000001</v>
      </c>
    </row>
    <row r="1677" spans="13:16" x14ac:dyDescent="0.15">
      <c r="M1677" s="35" t="s">
        <v>275</v>
      </c>
      <c r="N1677" s="35" t="s">
        <v>1299</v>
      </c>
      <c r="O1677" s="68">
        <v>2024.43</v>
      </c>
      <c r="P1677" s="70">
        <v>92353.91</v>
      </c>
    </row>
    <row r="1678" spans="13:16" x14ac:dyDescent="0.15">
      <c r="M1678" s="35" t="s">
        <v>276</v>
      </c>
      <c r="N1678" s="35" t="s">
        <v>1297</v>
      </c>
      <c r="O1678" s="68">
        <v>2024.43</v>
      </c>
      <c r="P1678" s="70">
        <v>848.98</v>
      </c>
    </row>
    <row r="1679" spans="13:16" x14ac:dyDescent="0.15">
      <c r="M1679" s="35" t="s">
        <v>276</v>
      </c>
      <c r="N1679" s="35" t="s">
        <v>1297</v>
      </c>
      <c r="O1679" s="68">
        <v>2024.43</v>
      </c>
      <c r="P1679" s="70">
        <v>29546.59</v>
      </c>
    </row>
    <row r="1680" spans="13:16" x14ac:dyDescent="0.15">
      <c r="M1680" s="35" t="s">
        <v>276</v>
      </c>
      <c r="N1680" s="35" t="s">
        <v>282</v>
      </c>
      <c r="O1680" s="68">
        <v>2024.43</v>
      </c>
      <c r="P1680" s="70">
        <v>13150.5</v>
      </c>
    </row>
    <row r="1681" spans="13:16" x14ac:dyDescent="0.15">
      <c r="M1681" s="35" t="s">
        <v>276</v>
      </c>
      <c r="N1681" s="35" t="s">
        <v>282</v>
      </c>
      <c r="O1681" s="68">
        <v>2024.43</v>
      </c>
      <c r="P1681" s="70">
        <v>78300</v>
      </c>
    </row>
    <row r="1682" spans="13:16" x14ac:dyDescent="0.15">
      <c r="M1682" s="35" t="s">
        <v>276</v>
      </c>
      <c r="N1682" s="35" t="s">
        <v>282</v>
      </c>
      <c r="O1682" s="68">
        <v>2024.43</v>
      </c>
      <c r="P1682" s="70">
        <v>280974.05</v>
      </c>
    </row>
    <row r="1683" spans="13:16" x14ac:dyDescent="0.15">
      <c r="M1683" s="35" t="s">
        <v>276</v>
      </c>
      <c r="N1683" s="35" t="s">
        <v>1299</v>
      </c>
      <c r="O1683" s="68">
        <v>2024.43</v>
      </c>
      <c r="P1683" s="70">
        <v>32208</v>
      </c>
    </row>
    <row r="1684" spans="13:16" x14ac:dyDescent="0.15">
      <c r="M1684" s="35" t="s">
        <v>276</v>
      </c>
      <c r="N1684" s="35" t="s">
        <v>1300</v>
      </c>
      <c r="O1684" s="68">
        <v>2024.43</v>
      </c>
      <c r="P1684" s="70">
        <v>201.29</v>
      </c>
    </row>
    <row r="1685" spans="13:16" x14ac:dyDescent="0.15">
      <c r="M1685" s="35" t="s">
        <v>1146</v>
      </c>
      <c r="N1685" s="35" t="s">
        <v>1297</v>
      </c>
      <c r="O1685" s="68">
        <v>2024.43</v>
      </c>
      <c r="P1685" s="70">
        <v>31.88</v>
      </c>
    </row>
    <row r="1686" spans="13:16" x14ac:dyDescent="0.15">
      <c r="M1686" s="35" t="s">
        <v>1146</v>
      </c>
      <c r="N1686" s="35" t="s">
        <v>1297</v>
      </c>
      <c r="O1686" s="68">
        <v>2024.43</v>
      </c>
      <c r="P1686" s="70">
        <v>206.05</v>
      </c>
    </row>
    <row r="1687" spans="13:16" x14ac:dyDescent="0.15">
      <c r="M1687" s="35" t="s">
        <v>1146</v>
      </c>
      <c r="N1687" s="35" t="s">
        <v>1297</v>
      </c>
      <c r="O1687" s="68">
        <v>2024.43</v>
      </c>
      <c r="P1687" s="70">
        <v>118000</v>
      </c>
    </row>
    <row r="1688" spans="13:16" x14ac:dyDescent="0.15">
      <c r="M1688" s="35" t="s">
        <v>1146</v>
      </c>
      <c r="N1688" s="35" t="s">
        <v>1297</v>
      </c>
      <c r="O1688" s="68">
        <v>2024.43</v>
      </c>
      <c r="P1688" s="70">
        <v>2033.68</v>
      </c>
    </row>
    <row r="1689" spans="13:16" x14ac:dyDescent="0.15">
      <c r="M1689" s="35" t="s">
        <v>1146</v>
      </c>
      <c r="N1689" s="35" t="s">
        <v>283</v>
      </c>
      <c r="O1689" s="68">
        <v>2024.43</v>
      </c>
      <c r="P1689" s="70">
        <v>11382.91</v>
      </c>
    </row>
    <row r="1690" spans="13:16" x14ac:dyDescent="0.15">
      <c r="M1690" s="35" t="s">
        <v>1146</v>
      </c>
      <c r="N1690" s="35" t="s">
        <v>283</v>
      </c>
      <c r="O1690" s="68">
        <v>2024.43</v>
      </c>
      <c r="P1690" s="70">
        <v>17820</v>
      </c>
    </row>
    <row r="1691" spans="13:16" x14ac:dyDescent="0.15">
      <c r="M1691" s="35" t="s">
        <v>1146</v>
      </c>
      <c r="N1691" s="35" t="s">
        <v>1298</v>
      </c>
      <c r="O1691" s="68">
        <v>2024.43</v>
      </c>
      <c r="P1691" s="70">
        <v>9238.65</v>
      </c>
    </row>
    <row r="1692" spans="13:16" x14ac:dyDescent="0.15">
      <c r="M1692" s="35" t="s">
        <v>1146</v>
      </c>
      <c r="N1692" s="35" t="s">
        <v>1298</v>
      </c>
      <c r="O1692" s="68">
        <v>2024.43</v>
      </c>
      <c r="P1692" s="70">
        <v>10151.959999999999</v>
      </c>
    </row>
    <row r="1693" spans="13:16" x14ac:dyDescent="0.15">
      <c r="M1693" s="35" t="s">
        <v>1146</v>
      </c>
      <c r="N1693" s="35" t="s">
        <v>282</v>
      </c>
      <c r="O1693" s="68">
        <v>2024.43</v>
      </c>
      <c r="P1693" s="70">
        <v>208.33</v>
      </c>
    </row>
    <row r="1694" spans="13:16" x14ac:dyDescent="0.15">
      <c r="M1694" s="35" t="s">
        <v>1146</v>
      </c>
      <c r="N1694" s="35" t="s">
        <v>1299</v>
      </c>
      <c r="O1694" s="68">
        <v>2024.43</v>
      </c>
      <c r="P1694" s="70">
        <v>73490.75</v>
      </c>
    </row>
    <row r="1695" spans="13:16" x14ac:dyDescent="0.15">
      <c r="M1695" s="35" t="s">
        <v>1146</v>
      </c>
      <c r="N1695" s="35" t="s">
        <v>1300</v>
      </c>
      <c r="O1695" s="68">
        <v>2024.43</v>
      </c>
      <c r="P1695" s="70">
        <v>2623.69</v>
      </c>
    </row>
    <row r="1696" spans="13:16" x14ac:dyDescent="0.15">
      <c r="M1696" s="35" t="s">
        <v>1151</v>
      </c>
      <c r="N1696" s="35" t="s">
        <v>282</v>
      </c>
      <c r="O1696" s="68">
        <v>2024.43</v>
      </c>
      <c r="P1696" s="70">
        <v>3220.5</v>
      </c>
    </row>
    <row r="1697" spans="13:16" x14ac:dyDescent="0.15">
      <c r="M1697" s="35" t="s">
        <v>1151</v>
      </c>
      <c r="N1697" s="35" t="s">
        <v>282</v>
      </c>
      <c r="O1697" s="68">
        <v>2024.43</v>
      </c>
      <c r="P1697" s="70">
        <v>362753.8</v>
      </c>
    </row>
    <row r="1698" spans="13:16" x14ac:dyDescent="0.15">
      <c r="M1698" s="35" t="s">
        <v>1151</v>
      </c>
      <c r="N1698" s="35" t="s">
        <v>283</v>
      </c>
      <c r="O1698" s="68">
        <v>2024.43</v>
      </c>
      <c r="P1698" s="70">
        <v>1521.16</v>
      </c>
    </row>
    <row r="1699" spans="13:16" x14ac:dyDescent="0.15">
      <c r="M1699" s="35" t="s">
        <v>1151</v>
      </c>
      <c r="N1699" s="35" t="s">
        <v>278</v>
      </c>
      <c r="O1699" s="68">
        <v>2024.43</v>
      </c>
      <c r="P1699" s="70">
        <v>8359.09</v>
      </c>
    </row>
    <row r="1700" spans="13:16" x14ac:dyDescent="0.15">
      <c r="M1700" s="35" t="s">
        <v>1151</v>
      </c>
      <c r="N1700" s="35" t="s">
        <v>1297</v>
      </c>
      <c r="O1700" s="68">
        <v>2024.43</v>
      </c>
      <c r="P1700" s="70">
        <v>120639.8</v>
      </c>
    </row>
    <row r="1701" spans="13:16" x14ac:dyDescent="0.15">
      <c r="M1701" s="35" t="s">
        <v>1151</v>
      </c>
      <c r="N1701" s="35" t="s">
        <v>1299</v>
      </c>
      <c r="O1701" s="68">
        <v>2024.43</v>
      </c>
      <c r="P1701" s="70">
        <v>48.56</v>
      </c>
    </row>
    <row r="1702" spans="13:16" x14ac:dyDescent="0.15">
      <c r="M1702" s="35" t="s">
        <v>1151</v>
      </c>
      <c r="N1702" s="35" t="s">
        <v>1300</v>
      </c>
      <c r="O1702" s="68">
        <v>2024.43</v>
      </c>
      <c r="P1702" s="70">
        <v>809.14</v>
      </c>
    </row>
    <row r="1703" spans="13:16" x14ac:dyDescent="0.15">
      <c r="M1703" s="35" t="s">
        <v>1152</v>
      </c>
      <c r="N1703" s="35" t="s">
        <v>1297</v>
      </c>
      <c r="O1703" s="68">
        <v>2024.43</v>
      </c>
      <c r="P1703" s="70">
        <v>8</v>
      </c>
    </row>
    <row r="1704" spans="13:16" x14ac:dyDescent="0.15">
      <c r="M1704" s="35" t="s">
        <v>1152</v>
      </c>
      <c r="N1704" s="35" t="s">
        <v>1297</v>
      </c>
      <c r="O1704" s="68">
        <v>2024.43</v>
      </c>
      <c r="P1704" s="70">
        <v>667.84</v>
      </c>
    </row>
    <row r="1705" spans="13:16" x14ac:dyDescent="0.15">
      <c r="M1705" s="35" t="s">
        <v>1152</v>
      </c>
      <c r="N1705" s="35" t="s">
        <v>1297</v>
      </c>
      <c r="O1705" s="68">
        <v>2024.43</v>
      </c>
      <c r="P1705" s="70">
        <v>8327.0400000000009</v>
      </c>
    </row>
    <row r="1706" spans="13:16" x14ac:dyDescent="0.15">
      <c r="M1706" s="35" t="s">
        <v>1152</v>
      </c>
      <c r="N1706" s="35" t="s">
        <v>282</v>
      </c>
      <c r="O1706" s="68">
        <v>2024.43</v>
      </c>
      <c r="P1706" s="70">
        <v>5459</v>
      </c>
    </row>
    <row r="1707" spans="13:16" x14ac:dyDescent="0.15">
      <c r="M1707" s="35" t="s">
        <v>1152</v>
      </c>
      <c r="N1707" s="35" t="s">
        <v>1298</v>
      </c>
      <c r="O1707" s="68">
        <v>2024.43</v>
      </c>
      <c r="P1707" s="70">
        <v>182.15</v>
      </c>
    </row>
    <row r="1708" spans="13:16" x14ac:dyDescent="0.15">
      <c r="M1708" s="35" t="s">
        <v>1152</v>
      </c>
      <c r="N1708" s="35" t="s">
        <v>1298</v>
      </c>
      <c r="O1708" s="68">
        <v>2024.43</v>
      </c>
      <c r="P1708" s="70">
        <v>52355</v>
      </c>
    </row>
    <row r="1709" spans="13:16" x14ac:dyDescent="0.15">
      <c r="M1709" s="35" t="s">
        <v>1152</v>
      </c>
      <c r="N1709" s="35" t="s">
        <v>1299</v>
      </c>
      <c r="O1709" s="68">
        <v>2024.43</v>
      </c>
      <c r="P1709" s="70">
        <v>107038.32</v>
      </c>
    </row>
    <row r="1710" spans="13:16" x14ac:dyDescent="0.15">
      <c r="M1710" s="35" t="s">
        <v>1152</v>
      </c>
      <c r="N1710" s="35" t="s">
        <v>1300</v>
      </c>
      <c r="O1710" s="68">
        <v>2024.43</v>
      </c>
      <c r="P1710" s="70">
        <v>94369.86</v>
      </c>
    </row>
    <row r="1711" spans="13:16" x14ac:dyDescent="0.15">
      <c r="M1711" s="35" t="s">
        <v>256</v>
      </c>
      <c r="N1711" s="35" t="s">
        <v>1297</v>
      </c>
      <c r="O1711" s="68">
        <v>2024.43</v>
      </c>
      <c r="P1711" s="70">
        <v>411772.8</v>
      </c>
    </row>
    <row r="1712" spans="13:16" x14ac:dyDescent="0.15">
      <c r="M1712" s="35" t="s">
        <v>1147</v>
      </c>
      <c r="N1712" s="35" t="s">
        <v>280</v>
      </c>
      <c r="O1712" s="68">
        <v>2024.43</v>
      </c>
      <c r="P1712" s="70">
        <v>9920.06</v>
      </c>
    </row>
    <row r="1713" spans="13:16" x14ac:dyDescent="0.15">
      <c r="M1713" s="35" t="s">
        <v>1147</v>
      </c>
      <c r="N1713" s="35" t="s">
        <v>280</v>
      </c>
      <c r="O1713" s="68">
        <v>2024.43</v>
      </c>
      <c r="P1713" s="70">
        <v>3693.28</v>
      </c>
    </row>
    <row r="1714" spans="13:16" x14ac:dyDescent="0.15">
      <c r="M1714" s="35" t="s">
        <v>255</v>
      </c>
      <c r="N1714" s="35" t="s">
        <v>282</v>
      </c>
      <c r="O1714" s="68">
        <v>2024.43</v>
      </c>
      <c r="P1714" s="70">
        <v>2382</v>
      </c>
    </row>
    <row r="1715" spans="13:16" x14ac:dyDescent="0.15">
      <c r="M1715" s="35" t="s">
        <v>1137</v>
      </c>
      <c r="N1715" s="35" t="s">
        <v>278</v>
      </c>
      <c r="O1715" s="68">
        <v>2024.43</v>
      </c>
      <c r="P1715" s="70">
        <v>78.55</v>
      </c>
    </row>
    <row r="1716" spans="13:16" x14ac:dyDescent="0.15">
      <c r="M1716" s="35" t="s">
        <v>273</v>
      </c>
      <c r="N1716" s="35" t="s">
        <v>288</v>
      </c>
      <c r="O1716" s="68">
        <v>2024.47</v>
      </c>
      <c r="P1716" s="70">
        <v>51890.16</v>
      </c>
    </row>
    <row r="1717" spans="13:16" x14ac:dyDescent="0.15">
      <c r="M1717" s="35" t="s">
        <v>273</v>
      </c>
      <c r="N1717" s="35" t="s">
        <v>1296</v>
      </c>
      <c r="O1717" s="68">
        <v>2024.47</v>
      </c>
      <c r="P1717" s="70">
        <v>83679.33</v>
      </c>
    </row>
    <row r="1718" spans="13:16" x14ac:dyDescent="0.15">
      <c r="M1718" s="35" t="s">
        <v>273</v>
      </c>
      <c r="N1718" s="35" t="s">
        <v>280</v>
      </c>
      <c r="O1718" s="68">
        <v>2024.47</v>
      </c>
      <c r="P1718" s="70">
        <v>21856.78</v>
      </c>
    </row>
    <row r="1719" spans="13:16" x14ac:dyDescent="0.15">
      <c r="M1719" s="35" t="s">
        <v>273</v>
      </c>
      <c r="N1719" s="35" t="s">
        <v>277</v>
      </c>
      <c r="O1719" s="68">
        <v>2024.47</v>
      </c>
      <c r="P1719" s="70">
        <v>166.2</v>
      </c>
    </row>
    <row r="1720" spans="13:16" x14ac:dyDescent="0.15">
      <c r="M1720" s="35" t="s">
        <v>273</v>
      </c>
      <c r="N1720" s="35" t="s">
        <v>283</v>
      </c>
      <c r="O1720" s="68">
        <v>2024.47</v>
      </c>
      <c r="P1720" s="70">
        <v>6127.3</v>
      </c>
    </row>
    <row r="1721" spans="13:16" x14ac:dyDescent="0.15">
      <c r="M1721" s="35" t="s">
        <v>273</v>
      </c>
      <c r="N1721" s="35" t="s">
        <v>1298</v>
      </c>
      <c r="O1721" s="68">
        <v>2024.47</v>
      </c>
      <c r="P1721" s="70">
        <v>11564.6</v>
      </c>
    </row>
    <row r="1722" spans="13:16" x14ac:dyDescent="0.15">
      <c r="M1722" s="35" t="s">
        <v>307</v>
      </c>
      <c r="N1722" s="35" t="s">
        <v>280</v>
      </c>
      <c r="O1722" s="68">
        <v>2024.47</v>
      </c>
      <c r="P1722" s="70">
        <v>5932.44</v>
      </c>
    </row>
    <row r="1723" spans="13:16" x14ac:dyDescent="0.15">
      <c r="M1723" s="35" t="s">
        <v>307</v>
      </c>
      <c r="N1723" s="35" t="s">
        <v>280</v>
      </c>
      <c r="O1723" s="68">
        <v>2024.47</v>
      </c>
      <c r="P1723" s="70">
        <v>15000</v>
      </c>
    </row>
    <row r="1724" spans="13:16" x14ac:dyDescent="0.15">
      <c r="M1724" s="35" t="s">
        <v>307</v>
      </c>
      <c r="N1724" s="35" t="s">
        <v>281</v>
      </c>
      <c r="O1724" s="68">
        <v>2024.47</v>
      </c>
      <c r="P1724" s="70">
        <v>10611.33</v>
      </c>
    </row>
    <row r="1725" spans="13:16" x14ac:dyDescent="0.15">
      <c r="M1725" s="35" t="s">
        <v>307</v>
      </c>
      <c r="N1725" s="35" t="s">
        <v>1297</v>
      </c>
      <c r="O1725" s="68">
        <v>2024.47</v>
      </c>
      <c r="P1725" s="70">
        <v>20.8</v>
      </c>
    </row>
    <row r="1726" spans="13:16" x14ac:dyDescent="0.15">
      <c r="M1726" s="35" t="s">
        <v>307</v>
      </c>
      <c r="N1726" s="35" t="s">
        <v>1299</v>
      </c>
      <c r="O1726" s="68">
        <v>2024.47</v>
      </c>
      <c r="P1726" s="70">
        <v>26.23</v>
      </c>
    </row>
    <row r="1727" spans="13:16" x14ac:dyDescent="0.15">
      <c r="M1727" s="35" t="s">
        <v>309</v>
      </c>
      <c r="N1727" s="35" t="s">
        <v>280</v>
      </c>
      <c r="O1727" s="68">
        <v>2024.47</v>
      </c>
      <c r="P1727" s="70">
        <v>12758.48</v>
      </c>
    </row>
    <row r="1728" spans="13:16" x14ac:dyDescent="0.15">
      <c r="M1728" s="35" t="s">
        <v>309</v>
      </c>
      <c r="N1728" s="35" t="s">
        <v>277</v>
      </c>
      <c r="O1728" s="68">
        <v>2024.47</v>
      </c>
      <c r="P1728" s="70">
        <v>45354.13</v>
      </c>
    </row>
    <row r="1729" spans="13:16" x14ac:dyDescent="0.15">
      <c r="M1729" s="35" t="s">
        <v>274</v>
      </c>
      <c r="N1729" s="35" t="s">
        <v>274</v>
      </c>
      <c r="O1729" s="68">
        <v>2024.47</v>
      </c>
      <c r="P1729" s="70">
        <v>43875.63</v>
      </c>
    </row>
    <row r="1730" spans="13:16" x14ac:dyDescent="0.15">
      <c r="M1730" s="35" t="s">
        <v>1136</v>
      </c>
      <c r="N1730" s="35" t="s">
        <v>280</v>
      </c>
      <c r="O1730" s="68">
        <v>2024.47</v>
      </c>
      <c r="P1730" s="70">
        <v>878.88</v>
      </c>
    </row>
    <row r="1731" spans="13:16" x14ac:dyDescent="0.15">
      <c r="M1731" s="35" t="s">
        <v>1136</v>
      </c>
      <c r="N1731" s="35" t="s">
        <v>280</v>
      </c>
      <c r="O1731" s="68">
        <v>2024.47</v>
      </c>
      <c r="P1731" s="70">
        <v>18000</v>
      </c>
    </row>
    <row r="1732" spans="13:16" x14ac:dyDescent="0.15">
      <c r="M1732" s="35" t="s">
        <v>1136</v>
      </c>
      <c r="N1732" s="35" t="s">
        <v>277</v>
      </c>
      <c r="O1732" s="68">
        <v>2024.47</v>
      </c>
      <c r="P1732" s="70">
        <v>5075.3599999999997</v>
      </c>
    </row>
    <row r="1733" spans="13:16" x14ac:dyDescent="0.15">
      <c r="M1733" s="35" t="s">
        <v>1136</v>
      </c>
      <c r="N1733" s="35" t="s">
        <v>283</v>
      </c>
      <c r="O1733" s="68">
        <v>2024.47</v>
      </c>
      <c r="P1733" s="70">
        <v>10461.5</v>
      </c>
    </row>
    <row r="1734" spans="13:16" x14ac:dyDescent="0.15">
      <c r="M1734" s="35" t="s">
        <v>302</v>
      </c>
      <c r="N1734" s="35" t="s">
        <v>283</v>
      </c>
      <c r="O1734" s="68">
        <v>2024.47</v>
      </c>
      <c r="P1734" s="70">
        <v>3960</v>
      </c>
    </row>
    <row r="1735" spans="13:16" x14ac:dyDescent="0.15">
      <c r="M1735" s="35" t="s">
        <v>302</v>
      </c>
      <c r="N1735" s="35" t="s">
        <v>283</v>
      </c>
      <c r="O1735" s="68">
        <v>2024.47</v>
      </c>
      <c r="P1735" s="70">
        <v>6588</v>
      </c>
    </row>
    <row r="1736" spans="13:16" x14ac:dyDescent="0.15">
      <c r="M1736" s="35" t="s">
        <v>302</v>
      </c>
      <c r="N1736" s="35" t="s">
        <v>1298</v>
      </c>
      <c r="O1736" s="68">
        <v>2024.47</v>
      </c>
      <c r="P1736" s="70">
        <v>1985.44</v>
      </c>
    </row>
    <row r="1737" spans="13:16" x14ac:dyDescent="0.15">
      <c r="M1737" s="35" t="s">
        <v>1149</v>
      </c>
      <c r="N1737" s="35" t="s">
        <v>277</v>
      </c>
      <c r="O1737" s="68">
        <v>2024.47</v>
      </c>
      <c r="P1737" s="70">
        <v>575.74</v>
      </c>
    </row>
    <row r="1738" spans="13:16" x14ac:dyDescent="0.15">
      <c r="M1738" s="35" t="s">
        <v>1149</v>
      </c>
      <c r="N1738" s="35" t="s">
        <v>1298</v>
      </c>
      <c r="O1738" s="68">
        <v>2024.47</v>
      </c>
      <c r="P1738" s="70">
        <v>437.16</v>
      </c>
    </row>
    <row r="1739" spans="13:16" x14ac:dyDescent="0.15">
      <c r="M1739" s="35" t="s">
        <v>1149</v>
      </c>
      <c r="N1739" s="35" t="s">
        <v>1298</v>
      </c>
      <c r="O1739" s="68">
        <v>2024.47</v>
      </c>
      <c r="P1739" s="70">
        <v>10394.799999999999</v>
      </c>
    </row>
    <row r="1740" spans="13:16" x14ac:dyDescent="0.15">
      <c r="M1740" s="35" t="s">
        <v>1153</v>
      </c>
      <c r="N1740" s="35" t="s">
        <v>1297</v>
      </c>
      <c r="O1740" s="68">
        <v>2024.47</v>
      </c>
      <c r="P1740" s="70">
        <v>477996</v>
      </c>
    </row>
    <row r="1741" spans="13:16" x14ac:dyDescent="0.15">
      <c r="M1741" s="35" t="s">
        <v>1153</v>
      </c>
      <c r="N1741" s="35" t="s">
        <v>1297</v>
      </c>
      <c r="O1741" s="68">
        <v>2024.47</v>
      </c>
      <c r="P1741" s="70">
        <v>21108.92</v>
      </c>
    </row>
    <row r="1742" spans="13:16" x14ac:dyDescent="0.15">
      <c r="M1742" s="35" t="s">
        <v>1150</v>
      </c>
      <c r="N1742" s="35" t="s">
        <v>1132</v>
      </c>
      <c r="O1742" s="68">
        <v>2024.47</v>
      </c>
      <c r="P1742" s="70">
        <v>196913.58</v>
      </c>
    </row>
    <row r="1743" spans="13:16" x14ac:dyDescent="0.15">
      <c r="M1743" s="35" t="s">
        <v>1150</v>
      </c>
      <c r="N1743" s="35" t="s">
        <v>1132</v>
      </c>
      <c r="O1743" s="68">
        <v>2024.47</v>
      </c>
      <c r="P1743" s="70">
        <v>29023.5</v>
      </c>
    </row>
    <row r="1744" spans="13:16" x14ac:dyDescent="0.15">
      <c r="M1744" s="35" t="s">
        <v>1150</v>
      </c>
      <c r="N1744" s="35" t="s">
        <v>282</v>
      </c>
      <c r="O1744" s="68">
        <v>2024.47</v>
      </c>
      <c r="P1744" s="70">
        <v>25</v>
      </c>
    </row>
    <row r="1745" spans="13:16" x14ac:dyDescent="0.15">
      <c r="M1745" s="35" t="s">
        <v>1150</v>
      </c>
      <c r="N1745" s="35" t="s">
        <v>1299</v>
      </c>
      <c r="O1745" s="68">
        <v>2024.47</v>
      </c>
      <c r="P1745" s="70">
        <v>86.78</v>
      </c>
    </row>
    <row r="1746" spans="13:16" x14ac:dyDescent="0.15">
      <c r="M1746" s="35" t="s">
        <v>1138</v>
      </c>
      <c r="N1746" s="35" t="s">
        <v>1132</v>
      </c>
      <c r="O1746" s="68">
        <v>2024.47</v>
      </c>
      <c r="P1746" s="70">
        <v>7120.13</v>
      </c>
    </row>
    <row r="1747" spans="13:16" x14ac:dyDescent="0.15">
      <c r="M1747" s="35" t="s">
        <v>1138</v>
      </c>
      <c r="N1747" s="35" t="s">
        <v>1132</v>
      </c>
      <c r="O1747" s="68">
        <v>2024.47</v>
      </c>
      <c r="P1747" s="70">
        <v>3694.55</v>
      </c>
    </row>
    <row r="1748" spans="13:16" x14ac:dyDescent="0.15">
      <c r="M1748" s="35" t="s">
        <v>262</v>
      </c>
      <c r="N1748" s="35" t="s">
        <v>1297</v>
      </c>
      <c r="O1748" s="68">
        <v>2024.47</v>
      </c>
      <c r="P1748" s="70">
        <v>2.61</v>
      </c>
    </row>
    <row r="1749" spans="13:16" x14ac:dyDescent="0.15">
      <c r="M1749" s="35" t="s">
        <v>262</v>
      </c>
      <c r="N1749" s="35" t="s">
        <v>1297</v>
      </c>
      <c r="O1749" s="68">
        <v>2024.47</v>
      </c>
      <c r="P1749" s="70">
        <v>2892.57</v>
      </c>
    </row>
    <row r="1750" spans="13:16" x14ac:dyDescent="0.15">
      <c r="M1750" s="35" t="s">
        <v>262</v>
      </c>
      <c r="N1750" s="35" t="s">
        <v>283</v>
      </c>
      <c r="O1750" s="68">
        <v>2024.47</v>
      </c>
      <c r="P1750" s="70">
        <v>13501.58</v>
      </c>
    </row>
    <row r="1751" spans="13:16" x14ac:dyDescent="0.15">
      <c r="M1751" s="35" t="s">
        <v>262</v>
      </c>
      <c r="N1751" s="35" t="s">
        <v>1300</v>
      </c>
      <c r="O1751" s="68">
        <v>2024.47</v>
      </c>
      <c r="P1751" s="70">
        <v>141.6</v>
      </c>
    </row>
    <row r="1752" spans="13:16" x14ac:dyDescent="0.15">
      <c r="M1752" s="35" t="s">
        <v>275</v>
      </c>
      <c r="N1752" s="35" t="s">
        <v>1297</v>
      </c>
      <c r="O1752" s="68">
        <v>2024.47</v>
      </c>
      <c r="P1752" s="70">
        <v>7012.29</v>
      </c>
    </row>
    <row r="1753" spans="13:16" x14ac:dyDescent="0.15">
      <c r="M1753" s="35" t="s">
        <v>275</v>
      </c>
      <c r="N1753" s="35" t="s">
        <v>1297</v>
      </c>
      <c r="O1753" s="68">
        <v>2024.47</v>
      </c>
      <c r="P1753" s="70">
        <v>169.68</v>
      </c>
    </row>
    <row r="1754" spans="13:16" x14ac:dyDescent="0.15">
      <c r="M1754" s="35" t="s">
        <v>275</v>
      </c>
      <c r="N1754" s="35" t="s">
        <v>284</v>
      </c>
      <c r="O1754" s="68">
        <v>2024.47</v>
      </c>
      <c r="P1754" s="70">
        <v>4251.37</v>
      </c>
    </row>
    <row r="1755" spans="13:16" x14ac:dyDescent="0.15">
      <c r="M1755" s="35" t="s">
        <v>275</v>
      </c>
      <c r="N1755" s="35" t="s">
        <v>284</v>
      </c>
      <c r="O1755" s="68">
        <v>2024.47</v>
      </c>
      <c r="P1755" s="70">
        <v>20693.560000000001</v>
      </c>
    </row>
    <row r="1756" spans="13:16" x14ac:dyDescent="0.15">
      <c r="M1756" s="35" t="s">
        <v>275</v>
      </c>
      <c r="N1756" s="35" t="s">
        <v>1299</v>
      </c>
      <c r="O1756" s="68">
        <v>2024.47</v>
      </c>
      <c r="P1756" s="70">
        <v>93260.6</v>
      </c>
    </row>
    <row r="1757" spans="13:16" x14ac:dyDescent="0.15">
      <c r="M1757" s="35" t="s">
        <v>276</v>
      </c>
      <c r="N1757" s="35" t="s">
        <v>1297</v>
      </c>
      <c r="O1757" s="68">
        <v>2024.47</v>
      </c>
      <c r="P1757" s="70">
        <v>848.98</v>
      </c>
    </row>
    <row r="1758" spans="13:16" x14ac:dyDescent="0.15">
      <c r="M1758" s="35" t="s">
        <v>276</v>
      </c>
      <c r="N1758" s="35" t="s">
        <v>1297</v>
      </c>
      <c r="O1758" s="68">
        <v>2024.47</v>
      </c>
      <c r="P1758" s="70">
        <v>32123.3</v>
      </c>
    </row>
    <row r="1759" spans="13:16" x14ac:dyDescent="0.15">
      <c r="M1759" s="35" t="s">
        <v>276</v>
      </c>
      <c r="N1759" s="35" t="s">
        <v>282</v>
      </c>
      <c r="O1759" s="68">
        <v>2024.47</v>
      </c>
      <c r="P1759" s="70">
        <v>13150.5</v>
      </c>
    </row>
    <row r="1760" spans="13:16" x14ac:dyDescent="0.15">
      <c r="M1760" s="35" t="s">
        <v>276</v>
      </c>
      <c r="N1760" s="35" t="s">
        <v>282</v>
      </c>
      <c r="O1760" s="68">
        <v>2024.47</v>
      </c>
      <c r="P1760" s="70">
        <v>78300</v>
      </c>
    </row>
    <row r="1761" spans="13:16" x14ac:dyDescent="0.15">
      <c r="M1761" s="35" t="s">
        <v>276</v>
      </c>
      <c r="N1761" s="35" t="s">
        <v>282</v>
      </c>
      <c r="O1761" s="68">
        <v>2024.47</v>
      </c>
      <c r="P1761" s="70">
        <v>305558.5</v>
      </c>
    </row>
    <row r="1762" spans="13:16" x14ac:dyDescent="0.15">
      <c r="M1762" s="35" t="s">
        <v>276</v>
      </c>
      <c r="N1762" s="35" t="s">
        <v>1299</v>
      </c>
      <c r="O1762" s="68">
        <v>2024.47</v>
      </c>
      <c r="P1762" s="70">
        <v>35150</v>
      </c>
    </row>
    <row r="1763" spans="13:16" x14ac:dyDescent="0.15">
      <c r="M1763" s="35" t="s">
        <v>276</v>
      </c>
      <c r="N1763" s="35" t="s">
        <v>1300</v>
      </c>
      <c r="O1763" s="68">
        <v>2024.47</v>
      </c>
      <c r="P1763" s="70">
        <v>201.29</v>
      </c>
    </row>
    <row r="1764" spans="13:16" x14ac:dyDescent="0.15">
      <c r="M1764" s="35" t="s">
        <v>1146</v>
      </c>
      <c r="N1764" s="35" t="s">
        <v>1297</v>
      </c>
      <c r="O1764" s="68">
        <v>2024.47</v>
      </c>
      <c r="P1764" s="70">
        <v>31.88</v>
      </c>
    </row>
    <row r="1765" spans="13:16" x14ac:dyDescent="0.15">
      <c r="M1765" s="35" t="s">
        <v>1146</v>
      </c>
      <c r="N1765" s="35" t="s">
        <v>1297</v>
      </c>
      <c r="O1765" s="68">
        <v>2024.47</v>
      </c>
      <c r="P1765" s="70">
        <v>206.5</v>
      </c>
    </row>
    <row r="1766" spans="13:16" x14ac:dyDescent="0.15">
      <c r="M1766" s="35" t="s">
        <v>1146</v>
      </c>
      <c r="N1766" s="35" t="s">
        <v>1297</v>
      </c>
      <c r="O1766" s="68">
        <v>2024.47</v>
      </c>
      <c r="P1766" s="70">
        <v>118000</v>
      </c>
    </row>
    <row r="1767" spans="13:16" x14ac:dyDescent="0.15">
      <c r="M1767" s="35" t="s">
        <v>1146</v>
      </c>
      <c r="N1767" s="35" t="s">
        <v>1297</v>
      </c>
      <c r="O1767" s="68">
        <v>2024.47</v>
      </c>
      <c r="P1767" s="70">
        <v>3967.11</v>
      </c>
    </row>
    <row r="1768" spans="13:16" x14ac:dyDescent="0.15">
      <c r="M1768" s="35" t="s">
        <v>1146</v>
      </c>
      <c r="N1768" s="35" t="s">
        <v>283</v>
      </c>
      <c r="O1768" s="68">
        <v>2024.47</v>
      </c>
      <c r="P1768" s="70">
        <v>19169.099999999999</v>
      </c>
    </row>
    <row r="1769" spans="13:16" x14ac:dyDescent="0.15">
      <c r="M1769" s="35" t="s">
        <v>1146</v>
      </c>
      <c r="N1769" s="35" t="s">
        <v>283</v>
      </c>
      <c r="O1769" s="68">
        <v>2024.47</v>
      </c>
      <c r="P1769" s="70">
        <v>24898</v>
      </c>
    </row>
    <row r="1770" spans="13:16" x14ac:dyDescent="0.15">
      <c r="M1770" s="35" t="s">
        <v>1146</v>
      </c>
      <c r="N1770" s="35" t="s">
        <v>1298</v>
      </c>
      <c r="O1770" s="68">
        <v>2024.47</v>
      </c>
      <c r="P1770" s="70">
        <v>10185.83</v>
      </c>
    </row>
    <row r="1771" spans="13:16" x14ac:dyDescent="0.15">
      <c r="M1771" s="35" t="s">
        <v>1146</v>
      </c>
      <c r="N1771" s="35" t="s">
        <v>1298</v>
      </c>
      <c r="O1771" s="68">
        <v>2024.47</v>
      </c>
      <c r="P1771" s="70">
        <v>107160.55</v>
      </c>
    </row>
    <row r="1772" spans="13:16" x14ac:dyDescent="0.15">
      <c r="M1772" s="35" t="s">
        <v>1146</v>
      </c>
      <c r="N1772" s="35" t="s">
        <v>282</v>
      </c>
      <c r="O1772" s="68">
        <v>2024.47</v>
      </c>
      <c r="P1772" s="70">
        <v>208.33</v>
      </c>
    </row>
    <row r="1773" spans="13:16" x14ac:dyDescent="0.15">
      <c r="M1773" s="35" t="s">
        <v>1146</v>
      </c>
      <c r="N1773" s="35" t="s">
        <v>1299</v>
      </c>
      <c r="O1773" s="68">
        <v>2024.47</v>
      </c>
      <c r="P1773" s="70">
        <v>80179.12</v>
      </c>
    </row>
    <row r="1774" spans="13:16" x14ac:dyDescent="0.15">
      <c r="M1774" s="35" t="s">
        <v>1146</v>
      </c>
      <c r="N1774" s="35" t="s">
        <v>1300</v>
      </c>
      <c r="O1774" s="68">
        <v>2024.47</v>
      </c>
      <c r="P1774" s="70">
        <v>2623.69</v>
      </c>
    </row>
    <row r="1775" spans="13:16" x14ac:dyDescent="0.15">
      <c r="M1775" s="35" t="s">
        <v>1151</v>
      </c>
      <c r="N1775" s="35" t="s">
        <v>282</v>
      </c>
      <c r="O1775" s="68">
        <v>2024.47</v>
      </c>
      <c r="P1775" s="70">
        <v>24476.25</v>
      </c>
    </row>
    <row r="1776" spans="13:16" x14ac:dyDescent="0.15">
      <c r="M1776" s="35" t="s">
        <v>1151</v>
      </c>
      <c r="N1776" s="35" t="s">
        <v>282</v>
      </c>
      <c r="O1776" s="68">
        <v>2024.47</v>
      </c>
      <c r="P1776" s="70">
        <v>483691.8</v>
      </c>
    </row>
    <row r="1777" spans="13:16" x14ac:dyDescent="0.15">
      <c r="M1777" s="35" t="s">
        <v>1151</v>
      </c>
      <c r="N1777" s="35" t="s">
        <v>283</v>
      </c>
      <c r="O1777" s="68">
        <v>2024.47</v>
      </c>
      <c r="P1777" s="70">
        <v>3819.28</v>
      </c>
    </row>
    <row r="1778" spans="13:16" x14ac:dyDescent="0.15">
      <c r="M1778" s="35" t="s">
        <v>1151</v>
      </c>
      <c r="N1778" s="35" t="s">
        <v>278</v>
      </c>
      <c r="O1778" s="68">
        <v>2024.47</v>
      </c>
      <c r="P1778" s="70">
        <v>10383.719999999999</v>
      </c>
    </row>
    <row r="1779" spans="13:16" x14ac:dyDescent="0.15">
      <c r="M1779" s="35" t="s">
        <v>1151</v>
      </c>
      <c r="N1779" s="35" t="s">
        <v>1297</v>
      </c>
      <c r="O1779" s="68">
        <v>2024.47</v>
      </c>
      <c r="P1779" s="70">
        <v>123185.24</v>
      </c>
    </row>
    <row r="1780" spans="13:16" x14ac:dyDescent="0.15">
      <c r="M1780" s="35" t="s">
        <v>1151</v>
      </c>
      <c r="N1780" s="35" t="s">
        <v>1299</v>
      </c>
      <c r="O1780" s="68">
        <v>2024.47</v>
      </c>
      <c r="P1780" s="70">
        <v>48.56</v>
      </c>
    </row>
    <row r="1781" spans="13:16" x14ac:dyDescent="0.15">
      <c r="M1781" s="35" t="s">
        <v>1151</v>
      </c>
      <c r="N1781" s="35" t="s">
        <v>1300</v>
      </c>
      <c r="O1781" s="68">
        <v>2024.47</v>
      </c>
      <c r="P1781" s="70">
        <v>809.14</v>
      </c>
    </row>
    <row r="1782" spans="13:16" x14ac:dyDescent="0.15">
      <c r="M1782" s="35" t="s">
        <v>1152</v>
      </c>
      <c r="N1782" s="35" t="s">
        <v>1297</v>
      </c>
      <c r="O1782" s="68">
        <v>2024.47</v>
      </c>
      <c r="P1782" s="70">
        <v>88</v>
      </c>
    </row>
    <row r="1783" spans="13:16" x14ac:dyDescent="0.15">
      <c r="M1783" s="35" t="s">
        <v>1152</v>
      </c>
      <c r="N1783" s="35" t="s">
        <v>1297</v>
      </c>
      <c r="O1783" s="68">
        <v>2024.47</v>
      </c>
      <c r="P1783" s="70">
        <v>667.84</v>
      </c>
    </row>
    <row r="1784" spans="13:16" x14ac:dyDescent="0.15">
      <c r="M1784" s="35" t="s">
        <v>1152</v>
      </c>
      <c r="N1784" s="35" t="s">
        <v>1297</v>
      </c>
      <c r="O1784" s="68">
        <v>2024.47</v>
      </c>
      <c r="P1784" s="70">
        <v>8436.32</v>
      </c>
    </row>
    <row r="1785" spans="13:16" x14ac:dyDescent="0.15">
      <c r="M1785" s="35" t="s">
        <v>1152</v>
      </c>
      <c r="N1785" s="35" t="s">
        <v>282</v>
      </c>
      <c r="O1785" s="68">
        <v>2024.47</v>
      </c>
      <c r="P1785" s="70">
        <v>5459</v>
      </c>
    </row>
    <row r="1786" spans="13:16" x14ac:dyDescent="0.15">
      <c r="M1786" s="35" t="s">
        <v>1152</v>
      </c>
      <c r="N1786" s="35" t="s">
        <v>1298</v>
      </c>
      <c r="O1786" s="68">
        <v>2024.47</v>
      </c>
      <c r="P1786" s="70">
        <v>1566.49</v>
      </c>
    </row>
    <row r="1787" spans="13:16" x14ac:dyDescent="0.15">
      <c r="M1787" s="35" t="s">
        <v>1152</v>
      </c>
      <c r="N1787" s="35" t="s">
        <v>1298</v>
      </c>
      <c r="O1787" s="68">
        <v>2024.47</v>
      </c>
      <c r="P1787" s="70">
        <v>52355</v>
      </c>
    </row>
    <row r="1788" spans="13:16" x14ac:dyDescent="0.15">
      <c r="M1788" s="35" t="s">
        <v>1152</v>
      </c>
      <c r="N1788" s="35" t="s">
        <v>1299</v>
      </c>
      <c r="O1788" s="68">
        <v>2024.47</v>
      </c>
      <c r="P1788" s="70">
        <v>107690.37</v>
      </c>
    </row>
    <row r="1789" spans="13:16" x14ac:dyDescent="0.15">
      <c r="M1789" s="35" t="s">
        <v>1152</v>
      </c>
      <c r="N1789" s="35" t="s">
        <v>1300</v>
      </c>
      <c r="O1789" s="68">
        <v>2024.47</v>
      </c>
      <c r="P1789" s="70">
        <v>96834.19</v>
      </c>
    </row>
    <row r="1790" spans="13:16" x14ac:dyDescent="0.15">
      <c r="M1790" s="35" t="s">
        <v>256</v>
      </c>
      <c r="N1790" s="35" t="s">
        <v>1297</v>
      </c>
      <c r="O1790" s="68">
        <v>2024.47</v>
      </c>
      <c r="P1790" s="70">
        <v>420612.8</v>
      </c>
    </row>
    <row r="1791" spans="13:16" x14ac:dyDescent="0.15">
      <c r="M1791" s="35" t="s">
        <v>1147</v>
      </c>
      <c r="N1791" s="35" t="s">
        <v>280</v>
      </c>
      <c r="O1791" s="68">
        <v>2024.47</v>
      </c>
      <c r="P1791" s="70">
        <v>9920.6</v>
      </c>
    </row>
    <row r="1792" spans="13:16" x14ac:dyDescent="0.15">
      <c r="M1792" s="35" t="s">
        <v>1147</v>
      </c>
      <c r="N1792" s="35" t="s">
        <v>280</v>
      </c>
      <c r="O1792" s="68">
        <v>2024.47</v>
      </c>
      <c r="P1792" s="70">
        <v>3693.28</v>
      </c>
    </row>
    <row r="1793" spans="13:16" x14ac:dyDescent="0.15">
      <c r="M1793" s="35" t="s">
        <v>255</v>
      </c>
      <c r="N1793" s="35" t="s">
        <v>282</v>
      </c>
      <c r="O1793" s="68">
        <v>2024.47</v>
      </c>
      <c r="P1793" s="70">
        <v>2382</v>
      </c>
    </row>
    <row r="1794" spans="13:16" x14ac:dyDescent="0.15">
      <c r="M1794" s="35" t="s">
        <v>255</v>
      </c>
      <c r="N1794" s="35" t="s">
        <v>283</v>
      </c>
      <c r="O1794" s="68">
        <v>2024.47</v>
      </c>
      <c r="P1794" s="70">
        <v>1097.5999999999999</v>
      </c>
    </row>
    <row r="1795" spans="13:16" x14ac:dyDescent="0.15">
      <c r="M1795" s="35" t="s">
        <v>1137</v>
      </c>
      <c r="N1795" s="35" t="s">
        <v>283</v>
      </c>
      <c r="O1795" s="68">
        <v>2024.47</v>
      </c>
      <c r="P1795" s="70">
        <v>686</v>
      </c>
    </row>
    <row r="1796" spans="13:16" x14ac:dyDescent="0.15">
      <c r="M1796" s="35" t="s">
        <v>1137</v>
      </c>
      <c r="N1796" s="35" t="s">
        <v>278</v>
      </c>
      <c r="O1796" s="68">
        <v>2024.47</v>
      </c>
      <c r="P1796" s="70">
        <v>78.55</v>
      </c>
    </row>
    <row r="1797" spans="13:16" x14ac:dyDescent="0.15">
      <c r="M1797" s="35" t="s">
        <v>273</v>
      </c>
      <c r="N1797" s="35" t="s">
        <v>288</v>
      </c>
      <c r="O1797" s="68">
        <v>2024.45</v>
      </c>
      <c r="P1797" s="70">
        <v>51890.16</v>
      </c>
    </row>
    <row r="1798" spans="13:16" x14ac:dyDescent="0.15">
      <c r="M1798" s="35" t="s">
        <v>273</v>
      </c>
      <c r="N1798" s="35" t="s">
        <v>1296</v>
      </c>
      <c r="O1798" s="68">
        <v>2024.45</v>
      </c>
      <c r="P1798" s="70">
        <v>79688.83</v>
      </c>
    </row>
    <row r="1799" spans="13:16" x14ac:dyDescent="0.15">
      <c r="M1799" s="35" t="s">
        <v>273</v>
      </c>
      <c r="N1799" s="35" t="s">
        <v>280</v>
      </c>
      <c r="O1799" s="68">
        <v>2024.45</v>
      </c>
      <c r="P1799" s="70">
        <v>21856.78</v>
      </c>
    </row>
    <row r="1800" spans="13:16" x14ac:dyDescent="0.15">
      <c r="M1800" s="35" t="s">
        <v>273</v>
      </c>
      <c r="N1800" s="35" t="s">
        <v>277</v>
      </c>
      <c r="O1800" s="68">
        <v>2024.45</v>
      </c>
      <c r="P1800" s="70">
        <v>166.2</v>
      </c>
    </row>
    <row r="1801" spans="13:16" x14ac:dyDescent="0.15">
      <c r="M1801" s="35" t="s">
        <v>273</v>
      </c>
      <c r="N1801" s="35" t="s">
        <v>283</v>
      </c>
      <c r="O1801" s="68">
        <v>2024.45</v>
      </c>
      <c r="P1801" s="70">
        <v>6127.3</v>
      </c>
    </row>
    <row r="1802" spans="13:16" x14ac:dyDescent="0.15">
      <c r="M1802" s="35" t="s">
        <v>273</v>
      </c>
      <c r="N1802" s="35" t="s">
        <v>1298</v>
      </c>
      <c r="O1802" s="68">
        <v>2024.45</v>
      </c>
      <c r="P1802" s="70">
        <v>10580.45</v>
      </c>
    </row>
    <row r="1803" spans="13:16" x14ac:dyDescent="0.15">
      <c r="M1803" s="35" t="s">
        <v>307</v>
      </c>
      <c r="N1803" s="35" t="s">
        <v>280</v>
      </c>
      <c r="O1803" s="68">
        <v>2024.45</v>
      </c>
      <c r="P1803" s="70">
        <v>4687.3599999999997</v>
      </c>
    </row>
    <row r="1804" spans="13:16" x14ac:dyDescent="0.15">
      <c r="M1804" s="35" t="s">
        <v>307</v>
      </c>
      <c r="N1804" s="35" t="s">
        <v>280</v>
      </c>
      <c r="O1804" s="68">
        <v>2024.45</v>
      </c>
      <c r="P1804" s="70">
        <v>15000</v>
      </c>
    </row>
    <row r="1805" spans="13:16" x14ac:dyDescent="0.15">
      <c r="M1805" s="35" t="s">
        <v>307</v>
      </c>
      <c r="N1805" s="35" t="s">
        <v>281</v>
      </c>
      <c r="O1805" s="68">
        <v>2024.45</v>
      </c>
      <c r="P1805" s="70">
        <v>10611.33</v>
      </c>
    </row>
    <row r="1806" spans="13:16" x14ac:dyDescent="0.15">
      <c r="M1806" s="35" t="s">
        <v>307</v>
      </c>
      <c r="N1806" s="35" t="s">
        <v>1297</v>
      </c>
      <c r="O1806" s="68">
        <v>2024.45</v>
      </c>
      <c r="P1806" s="70">
        <v>20.8</v>
      </c>
    </row>
    <row r="1807" spans="13:16" x14ac:dyDescent="0.15">
      <c r="M1807" s="35" t="s">
        <v>307</v>
      </c>
      <c r="N1807" s="35" t="s">
        <v>1299</v>
      </c>
      <c r="O1807" s="68">
        <v>2024.45</v>
      </c>
      <c r="P1807" s="70">
        <v>26.23</v>
      </c>
    </row>
    <row r="1808" spans="13:16" x14ac:dyDescent="0.15">
      <c r="M1808" s="35" t="s">
        <v>309</v>
      </c>
      <c r="N1808" s="35" t="s">
        <v>280</v>
      </c>
      <c r="O1808" s="68">
        <v>2024.45</v>
      </c>
      <c r="P1808" s="70">
        <v>12758.48</v>
      </c>
    </row>
    <row r="1809" spans="13:16" x14ac:dyDescent="0.15">
      <c r="M1809" s="35" t="s">
        <v>309</v>
      </c>
      <c r="N1809" s="35" t="s">
        <v>277</v>
      </c>
      <c r="O1809" s="68">
        <v>2024.45</v>
      </c>
      <c r="P1809" s="70">
        <v>41102.53</v>
      </c>
    </row>
    <row r="1810" spans="13:16" x14ac:dyDescent="0.15">
      <c r="M1810" s="35" t="s">
        <v>274</v>
      </c>
      <c r="N1810" s="35" t="s">
        <v>274</v>
      </c>
      <c r="O1810" s="68">
        <v>2024.45</v>
      </c>
      <c r="P1810" s="70">
        <v>43875.63</v>
      </c>
    </row>
    <row r="1811" spans="13:16" x14ac:dyDescent="0.15">
      <c r="M1811" s="35" t="s">
        <v>1136</v>
      </c>
      <c r="N1811" s="35" t="s">
        <v>280</v>
      </c>
      <c r="O1811" s="68">
        <v>2024.45</v>
      </c>
      <c r="P1811" s="70">
        <v>878.88</v>
      </c>
    </row>
    <row r="1812" spans="13:16" x14ac:dyDescent="0.15">
      <c r="M1812" s="35" t="s">
        <v>1136</v>
      </c>
      <c r="N1812" s="35" t="s">
        <v>280</v>
      </c>
      <c r="O1812" s="68">
        <v>2024.45</v>
      </c>
      <c r="P1812" s="70">
        <v>18000</v>
      </c>
    </row>
    <row r="1813" spans="13:16" x14ac:dyDescent="0.15">
      <c r="M1813" s="35" t="s">
        <v>1136</v>
      </c>
      <c r="N1813" s="35" t="s">
        <v>277</v>
      </c>
      <c r="O1813" s="68">
        <v>2024.45</v>
      </c>
      <c r="P1813" s="70">
        <v>5075.3599999999997</v>
      </c>
    </row>
    <row r="1814" spans="13:16" x14ac:dyDescent="0.15">
      <c r="M1814" s="35" t="s">
        <v>1136</v>
      </c>
      <c r="N1814" s="35" t="s">
        <v>283</v>
      </c>
      <c r="O1814" s="68">
        <v>2024.45</v>
      </c>
      <c r="P1814" s="70">
        <v>10461.5</v>
      </c>
    </row>
    <row r="1815" spans="13:16" x14ac:dyDescent="0.15">
      <c r="M1815" s="35" t="s">
        <v>302</v>
      </c>
      <c r="N1815" s="35" t="s">
        <v>283</v>
      </c>
      <c r="O1815" s="68">
        <v>2024.45</v>
      </c>
      <c r="P1815" s="70">
        <v>3960</v>
      </c>
    </row>
    <row r="1816" spans="13:16" x14ac:dyDescent="0.15">
      <c r="M1816" s="35" t="s">
        <v>302</v>
      </c>
      <c r="N1816" s="35" t="s">
        <v>283</v>
      </c>
      <c r="O1816" s="68">
        <v>2024.45</v>
      </c>
      <c r="P1816" s="70">
        <v>6588</v>
      </c>
    </row>
    <row r="1817" spans="13:16" x14ac:dyDescent="0.15">
      <c r="M1817" s="35" t="s">
        <v>302</v>
      </c>
      <c r="N1817" s="35" t="s">
        <v>1298</v>
      </c>
      <c r="O1817" s="68">
        <v>2024.45</v>
      </c>
      <c r="P1817" s="70">
        <v>1985.44</v>
      </c>
    </row>
    <row r="1818" spans="13:16" x14ac:dyDescent="0.15">
      <c r="M1818" s="35" t="s">
        <v>1149</v>
      </c>
      <c r="N1818" s="35" t="s">
        <v>277</v>
      </c>
      <c r="O1818" s="68">
        <v>2024.45</v>
      </c>
      <c r="P1818" s="70">
        <v>575.74</v>
      </c>
    </row>
    <row r="1819" spans="13:16" x14ac:dyDescent="0.15">
      <c r="M1819" s="35" t="s">
        <v>1149</v>
      </c>
      <c r="N1819" s="35" t="s">
        <v>1298</v>
      </c>
      <c r="O1819" s="68">
        <v>2024.45</v>
      </c>
      <c r="P1819" s="70">
        <v>437.16</v>
      </c>
    </row>
    <row r="1820" spans="13:16" x14ac:dyDescent="0.15">
      <c r="M1820" s="35" t="s">
        <v>1149</v>
      </c>
      <c r="N1820" s="35" t="s">
        <v>1298</v>
      </c>
      <c r="O1820" s="68">
        <v>2024.45</v>
      </c>
      <c r="P1820" s="70">
        <v>10394.799999999999</v>
      </c>
    </row>
    <row r="1821" spans="13:16" x14ac:dyDescent="0.15">
      <c r="M1821" s="35" t="s">
        <v>1153</v>
      </c>
      <c r="N1821" s="35" t="s">
        <v>1297</v>
      </c>
      <c r="O1821" s="68">
        <v>2024.45</v>
      </c>
      <c r="P1821" s="70">
        <v>477996</v>
      </c>
    </row>
    <row r="1822" spans="13:16" x14ac:dyDescent="0.15">
      <c r="M1822" s="35" t="s">
        <v>1153</v>
      </c>
      <c r="N1822" s="35" t="s">
        <v>1297</v>
      </c>
      <c r="O1822" s="68">
        <v>2024.45</v>
      </c>
      <c r="P1822" s="70">
        <v>21106.32</v>
      </c>
    </row>
    <row r="1823" spans="13:16" x14ac:dyDescent="0.15">
      <c r="M1823" s="35" t="s">
        <v>1150</v>
      </c>
      <c r="N1823" s="35" t="s">
        <v>1132</v>
      </c>
      <c r="O1823" s="68">
        <v>2024.45</v>
      </c>
      <c r="P1823" s="70">
        <v>196913.58</v>
      </c>
    </row>
    <row r="1824" spans="13:16" x14ac:dyDescent="0.15">
      <c r="M1824" s="35" t="s">
        <v>1150</v>
      </c>
      <c r="N1824" s="35" t="s">
        <v>1132</v>
      </c>
      <c r="O1824" s="68">
        <v>2024.45</v>
      </c>
      <c r="P1824" s="70">
        <v>29023.5</v>
      </c>
    </row>
    <row r="1825" spans="13:16" x14ac:dyDescent="0.15">
      <c r="M1825" s="35" t="s">
        <v>1150</v>
      </c>
      <c r="N1825" s="35" t="s">
        <v>282</v>
      </c>
      <c r="O1825" s="68">
        <v>2024.45</v>
      </c>
      <c r="P1825" s="70">
        <v>25</v>
      </c>
    </row>
    <row r="1826" spans="13:16" x14ac:dyDescent="0.15">
      <c r="M1826" s="35" t="s">
        <v>1150</v>
      </c>
      <c r="N1826" s="35" t="s">
        <v>1299</v>
      </c>
      <c r="O1826" s="68">
        <v>2024.45</v>
      </c>
      <c r="P1826" s="70">
        <v>86.78</v>
      </c>
    </row>
    <row r="1827" spans="13:16" x14ac:dyDescent="0.15">
      <c r="M1827" s="35" t="s">
        <v>1138</v>
      </c>
      <c r="N1827" s="35" t="s">
        <v>1132</v>
      </c>
      <c r="O1827" s="68">
        <v>2024.45</v>
      </c>
      <c r="P1827" s="70">
        <v>7120.13</v>
      </c>
    </row>
    <row r="1828" spans="13:16" x14ac:dyDescent="0.15">
      <c r="M1828" s="35" t="s">
        <v>1138</v>
      </c>
      <c r="N1828" s="35" t="s">
        <v>1132</v>
      </c>
      <c r="O1828" s="68">
        <v>2024.45</v>
      </c>
      <c r="P1828" s="70">
        <v>3694.55</v>
      </c>
    </row>
    <row r="1829" spans="13:16" x14ac:dyDescent="0.15">
      <c r="M1829" s="35" t="s">
        <v>262</v>
      </c>
      <c r="N1829" s="35" t="s">
        <v>1297</v>
      </c>
      <c r="O1829" s="68">
        <v>2024.45</v>
      </c>
      <c r="P1829" s="70">
        <v>2.61</v>
      </c>
    </row>
    <row r="1830" spans="13:16" x14ac:dyDescent="0.15">
      <c r="M1830" s="35" t="s">
        <v>262</v>
      </c>
      <c r="N1830" s="35" t="s">
        <v>1297</v>
      </c>
      <c r="O1830" s="68">
        <v>2024.45</v>
      </c>
      <c r="P1830" s="70">
        <v>2892.57</v>
      </c>
    </row>
    <row r="1831" spans="13:16" x14ac:dyDescent="0.15">
      <c r="M1831" s="35" t="s">
        <v>262</v>
      </c>
      <c r="N1831" s="35" t="s">
        <v>283</v>
      </c>
      <c r="O1831" s="68">
        <v>2024.45</v>
      </c>
      <c r="P1831" s="70">
        <v>13501.58</v>
      </c>
    </row>
    <row r="1832" spans="13:16" x14ac:dyDescent="0.15">
      <c r="M1832" s="35" t="s">
        <v>262</v>
      </c>
      <c r="N1832" s="35" t="s">
        <v>1300</v>
      </c>
      <c r="O1832" s="68">
        <v>2024.45</v>
      </c>
      <c r="P1832" s="70">
        <v>141.6</v>
      </c>
    </row>
    <row r="1833" spans="13:16" x14ac:dyDescent="0.15">
      <c r="M1833" s="35" t="s">
        <v>275</v>
      </c>
      <c r="N1833" s="35" t="s">
        <v>1297</v>
      </c>
      <c r="O1833" s="68">
        <v>2024.45</v>
      </c>
      <c r="P1833" s="70">
        <v>7012.29</v>
      </c>
    </row>
    <row r="1834" spans="13:16" x14ac:dyDescent="0.15">
      <c r="M1834" s="35" t="s">
        <v>275</v>
      </c>
      <c r="N1834" s="35" t="s">
        <v>1297</v>
      </c>
      <c r="O1834" s="68">
        <v>2024.45</v>
      </c>
      <c r="P1834" s="70">
        <v>128.52000000000001</v>
      </c>
    </row>
    <row r="1835" spans="13:16" x14ac:dyDescent="0.15">
      <c r="M1835" s="35" t="s">
        <v>275</v>
      </c>
      <c r="N1835" s="35" t="s">
        <v>284</v>
      </c>
      <c r="O1835" s="68">
        <v>2024.45</v>
      </c>
      <c r="P1835" s="70">
        <v>3668.49</v>
      </c>
    </row>
    <row r="1836" spans="13:16" x14ac:dyDescent="0.15">
      <c r="M1836" s="35" t="s">
        <v>275</v>
      </c>
      <c r="N1836" s="35" t="s">
        <v>284</v>
      </c>
      <c r="O1836" s="68">
        <v>2024.45</v>
      </c>
      <c r="P1836" s="70">
        <v>20693.560000000001</v>
      </c>
    </row>
    <row r="1837" spans="13:16" x14ac:dyDescent="0.15">
      <c r="M1837" s="35" t="s">
        <v>275</v>
      </c>
      <c r="N1837" s="35" t="s">
        <v>1299</v>
      </c>
      <c r="O1837" s="68">
        <v>2024.45</v>
      </c>
      <c r="P1837" s="70">
        <v>93260.06</v>
      </c>
    </row>
    <row r="1838" spans="13:16" x14ac:dyDescent="0.15">
      <c r="M1838" s="35" t="s">
        <v>276</v>
      </c>
      <c r="N1838" s="35" t="s">
        <v>1297</v>
      </c>
      <c r="O1838" s="68">
        <v>2024.45</v>
      </c>
      <c r="P1838" s="70">
        <v>848.98</v>
      </c>
    </row>
    <row r="1839" spans="13:16" x14ac:dyDescent="0.15">
      <c r="M1839" s="35" t="s">
        <v>276</v>
      </c>
      <c r="N1839" s="35" t="s">
        <v>1297</v>
      </c>
      <c r="O1839" s="68">
        <v>2024.45</v>
      </c>
      <c r="P1839" s="70">
        <v>30165.41</v>
      </c>
    </row>
    <row r="1840" spans="13:16" x14ac:dyDescent="0.15">
      <c r="M1840" s="35" t="s">
        <v>276</v>
      </c>
      <c r="N1840" s="35" t="s">
        <v>282</v>
      </c>
      <c r="O1840" s="68">
        <v>2024.45</v>
      </c>
      <c r="P1840" s="70">
        <v>13150.5</v>
      </c>
    </row>
    <row r="1841" spans="13:16" x14ac:dyDescent="0.15">
      <c r="M1841" s="35" t="s">
        <v>276</v>
      </c>
      <c r="N1841" s="35" t="s">
        <v>282</v>
      </c>
      <c r="O1841" s="68">
        <v>2024.45</v>
      </c>
      <c r="P1841" s="70">
        <v>78300</v>
      </c>
    </row>
    <row r="1842" spans="13:16" x14ac:dyDescent="0.15">
      <c r="M1842" s="35" t="s">
        <v>276</v>
      </c>
      <c r="N1842" s="35" t="s">
        <v>282</v>
      </c>
      <c r="O1842" s="68">
        <v>2024.45</v>
      </c>
      <c r="P1842" s="70">
        <v>280974.05</v>
      </c>
    </row>
    <row r="1843" spans="13:16" x14ac:dyDescent="0.15">
      <c r="M1843" s="35" t="s">
        <v>276</v>
      </c>
      <c r="N1843" s="35" t="s">
        <v>1299</v>
      </c>
      <c r="O1843" s="68">
        <v>2024.45</v>
      </c>
      <c r="P1843" s="70">
        <v>32208</v>
      </c>
    </row>
    <row r="1844" spans="13:16" x14ac:dyDescent="0.15">
      <c r="M1844" s="35" t="s">
        <v>276</v>
      </c>
      <c r="N1844" s="35" t="s">
        <v>1300</v>
      </c>
      <c r="O1844" s="68">
        <v>2024.45</v>
      </c>
      <c r="P1844" s="70">
        <v>201.29</v>
      </c>
    </row>
    <row r="1845" spans="13:16" x14ac:dyDescent="0.15">
      <c r="M1845" s="35" t="s">
        <v>1146</v>
      </c>
      <c r="N1845" s="35" t="s">
        <v>1297</v>
      </c>
      <c r="O1845" s="68">
        <v>2024.45</v>
      </c>
      <c r="P1845" s="70">
        <v>31.88</v>
      </c>
    </row>
    <row r="1846" spans="13:16" x14ac:dyDescent="0.15">
      <c r="M1846" s="35" t="s">
        <v>1146</v>
      </c>
      <c r="N1846" s="35" t="s">
        <v>1297</v>
      </c>
      <c r="O1846" s="68">
        <v>2024.45</v>
      </c>
      <c r="P1846" s="70">
        <v>206.05</v>
      </c>
    </row>
    <row r="1847" spans="13:16" x14ac:dyDescent="0.15">
      <c r="M1847" s="35" t="s">
        <v>1146</v>
      </c>
      <c r="N1847" s="35" t="s">
        <v>1297</v>
      </c>
      <c r="O1847" s="68">
        <v>2024.45</v>
      </c>
      <c r="P1847" s="70">
        <v>118000</v>
      </c>
    </row>
    <row r="1848" spans="13:16" x14ac:dyDescent="0.15">
      <c r="M1848" s="35" t="s">
        <v>1146</v>
      </c>
      <c r="N1848" s="35" t="s">
        <v>1297</v>
      </c>
      <c r="O1848" s="68">
        <v>2024.45</v>
      </c>
      <c r="P1848" s="70">
        <v>2593.1999999999998</v>
      </c>
    </row>
    <row r="1849" spans="13:16" x14ac:dyDescent="0.15">
      <c r="M1849" s="35" t="s">
        <v>1146</v>
      </c>
      <c r="N1849" s="35" t="s">
        <v>283</v>
      </c>
      <c r="O1849" s="68">
        <v>2024.45</v>
      </c>
      <c r="P1849" s="70">
        <v>14504.21</v>
      </c>
    </row>
    <row r="1850" spans="13:16" x14ac:dyDescent="0.15">
      <c r="M1850" s="35" t="s">
        <v>1146</v>
      </c>
      <c r="N1850" s="35" t="s">
        <v>283</v>
      </c>
      <c r="O1850" s="68">
        <v>2024.45</v>
      </c>
      <c r="P1850" s="70">
        <v>17820</v>
      </c>
    </row>
    <row r="1851" spans="13:16" x14ac:dyDescent="0.15">
      <c r="M1851" s="35" t="s">
        <v>1146</v>
      </c>
      <c r="N1851" s="35" t="s">
        <v>1298</v>
      </c>
      <c r="O1851" s="68">
        <v>2024.45</v>
      </c>
      <c r="P1851" s="70">
        <v>9894.39</v>
      </c>
    </row>
    <row r="1852" spans="13:16" x14ac:dyDescent="0.15">
      <c r="M1852" s="35" t="s">
        <v>1146</v>
      </c>
      <c r="N1852" s="35" t="s">
        <v>1298</v>
      </c>
      <c r="O1852" s="68">
        <v>2024.45</v>
      </c>
      <c r="P1852" s="70">
        <v>107160.55</v>
      </c>
    </row>
    <row r="1853" spans="13:16" x14ac:dyDescent="0.15">
      <c r="M1853" s="35" t="s">
        <v>1146</v>
      </c>
      <c r="N1853" s="35" t="s">
        <v>282</v>
      </c>
      <c r="O1853" s="68">
        <v>2024.45</v>
      </c>
      <c r="P1853" s="70">
        <v>208.33</v>
      </c>
    </row>
    <row r="1854" spans="13:16" x14ac:dyDescent="0.15">
      <c r="M1854" s="35" t="s">
        <v>1146</v>
      </c>
      <c r="N1854" s="35" t="s">
        <v>1299</v>
      </c>
      <c r="O1854" s="68">
        <v>2024.45</v>
      </c>
      <c r="P1854" s="70">
        <v>77621.23</v>
      </c>
    </row>
    <row r="1855" spans="13:16" x14ac:dyDescent="0.15">
      <c r="M1855" s="35" t="s">
        <v>1146</v>
      </c>
      <c r="N1855" s="35" t="s">
        <v>1300</v>
      </c>
      <c r="O1855" s="68">
        <v>2024.45</v>
      </c>
      <c r="P1855" s="70">
        <v>2623.69</v>
      </c>
    </row>
    <row r="1856" spans="13:16" x14ac:dyDescent="0.15">
      <c r="M1856" s="35" t="s">
        <v>1151</v>
      </c>
      <c r="N1856" s="35" t="s">
        <v>282</v>
      </c>
      <c r="O1856" s="68">
        <v>2024.45</v>
      </c>
      <c r="P1856" s="70">
        <v>3220.5</v>
      </c>
    </row>
    <row r="1857" spans="13:16" x14ac:dyDescent="0.15">
      <c r="M1857" s="35" t="s">
        <v>1151</v>
      </c>
      <c r="N1857" s="35" t="s">
        <v>282</v>
      </c>
      <c r="O1857" s="68">
        <v>2024.45</v>
      </c>
      <c r="P1857" s="70">
        <v>483691.8</v>
      </c>
    </row>
    <row r="1858" spans="13:16" x14ac:dyDescent="0.15">
      <c r="M1858" s="35" t="s">
        <v>1151</v>
      </c>
      <c r="N1858" s="35" t="s">
        <v>283</v>
      </c>
      <c r="O1858" s="68">
        <v>2024.45</v>
      </c>
      <c r="P1858" s="70">
        <v>2447.2600000000002</v>
      </c>
    </row>
    <row r="1859" spans="13:16" x14ac:dyDescent="0.15">
      <c r="M1859" s="35" t="s">
        <v>1151</v>
      </c>
      <c r="N1859" s="35" t="s">
        <v>278</v>
      </c>
      <c r="O1859" s="68">
        <v>2024.45</v>
      </c>
      <c r="P1859" s="70">
        <v>8994.81</v>
      </c>
    </row>
    <row r="1860" spans="13:16" x14ac:dyDescent="0.15">
      <c r="M1860" s="35" t="s">
        <v>1151</v>
      </c>
      <c r="N1860" s="35" t="s">
        <v>1297</v>
      </c>
      <c r="O1860" s="68">
        <v>2024.45</v>
      </c>
      <c r="P1860" s="70">
        <v>120918.28</v>
      </c>
    </row>
    <row r="1861" spans="13:16" x14ac:dyDescent="0.15">
      <c r="M1861" s="35" t="s">
        <v>1151</v>
      </c>
      <c r="N1861" s="35" t="s">
        <v>1299</v>
      </c>
      <c r="O1861" s="68">
        <v>2024.45</v>
      </c>
      <c r="P1861" s="70">
        <v>48.56</v>
      </c>
    </row>
    <row r="1862" spans="13:16" x14ac:dyDescent="0.15">
      <c r="M1862" s="35" t="s">
        <v>1151</v>
      </c>
      <c r="N1862" s="35" t="s">
        <v>1300</v>
      </c>
      <c r="O1862" s="68">
        <v>2024.45</v>
      </c>
      <c r="P1862" s="70">
        <v>809.14</v>
      </c>
    </row>
    <row r="1863" spans="13:16" x14ac:dyDescent="0.15">
      <c r="M1863" s="35" t="s">
        <v>1152</v>
      </c>
      <c r="N1863" s="35" t="s">
        <v>1297</v>
      </c>
      <c r="O1863" s="68">
        <v>2024.45</v>
      </c>
      <c r="P1863" s="70">
        <v>88</v>
      </c>
    </row>
    <row r="1864" spans="13:16" x14ac:dyDescent="0.15">
      <c r="M1864" s="35" t="s">
        <v>1152</v>
      </c>
      <c r="N1864" s="35" t="s">
        <v>1297</v>
      </c>
      <c r="O1864" s="68">
        <v>2024.45</v>
      </c>
      <c r="P1864" s="70">
        <v>667.84</v>
      </c>
    </row>
    <row r="1865" spans="13:16" x14ac:dyDescent="0.15">
      <c r="M1865" s="35" t="s">
        <v>1152</v>
      </c>
      <c r="N1865" s="35" t="s">
        <v>1297</v>
      </c>
      <c r="O1865" s="68">
        <v>2024.45</v>
      </c>
      <c r="P1865" s="70">
        <v>8401.7199999999993</v>
      </c>
    </row>
    <row r="1866" spans="13:16" x14ac:dyDescent="0.15">
      <c r="M1866" s="35" t="s">
        <v>1152</v>
      </c>
      <c r="N1866" s="35" t="s">
        <v>282</v>
      </c>
      <c r="O1866" s="68">
        <v>2024.45</v>
      </c>
      <c r="P1866" s="70">
        <v>5459</v>
      </c>
    </row>
    <row r="1867" spans="13:16" x14ac:dyDescent="0.15">
      <c r="M1867" s="35" t="s">
        <v>1152</v>
      </c>
      <c r="N1867" s="35" t="s">
        <v>1298</v>
      </c>
      <c r="O1867" s="68">
        <v>2024.45</v>
      </c>
      <c r="P1867" s="70">
        <v>728.6</v>
      </c>
    </row>
    <row r="1868" spans="13:16" x14ac:dyDescent="0.15">
      <c r="M1868" s="35" t="s">
        <v>1152</v>
      </c>
      <c r="N1868" s="35" t="s">
        <v>1298</v>
      </c>
      <c r="O1868" s="68">
        <v>2024.45</v>
      </c>
      <c r="P1868" s="70">
        <v>52355</v>
      </c>
    </row>
    <row r="1869" spans="13:16" x14ac:dyDescent="0.15">
      <c r="M1869" s="35" t="s">
        <v>1152</v>
      </c>
      <c r="N1869" s="35" t="s">
        <v>1299</v>
      </c>
      <c r="O1869" s="68">
        <v>2024.45</v>
      </c>
      <c r="P1869" s="70">
        <v>107146.35</v>
      </c>
    </row>
    <row r="1870" spans="13:16" x14ac:dyDescent="0.15">
      <c r="M1870" s="35" t="s">
        <v>1152</v>
      </c>
      <c r="N1870" s="35" t="s">
        <v>1300</v>
      </c>
      <c r="O1870" s="68">
        <v>2024.45</v>
      </c>
      <c r="P1870" s="70">
        <v>94820.65</v>
      </c>
    </row>
    <row r="1871" spans="13:16" x14ac:dyDescent="0.15">
      <c r="M1871" s="35" t="s">
        <v>256</v>
      </c>
      <c r="N1871" s="35" t="s">
        <v>1297</v>
      </c>
      <c r="O1871" s="68">
        <v>2024.45</v>
      </c>
      <c r="P1871" s="70">
        <v>420612.8</v>
      </c>
    </row>
    <row r="1872" spans="13:16" x14ac:dyDescent="0.15">
      <c r="M1872" s="35" t="s">
        <v>1147</v>
      </c>
      <c r="N1872" s="35" t="s">
        <v>280</v>
      </c>
      <c r="O1872" s="68">
        <v>2024.45</v>
      </c>
      <c r="P1872" s="70">
        <v>9920.06</v>
      </c>
    </row>
    <row r="1873" spans="13:16" x14ac:dyDescent="0.15">
      <c r="M1873" s="35" t="s">
        <v>1147</v>
      </c>
      <c r="N1873" s="35" t="s">
        <v>280</v>
      </c>
      <c r="O1873" s="68">
        <v>2024.45</v>
      </c>
      <c r="P1873" s="70">
        <v>3693.28</v>
      </c>
    </row>
    <row r="1874" spans="13:16" x14ac:dyDescent="0.15">
      <c r="M1874" s="35" t="s">
        <v>255</v>
      </c>
      <c r="N1874" s="35" t="s">
        <v>282</v>
      </c>
      <c r="O1874" s="68">
        <v>2024.45</v>
      </c>
      <c r="P1874" s="70">
        <v>2382</v>
      </c>
    </row>
    <row r="1875" spans="13:16" x14ac:dyDescent="0.15">
      <c r="M1875" s="35" t="s">
        <v>255</v>
      </c>
      <c r="N1875" s="35" t="s">
        <v>283</v>
      </c>
      <c r="O1875" s="68">
        <v>2024.45</v>
      </c>
      <c r="P1875" s="70">
        <v>823.2</v>
      </c>
    </row>
    <row r="1876" spans="13:16" x14ac:dyDescent="0.15">
      <c r="M1876" s="35" t="s">
        <v>1137</v>
      </c>
      <c r="N1876" s="35" t="s">
        <v>283</v>
      </c>
      <c r="O1876" s="68">
        <v>2024.45</v>
      </c>
      <c r="P1876" s="70">
        <v>686</v>
      </c>
    </row>
    <row r="1877" spans="13:16" x14ac:dyDescent="0.15">
      <c r="M1877" s="35" t="s">
        <v>1137</v>
      </c>
      <c r="N1877" s="35" t="s">
        <v>278</v>
      </c>
      <c r="O1877" s="68">
        <v>2024.45</v>
      </c>
      <c r="P1877" s="70">
        <v>78.55</v>
      </c>
    </row>
    <row r="1878" spans="13:16" x14ac:dyDescent="0.15">
      <c r="M1878" s="35" t="s">
        <v>273</v>
      </c>
      <c r="N1878" s="35" t="s">
        <v>288</v>
      </c>
      <c r="O1878" s="68">
        <v>2024.28</v>
      </c>
      <c r="P1878" s="70">
        <v>39902.519999999997</v>
      </c>
    </row>
    <row r="1879" spans="13:16" x14ac:dyDescent="0.15">
      <c r="M1879" s="35" t="s">
        <v>273</v>
      </c>
      <c r="N1879" s="35" t="s">
        <v>1296</v>
      </c>
      <c r="O1879" s="68">
        <v>2024.28</v>
      </c>
      <c r="P1879" s="70">
        <v>64490.23</v>
      </c>
    </row>
    <row r="1880" spans="13:16" x14ac:dyDescent="0.15">
      <c r="M1880" s="35" t="s">
        <v>273</v>
      </c>
      <c r="N1880" s="35" t="s">
        <v>280</v>
      </c>
      <c r="O1880" s="68">
        <v>2024.28</v>
      </c>
      <c r="P1880" s="70">
        <v>18048.3</v>
      </c>
    </row>
    <row r="1881" spans="13:16" x14ac:dyDescent="0.15">
      <c r="M1881" s="35" t="s">
        <v>273</v>
      </c>
      <c r="N1881" s="35" t="s">
        <v>277</v>
      </c>
      <c r="O1881" s="68">
        <v>2024.28</v>
      </c>
      <c r="P1881" s="70">
        <v>166.2</v>
      </c>
    </row>
    <row r="1882" spans="13:16" x14ac:dyDescent="0.15">
      <c r="M1882" s="35" t="s">
        <v>273</v>
      </c>
      <c r="N1882" s="35" t="s">
        <v>283</v>
      </c>
      <c r="O1882" s="68">
        <v>2024.28</v>
      </c>
      <c r="P1882" s="70">
        <v>3932.1</v>
      </c>
    </row>
    <row r="1883" spans="13:16" x14ac:dyDescent="0.15">
      <c r="M1883" s="35" t="s">
        <v>273</v>
      </c>
      <c r="N1883" s="35" t="s">
        <v>1298</v>
      </c>
      <c r="O1883" s="68">
        <v>2024.28</v>
      </c>
      <c r="P1883" s="70">
        <v>6955.66</v>
      </c>
    </row>
    <row r="1884" spans="13:16" x14ac:dyDescent="0.15">
      <c r="M1884" s="35" t="s">
        <v>307</v>
      </c>
      <c r="N1884" s="35" t="s">
        <v>280</v>
      </c>
      <c r="O1884" s="68">
        <v>2024.28</v>
      </c>
      <c r="P1884" s="70">
        <v>4101.4399999999996</v>
      </c>
    </row>
    <row r="1885" spans="13:16" x14ac:dyDescent="0.15">
      <c r="M1885" s="35" t="s">
        <v>307</v>
      </c>
      <c r="N1885" s="35" t="s">
        <v>280</v>
      </c>
      <c r="O1885" s="68">
        <v>2024.28</v>
      </c>
      <c r="P1885" s="70">
        <v>15000</v>
      </c>
    </row>
    <row r="1886" spans="13:16" x14ac:dyDescent="0.15">
      <c r="M1886" s="35" t="s">
        <v>307</v>
      </c>
      <c r="N1886" s="35" t="s">
        <v>281</v>
      </c>
      <c r="O1886" s="68">
        <v>2024.28</v>
      </c>
      <c r="P1886" s="70">
        <v>7150.73</v>
      </c>
    </row>
    <row r="1887" spans="13:16" x14ac:dyDescent="0.15">
      <c r="M1887" s="35" t="s">
        <v>307</v>
      </c>
      <c r="N1887" s="35" t="s">
        <v>1297</v>
      </c>
      <c r="O1887" s="68">
        <v>2024.28</v>
      </c>
      <c r="P1887" s="70">
        <v>20.8</v>
      </c>
    </row>
    <row r="1888" spans="13:16" x14ac:dyDescent="0.15">
      <c r="M1888" s="35" t="s">
        <v>307</v>
      </c>
      <c r="N1888" s="35" t="s">
        <v>1299</v>
      </c>
      <c r="O1888" s="68">
        <v>2024.28</v>
      </c>
      <c r="P1888" s="70">
        <v>26.23</v>
      </c>
    </row>
    <row r="1889" spans="13:16" x14ac:dyDescent="0.15">
      <c r="M1889" s="35" t="s">
        <v>309</v>
      </c>
      <c r="N1889" s="35" t="s">
        <v>280</v>
      </c>
      <c r="O1889" s="68">
        <v>2024.28</v>
      </c>
      <c r="P1889" s="70">
        <v>11586.64</v>
      </c>
    </row>
    <row r="1890" spans="13:16" x14ac:dyDescent="0.15">
      <c r="M1890" s="35" t="s">
        <v>309</v>
      </c>
      <c r="N1890" s="35" t="s">
        <v>280</v>
      </c>
      <c r="O1890" s="68">
        <v>2024.28</v>
      </c>
      <c r="P1890" s="70">
        <v>16200</v>
      </c>
    </row>
    <row r="1891" spans="13:16" x14ac:dyDescent="0.15">
      <c r="M1891" s="35" t="s">
        <v>309</v>
      </c>
      <c r="N1891" s="35" t="s">
        <v>277</v>
      </c>
      <c r="O1891" s="68">
        <v>2024.28</v>
      </c>
      <c r="P1891" s="70">
        <v>29995.11</v>
      </c>
    </row>
    <row r="1892" spans="13:16" x14ac:dyDescent="0.15">
      <c r="M1892" s="35" t="s">
        <v>274</v>
      </c>
      <c r="N1892" s="35" t="s">
        <v>274</v>
      </c>
      <c r="O1892" s="68">
        <v>2024.28</v>
      </c>
      <c r="P1892" s="70">
        <v>39576.44</v>
      </c>
    </row>
    <row r="1893" spans="13:16" x14ac:dyDescent="0.15">
      <c r="M1893" s="35" t="s">
        <v>1136</v>
      </c>
      <c r="N1893" s="35" t="s">
        <v>280</v>
      </c>
      <c r="O1893" s="68">
        <v>2024.28</v>
      </c>
      <c r="P1893" s="70">
        <v>878.88</v>
      </c>
    </row>
    <row r="1894" spans="13:16" x14ac:dyDescent="0.15">
      <c r="M1894" s="35" t="s">
        <v>1136</v>
      </c>
      <c r="N1894" s="35" t="s">
        <v>280</v>
      </c>
      <c r="O1894" s="68">
        <v>2024.28</v>
      </c>
      <c r="P1894" s="70">
        <v>114750</v>
      </c>
    </row>
    <row r="1895" spans="13:16" x14ac:dyDescent="0.15">
      <c r="M1895" s="35" t="s">
        <v>1136</v>
      </c>
      <c r="N1895" s="35" t="s">
        <v>277</v>
      </c>
      <c r="O1895" s="68">
        <v>2024.28</v>
      </c>
      <c r="P1895" s="70">
        <v>4012.46</v>
      </c>
    </row>
    <row r="1896" spans="13:16" x14ac:dyDescent="0.15">
      <c r="M1896" s="35" t="s">
        <v>1136</v>
      </c>
      <c r="N1896" s="35" t="s">
        <v>277</v>
      </c>
      <c r="O1896" s="68">
        <v>2024.28</v>
      </c>
      <c r="P1896" s="70">
        <v>115850</v>
      </c>
    </row>
    <row r="1897" spans="13:16" x14ac:dyDescent="0.15">
      <c r="M1897" s="35" t="s">
        <v>1136</v>
      </c>
      <c r="N1897" s="35" t="s">
        <v>283</v>
      </c>
      <c r="O1897" s="68">
        <v>2024.28</v>
      </c>
      <c r="P1897" s="70">
        <v>10873.1</v>
      </c>
    </row>
    <row r="1898" spans="13:16" x14ac:dyDescent="0.15">
      <c r="M1898" s="35" t="s">
        <v>302</v>
      </c>
      <c r="N1898" s="35" t="s">
        <v>283</v>
      </c>
      <c r="O1898" s="68">
        <v>2024.28</v>
      </c>
      <c r="P1898" s="70">
        <v>3960</v>
      </c>
    </row>
    <row r="1899" spans="13:16" x14ac:dyDescent="0.15">
      <c r="M1899" s="35" t="s">
        <v>302</v>
      </c>
      <c r="N1899" s="35" t="s">
        <v>283</v>
      </c>
      <c r="O1899" s="68">
        <v>2024.28</v>
      </c>
      <c r="P1899" s="70">
        <v>6588</v>
      </c>
    </row>
    <row r="1900" spans="13:16" x14ac:dyDescent="0.15">
      <c r="M1900" s="35" t="s">
        <v>1149</v>
      </c>
      <c r="N1900" s="35" t="s">
        <v>280</v>
      </c>
      <c r="O1900" s="68">
        <v>2024.28</v>
      </c>
      <c r="P1900" s="70">
        <v>140400</v>
      </c>
    </row>
    <row r="1901" spans="13:16" x14ac:dyDescent="0.15">
      <c r="M1901" s="35" t="s">
        <v>1149</v>
      </c>
      <c r="N1901" s="35" t="s">
        <v>277</v>
      </c>
      <c r="O1901" s="68">
        <v>2024.28</v>
      </c>
      <c r="P1901" s="70">
        <v>425.16</v>
      </c>
    </row>
    <row r="1902" spans="13:16" x14ac:dyDescent="0.15">
      <c r="M1902" s="35" t="s">
        <v>1149</v>
      </c>
      <c r="N1902" s="35" t="s">
        <v>277</v>
      </c>
      <c r="O1902" s="68">
        <v>2024.28</v>
      </c>
      <c r="P1902" s="70">
        <v>118800</v>
      </c>
    </row>
    <row r="1903" spans="13:16" x14ac:dyDescent="0.15">
      <c r="M1903" s="35" t="s">
        <v>1153</v>
      </c>
      <c r="N1903" s="35" t="s">
        <v>1297</v>
      </c>
      <c r="O1903" s="68">
        <v>2024.28</v>
      </c>
      <c r="P1903" s="70">
        <v>477996</v>
      </c>
    </row>
    <row r="1904" spans="13:16" x14ac:dyDescent="0.15">
      <c r="M1904" s="35" t="s">
        <v>1150</v>
      </c>
      <c r="N1904" s="35" t="s">
        <v>1132</v>
      </c>
      <c r="O1904" s="68">
        <v>2024.28</v>
      </c>
      <c r="P1904" s="70">
        <v>174564.44</v>
      </c>
    </row>
    <row r="1905" spans="13:16" x14ac:dyDescent="0.15">
      <c r="M1905" s="35" t="s">
        <v>1150</v>
      </c>
      <c r="N1905" s="35" t="s">
        <v>1132</v>
      </c>
      <c r="O1905" s="68">
        <v>2024.28</v>
      </c>
      <c r="P1905" s="70">
        <v>27291</v>
      </c>
    </row>
    <row r="1906" spans="13:16" x14ac:dyDescent="0.15">
      <c r="M1906" s="35" t="s">
        <v>1150</v>
      </c>
      <c r="N1906" s="35" t="s">
        <v>282</v>
      </c>
      <c r="O1906" s="68">
        <v>2024.28</v>
      </c>
      <c r="P1906" s="70">
        <v>25</v>
      </c>
    </row>
    <row r="1907" spans="13:16" x14ac:dyDescent="0.15">
      <c r="M1907" s="35" t="s">
        <v>1150</v>
      </c>
      <c r="N1907" s="35" t="s">
        <v>1299</v>
      </c>
      <c r="O1907" s="68">
        <v>2024.28</v>
      </c>
      <c r="P1907" s="70">
        <v>86.78</v>
      </c>
    </row>
    <row r="1908" spans="13:16" x14ac:dyDescent="0.15">
      <c r="M1908" s="35" t="s">
        <v>1138</v>
      </c>
      <c r="N1908" s="35" t="s">
        <v>1132</v>
      </c>
      <c r="O1908" s="68">
        <v>2024.28</v>
      </c>
      <c r="P1908" s="70">
        <v>7120.13</v>
      </c>
    </row>
    <row r="1909" spans="13:16" x14ac:dyDescent="0.15">
      <c r="M1909" s="35" t="s">
        <v>1138</v>
      </c>
      <c r="N1909" s="35" t="s">
        <v>1132</v>
      </c>
      <c r="O1909" s="68">
        <v>2024.28</v>
      </c>
      <c r="P1909" s="70">
        <v>3694.55</v>
      </c>
    </row>
    <row r="1910" spans="13:16" x14ac:dyDescent="0.15">
      <c r="M1910" s="35" t="s">
        <v>262</v>
      </c>
      <c r="N1910" s="35" t="s">
        <v>283</v>
      </c>
      <c r="O1910" s="68">
        <v>2024.28</v>
      </c>
      <c r="P1910" s="70">
        <v>12223.9</v>
      </c>
    </row>
    <row r="1911" spans="13:16" x14ac:dyDescent="0.15">
      <c r="M1911" s="35" t="s">
        <v>262</v>
      </c>
      <c r="N1911" s="35" t="s">
        <v>1297</v>
      </c>
      <c r="O1911" s="68">
        <v>2024.28</v>
      </c>
      <c r="P1911" s="70">
        <v>2892.57</v>
      </c>
    </row>
    <row r="1912" spans="13:16" x14ac:dyDescent="0.15">
      <c r="M1912" s="35" t="s">
        <v>262</v>
      </c>
      <c r="N1912" s="35" t="s">
        <v>1300</v>
      </c>
      <c r="O1912" s="68">
        <v>2024.28</v>
      </c>
      <c r="P1912" s="70">
        <v>141.6</v>
      </c>
    </row>
    <row r="1913" spans="13:16" x14ac:dyDescent="0.15">
      <c r="M1913" s="35" t="s">
        <v>275</v>
      </c>
      <c r="N1913" s="35" t="s">
        <v>1297</v>
      </c>
      <c r="O1913" s="68">
        <v>2024.28</v>
      </c>
      <c r="P1913" s="70">
        <v>7012.29</v>
      </c>
    </row>
    <row r="1914" spans="13:16" x14ac:dyDescent="0.15">
      <c r="M1914" s="35" t="s">
        <v>275</v>
      </c>
      <c r="N1914" s="35" t="s">
        <v>1297</v>
      </c>
      <c r="O1914" s="68">
        <v>2024.28</v>
      </c>
      <c r="P1914" s="70">
        <v>100.56</v>
      </c>
    </row>
    <row r="1915" spans="13:16" x14ac:dyDescent="0.15">
      <c r="M1915" s="35" t="s">
        <v>275</v>
      </c>
      <c r="N1915" s="35" t="s">
        <v>284</v>
      </c>
      <c r="O1915" s="68">
        <v>2024.28</v>
      </c>
      <c r="P1915" s="70">
        <v>3668.49</v>
      </c>
    </row>
    <row r="1916" spans="13:16" x14ac:dyDescent="0.15">
      <c r="M1916" s="35" t="s">
        <v>275</v>
      </c>
      <c r="N1916" s="35" t="s">
        <v>284</v>
      </c>
      <c r="O1916" s="68">
        <v>2024.28</v>
      </c>
      <c r="P1916" s="70">
        <v>20693.560000000001</v>
      </c>
    </row>
    <row r="1917" spans="13:16" x14ac:dyDescent="0.15">
      <c r="M1917" s="35" t="s">
        <v>275</v>
      </c>
      <c r="N1917" s="35" t="s">
        <v>1299</v>
      </c>
      <c r="O1917" s="68">
        <v>2024.28</v>
      </c>
      <c r="P1917" s="70">
        <v>92353.91</v>
      </c>
    </row>
    <row r="1918" spans="13:16" x14ac:dyDescent="0.15">
      <c r="M1918" s="35" t="s">
        <v>276</v>
      </c>
      <c r="N1918" s="35" t="s">
        <v>1297</v>
      </c>
      <c r="O1918" s="68">
        <v>2024.28</v>
      </c>
      <c r="P1918" s="70">
        <v>848.98</v>
      </c>
    </row>
    <row r="1919" spans="13:16" x14ac:dyDescent="0.15">
      <c r="M1919" s="35" t="s">
        <v>276</v>
      </c>
      <c r="N1919" s="35" t="s">
        <v>1297</v>
      </c>
      <c r="O1919" s="68">
        <v>2024.28</v>
      </c>
      <c r="P1919" s="70">
        <v>29546.59</v>
      </c>
    </row>
    <row r="1920" spans="13:16" x14ac:dyDescent="0.15">
      <c r="M1920" s="35" t="s">
        <v>276</v>
      </c>
      <c r="N1920" s="35" t="s">
        <v>282</v>
      </c>
      <c r="O1920" s="68">
        <v>2024.28</v>
      </c>
      <c r="P1920" s="70">
        <v>12810.5</v>
      </c>
    </row>
    <row r="1921" spans="13:16" x14ac:dyDescent="0.15">
      <c r="M1921" s="35" t="s">
        <v>276</v>
      </c>
      <c r="N1921" s="35" t="s">
        <v>282</v>
      </c>
      <c r="O1921" s="68">
        <v>2024.28</v>
      </c>
      <c r="P1921" s="70">
        <v>78300</v>
      </c>
    </row>
    <row r="1922" spans="13:16" x14ac:dyDescent="0.15">
      <c r="M1922" s="35" t="s">
        <v>276</v>
      </c>
      <c r="N1922" s="35" t="s">
        <v>282</v>
      </c>
      <c r="O1922" s="68">
        <v>2024.28</v>
      </c>
      <c r="P1922" s="70">
        <v>280974.05</v>
      </c>
    </row>
    <row r="1923" spans="13:16" x14ac:dyDescent="0.15">
      <c r="M1923" s="35" t="s">
        <v>276</v>
      </c>
      <c r="N1923" s="35" t="s">
        <v>1299</v>
      </c>
      <c r="O1923" s="68">
        <v>2024.28</v>
      </c>
      <c r="P1923" s="70">
        <v>32208</v>
      </c>
    </row>
    <row r="1924" spans="13:16" x14ac:dyDescent="0.15">
      <c r="M1924" s="35" t="s">
        <v>276</v>
      </c>
      <c r="N1924" s="35" t="s">
        <v>1300</v>
      </c>
      <c r="O1924" s="68">
        <v>2024.28</v>
      </c>
      <c r="P1924" s="70">
        <v>201.29</v>
      </c>
    </row>
    <row r="1925" spans="13:16" x14ac:dyDescent="0.15">
      <c r="M1925" s="35" t="s">
        <v>1146</v>
      </c>
      <c r="N1925" s="35" t="s">
        <v>1297</v>
      </c>
      <c r="O1925" s="68">
        <v>2024.28</v>
      </c>
      <c r="P1925" s="70">
        <v>31.88</v>
      </c>
    </row>
    <row r="1926" spans="13:16" x14ac:dyDescent="0.15">
      <c r="M1926" s="35" t="s">
        <v>1146</v>
      </c>
      <c r="N1926" s="35" t="s">
        <v>1297</v>
      </c>
      <c r="O1926" s="68">
        <v>2024.28</v>
      </c>
      <c r="P1926" s="70">
        <v>206.05</v>
      </c>
    </row>
    <row r="1927" spans="13:16" x14ac:dyDescent="0.15">
      <c r="M1927" s="35" t="s">
        <v>1146</v>
      </c>
      <c r="N1927" s="35" t="s">
        <v>1297</v>
      </c>
      <c r="O1927" s="68">
        <v>2024.28</v>
      </c>
      <c r="P1927" s="70">
        <v>118000</v>
      </c>
    </row>
    <row r="1928" spans="13:16" x14ac:dyDescent="0.15">
      <c r="M1928" s="35" t="s">
        <v>1146</v>
      </c>
      <c r="N1928" s="35" t="s">
        <v>1297</v>
      </c>
      <c r="O1928" s="68">
        <v>2024.28</v>
      </c>
      <c r="P1928" s="70">
        <v>1940.48</v>
      </c>
    </row>
    <row r="1929" spans="13:16" x14ac:dyDescent="0.15">
      <c r="M1929" s="35" t="s">
        <v>1146</v>
      </c>
      <c r="N1929" s="35" t="s">
        <v>283</v>
      </c>
      <c r="O1929" s="68">
        <v>2024.28</v>
      </c>
      <c r="P1929" s="70">
        <v>7952.91</v>
      </c>
    </row>
    <row r="1930" spans="13:16" x14ac:dyDescent="0.15">
      <c r="M1930" s="35" t="s">
        <v>1146</v>
      </c>
      <c r="N1930" s="35" t="s">
        <v>283</v>
      </c>
      <c r="O1930" s="68">
        <v>2024.28</v>
      </c>
      <c r="P1930" s="70">
        <v>17820</v>
      </c>
    </row>
    <row r="1931" spans="13:16" x14ac:dyDescent="0.15">
      <c r="M1931" s="35" t="s">
        <v>1146</v>
      </c>
      <c r="N1931" s="35" t="s">
        <v>1298</v>
      </c>
      <c r="O1931" s="68">
        <v>2024.28</v>
      </c>
      <c r="P1931" s="70">
        <v>8728.6299999999992</v>
      </c>
    </row>
    <row r="1932" spans="13:16" x14ac:dyDescent="0.15">
      <c r="M1932" s="35" t="s">
        <v>1146</v>
      </c>
      <c r="N1932" s="35" t="s">
        <v>1298</v>
      </c>
      <c r="O1932" s="68">
        <v>2024.28</v>
      </c>
      <c r="P1932" s="70">
        <v>109451.96</v>
      </c>
    </row>
    <row r="1933" spans="13:16" x14ac:dyDescent="0.15">
      <c r="M1933" s="35" t="s">
        <v>1146</v>
      </c>
      <c r="N1933" s="35" t="s">
        <v>282</v>
      </c>
      <c r="O1933" s="68">
        <v>2024.28</v>
      </c>
      <c r="P1933" s="70">
        <v>208.33</v>
      </c>
    </row>
    <row r="1934" spans="13:16" x14ac:dyDescent="0.15">
      <c r="M1934" s="35" t="s">
        <v>1146</v>
      </c>
      <c r="N1934" s="35" t="s">
        <v>1299</v>
      </c>
      <c r="O1934" s="68">
        <v>2024.28</v>
      </c>
      <c r="P1934" s="70">
        <v>77417.8</v>
      </c>
    </row>
    <row r="1935" spans="13:16" x14ac:dyDescent="0.15">
      <c r="M1935" s="35" t="s">
        <v>1146</v>
      </c>
      <c r="N1935" s="35" t="s">
        <v>1300</v>
      </c>
      <c r="O1935" s="68">
        <v>2024.28</v>
      </c>
      <c r="P1935" s="70">
        <v>2623.69</v>
      </c>
    </row>
    <row r="1936" spans="13:16" x14ac:dyDescent="0.15">
      <c r="M1936" s="35" t="s">
        <v>1151</v>
      </c>
      <c r="N1936" s="35" t="s">
        <v>282</v>
      </c>
      <c r="O1936" s="68">
        <v>2024.28</v>
      </c>
      <c r="P1936" s="70">
        <v>2973.5</v>
      </c>
    </row>
    <row r="1937" spans="13:16" x14ac:dyDescent="0.15">
      <c r="M1937" s="35" t="s">
        <v>1151</v>
      </c>
      <c r="N1937" s="35" t="s">
        <v>282</v>
      </c>
      <c r="O1937" s="68">
        <v>2024.28</v>
      </c>
      <c r="P1937" s="70">
        <v>341874.8</v>
      </c>
    </row>
    <row r="1938" spans="13:16" x14ac:dyDescent="0.15">
      <c r="M1938" s="35" t="s">
        <v>1151</v>
      </c>
      <c r="N1938" s="35" t="s">
        <v>283</v>
      </c>
      <c r="O1938" s="68">
        <v>2024.28</v>
      </c>
      <c r="P1938" s="70">
        <v>1521.16</v>
      </c>
    </row>
    <row r="1939" spans="13:16" x14ac:dyDescent="0.15">
      <c r="M1939" s="35" t="s">
        <v>1151</v>
      </c>
      <c r="N1939" s="35" t="s">
        <v>278</v>
      </c>
      <c r="O1939" s="68">
        <v>2024.28</v>
      </c>
      <c r="P1939" s="70">
        <v>6783.61</v>
      </c>
    </row>
    <row r="1940" spans="13:16" x14ac:dyDescent="0.15">
      <c r="M1940" s="35" t="s">
        <v>1151</v>
      </c>
      <c r="N1940" s="35" t="s">
        <v>1297</v>
      </c>
      <c r="O1940" s="68">
        <v>2024.28</v>
      </c>
      <c r="P1940" s="70">
        <v>94403.96</v>
      </c>
    </row>
    <row r="1941" spans="13:16" x14ac:dyDescent="0.15">
      <c r="M1941" s="35" t="s">
        <v>1151</v>
      </c>
      <c r="N1941" s="35" t="s">
        <v>1299</v>
      </c>
      <c r="O1941" s="68">
        <v>2024.28</v>
      </c>
      <c r="P1941" s="70">
        <v>48.56</v>
      </c>
    </row>
    <row r="1942" spans="13:16" x14ac:dyDescent="0.15">
      <c r="M1942" s="35" t="s">
        <v>1151</v>
      </c>
      <c r="N1942" s="35" t="s">
        <v>1300</v>
      </c>
      <c r="O1942" s="68">
        <v>2024.28</v>
      </c>
      <c r="P1942" s="70">
        <v>809.14</v>
      </c>
    </row>
    <row r="1943" spans="13:16" x14ac:dyDescent="0.15">
      <c r="M1943" s="35" t="s">
        <v>1152</v>
      </c>
      <c r="N1943" s="35" t="s">
        <v>1297</v>
      </c>
      <c r="O1943" s="68">
        <v>2024.28</v>
      </c>
      <c r="P1943" s="70">
        <v>667.84</v>
      </c>
    </row>
    <row r="1944" spans="13:16" x14ac:dyDescent="0.15">
      <c r="M1944" s="35" t="s">
        <v>1152</v>
      </c>
      <c r="N1944" s="35" t="s">
        <v>1297</v>
      </c>
      <c r="O1944" s="68">
        <v>2024.28</v>
      </c>
      <c r="P1944" s="70">
        <v>8179.01</v>
      </c>
    </row>
    <row r="1945" spans="13:16" x14ac:dyDescent="0.15">
      <c r="M1945" s="35" t="s">
        <v>1152</v>
      </c>
      <c r="N1945" s="35" t="s">
        <v>282</v>
      </c>
      <c r="O1945" s="68">
        <v>2024.28</v>
      </c>
      <c r="P1945" s="70">
        <v>4613</v>
      </c>
    </row>
    <row r="1946" spans="13:16" x14ac:dyDescent="0.15">
      <c r="M1946" s="35" t="s">
        <v>1152</v>
      </c>
      <c r="N1946" s="35" t="s">
        <v>1298</v>
      </c>
      <c r="O1946" s="68">
        <v>2024.28</v>
      </c>
      <c r="P1946" s="70">
        <v>52355</v>
      </c>
    </row>
    <row r="1947" spans="13:16" x14ac:dyDescent="0.15">
      <c r="M1947" s="35" t="s">
        <v>1152</v>
      </c>
      <c r="N1947" s="35" t="s">
        <v>1299</v>
      </c>
      <c r="O1947" s="68">
        <v>2024.28</v>
      </c>
      <c r="P1947" s="70">
        <v>106647.54</v>
      </c>
    </row>
    <row r="1948" spans="13:16" x14ac:dyDescent="0.15">
      <c r="M1948" s="35" t="s">
        <v>1152</v>
      </c>
      <c r="N1948" s="35" t="s">
        <v>1300</v>
      </c>
      <c r="O1948" s="68">
        <v>2024.28</v>
      </c>
      <c r="P1948" s="70">
        <v>93889</v>
      </c>
    </row>
    <row r="1949" spans="13:16" x14ac:dyDescent="0.15">
      <c r="M1949" s="35" t="s">
        <v>256</v>
      </c>
      <c r="N1949" s="35" t="s">
        <v>1297</v>
      </c>
      <c r="O1949" s="68">
        <v>2024.28</v>
      </c>
      <c r="P1949" s="70">
        <v>317873.90000000002</v>
      </c>
    </row>
    <row r="1950" spans="13:16" x14ac:dyDescent="0.15">
      <c r="M1950" s="35" t="s">
        <v>1147</v>
      </c>
      <c r="N1950" s="35" t="s">
        <v>280</v>
      </c>
      <c r="O1950" s="68">
        <v>2024.28</v>
      </c>
      <c r="P1950" s="70">
        <v>9920.06</v>
      </c>
    </row>
    <row r="1951" spans="13:16" x14ac:dyDescent="0.15">
      <c r="M1951" s="35" t="s">
        <v>1147</v>
      </c>
      <c r="N1951" s="35" t="s">
        <v>280</v>
      </c>
      <c r="O1951" s="68">
        <v>2024.28</v>
      </c>
      <c r="P1951" s="70">
        <v>3693.28</v>
      </c>
    </row>
    <row r="1952" spans="13:16" x14ac:dyDescent="0.15">
      <c r="M1952" s="35" t="s">
        <v>255</v>
      </c>
      <c r="N1952" s="35" t="s">
        <v>282</v>
      </c>
      <c r="O1952" s="68">
        <v>2024.28</v>
      </c>
      <c r="P1952" s="70">
        <v>2382</v>
      </c>
    </row>
    <row r="1953" spans="13:16" x14ac:dyDescent="0.15">
      <c r="M1953" s="35" t="s">
        <v>1137</v>
      </c>
      <c r="N1953" s="35" t="s">
        <v>278</v>
      </c>
      <c r="O1953" s="68">
        <v>2024.28</v>
      </c>
      <c r="P1953" s="70">
        <v>78.55</v>
      </c>
    </row>
    <row r="1954" spans="13:16" x14ac:dyDescent="0.15">
      <c r="M1954" s="35" t="s">
        <v>1112</v>
      </c>
      <c r="N1954" s="35" t="s">
        <v>1297</v>
      </c>
      <c r="O1954" s="68">
        <v>2024.44</v>
      </c>
      <c r="P1954" s="70">
        <v>10490.97</v>
      </c>
    </row>
    <row r="1955" spans="13:16" x14ac:dyDescent="0.15">
      <c r="M1955" s="35" t="s">
        <v>1112</v>
      </c>
      <c r="N1955" s="35" t="s">
        <v>1297</v>
      </c>
      <c r="O1955" s="68">
        <v>2024.41</v>
      </c>
      <c r="P1955" s="70">
        <v>21364.21</v>
      </c>
    </row>
    <row r="1956" spans="13:16" x14ac:dyDescent="0.15">
      <c r="M1956" s="35" t="s">
        <v>1112</v>
      </c>
      <c r="N1956" s="35" t="s">
        <v>1297</v>
      </c>
      <c r="O1956" s="68">
        <v>2024.05</v>
      </c>
      <c r="P1956" s="70">
        <v>18431.12</v>
      </c>
    </row>
    <row r="1957" spans="13:16" x14ac:dyDescent="0.15">
      <c r="M1957" s="35" t="s">
        <v>1112</v>
      </c>
      <c r="N1957" s="35" t="s">
        <v>1297</v>
      </c>
      <c r="O1957" s="68">
        <v>2024.2</v>
      </c>
      <c r="P1957" s="70">
        <v>22590.34</v>
      </c>
    </row>
    <row r="1958" spans="13:16" x14ac:dyDescent="0.15">
      <c r="M1958" s="35" t="s">
        <v>1112</v>
      </c>
      <c r="N1958" s="35" t="s">
        <v>1297</v>
      </c>
      <c r="O1958" s="68">
        <v>2024.21</v>
      </c>
      <c r="P1958" s="70">
        <v>22941.3</v>
      </c>
    </row>
    <row r="1959" spans="13:16" x14ac:dyDescent="0.15">
      <c r="M1959" s="35" t="s">
        <v>1112</v>
      </c>
      <c r="N1959" s="35" t="s">
        <v>1297</v>
      </c>
      <c r="O1959" s="68">
        <v>2024.06</v>
      </c>
      <c r="P1959" s="70">
        <v>17229.080000000002</v>
      </c>
    </row>
    <row r="1960" spans="13:16" x14ac:dyDescent="0.15">
      <c r="M1960" s="35" t="s">
        <v>1112</v>
      </c>
      <c r="N1960" s="35" t="s">
        <v>1297</v>
      </c>
      <c r="O1960" s="68">
        <v>2024.14</v>
      </c>
      <c r="P1960" s="70">
        <v>21148.67</v>
      </c>
    </row>
    <row r="1961" spans="13:16" x14ac:dyDescent="0.15">
      <c r="M1961" s="35" t="s">
        <v>1112</v>
      </c>
      <c r="N1961" s="35" t="s">
        <v>1297</v>
      </c>
      <c r="O1961" s="68">
        <v>2024.49</v>
      </c>
      <c r="P1961" s="70">
        <v>10225.799999999999</v>
      </c>
    </row>
    <row r="1962" spans="13:16" x14ac:dyDescent="0.15">
      <c r="M1962" s="35" t="s">
        <v>1112</v>
      </c>
      <c r="N1962" s="35" t="s">
        <v>1297</v>
      </c>
      <c r="O1962" s="68">
        <v>2024.12</v>
      </c>
      <c r="P1962" s="70">
        <v>21480.05</v>
      </c>
    </row>
    <row r="1963" spans="13:16" x14ac:dyDescent="0.15">
      <c r="M1963" s="35" t="s">
        <v>1112</v>
      </c>
      <c r="N1963" s="35" t="s">
        <v>1297</v>
      </c>
      <c r="O1963" s="68">
        <v>2024.17</v>
      </c>
      <c r="P1963" s="70">
        <v>20981.63</v>
      </c>
    </row>
    <row r="1964" spans="13:16" x14ac:dyDescent="0.15">
      <c r="M1964" s="35" t="s">
        <v>1112</v>
      </c>
      <c r="N1964" s="35" t="s">
        <v>1297</v>
      </c>
      <c r="O1964" s="68">
        <v>2024.48</v>
      </c>
      <c r="P1964" s="70">
        <v>10225.799999999999</v>
      </c>
    </row>
    <row r="1965" spans="13:16" x14ac:dyDescent="0.15">
      <c r="M1965" s="35" t="s">
        <v>1112</v>
      </c>
      <c r="N1965" s="35" t="s">
        <v>1297</v>
      </c>
      <c r="O1965" s="68">
        <v>2025.03</v>
      </c>
      <c r="P1965" s="70">
        <v>9358.8799999999992</v>
      </c>
    </row>
    <row r="1966" spans="13:16" x14ac:dyDescent="0.15">
      <c r="M1966" s="35" t="s">
        <v>1112</v>
      </c>
      <c r="N1966" s="35" t="s">
        <v>1297</v>
      </c>
      <c r="O1966" s="68">
        <v>2024.09</v>
      </c>
      <c r="P1966" s="70">
        <v>28037.81</v>
      </c>
    </row>
    <row r="1967" spans="13:16" x14ac:dyDescent="0.15">
      <c r="M1967" s="35" t="s">
        <v>1112</v>
      </c>
      <c r="N1967" s="35" t="s">
        <v>1297</v>
      </c>
      <c r="O1967" s="68">
        <v>2023.51</v>
      </c>
      <c r="P1967" s="70">
        <v>81.739999999999995</v>
      </c>
    </row>
    <row r="1968" spans="13:16" x14ac:dyDescent="0.15">
      <c r="M1968" s="35" t="s">
        <v>1112</v>
      </c>
      <c r="N1968" s="35" t="s">
        <v>1297</v>
      </c>
      <c r="O1968" s="68">
        <v>2024.39</v>
      </c>
      <c r="P1968" s="70">
        <v>22359.22</v>
      </c>
    </row>
    <row r="1969" spans="13:16" x14ac:dyDescent="0.15">
      <c r="M1969" s="35" t="s">
        <v>1112</v>
      </c>
      <c r="N1969" s="35" t="s">
        <v>1297</v>
      </c>
      <c r="O1969" s="68">
        <v>2024.1</v>
      </c>
      <c r="P1969" s="70">
        <v>26113.68</v>
      </c>
    </row>
    <row r="1970" spans="13:16" x14ac:dyDescent="0.15">
      <c r="M1970" s="35" t="s">
        <v>1112</v>
      </c>
      <c r="N1970" s="35" t="s">
        <v>1297</v>
      </c>
      <c r="O1970" s="68">
        <v>2024.38</v>
      </c>
      <c r="P1970" s="70">
        <v>22359.22</v>
      </c>
    </row>
    <row r="1971" spans="13:16" x14ac:dyDescent="0.15">
      <c r="M1971" s="35" t="s">
        <v>1112</v>
      </c>
      <c r="N1971" s="35" t="s">
        <v>1297</v>
      </c>
      <c r="O1971" s="68">
        <v>2024.18</v>
      </c>
      <c r="P1971" s="70">
        <v>24408.04</v>
      </c>
    </row>
    <row r="1972" spans="13:16" x14ac:dyDescent="0.15">
      <c r="M1972" s="35" t="s">
        <v>1112</v>
      </c>
      <c r="N1972" s="35" t="s">
        <v>1297</v>
      </c>
      <c r="O1972" s="68">
        <v>2024.19</v>
      </c>
      <c r="P1972" s="70">
        <v>24262.49</v>
      </c>
    </row>
    <row r="1973" spans="13:16" x14ac:dyDescent="0.15">
      <c r="M1973" s="35" t="s">
        <v>1112</v>
      </c>
      <c r="N1973" s="35" t="s">
        <v>1297</v>
      </c>
      <c r="O1973" s="68">
        <v>2024.07</v>
      </c>
      <c r="P1973" s="70">
        <v>19784.8</v>
      </c>
    </row>
    <row r="1974" spans="13:16" x14ac:dyDescent="0.15">
      <c r="M1974" s="35" t="s">
        <v>1112</v>
      </c>
      <c r="N1974" s="35" t="s">
        <v>1297</v>
      </c>
      <c r="O1974" s="68">
        <v>2024.08</v>
      </c>
      <c r="P1974" s="70">
        <v>23403.73</v>
      </c>
    </row>
    <row r="1975" spans="13:16" x14ac:dyDescent="0.15">
      <c r="M1975" s="35" t="s">
        <v>1112</v>
      </c>
      <c r="N1975" s="35" t="s">
        <v>1297</v>
      </c>
      <c r="O1975" s="68">
        <v>2024.11</v>
      </c>
      <c r="P1975" s="70">
        <v>26028.94</v>
      </c>
    </row>
    <row r="1976" spans="13:16" x14ac:dyDescent="0.15">
      <c r="M1976" s="35" t="s">
        <v>1112</v>
      </c>
      <c r="N1976" s="35" t="s">
        <v>1297</v>
      </c>
      <c r="O1976" s="68">
        <v>2024.43</v>
      </c>
      <c r="P1976" s="70">
        <v>11549.99</v>
      </c>
    </row>
    <row r="1977" spans="13:16" x14ac:dyDescent="0.15">
      <c r="M1977" s="35" t="s">
        <v>1112</v>
      </c>
      <c r="N1977" s="35" t="s">
        <v>1297</v>
      </c>
      <c r="O1977" s="68">
        <v>2024.47</v>
      </c>
      <c r="P1977" s="70">
        <v>10225.89</v>
      </c>
    </row>
    <row r="1978" spans="13:16" x14ac:dyDescent="0.15">
      <c r="M1978" s="35" t="s">
        <v>1112</v>
      </c>
      <c r="N1978" s="35" t="s">
        <v>1297</v>
      </c>
      <c r="O1978" s="68">
        <v>2024.45</v>
      </c>
      <c r="P1978" s="70">
        <v>10490.97</v>
      </c>
    </row>
    <row r="1979" spans="13:16" x14ac:dyDescent="0.15">
      <c r="M1979" s="35" t="s">
        <v>1112</v>
      </c>
      <c r="N1979" s="35" t="s">
        <v>1297</v>
      </c>
      <c r="O1979" s="68">
        <v>2024.28</v>
      </c>
      <c r="P1979" s="70">
        <v>22359.22</v>
      </c>
    </row>
    <row r="1980" spans="13:16" x14ac:dyDescent="0.15">
      <c r="M1980" s="35" t="s">
        <v>1112</v>
      </c>
      <c r="N1980" s="35" t="s">
        <v>1299</v>
      </c>
      <c r="O1980" s="68">
        <v>2024.44</v>
      </c>
      <c r="P1980" s="70">
        <v>1075.8599999999999</v>
      </c>
    </row>
    <row r="1981" spans="13:16" x14ac:dyDescent="0.15">
      <c r="M1981" s="35" t="s">
        <v>1112</v>
      </c>
      <c r="N1981" s="35" t="s">
        <v>1299</v>
      </c>
      <c r="O1981" s="68">
        <v>2024.41</v>
      </c>
      <c r="P1981" s="70">
        <v>1033.6300000000001</v>
      </c>
    </row>
    <row r="1982" spans="13:16" x14ac:dyDescent="0.15">
      <c r="M1982" s="35" t="s">
        <v>1112</v>
      </c>
      <c r="N1982" s="35" t="s">
        <v>1299</v>
      </c>
      <c r="O1982" s="68">
        <v>2024.05</v>
      </c>
      <c r="P1982" s="70">
        <v>1692.95</v>
      </c>
    </row>
    <row r="1983" spans="13:16" x14ac:dyDescent="0.15">
      <c r="M1983" s="35" t="s">
        <v>1112</v>
      </c>
      <c r="N1983" s="35" t="s">
        <v>1299</v>
      </c>
      <c r="O1983" s="68">
        <v>2024.2</v>
      </c>
      <c r="P1983" s="70">
        <v>1211.83</v>
      </c>
    </row>
    <row r="1984" spans="13:16" x14ac:dyDescent="0.15">
      <c r="M1984" s="35" t="s">
        <v>1112</v>
      </c>
      <c r="N1984" s="35" t="s">
        <v>1299</v>
      </c>
      <c r="O1984" s="68">
        <v>2024.21</v>
      </c>
      <c r="P1984" s="70">
        <v>1176.33</v>
      </c>
    </row>
    <row r="1985" spans="13:16" x14ac:dyDescent="0.15">
      <c r="M1985" s="35" t="s">
        <v>1112</v>
      </c>
      <c r="N1985" s="35" t="s">
        <v>1299</v>
      </c>
      <c r="O1985" s="68">
        <v>2024.06</v>
      </c>
      <c r="P1985" s="70">
        <v>1692.95</v>
      </c>
    </row>
    <row r="1986" spans="13:16" x14ac:dyDescent="0.15">
      <c r="M1986" s="35" t="s">
        <v>1112</v>
      </c>
      <c r="N1986" s="35" t="s">
        <v>1299</v>
      </c>
      <c r="O1986" s="68">
        <v>2024.14</v>
      </c>
      <c r="P1986" s="70">
        <v>1033.6300000000001</v>
      </c>
    </row>
    <row r="1987" spans="13:16" x14ac:dyDescent="0.15">
      <c r="M1987" s="35" t="s">
        <v>1112</v>
      </c>
      <c r="N1987" s="35" t="s">
        <v>1299</v>
      </c>
      <c r="O1987" s="68">
        <v>2024.49</v>
      </c>
      <c r="P1987" s="70">
        <v>1015.38</v>
      </c>
    </row>
    <row r="1988" spans="13:16" x14ac:dyDescent="0.15">
      <c r="M1988" s="35" t="s">
        <v>1112</v>
      </c>
      <c r="N1988" s="35" t="s">
        <v>1299</v>
      </c>
      <c r="O1988" s="68">
        <v>2024.12</v>
      </c>
      <c r="P1988" s="70">
        <v>1033.6300000000001</v>
      </c>
    </row>
    <row r="1989" spans="13:16" x14ac:dyDescent="0.15">
      <c r="M1989" s="35" t="s">
        <v>1112</v>
      </c>
      <c r="N1989" s="35" t="s">
        <v>1299</v>
      </c>
      <c r="O1989" s="68">
        <v>2024.17</v>
      </c>
      <c r="P1989" s="70">
        <v>1114.58</v>
      </c>
    </row>
    <row r="1990" spans="13:16" x14ac:dyDescent="0.15">
      <c r="M1990" s="35" t="s">
        <v>1112</v>
      </c>
      <c r="N1990" s="35" t="s">
        <v>1299</v>
      </c>
      <c r="O1990" s="68">
        <v>2024.48</v>
      </c>
      <c r="P1990" s="70">
        <v>1015.38</v>
      </c>
    </row>
    <row r="1991" spans="13:16" x14ac:dyDescent="0.15">
      <c r="M1991" s="35" t="s">
        <v>1112</v>
      </c>
      <c r="N1991" s="35" t="s">
        <v>1299</v>
      </c>
      <c r="O1991" s="68">
        <v>2025.03</v>
      </c>
      <c r="P1991" s="70">
        <v>1015.38</v>
      </c>
    </row>
    <row r="1992" spans="13:16" x14ac:dyDescent="0.15">
      <c r="M1992" s="35" t="s">
        <v>1112</v>
      </c>
      <c r="N1992" s="35" t="s">
        <v>1299</v>
      </c>
      <c r="O1992" s="68">
        <v>2024.09</v>
      </c>
      <c r="P1992" s="70">
        <v>1016.58</v>
      </c>
    </row>
    <row r="1993" spans="13:16" x14ac:dyDescent="0.15">
      <c r="M1993" s="35" t="s">
        <v>1112</v>
      </c>
      <c r="N1993" s="35" t="s">
        <v>1299</v>
      </c>
      <c r="O1993" s="68">
        <v>2023.51</v>
      </c>
      <c r="P1993" s="70">
        <v>1709.04</v>
      </c>
    </row>
    <row r="1994" spans="13:16" x14ac:dyDescent="0.15">
      <c r="M1994" s="35" t="s">
        <v>1112</v>
      </c>
      <c r="N1994" s="35" t="s">
        <v>1299</v>
      </c>
      <c r="O1994" s="68">
        <v>2024.39</v>
      </c>
      <c r="P1994" s="70">
        <v>1033.6300000000001</v>
      </c>
    </row>
    <row r="1995" spans="13:16" x14ac:dyDescent="0.15">
      <c r="M1995" s="35" t="s">
        <v>1112</v>
      </c>
      <c r="N1995" s="35" t="s">
        <v>1299</v>
      </c>
      <c r="O1995" s="68">
        <v>2024.1</v>
      </c>
      <c r="P1995" s="70">
        <v>996.53</v>
      </c>
    </row>
    <row r="1996" spans="13:16" x14ac:dyDescent="0.15">
      <c r="M1996" s="35" t="s">
        <v>1112</v>
      </c>
      <c r="N1996" s="35" t="s">
        <v>1299</v>
      </c>
      <c r="O1996" s="68">
        <v>2024.38</v>
      </c>
      <c r="P1996" s="70">
        <v>1033.6300000000001</v>
      </c>
    </row>
    <row r="1997" spans="13:16" x14ac:dyDescent="0.15">
      <c r="M1997" s="35" t="s">
        <v>1112</v>
      </c>
      <c r="N1997" s="35" t="s">
        <v>1299</v>
      </c>
      <c r="O1997" s="68">
        <v>2024.18</v>
      </c>
      <c r="P1997" s="70">
        <v>1110.43</v>
      </c>
    </row>
    <row r="1998" spans="13:16" x14ac:dyDescent="0.15">
      <c r="M1998" s="35" t="s">
        <v>1112</v>
      </c>
      <c r="N1998" s="35" t="s">
        <v>1299</v>
      </c>
      <c r="O1998" s="68">
        <v>2024.19</v>
      </c>
      <c r="P1998" s="70">
        <v>1110.43</v>
      </c>
    </row>
    <row r="1999" spans="13:16" x14ac:dyDescent="0.15">
      <c r="M1999" s="35" t="s">
        <v>1112</v>
      </c>
      <c r="N1999" s="35" t="s">
        <v>1299</v>
      </c>
      <c r="O1999" s="68">
        <v>2024.07</v>
      </c>
      <c r="P1999" s="70">
        <v>1770.82</v>
      </c>
    </row>
    <row r="2000" spans="13:16" x14ac:dyDescent="0.15">
      <c r="M2000" s="35" t="s">
        <v>1112</v>
      </c>
      <c r="N2000" s="35" t="s">
        <v>1299</v>
      </c>
      <c r="O2000" s="68">
        <v>2024.08</v>
      </c>
      <c r="P2000" s="70">
        <v>1016.58</v>
      </c>
    </row>
    <row r="2001" spans="13:16" x14ac:dyDescent="0.15">
      <c r="M2001" s="35" t="s">
        <v>1112</v>
      </c>
      <c r="N2001" s="35" t="s">
        <v>1299</v>
      </c>
      <c r="O2001" s="68">
        <v>2024.11</v>
      </c>
      <c r="P2001" s="70">
        <v>962.19</v>
      </c>
    </row>
    <row r="2002" spans="13:16" x14ac:dyDescent="0.15">
      <c r="M2002" s="35" t="s">
        <v>1112</v>
      </c>
      <c r="N2002" s="35" t="s">
        <v>1299</v>
      </c>
      <c r="O2002" s="68">
        <v>2024.43</v>
      </c>
      <c r="P2002" s="70">
        <v>1033.6300000000001</v>
      </c>
    </row>
    <row r="2003" spans="13:16" x14ac:dyDescent="0.15">
      <c r="M2003" s="35" t="s">
        <v>1112</v>
      </c>
      <c r="N2003" s="35" t="s">
        <v>1299</v>
      </c>
      <c r="O2003" s="68">
        <v>2024.47</v>
      </c>
      <c r="P2003" s="70">
        <v>1015.74</v>
      </c>
    </row>
    <row r="2004" spans="13:16" x14ac:dyDescent="0.15">
      <c r="M2004" s="35" t="s">
        <v>1112</v>
      </c>
      <c r="N2004" s="35" t="s">
        <v>1299</v>
      </c>
      <c r="O2004" s="68">
        <v>2024.45</v>
      </c>
      <c r="P2004" s="70">
        <v>1015.38</v>
      </c>
    </row>
    <row r="2005" spans="13:16" x14ac:dyDescent="0.15">
      <c r="M2005" s="35" t="s">
        <v>1112</v>
      </c>
      <c r="N2005" s="35" t="s">
        <v>1299</v>
      </c>
      <c r="O2005" s="68">
        <v>2024.28</v>
      </c>
      <c r="P2005" s="70">
        <v>1074.93</v>
      </c>
    </row>
    <row r="2006" spans="13:16" x14ac:dyDescent="0.15">
      <c r="M2006" s="35" t="s">
        <v>1112</v>
      </c>
      <c r="N2006" s="35" t="s">
        <v>1300</v>
      </c>
      <c r="O2006" s="68">
        <v>2024.44</v>
      </c>
      <c r="P2006" s="70">
        <v>425.56</v>
      </c>
    </row>
    <row r="2007" spans="13:16" x14ac:dyDescent="0.15">
      <c r="M2007" s="35" t="s">
        <v>1112</v>
      </c>
      <c r="N2007" s="35" t="s">
        <v>1300</v>
      </c>
      <c r="O2007" s="68">
        <v>2024.41</v>
      </c>
      <c r="P2007" s="70">
        <v>425.56</v>
      </c>
    </row>
    <row r="2008" spans="13:16" x14ac:dyDescent="0.15">
      <c r="M2008" s="35" t="s">
        <v>1112</v>
      </c>
      <c r="N2008" s="35" t="s">
        <v>1300</v>
      </c>
      <c r="O2008" s="68">
        <v>2024.05</v>
      </c>
      <c r="P2008" s="70">
        <v>21.01</v>
      </c>
    </row>
    <row r="2009" spans="13:16" x14ac:dyDescent="0.15">
      <c r="M2009" s="35" t="s">
        <v>1112</v>
      </c>
      <c r="N2009" s="35" t="s">
        <v>1300</v>
      </c>
      <c r="O2009" s="68">
        <v>2024.2</v>
      </c>
      <c r="P2009" s="70">
        <v>425.56</v>
      </c>
    </row>
    <row r="2010" spans="13:16" x14ac:dyDescent="0.15">
      <c r="M2010" s="35" t="s">
        <v>1112</v>
      </c>
      <c r="N2010" s="35" t="s">
        <v>1300</v>
      </c>
      <c r="O2010" s="68">
        <v>2024.21</v>
      </c>
      <c r="P2010" s="70">
        <v>425.56</v>
      </c>
    </row>
    <row r="2011" spans="13:16" x14ac:dyDescent="0.15">
      <c r="M2011" s="35" t="s">
        <v>1112</v>
      </c>
      <c r="N2011" s="35" t="s">
        <v>1300</v>
      </c>
      <c r="O2011" s="68">
        <v>2024.06</v>
      </c>
      <c r="P2011" s="70">
        <v>21.01</v>
      </c>
    </row>
    <row r="2012" spans="13:16" x14ac:dyDescent="0.15">
      <c r="M2012" s="35" t="s">
        <v>1112</v>
      </c>
      <c r="N2012" s="35" t="s">
        <v>1300</v>
      </c>
      <c r="O2012" s="68">
        <v>2024.14</v>
      </c>
      <c r="P2012" s="70">
        <v>1241.55</v>
      </c>
    </row>
    <row r="2013" spans="13:16" x14ac:dyDescent="0.15">
      <c r="M2013" s="35" t="s">
        <v>1112</v>
      </c>
      <c r="N2013" s="35" t="s">
        <v>1300</v>
      </c>
      <c r="O2013" s="68">
        <v>2024.49</v>
      </c>
      <c r="P2013" s="70">
        <v>425.56</v>
      </c>
    </row>
    <row r="2014" spans="13:16" x14ac:dyDescent="0.15">
      <c r="M2014" s="35" t="s">
        <v>1112</v>
      </c>
      <c r="N2014" s="35" t="s">
        <v>1300</v>
      </c>
      <c r="O2014" s="68">
        <v>2024.12</v>
      </c>
      <c r="P2014" s="70">
        <v>1241.55</v>
      </c>
    </row>
    <row r="2015" spans="13:16" x14ac:dyDescent="0.15">
      <c r="M2015" s="35" t="s">
        <v>1112</v>
      </c>
      <c r="N2015" s="35" t="s">
        <v>1300</v>
      </c>
      <c r="O2015" s="68">
        <v>2024.17</v>
      </c>
      <c r="P2015" s="70">
        <v>1241.55</v>
      </c>
    </row>
    <row r="2016" spans="13:16" x14ac:dyDescent="0.15">
      <c r="M2016" s="35" t="s">
        <v>1112</v>
      </c>
      <c r="N2016" s="35" t="s">
        <v>1300</v>
      </c>
      <c r="O2016" s="68">
        <v>2024.48</v>
      </c>
      <c r="P2016" s="70">
        <v>425.56</v>
      </c>
    </row>
    <row r="2017" spans="13:16" x14ac:dyDescent="0.15">
      <c r="M2017" s="35" t="s">
        <v>1112</v>
      </c>
      <c r="N2017" s="35" t="s">
        <v>1300</v>
      </c>
      <c r="O2017" s="68">
        <v>2025.03</v>
      </c>
      <c r="P2017" s="70">
        <v>425.56</v>
      </c>
    </row>
    <row r="2018" spans="13:16" x14ac:dyDescent="0.15">
      <c r="M2018" s="35" t="s">
        <v>1112</v>
      </c>
      <c r="N2018" s="35" t="s">
        <v>1300</v>
      </c>
      <c r="O2018" s="68">
        <v>2024.09</v>
      </c>
      <c r="P2018" s="70">
        <v>1241.55</v>
      </c>
    </row>
    <row r="2019" spans="13:16" x14ac:dyDescent="0.15">
      <c r="M2019" s="35" t="s">
        <v>1112</v>
      </c>
      <c r="N2019" s="35" t="s">
        <v>1300</v>
      </c>
      <c r="O2019" s="68">
        <v>2023.51</v>
      </c>
      <c r="P2019" s="70">
        <v>111.83</v>
      </c>
    </row>
    <row r="2020" spans="13:16" x14ac:dyDescent="0.15">
      <c r="M2020" s="35" t="s">
        <v>1112</v>
      </c>
      <c r="N2020" s="35" t="s">
        <v>1300</v>
      </c>
      <c r="O2020" s="68">
        <v>2024.39</v>
      </c>
      <c r="P2020" s="70">
        <v>425.56</v>
      </c>
    </row>
    <row r="2021" spans="13:16" x14ac:dyDescent="0.15">
      <c r="M2021" s="35" t="s">
        <v>1112</v>
      </c>
      <c r="N2021" s="35" t="s">
        <v>1300</v>
      </c>
      <c r="O2021" s="68">
        <v>2024.1</v>
      </c>
      <c r="P2021" s="70">
        <v>1241.55</v>
      </c>
    </row>
    <row r="2022" spans="13:16" x14ac:dyDescent="0.15">
      <c r="M2022" s="35" t="s">
        <v>1112</v>
      </c>
      <c r="N2022" s="35" t="s">
        <v>1300</v>
      </c>
      <c r="O2022" s="68">
        <v>2024.38</v>
      </c>
      <c r="P2022" s="70">
        <v>425.56</v>
      </c>
    </row>
    <row r="2023" spans="13:16" x14ac:dyDescent="0.15">
      <c r="M2023" s="35" t="s">
        <v>1112</v>
      </c>
      <c r="N2023" s="35" t="s">
        <v>1300</v>
      </c>
      <c r="O2023" s="68">
        <v>2024.18</v>
      </c>
      <c r="P2023" s="70">
        <v>425.56</v>
      </c>
    </row>
    <row r="2024" spans="13:16" x14ac:dyDescent="0.15">
      <c r="M2024" s="35" t="s">
        <v>1112</v>
      </c>
      <c r="N2024" s="35" t="s">
        <v>1300</v>
      </c>
      <c r="O2024" s="68">
        <v>2024.19</v>
      </c>
      <c r="P2024" s="70">
        <v>646.94000000000005</v>
      </c>
    </row>
    <row r="2025" spans="13:16" x14ac:dyDescent="0.15">
      <c r="M2025" s="35" t="s">
        <v>1112</v>
      </c>
      <c r="N2025" s="35" t="s">
        <v>1300</v>
      </c>
      <c r="O2025" s="68">
        <v>2024.07</v>
      </c>
      <c r="P2025" s="70">
        <v>1241.55</v>
      </c>
    </row>
    <row r="2026" spans="13:16" x14ac:dyDescent="0.15">
      <c r="M2026" s="35" t="s">
        <v>1112</v>
      </c>
      <c r="N2026" s="35" t="s">
        <v>1300</v>
      </c>
      <c r="O2026" s="68">
        <v>2024.08</v>
      </c>
      <c r="P2026" s="70">
        <v>1241.55</v>
      </c>
    </row>
    <row r="2027" spans="13:16" x14ac:dyDescent="0.15">
      <c r="M2027" s="35" t="s">
        <v>1112</v>
      </c>
      <c r="N2027" s="35" t="s">
        <v>1300</v>
      </c>
      <c r="O2027" s="68">
        <v>2024.11</v>
      </c>
      <c r="P2027" s="70">
        <v>1241.55</v>
      </c>
    </row>
    <row r="2028" spans="13:16" x14ac:dyDescent="0.15">
      <c r="M2028" s="35" t="s">
        <v>1112</v>
      </c>
      <c r="N2028" s="35" t="s">
        <v>1300</v>
      </c>
      <c r="O2028" s="68">
        <v>2024.43</v>
      </c>
      <c r="P2028" s="70">
        <v>425.56</v>
      </c>
    </row>
    <row r="2029" spans="13:16" x14ac:dyDescent="0.15">
      <c r="M2029" s="35" t="s">
        <v>1112</v>
      </c>
      <c r="N2029" s="35" t="s">
        <v>1300</v>
      </c>
      <c r="O2029" s="68">
        <v>2024.47</v>
      </c>
      <c r="P2029" s="70">
        <v>425.56</v>
      </c>
    </row>
    <row r="2030" spans="13:16" x14ac:dyDescent="0.15">
      <c r="M2030" s="35" t="s">
        <v>1112</v>
      </c>
      <c r="N2030" s="35" t="s">
        <v>1300</v>
      </c>
      <c r="O2030" s="68">
        <v>2024.45</v>
      </c>
      <c r="P2030" s="70">
        <v>425.56</v>
      </c>
    </row>
    <row r="2031" spans="13:16" x14ac:dyDescent="0.15">
      <c r="M2031" s="35" t="s">
        <v>1112</v>
      </c>
      <c r="N2031" s="35" t="s">
        <v>1300</v>
      </c>
      <c r="O2031" s="68">
        <v>2024.28</v>
      </c>
      <c r="P2031" s="70">
        <v>425.56</v>
      </c>
    </row>
    <row r="2032" spans="13:16" x14ac:dyDescent="0.15">
      <c r="M2032" s="35" t="s">
        <v>1112</v>
      </c>
      <c r="N2032" s="35" t="s">
        <v>282</v>
      </c>
      <c r="O2032" s="68">
        <v>2024.2</v>
      </c>
      <c r="P2032" s="70">
        <v>39576</v>
      </c>
    </row>
    <row r="2033" spans="13:16" x14ac:dyDescent="0.15">
      <c r="M2033" s="35" t="s">
        <v>1112</v>
      </c>
      <c r="N2033" s="35" t="s">
        <v>282</v>
      </c>
      <c r="O2033" s="68">
        <v>2024.21</v>
      </c>
      <c r="P2033" s="70">
        <v>32354</v>
      </c>
    </row>
    <row r="2034" spans="13:16" x14ac:dyDescent="0.15">
      <c r="M2034" s="35" t="s">
        <v>1112</v>
      </c>
      <c r="N2034" s="35" t="s">
        <v>282</v>
      </c>
      <c r="O2034" s="68">
        <v>2024.38</v>
      </c>
      <c r="P2034" s="70">
        <v>32354</v>
      </c>
    </row>
    <row r="2035" spans="13:16" x14ac:dyDescent="0.15">
      <c r="M2035" s="35" t="s">
        <v>1112</v>
      </c>
      <c r="N2035" s="35" t="s">
        <v>282</v>
      </c>
      <c r="O2035" s="68">
        <v>2024.18</v>
      </c>
      <c r="P2035" s="70">
        <v>39576</v>
      </c>
    </row>
    <row r="2036" spans="13:16" x14ac:dyDescent="0.15">
      <c r="M2036" s="35" t="s">
        <v>1112</v>
      </c>
      <c r="N2036" s="35" t="s">
        <v>282</v>
      </c>
      <c r="O2036" s="68">
        <v>2024.19</v>
      </c>
      <c r="P2036" s="70">
        <v>39576</v>
      </c>
    </row>
    <row r="2037" spans="13:16" x14ac:dyDescent="0.15">
      <c r="M2037" s="35" t="s">
        <v>1112</v>
      </c>
      <c r="N2037" s="35" t="s">
        <v>282</v>
      </c>
      <c r="O2037" s="68">
        <v>2024.28</v>
      </c>
      <c r="P2037" s="70">
        <v>32354</v>
      </c>
    </row>
    <row r="2038" spans="13:16" x14ac:dyDescent="0.15">
      <c r="M2038" s="35" t="s">
        <v>1111</v>
      </c>
      <c r="N2038" s="35" t="s">
        <v>1295</v>
      </c>
      <c r="O2038" s="68">
        <v>2024.44</v>
      </c>
      <c r="P2038" s="70">
        <v>3319588.86</v>
      </c>
    </row>
    <row r="2039" spans="13:16" x14ac:dyDescent="0.15">
      <c r="M2039" s="35" t="s">
        <v>1111</v>
      </c>
      <c r="N2039" s="35" t="s">
        <v>1295</v>
      </c>
      <c r="O2039" s="68">
        <v>2024.41</v>
      </c>
      <c r="P2039" s="70">
        <v>2933414.05</v>
      </c>
    </row>
    <row r="2040" spans="13:16" x14ac:dyDescent="0.15">
      <c r="M2040" s="35" t="s">
        <v>1111</v>
      </c>
      <c r="N2040" s="35" t="s">
        <v>1295</v>
      </c>
      <c r="O2040" s="68">
        <v>2024.05</v>
      </c>
      <c r="P2040" s="70">
        <v>2892719.48</v>
      </c>
    </row>
    <row r="2041" spans="13:16" x14ac:dyDescent="0.15">
      <c r="M2041" s="35" t="s">
        <v>1111</v>
      </c>
      <c r="N2041" s="35" t="s">
        <v>1295</v>
      </c>
      <c r="O2041" s="68">
        <v>2024.2</v>
      </c>
      <c r="P2041" s="70">
        <v>3305909.61</v>
      </c>
    </row>
    <row r="2042" spans="13:16" x14ac:dyDescent="0.15">
      <c r="M2042" s="35" t="s">
        <v>1111</v>
      </c>
      <c r="N2042" s="35" t="s">
        <v>1295</v>
      </c>
      <c r="O2042" s="68">
        <v>2024.21</v>
      </c>
      <c r="P2042" s="70">
        <v>3301785.59</v>
      </c>
    </row>
    <row r="2043" spans="13:16" x14ac:dyDescent="0.15">
      <c r="M2043" s="35" t="s">
        <v>1111</v>
      </c>
      <c r="N2043" s="35" t="s">
        <v>1295</v>
      </c>
      <c r="O2043" s="68">
        <v>2024.06</v>
      </c>
      <c r="P2043" s="70">
        <v>2925603.57</v>
      </c>
    </row>
    <row r="2044" spans="13:16" x14ac:dyDescent="0.15">
      <c r="M2044" s="35" t="s">
        <v>1111</v>
      </c>
      <c r="N2044" s="35" t="s">
        <v>1295</v>
      </c>
      <c r="O2044" s="68">
        <v>2024.14</v>
      </c>
      <c r="P2044" s="70">
        <v>3436181.92</v>
      </c>
    </row>
    <row r="2045" spans="13:16" x14ac:dyDescent="0.15">
      <c r="M2045" s="35" t="s">
        <v>1111</v>
      </c>
      <c r="N2045" s="35" t="s">
        <v>1295</v>
      </c>
      <c r="O2045" s="68">
        <v>2024.49</v>
      </c>
      <c r="P2045" s="70">
        <v>3557734.24</v>
      </c>
    </row>
    <row r="2046" spans="13:16" x14ac:dyDescent="0.15">
      <c r="M2046" s="35" t="s">
        <v>1111</v>
      </c>
      <c r="N2046" s="35" t="s">
        <v>1295</v>
      </c>
      <c r="O2046" s="68">
        <v>2024.12</v>
      </c>
      <c r="P2046" s="70">
        <v>3476165.11</v>
      </c>
    </row>
    <row r="2047" spans="13:16" x14ac:dyDescent="0.15">
      <c r="M2047" s="35" t="s">
        <v>1111</v>
      </c>
      <c r="N2047" s="35" t="s">
        <v>1295</v>
      </c>
      <c r="O2047" s="68">
        <v>2024.17</v>
      </c>
      <c r="P2047" s="70">
        <v>3429317.34</v>
      </c>
    </row>
    <row r="2048" spans="13:16" x14ac:dyDescent="0.15">
      <c r="M2048" s="35" t="s">
        <v>1111</v>
      </c>
      <c r="N2048" s="35" t="s">
        <v>1295</v>
      </c>
      <c r="O2048" s="68">
        <v>2024.48</v>
      </c>
      <c r="P2048" s="70">
        <v>3463179.38</v>
      </c>
    </row>
    <row r="2049" spans="13:16" x14ac:dyDescent="0.15">
      <c r="M2049" s="35" t="s">
        <v>1111</v>
      </c>
      <c r="N2049" s="35" t="s">
        <v>1295</v>
      </c>
      <c r="O2049" s="68">
        <v>2025.03</v>
      </c>
      <c r="P2049" s="70">
        <v>3635264.4</v>
      </c>
    </row>
    <row r="2050" spans="13:16" x14ac:dyDescent="0.15">
      <c r="M2050" s="35" t="s">
        <v>1111</v>
      </c>
      <c r="N2050" s="35" t="s">
        <v>1295</v>
      </c>
      <c r="O2050" s="68">
        <v>2024.09</v>
      </c>
      <c r="P2050" s="70">
        <v>3297359.76</v>
      </c>
    </row>
    <row r="2051" spans="13:16" x14ac:dyDescent="0.15">
      <c r="M2051" s="35" t="s">
        <v>1111</v>
      </c>
      <c r="N2051" s="35" t="s">
        <v>1295</v>
      </c>
      <c r="O2051" s="68">
        <v>2023.51</v>
      </c>
      <c r="P2051" s="70">
        <v>1186915.98</v>
      </c>
    </row>
    <row r="2052" spans="13:16" x14ac:dyDescent="0.15">
      <c r="M2052" s="35" t="s">
        <v>1111</v>
      </c>
      <c r="N2052" s="35" t="s">
        <v>1295</v>
      </c>
      <c r="O2052" s="68">
        <v>2024.39</v>
      </c>
      <c r="P2052" s="70">
        <v>2776365.56</v>
      </c>
    </row>
    <row r="2053" spans="13:16" x14ac:dyDescent="0.15">
      <c r="M2053" s="35" t="s">
        <v>1111</v>
      </c>
      <c r="N2053" s="35" t="s">
        <v>1295</v>
      </c>
      <c r="O2053" s="68">
        <v>2024.1</v>
      </c>
      <c r="P2053" s="70">
        <v>3381966.95</v>
      </c>
    </row>
    <row r="2054" spans="13:16" x14ac:dyDescent="0.15">
      <c r="M2054" s="35" t="s">
        <v>1111</v>
      </c>
      <c r="N2054" s="35" t="s">
        <v>1295</v>
      </c>
      <c r="O2054" s="68">
        <v>2024.38</v>
      </c>
      <c r="P2054" s="70">
        <v>3408153.15</v>
      </c>
    </row>
    <row r="2055" spans="13:16" x14ac:dyDescent="0.15">
      <c r="M2055" s="35" t="s">
        <v>1111</v>
      </c>
      <c r="N2055" s="35" t="s">
        <v>1295</v>
      </c>
      <c r="O2055" s="68">
        <v>2024.18</v>
      </c>
      <c r="P2055" s="70">
        <v>3273804.12</v>
      </c>
    </row>
    <row r="2056" spans="13:16" x14ac:dyDescent="0.15">
      <c r="M2056" s="35" t="s">
        <v>1111</v>
      </c>
      <c r="N2056" s="35" t="s">
        <v>1295</v>
      </c>
      <c r="O2056" s="68">
        <v>2024.19</v>
      </c>
      <c r="P2056" s="70">
        <v>3300518.52</v>
      </c>
    </row>
    <row r="2057" spans="13:16" x14ac:dyDescent="0.15">
      <c r="M2057" s="35" t="s">
        <v>1111</v>
      </c>
      <c r="N2057" s="35" t="s">
        <v>1295</v>
      </c>
      <c r="O2057" s="68">
        <v>2024.07</v>
      </c>
      <c r="P2057" s="70">
        <v>3019809.47</v>
      </c>
    </row>
    <row r="2058" spans="13:16" x14ac:dyDescent="0.15">
      <c r="M2058" s="35" t="s">
        <v>1111</v>
      </c>
      <c r="N2058" s="35" t="s">
        <v>1295</v>
      </c>
      <c r="O2058" s="68">
        <v>2024.08</v>
      </c>
      <c r="P2058" s="70">
        <v>3160753.29</v>
      </c>
    </row>
    <row r="2059" spans="13:16" x14ac:dyDescent="0.15">
      <c r="M2059" s="35" t="s">
        <v>1111</v>
      </c>
      <c r="N2059" s="35" t="s">
        <v>1295</v>
      </c>
      <c r="O2059" s="68">
        <v>2024.11</v>
      </c>
      <c r="P2059" s="70">
        <v>3469606.13</v>
      </c>
    </row>
    <row r="2060" spans="13:16" x14ac:dyDescent="0.15">
      <c r="M2060" s="35" t="s">
        <v>1111</v>
      </c>
      <c r="N2060" s="35" t="s">
        <v>1295</v>
      </c>
      <c r="O2060" s="68">
        <v>2024.43</v>
      </c>
      <c r="P2060" s="70">
        <v>3079346.31</v>
      </c>
    </row>
    <row r="2061" spans="13:16" x14ac:dyDescent="0.15">
      <c r="M2061" s="35" t="s">
        <v>1111</v>
      </c>
      <c r="N2061" s="35" t="s">
        <v>1295</v>
      </c>
      <c r="O2061" s="68">
        <v>2024.47</v>
      </c>
      <c r="P2061" s="70">
        <v>3444951.45</v>
      </c>
    </row>
    <row r="2062" spans="13:16" x14ac:dyDescent="0.15">
      <c r="M2062" s="35" t="s">
        <v>1111</v>
      </c>
      <c r="N2062" s="35" t="s">
        <v>1295</v>
      </c>
      <c r="O2062" s="68">
        <v>2024.45</v>
      </c>
      <c r="P2062" s="70">
        <v>3360453.17</v>
      </c>
    </row>
    <row r="2063" spans="13:16" x14ac:dyDescent="0.15">
      <c r="M2063" s="35" t="s">
        <v>1111</v>
      </c>
      <c r="N2063" s="35" t="s">
        <v>1295</v>
      </c>
      <c r="O2063" s="68">
        <v>2024.28</v>
      </c>
      <c r="P2063" s="70">
        <v>3371753.54</v>
      </c>
    </row>
  </sheetData>
  <dataConsolidate link="1"/>
  <phoneticPr fontId="36" type="noConversion"/>
  <dataValidations count="1">
    <dataValidation type="list" allowBlank="1" showInputMessage="1" showErrorMessage="1" sqref="G11:G12 D11:D12" xr:uid="{8B2A1EBB-CC72-4072-B9C4-9E812A7F321B}">
      <formula1>"O,X"</formula1>
    </dataValidation>
  </dataValidation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012C69-EDEB-4C87-AEA6-AC0CB4128F21}">
  <dimension ref="B2:H1002"/>
  <sheetViews>
    <sheetView workbookViewId="0">
      <selection activeCell="B2" sqref="B2:H1002"/>
    </sheetView>
  </sheetViews>
  <sheetFormatPr baseColWidth="10" defaultColWidth="8.83203125" defaultRowHeight="13" x14ac:dyDescent="0.15"/>
  <cols>
    <col min="3" max="3" width="11.6640625" bestFit="1" customWidth="1"/>
  </cols>
  <sheetData>
    <row r="2" spans="2:8" ht="14" x14ac:dyDescent="0.15">
      <c r="B2" s="71" t="s">
        <v>321</v>
      </c>
      <c r="C2" s="71" t="s">
        <v>1301</v>
      </c>
      <c r="D2" s="71" t="s">
        <v>320</v>
      </c>
      <c r="E2" s="71" t="s">
        <v>1302</v>
      </c>
      <c r="F2" s="71" t="s">
        <v>1292</v>
      </c>
      <c r="G2" s="71" t="s">
        <v>1294</v>
      </c>
      <c r="H2" s="71" t="s">
        <v>301</v>
      </c>
    </row>
    <row r="3" spans="2:8" ht="14" x14ac:dyDescent="0.15">
      <c r="B3" s="72">
        <v>133</v>
      </c>
      <c r="C3" s="72">
        <v>486</v>
      </c>
      <c r="D3" s="72">
        <v>31173</v>
      </c>
      <c r="E3" s="72">
        <v>45530.224309999998</v>
      </c>
      <c r="F3" s="72">
        <v>624125</v>
      </c>
      <c r="G3" s="72" t="s">
        <v>1293</v>
      </c>
      <c r="H3" s="72" t="s">
        <v>1141</v>
      </c>
    </row>
    <row r="4" spans="2:8" ht="14" x14ac:dyDescent="0.15">
      <c r="B4" s="72">
        <v>313</v>
      </c>
      <c r="C4" s="73">
        <v>1750</v>
      </c>
      <c r="D4" s="72">
        <v>31173</v>
      </c>
      <c r="E4" s="72">
        <v>45530.224309999998</v>
      </c>
      <c r="F4" s="72">
        <v>624125</v>
      </c>
      <c r="G4" s="72" t="s">
        <v>1293</v>
      </c>
      <c r="H4" s="72" t="s">
        <v>1141</v>
      </c>
    </row>
    <row r="5" spans="2:8" ht="14" x14ac:dyDescent="0.15">
      <c r="B5" s="72">
        <v>713</v>
      </c>
      <c r="C5" s="73">
        <v>7470</v>
      </c>
      <c r="D5" s="72">
        <v>31173</v>
      </c>
      <c r="E5" s="72">
        <v>45530.224309999998</v>
      </c>
      <c r="F5" s="72">
        <v>624125</v>
      </c>
      <c r="G5" s="72" t="s">
        <v>1293</v>
      </c>
      <c r="H5" s="72" t="s">
        <v>1141</v>
      </c>
    </row>
    <row r="6" spans="2:8" ht="14" x14ac:dyDescent="0.15">
      <c r="B6" s="72">
        <v>521</v>
      </c>
      <c r="C6" s="72">
        <v>516.84</v>
      </c>
      <c r="D6" s="72">
        <v>31173</v>
      </c>
      <c r="E6" s="72">
        <v>45530.224309999998</v>
      </c>
      <c r="F6" s="72">
        <v>624140</v>
      </c>
      <c r="G6" s="72" t="s">
        <v>1293</v>
      </c>
      <c r="H6" s="72" t="s">
        <v>1141</v>
      </c>
    </row>
    <row r="7" spans="2:8" ht="14" x14ac:dyDescent="0.15">
      <c r="B7" s="72">
        <v>523</v>
      </c>
      <c r="C7" s="73">
        <v>574099.19999999995</v>
      </c>
      <c r="D7" s="72">
        <v>31173</v>
      </c>
      <c r="E7" s="72">
        <v>45530.224309999998</v>
      </c>
      <c r="F7" s="72">
        <v>624140</v>
      </c>
      <c r="G7" s="72" t="s">
        <v>1293</v>
      </c>
      <c r="H7" s="72" t="s">
        <v>1141</v>
      </c>
    </row>
    <row r="8" spans="2:8" ht="14" x14ac:dyDescent="0.15">
      <c r="B8" s="72">
        <v>533</v>
      </c>
      <c r="C8" s="73">
        <v>330850.69</v>
      </c>
      <c r="D8" s="72">
        <v>31173</v>
      </c>
      <c r="E8" s="72">
        <v>45530.224309999998</v>
      </c>
      <c r="F8" s="72">
        <v>624140</v>
      </c>
      <c r="G8" s="72" t="s">
        <v>1293</v>
      </c>
      <c r="H8" s="72" t="s">
        <v>1141</v>
      </c>
    </row>
    <row r="9" spans="2:8" ht="14" x14ac:dyDescent="0.15">
      <c r="B9" s="72">
        <v>543</v>
      </c>
      <c r="C9" s="73">
        <v>6796</v>
      </c>
      <c r="D9" s="72">
        <v>31173</v>
      </c>
      <c r="E9" s="72">
        <v>45530.224309999998</v>
      </c>
      <c r="F9" s="72">
        <v>624140</v>
      </c>
      <c r="G9" s="72" t="s">
        <v>1293</v>
      </c>
      <c r="H9" s="72" t="s">
        <v>1141</v>
      </c>
    </row>
    <row r="10" spans="2:8" ht="14" x14ac:dyDescent="0.15">
      <c r="B10" s="72">
        <v>763</v>
      </c>
      <c r="C10" s="73">
        <v>2781.07</v>
      </c>
      <c r="D10" s="72">
        <v>31173</v>
      </c>
      <c r="E10" s="72">
        <v>45530.224309999998</v>
      </c>
      <c r="F10" s="72">
        <v>624140</v>
      </c>
      <c r="G10" s="72" t="s">
        <v>1293</v>
      </c>
      <c r="H10" s="72" t="s">
        <v>1141</v>
      </c>
    </row>
    <row r="11" spans="2:8" ht="14" x14ac:dyDescent="0.15">
      <c r="B11" s="72" t="s">
        <v>49</v>
      </c>
      <c r="C11" s="73">
        <v>2530</v>
      </c>
      <c r="D11" s="72">
        <v>31173</v>
      </c>
      <c r="E11" s="72">
        <v>45530.224309999998</v>
      </c>
      <c r="F11" s="72">
        <v>624140</v>
      </c>
      <c r="G11" s="72" t="s">
        <v>1293</v>
      </c>
      <c r="H11" s="72" t="s">
        <v>1141</v>
      </c>
    </row>
    <row r="12" spans="2:8" ht="14" x14ac:dyDescent="0.15">
      <c r="B12" s="72" t="s">
        <v>119</v>
      </c>
      <c r="C12" s="72">
        <v>389.7</v>
      </c>
      <c r="D12" s="72">
        <v>31173</v>
      </c>
      <c r="E12" s="72">
        <v>45530.224309999998</v>
      </c>
      <c r="F12" s="72">
        <v>624140</v>
      </c>
      <c r="G12" s="72" t="s">
        <v>1293</v>
      </c>
      <c r="H12" s="72" t="s">
        <v>1141</v>
      </c>
    </row>
    <row r="13" spans="2:8" ht="14" x14ac:dyDescent="0.15">
      <c r="B13" s="72">
        <v>311</v>
      </c>
      <c r="C13" s="73">
        <v>2003.04</v>
      </c>
      <c r="D13" s="72">
        <v>31173</v>
      </c>
      <c r="E13" s="72">
        <v>45530.224309999998</v>
      </c>
      <c r="F13" s="72">
        <v>624189</v>
      </c>
      <c r="G13" s="72" t="s">
        <v>1293</v>
      </c>
      <c r="H13" s="72" t="s">
        <v>1141</v>
      </c>
    </row>
    <row r="14" spans="2:8" ht="14" x14ac:dyDescent="0.15">
      <c r="B14" s="72">
        <v>711</v>
      </c>
      <c r="C14" s="72">
        <v>273.76</v>
      </c>
      <c r="D14" s="72">
        <v>31173</v>
      </c>
      <c r="E14" s="72">
        <v>45530.224309999998</v>
      </c>
      <c r="F14" s="72">
        <v>624189</v>
      </c>
      <c r="G14" s="72" t="s">
        <v>1293</v>
      </c>
      <c r="H14" s="72" t="s">
        <v>1141</v>
      </c>
    </row>
    <row r="15" spans="2:8" ht="14" x14ac:dyDescent="0.15">
      <c r="B15" s="72">
        <v>3</v>
      </c>
      <c r="C15" s="72">
        <v>115.19</v>
      </c>
      <c r="D15" s="72">
        <v>31173</v>
      </c>
      <c r="E15" s="72">
        <v>45530.224309999998</v>
      </c>
      <c r="F15" s="72">
        <v>624219</v>
      </c>
      <c r="G15" s="72" t="s">
        <v>1293</v>
      </c>
      <c r="H15" s="72" t="s">
        <v>1141</v>
      </c>
    </row>
    <row r="16" spans="2:8" ht="14" x14ac:dyDescent="0.15">
      <c r="B16" s="72">
        <v>111</v>
      </c>
      <c r="C16" s="73">
        <v>69956.22</v>
      </c>
      <c r="D16" s="72">
        <v>31173</v>
      </c>
      <c r="E16" s="72">
        <v>45530.224309999998</v>
      </c>
      <c r="F16" s="72">
        <v>624219</v>
      </c>
      <c r="G16" s="72" t="s">
        <v>1293</v>
      </c>
      <c r="H16" s="72" t="s">
        <v>1141</v>
      </c>
    </row>
    <row r="17" spans="2:8" ht="14" x14ac:dyDescent="0.15">
      <c r="B17" s="72">
        <v>311</v>
      </c>
      <c r="C17" s="73">
        <v>3877.63</v>
      </c>
      <c r="D17" s="72">
        <v>31173</v>
      </c>
      <c r="E17" s="72">
        <v>45530.224309999998</v>
      </c>
      <c r="F17" s="72">
        <v>624219</v>
      </c>
      <c r="G17" s="72" t="s">
        <v>1293</v>
      </c>
      <c r="H17" s="72" t="s">
        <v>1141</v>
      </c>
    </row>
    <row r="18" spans="2:8" ht="14" x14ac:dyDescent="0.15">
      <c r="B18" s="72">
        <v>421</v>
      </c>
      <c r="C18" s="73">
        <v>77570.12</v>
      </c>
      <c r="D18" s="72">
        <v>31173</v>
      </c>
      <c r="E18" s="72">
        <v>45530.224309999998</v>
      </c>
      <c r="F18" s="72">
        <v>624219</v>
      </c>
      <c r="G18" s="72" t="s">
        <v>1293</v>
      </c>
      <c r="H18" s="72" t="s">
        <v>1141</v>
      </c>
    </row>
    <row r="19" spans="2:8" ht="14" x14ac:dyDescent="0.15">
      <c r="B19" s="72">
        <v>451</v>
      </c>
      <c r="C19" s="73">
        <v>1766.23</v>
      </c>
      <c r="D19" s="72">
        <v>31173</v>
      </c>
      <c r="E19" s="72">
        <v>45530.224309999998</v>
      </c>
      <c r="F19" s="72">
        <v>624219</v>
      </c>
      <c r="G19" s="72" t="s">
        <v>1293</v>
      </c>
      <c r="H19" s="72" t="s">
        <v>1141</v>
      </c>
    </row>
    <row r="20" spans="2:8" ht="14" x14ac:dyDescent="0.15">
      <c r="B20" s="72">
        <v>523</v>
      </c>
      <c r="C20" s="73">
        <v>13682</v>
      </c>
      <c r="D20" s="72">
        <v>31173</v>
      </c>
      <c r="E20" s="72">
        <v>45530.224309999998</v>
      </c>
      <c r="F20" s="72">
        <v>624219</v>
      </c>
      <c r="G20" s="72" t="s">
        <v>1293</v>
      </c>
      <c r="H20" s="72" t="s">
        <v>1141</v>
      </c>
    </row>
    <row r="21" spans="2:8" ht="14" x14ac:dyDescent="0.15">
      <c r="B21" s="72">
        <v>533</v>
      </c>
      <c r="C21" s="73">
        <v>73200</v>
      </c>
      <c r="D21" s="72">
        <v>31173</v>
      </c>
      <c r="E21" s="72">
        <v>45530.224309999998</v>
      </c>
      <c r="F21" s="72">
        <v>624219</v>
      </c>
      <c r="G21" s="72" t="s">
        <v>1293</v>
      </c>
      <c r="H21" s="72" t="s">
        <v>1141</v>
      </c>
    </row>
    <row r="22" spans="2:8" ht="14" x14ac:dyDescent="0.15">
      <c r="B22" s="72">
        <v>543</v>
      </c>
      <c r="C22" s="73">
        <v>18142</v>
      </c>
      <c r="D22" s="72">
        <v>31173</v>
      </c>
      <c r="E22" s="72">
        <v>45530.224309999998</v>
      </c>
      <c r="F22" s="72">
        <v>624219</v>
      </c>
      <c r="G22" s="72" t="s">
        <v>1293</v>
      </c>
      <c r="H22" s="72" t="s">
        <v>1141</v>
      </c>
    </row>
    <row r="23" spans="2:8" ht="14" x14ac:dyDescent="0.15">
      <c r="B23" s="72">
        <v>711</v>
      </c>
      <c r="C23" s="73">
        <v>24691.119999999999</v>
      </c>
      <c r="D23" s="72">
        <v>31173</v>
      </c>
      <c r="E23" s="72">
        <v>45530.224309999998</v>
      </c>
      <c r="F23" s="72">
        <v>624219</v>
      </c>
      <c r="G23" s="72" t="s">
        <v>1293</v>
      </c>
      <c r="H23" s="72" t="s">
        <v>1141</v>
      </c>
    </row>
    <row r="24" spans="2:8" ht="14" x14ac:dyDescent="0.15">
      <c r="B24" s="72">
        <v>723</v>
      </c>
      <c r="C24" s="73">
        <v>11986.55</v>
      </c>
      <c r="D24" s="72">
        <v>31173</v>
      </c>
      <c r="E24" s="72">
        <v>45530.224309999998</v>
      </c>
      <c r="F24" s="72">
        <v>624219</v>
      </c>
      <c r="G24" s="72" t="s">
        <v>1293</v>
      </c>
      <c r="H24" s="72" t="s">
        <v>1141</v>
      </c>
    </row>
    <row r="25" spans="2:8" ht="14" x14ac:dyDescent="0.15">
      <c r="B25" s="72">
        <v>731</v>
      </c>
      <c r="C25" s="73">
        <v>24705.26</v>
      </c>
      <c r="D25" s="72">
        <v>31173</v>
      </c>
      <c r="E25" s="72">
        <v>45530.224309999998</v>
      </c>
      <c r="F25" s="72">
        <v>624219</v>
      </c>
      <c r="G25" s="72" t="s">
        <v>1293</v>
      </c>
      <c r="H25" s="72" t="s">
        <v>1141</v>
      </c>
    </row>
    <row r="26" spans="2:8" ht="14" x14ac:dyDescent="0.15">
      <c r="B26" s="72">
        <v>761</v>
      </c>
      <c r="C26" s="73">
        <v>6887.52</v>
      </c>
      <c r="D26" s="72">
        <v>31173</v>
      </c>
      <c r="E26" s="72">
        <v>45530.224309999998</v>
      </c>
      <c r="F26" s="72">
        <v>624219</v>
      </c>
      <c r="G26" s="72" t="s">
        <v>1293</v>
      </c>
      <c r="H26" s="72" t="s">
        <v>1141</v>
      </c>
    </row>
    <row r="27" spans="2:8" ht="14" x14ac:dyDescent="0.15">
      <c r="B27" s="72">
        <v>763</v>
      </c>
      <c r="C27" s="73">
        <v>1119.4000000000001</v>
      </c>
      <c r="D27" s="72">
        <v>31173</v>
      </c>
      <c r="E27" s="72">
        <v>45530.224309999998</v>
      </c>
      <c r="F27" s="72">
        <v>624219</v>
      </c>
      <c r="G27" s="72" t="s">
        <v>1293</v>
      </c>
      <c r="H27" s="72" t="s">
        <v>1141</v>
      </c>
    </row>
    <row r="28" spans="2:8" ht="14" x14ac:dyDescent="0.15">
      <c r="B28" s="72" t="s">
        <v>49</v>
      </c>
      <c r="C28" s="73">
        <v>9689.01</v>
      </c>
      <c r="D28" s="72">
        <v>31173</v>
      </c>
      <c r="E28" s="72">
        <v>45530.224309999998</v>
      </c>
      <c r="F28" s="72">
        <v>624219</v>
      </c>
      <c r="G28" s="72" t="s">
        <v>1293</v>
      </c>
      <c r="H28" s="72" t="s">
        <v>1141</v>
      </c>
    </row>
    <row r="29" spans="2:8" ht="14" x14ac:dyDescent="0.15">
      <c r="B29" s="72" t="s">
        <v>119</v>
      </c>
      <c r="C29" s="73">
        <v>11204.77</v>
      </c>
      <c r="D29" s="72">
        <v>31173</v>
      </c>
      <c r="E29" s="72">
        <v>45530.224309999998</v>
      </c>
      <c r="F29" s="72">
        <v>624219</v>
      </c>
      <c r="G29" s="72" t="s">
        <v>1293</v>
      </c>
      <c r="H29" s="72" t="s">
        <v>1141</v>
      </c>
    </row>
    <row r="30" spans="2:8" ht="14" x14ac:dyDescent="0.15">
      <c r="B30" s="72" t="s">
        <v>120</v>
      </c>
      <c r="C30" s="72">
        <v>2.6</v>
      </c>
      <c r="D30" s="72">
        <v>31173</v>
      </c>
      <c r="E30" s="72">
        <v>45530.224309999998</v>
      </c>
      <c r="F30" s="72">
        <v>624219</v>
      </c>
      <c r="G30" s="72" t="s">
        <v>1293</v>
      </c>
      <c r="H30" s="72" t="s">
        <v>1141</v>
      </c>
    </row>
    <row r="31" spans="2:8" ht="14" x14ac:dyDescent="0.15">
      <c r="B31" s="72" t="s">
        <v>114</v>
      </c>
      <c r="C31" s="72">
        <v>675.6</v>
      </c>
      <c r="D31" s="72">
        <v>31173</v>
      </c>
      <c r="E31" s="72">
        <v>45530.224309999998</v>
      </c>
      <c r="F31" s="72">
        <v>634339</v>
      </c>
      <c r="G31" s="72" t="s">
        <v>1293</v>
      </c>
      <c r="H31" s="72" t="s">
        <v>1141</v>
      </c>
    </row>
    <row r="32" spans="2:8" ht="14" x14ac:dyDescent="0.15">
      <c r="B32" s="72">
        <v>533</v>
      </c>
      <c r="C32" s="73">
        <v>16940</v>
      </c>
      <c r="D32" s="72">
        <v>31173</v>
      </c>
      <c r="E32" s="72">
        <v>45530.224309999998</v>
      </c>
      <c r="F32" s="72">
        <v>634340</v>
      </c>
      <c r="G32" s="72" t="s">
        <v>1293</v>
      </c>
      <c r="H32" s="72" t="s">
        <v>1141</v>
      </c>
    </row>
    <row r="33" spans="2:8" ht="14" x14ac:dyDescent="0.15">
      <c r="B33" s="72" t="s">
        <v>114</v>
      </c>
      <c r="C33" s="72">
        <v>225.2</v>
      </c>
      <c r="D33" s="72">
        <v>31173</v>
      </c>
      <c r="E33" s="72">
        <v>45530.224309999998</v>
      </c>
      <c r="F33" s="72">
        <v>634340</v>
      </c>
      <c r="G33" s="72" t="s">
        <v>1293</v>
      </c>
      <c r="H33" s="72" t="s">
        <v>1141</v>
      </c>
    </row>
    <row r="34" spans="2:8" ht="14" x14ac:dyDescent="0.15">
      <c r="B34" s="72">
        <v>133</v>
      </c>
      <c r="C34" s="72">
        <v>486</v>
      </c>
      <c r="D34" s="72">
        <v>31173</v>
      </c>
      <c r="E34" s="72">
        <v>45419.336810000001</v>
      </c>
      <c r="F34" s="72">
        <v>624125</v>
      </c>
      <c r="G34" s="72" t="s">
        <v>1293</v>
      </c>
      <c r="H34" s="72" t="s">
        <v>1141</v>
      </c>
    </row>
    <row r="35" spans="2:8" ht="14" x14ac:dyDescent="0.15">
      <c r="B35" s="72">
        <v>313</v>
      </c>
      <c r="C35" s="73">
        <v>1750</v>
      </c>
      <c r="D35" s="72">
        <v>31173</v>
      </c>
      <c r="E35" s="72">
        <v>45419.336810000001</v>
      </c>
      <c r="F35" s="72">
        <v>624125</v>
      </c>
      <c r="G35" s="72" t="s">
        <v>1293</v>
      </c>
      <c r="H35" s="72" t="s">
        <v>1141</v>
      </c>
    </row>
    <row r="36" spans="2:8" ht="14" x14ac:dyDescent="0.15">
      <c r="B36" s="72">
        <v>713</v>
      </c>
      <c r="C36" s="73">
        <v>7470</v>
      </c>
      <c r="D36" s="72">
        <v>31173</v>
      </c>
      <c r="E36" s="72">
        <v>45419.336810000001</v>
      </c>
      <c r="F36" s="72">
        <v>624125</v>
      </c>
      <c r="G36" s="72" t="s">
        <v>1293</v>
      </c>
      <c r="H36" s="72" t="s">
        <v>1141</v>
      </c>
    </row>
    <row r="37" spans="2:8" ht="14" x14ac:dyDescent="0.15">
      <c r="B37" s="72">
        <v>521</v>
      </c>
      <c r="C37" s="72">
        <v>516.84</v>
      </c>
      <c r="D37" s="72">
        <v>31173</v>
      </c>
      <c r="E37" s="72">
        <v>45419.336810000001</v>
      </c>
      <c r="F37" s="72">
        <v>624140</v>
      </c>
      <c r="G37" s="72" t="s">
        <v>1293</v>
      </c>
      <c r="H37" s="72" t="s">
        <v>1141</v>
      </c>
    </row>
    <row r="38" spans="2:8" ht="14" x14ac:dyDescent="0.15">
      <c r="B38" s="72">
        <v>523</v>
      </c>
      <c r="C38" s="73">
        <v>574099.19999999995</v>
      </c>
      <c r="D38" s="72">
        <v>31173</v>
      </c>
      <c r="E38" s="72">
        <v>45419.336810000001</v>
      </c>
      <c r="F38" s="72">
        <v>624140</v>
      </c>
      <c r="G38" s="72" t="s">
        <v>1293</v>
      </c>
      <c r="H38" s="72" t="s">
        <v>1141</v>
      </c>
    </row>
    <row r="39" spans="2:8" ht="14" x14ac:dyDescent="0.15">
      <c r="B39" s="72">
        <v>533</v>
      </c>
      <c r="C39" s="73">
        <v>330850.69</v>
      </c>
      <c r="D39" s="72">
        <v>31173</v>
      </c>
      <c r="E39" s="72">
        <v>45419.336810000001</v>
      </c>
      <c r="F39" s="72">
        <v>624140</v>
      </c>
      <c r="G39" s="72" t="s">
        <v>1293</v>
      </c>
      <c r="H39" s="72" t="s">
        <v>1141</v>
      </c>
    </row>
    <row r="40" spans="2:8" ht="14" x14ac:dyDescent="0.15">
      <c r="B40" s="72">
        <v>543</v>
      </c>
      <c r="C40" s="73">
        <v>6796</v>
      </c>
      <c r="D40" s="72">
        <v>31173</v>
      </c>
      <c r="E40" s="72">
        <v>45419.336810000001</v>
      </c>
      <c r="F40" s="72">
        <v>624140</v>
      </c>
      <c r="G40" s="72" t="s">
        <v>1293</v>
      </c>
      <c r="H40" s="72" t="s">
        <v>1141</v>
      </c>
    </row>
    <row r="41" spans="2:8" ht="14" x14ac:dyDescent="0.15">
      <c r="B41" s="72">
        <v>763</v>
      </c>
      <c r="C41" s="73">
        <v>2781.07</v>
      </c>
      <c r="D41" s="72">
        <v>31173</v>
      </c>
      <c r="E41" s="72">
        <v>45419.336810000001</v>
      </c>
      <c r="F41" s="72">
        <v>624140</v>
      </c>
      <c r="G41" s="72" t="s">
        <v>1293</v>
      </c>
      <c r="H41" s="72" t="s">
        <v>1141</v>
      </c>
    </row>
    <row r="42" spans="2:8" ht="14" x14ac:dyDescent="0.15">
      <c r="B42" s="72" t="s">
        <v>49</v>
      </c>
      <c r="C42" s="73">
        <v>2530</v>
      </c>
      <c r="D42" s="72">
        <v>31173</v>
      </c>
      <c r="E42" s="72">
        <v>45419.336810000001</v>
      </c>
      <c r="F42" s="72">
        <v>624140</v>
      </c>
      <c r="G42" s="72" t="s">
        <v>1293</v>
      </c>
      <c r="H42" s="72" t="s">
        <v>1141</v>
      </c>
    </row>
    <row r="43" spans="2:8" ht="14" x14ac:dyDescent="0.15">
      <c r="B43" s="72" t="s">
        <v>119</v>
      </c>
      <c r="C43" s="72">
        <v>389.7</v>
      </c>
      <c r="D43" s="72">
        <v>31173</v>
      </c>
      <c r="E43" s="72">
        <v>45419.336810000001</v>
      </c>
      <c r="F43" s="72">
        <v>624140</v>
      </c>
      <c r="G43" s="72" t="s">
        <v>1293</v>
      </c>
      <c r="H43" s="72" t="s">
        <v>1141</v>
      </c>
    </row>
    <row r="44" spans="2:8" ht="14" x14ac:dyDescent="0.15">
      <c r="B44" s="72">
        <v>311</v>
      </c>
      <c r="C44" s="73">
        <v>2003.04</v>
      </c>
      <c r="D44" s="72">
        <v>31173</v>
      </c>
      <c r="E44" s="72">
        <v>45419.336810000001</v>
      </c>
      <c r="F44" s="72">
        <v>624189</v>
      </c>
      <c r="G44" s="72" t="s">
        <v>1293</v>
      </c>
      <c r="H44" s="72" t="s">
        <v>1141</v>
      </c>
    </row>
    <row r="45" spans="2:8" ht="14" x14ac:dyDescent="0.15">
      <c r="B45" s="72">
        <v>711</v>
      </c>
      <c r="C45" s="72">
        <v>273.76</v>
      </c>
      <c r="D45" s="72">
        <v>31173</v>
      </c>
      <c r="E45" s="72">
        <v>45419.336810000001</v>
      </c>
      <c r="F45" s="72">
        <v>624189</v>
      </c>
      <c r="G45" s="72" t="s">
        <v>1293</v>
      </c>
      <c r="H45" s="72" t="s">
        <v>1141</v>
      </c>
    </row>
    <row r="46" spans="2:8" ht="14" x14ac:dyDescent="0.15">
      <c r="B46" s="72">
        <v>3</v>
      </c>
      <c r="C46" s="72">
        <v>115.19</v>
      </c>
      <c r="D46" s="72">
        <v>31173</v>
      </c>
      <c r="E46" s="72">
        <v>45419.336810000001</v>
      </c>
      <c r="F46" s="72">
        <v>624219</v>
      </c>
      <c r="G46" s="72" t="s">
        <v>1293</v>
      </c>
      <c r="H46" s="72" t="s">
        <v>1141</v>
      </c>
    </row>
    <row r="47" spans="2:8" ht="14" x14ac:dyDescent="0.15">
      <c r="B47" s="72">
        <v>111</v>
      </c>
      <c r="C47" s="73">
        <v>69956.22</v>
      </c>
      <c r="D47" s="72">
        <v>31173</v>
      </c>
      <c r="E47" s="72">
        <v>45419.336810000001</v>
      </c>
      <c r="F47" s="72">
        <v>624219</v>
      </c>
      <c r="G47" s="72" t="s">
        <v>1293</v>
      </c>
      <c r="H47" s="72" t="s">
        <v>1141</v>
      </c>
    </row>
    <row r="48" spans="2:8" ht="14" x14ac:dyDescent="0.15">
      <c r="B48" s="72">
        <v>311</v>
      </c>
      <c r="C48" s="73">
        <v>3877.63</v>
      </c>
      <c r="D48" s="72">
        <v>31173</v>
      </c>
      <c r="E48" s="72">
        <v>45419.336810000001</v>
      </c>
      <c r="F48" s="72">
        <v>624219</v>
      </c>
      <c r="G48" s="72" t="s">
        <v>1293</v>
      </c>
      <c r="H48" s="72" t="s">
        <v>1141</v>
      </c>
    </row>
    <row r="49" spans="2:8" ht="14" x14ac:dyDescent="0.15">
      <c r="B49" s="72">
        <v>421</v>
      </c>
      <c r="C49" s="73">
        <v>77570.12</v>
      </c>
      <c r="D49" s="72">
        <v>31173</v>
      </c>
      <c r="E49" s="72">
        <v>45419.336810000001</v>
      </c>
      <c r="F49" s="72">
        <v>624219</v>
      </c>
      <c r="G49" s="72" t="s">
        <v>1293</v>
      </c>
      <c r="H49" s="72" t="s">
        <v>1141</v>
      </c>
    </row>
    <row r="50" spans="2:8" ht="14" x14ac:dyDescent="0.15">
      <c r="B50" s="72">
        <v>451</v>
      </c>
      <c r="C50" s="73">
        <v>1766.23</v>
      </c>
      <c r="D50" s="72">
        <v>31173</v>
      </c>
      <c r="E50" s="72">
        <v>45419.336810000001</v>
      </c>
      <c r="F50" s="72">
        <v>624219</v>
      </c>
      <c r="G50" s="72" t="s">
        <v>1293</v>
      </c>
      <c r="H50" s="72" t="s">
        <v>1141</v>
      </c>
    </row>
    <row r="51" spans="2:8" ht="14" x14ac:dyDescent="0.15">
      <c r="B51" s="72">
        <v>523</v>
      </c>
      <c r="C51" s="73">
        <v>13682</v>
      </c>
      <c r="D51" s="72">
        <v>31173</v>
      </c>
      <c r="E51" s="72">
        <v>45419.336810000001</v>
      </c>
      <c r="F51" s="72">
        <v>624219</v>
      </c>
      <c r="G51" s="72" t="s">
        <v>1293</v>
      </c>
      <c r="H51" s="72" t="s">
        <v>1141</v>
      </c>
    </row>
    <row r="52" spans="2:8" ht="14" x14ac:dyDescent="0.15">
      <c r="B52" s="72">
        <v>533</v>
      </c>
      <c r="C52" s="73">
        <v>73200</v>
      </c>
      <c r="D52" s="72">
        <v>31173</v>
      </c>
      <c r="E52" s="72">
        <v>45419.336810000001</v>
      </c>
      <c r="F52" s="72">
        <v>624219</v>
      </c>
      <c r="G52" s="72" t="s">
        <v>1293</v>
      </c>
      <c r="H52" s="72" t="s">
        <v>1141</v>
      </c>
    </row>
    <row r="53" spans="2:8" ht="14" x14ac:dyDescent="0.15">
      <c r="B53" s="72">
        <v>543</v>
      </c>
      <c r="C53" s="73">
        <v>18142</v>
      </c>
      <c r="D53" s="72">
        <v>31173</v>
      </c>
      <c r="E53" s="72">
        <v>45419.336810000001</v>
      </c>
      <c r="F53" s="72">
        <v>624219</v>
      </c>
      <c r="G53" s="72" t="s">
        <v>1293</v>
      </c>
      <c r="H53" s="72" t="s">
        <v>1141</v>
      </c>
    </row>
    <row r="54" spans="2:8" ht="14" x14ac:dyDescent="0.15">
      <c r="B54" s="72">
        <v>711</v>
      </c>
      <c r="C54" s="73">
        <v>24691.119999999999</v>
      </c>
      <c r="D54" s="72">
        <v>31173</v>
      </c>
      <c r="E54" s="72">
        <v>45419.336810000001</v>
      </c>
      <c r="F54" s="72">
        <v>624219</v>
      </c>
      <c r="G54" s="72" t="s">
        <v>1293</v>
      </c>
      <c r="H54" s="72" t="s">
        <v>1141</v>
      </c>
    </row>
    <row r="55" spans="2:8" ht="14" x14ac:dyDescent="0.15">
      <c r="B55" s="72">
        <v>723</v>
      </c>
      <c r="C55" s="73">
        <v>11986.55</v>
      </c>
      <c r="D55" s="72">
        <v>31173</v>
      </c>
      <c r="E55" s="72">
        <v>45419.336810000001</v>
      </c>
      <c r="F55" s="72">
        <v>624219</v>
      </c>
      <c r="G55" s="72" t="s">
        <v>1293</v>
      </c>
      <c r="H55" s="72" t="s">
        <v>1141</v>
      </c>
    </row>
    <row r="56" spans="2:8" ht="14" x14ac:dyDescent="0.15">
      <c r="B56" s="72">
        <v>731</v>
      </c>
      <c r="C56" s="73">
        <v>24705.26</v>
      </c>
      <c r="D56" s="72">
        <v>31173</v>
      </c>
      <c r="E56" s="72">
        <v>45419.336810000001</v>
      </c>
      <c r="F56" s="72">
        <v>624219</v>
      </c>
      <c r="G56" s="72" t="s">
        <v>1293</v>
      </c>
      <c r="H56" s="72" t="s">
        <v>1141</v>
      </c>
    </row>
    <row r="57" spans="2:8" ht="14" x14ac:dyDescent="0.15">
      <c r="B57" s="72">
        <v>761</v>
      </c>
      <c r="C57" s="73">
        <v>6887.52</v>
      </c>
      <c r="D57" s="72">
        <v>31173</v>
      </c>
      <c r="E57" s="72">
        <v>45419.336810000001</v>
      </c>
      <c r="F57" s="72">
        <v>624219</v>
      </c>
      <c r="G57" s="72" t="s">
        <v>1293</v>
      </c>
      <c r="H57" s="72" t="s">
        <v>1141</v>
      </c>
    </row>
    <row r="58" spans="2:8" ht="14" x14ac:dyDescent="0.15">
      <c r="B58" s="72">
        <v>763</v>
      </c>
      <c r="C58" s="73">
        <v>1119.4000000000001</v>
      </c>
      <c r="D58" s="72">
        <v>31173</v>
      </c>
      <c r="E58" s="72">
        <v>45419.336810000001</v>
      </c>
      <c r="F58" s="72">
        <v>624219</v>
      </c>
      <c r="G58" s="72" t="s">
        <v>1293</v>
      </c>
      <c r="H58" s="72" t="s">
        <v>1141</v>
      </c>
    </row>
    <row r="59" spans="2:8" ht="14" x14ac:dyDescent="0.15">
      <c r="B59" s="72" t="s">
        <v>49</v>
      </c>
      <c r="C59" s="73">
        <v>9689.01</v>
      </c>
      <c r="D59" s="72">
        <v>31173</v>
      </c>
      <c r="E59" s="72">
        <v>45419.336810000001</v>
      </c>
      <c r="F59" s="72">
        <v>624219</v>
      </c>
      <c r="G59" s="72" t="s">
        <v>1293</v>
      </c>
      <c r="H59" s="72" t="s">
        <v>1141</v>
      </c>
    </row>
    <row r="60" spans="2:8" ht="14" x14ac:dyDescent="0.15">
      <c r="B60" s="72" t="s">
        <v>119</v>
      </c>
      <c r="C60" s="73">
        <v>11251.15</v>
      </c>
      <c r="D60" s="72">
        <v>31173</v>
      </c>
      <c r="E60" s="72">
        <v>45419.336810000001</v>
      </c>
      <c r="F60" s="72">
        <v>624219</v>
      </c>
      <c r="G60" s="72" t="s">
        <v>1293</v>
      </c>
      <c r="H60" s="72" t="s">
        <v>1141</v>
      </c>
    </row>
    <row r="61" spans="2:8" ht="14" x14ac:dyDescent="0.15">
      <c r="B61" s="72" t="s">
        <v>114</v>
      </c>
      <c r="C61" s="72">
        <v>675.6</v>
      </c>
      <c r="D61" s="72">
        <v>31173</v>
      </c>
      <c r="E61" s="72">
        <v>45419.336810000001</v>
      </c>
      <c r="F61" s="72">
        <v>634339</v>
      </c>
      <c r="G61" s="72" t="s">
        <v>1293</v>
      </c>
      <c r="H61" s="72" t="s">
        <v>1141</v>
      </c>
    </row>
    <row r="62" spans="2:8" ht="14" x14ac:dyDescent="0.15">
      <c r="B62" s="72">
        <v>533</v>
      </c>
      <c r="C62" s="73">
        <v>16940</v>
      </c>
      <c r="D62" s="72">
        <v>31173</v>
      </c>
      <c r="E62" s="72">
        <v>45419.336810000001</v>
      </c>
      <c r="F62" s="72">
        <v>634340</v>
      </c>
      <c r="G62" s="72" t="s">
        <v>1293</v>
      </c>
      <c r="H62" s="72" t="s">
        <v>1141</v>
      </c>
    </row>
    <row r="63" spans="2:8" ht="14" x14ac:dyDescent="0.15">
      <c r="B63" s="72" t="s">
        <v>114</v>
      </c>
      <c r="C63" s="72">
        <v>225.2</v>
      </c>
      <c r="D63" s="72">
        <v>31173</v>
      </c>
      <c r="E63" s="72">
        <v>45419.336810000001</v>
      </c>
      <c r="F63" s="72">
        <v>634340</v>
      </c>
      <c r="G63" s="72" t="s">
        <v>1293</v>
      </c>
      <c r="H63" s="72" t="s">
        <v>1141</v>
      </c>
    </row>
    <row r="64" spans="2:8" ht="14" x14ac:dyDescent="0.15">
      <c r="B64" s="72">
        <v>133</v>
      </c>
      <c r="C64" s="72">
        <v>486</v>
      </c>
      <c r="D64" s="72">
        <v>31173</v>
      </c>
      <c r="E64" s="72">
        <v>45425.352079999997</v>
      </c>
      <c r="F64" s="72">
        <v>624125</v>
      </c>
      <c r="G64" s="72" t="s">
        <v>1293</v>
      </c>
      <c r="H64" s="72" t="s">
        <v>1141</v>
      </c>
    </row>
    <row r="65" spans="2:8" ht="14" x14ac:dyDescent="0.15">
      <c r="B65" s="72">
        <v>313</v>
      </c>
      <c r="C65" s="73">
        <v>1750</v>
      </c>
      <c r="D65" s="72">
        <v>31173</v>
      </c>
      <c r="E65" s="72">
        <v>45425.352079999997</v>
      </c>
      <c r="F65" s="72">
        <v>624125</v>
      </c>
      <c r="G65" s="72" t="s">
        <v>1293</v>
      </c>
      <c r="H65" s="72" t="s">
        <v>1141</v>
      </c>
    </row>
    <row r="66" spans="2:8" ht="14" x14ac:dyDescent="0.15">
      <c r="B66" s="72">
        <v>713</v>
      </c>
      <c r="C66" s="73">
        <v>7470</v>
      </c>
      <c r="D66" s="72">
        <v>31173</v>
      </c>
      <c r="E66" s="72">
        <v>45425.352079999997</v>
      </c>
      <c r="F66" s="72">
        <v>624125</v>
      </c>
      <c r="G66" s="72" t="s">
        <v>1293</v>
      </c>
      <c r="H66" s="72" t="s">
        <v>1141</v>
      </c>
    </row>
    <row r="67" spans="2:8" ht="14" x14ac:dyDescent="0.15">
      <c r="B67" s="72">
        <v>521</v>
      </c>
      <c r="C67" s="72">
        <v>516.84</v>
      </c>
      <c r="D67" s="72">
        <v>31173</v>
      </c>
      <c r="E67" s="72">
        <v>45425.352079999997</v>
      </c>
      <c r="F67" s="72">
        <v>624140</v>
      </c>
      <c r="G67" s="72" t="s">
        <v>1293</v>
      </c>
      <c r="H67" s="72" t="s">
        <v>1141</v>
      </c>
    </row>
    <row r="68" spans="2:8" ht="14" x14ac:dyDescent="0.15">
      <c r="B68" s="72">
        <v>523</v>
      </c>
      <c r="C68" s="73">
        <v>574099.19999999995</v>
      </c>
      <c r="D68" s="72">
        <v>31173</v>
      </c>
      <c r="E68" s="72">
        <v>45425.352079999997</v>
      </c>
      <c r="F68" s="72">
        <v>624140</v>
      </c>
      <c r="G68" s="72" t="s">
        <v>1293</v>
      </c>
      <c r="H68" s="72" t="s">
        <v>1141</v>
      </c>
    </row>
    <row r="69" spans="2:8" ht="14" x14ac:dyDescent="0.15">
      <c r="B69" s="72">
        <v>533</v>
      </c>
      <c r="C69" s="73">
        <v>330850.69</v>
      </c>
      <c r="D69" s="72">
        <v>31173</v>
      </c>
      <c r="E69" s="72">
        <v>45425.352079999997</v>
      </c>
      <c r="F69" s="72">
        <v>624140</v>
      </c>
      <c r="G69" s="72" t="s">
        <v>1293</v>
      </c>
      <c r="H69" s="72" t="s">
        <v>1141</v>
      </c>
    </row>
    <row r="70" spans="2:8" ht="14" x14ac:dyDescent="0.15">
      <c r="B70" s="72">
        <v>543</v>
      </c>
      <c r="C70" s="73">
        <v>6796</v>
      </c>
      <c r="D70" s="72">
        <v>31173</v>
      </c>
      <c r="E70" s="72">
        <v>45425.352079999997</v>
      </c>
      <c r="F70" s="72">
        <v>624140</v>
      </c>
      <c r="G70" s="72" t="s">
        <v>1293</v>
      </c>
      <c r="H70" s="72" t="s">
        <v>1141</v>
      </c>
    </row>
    <row r="71" spans="2:8" ht="14" x14ac:dyDescent="0.15">
      <c r="B71" s="72">
        <v>763</v>
      </c>
      <c r="C71" s="73">
        <v>2781.07</v>
      </c>
      <c r="D71" s="72">
        <v>31173</v>
      </c>
      <c r="E71" s="72">
        <v>45425.352079999997</v>
      </c>
      <c r="F71" s="72">
        <v>624140</v>
      </c>
      <c r="G71" s="72" t="s">
        <v>1293</v>
      </c>
      <c r="H71" s="72" t="s">
        <v>1141</v>
      </c>
    </row>
    <row r="72" spans="2:8" ht="14" x14ac:dyDescent="0.15">
      <c r="B72" s="72" t="s">
        <v>49</v>
      </c>
      <c r="C72" s="73">
        <v>2530</v>
      </c>
      <c r="D72" s="72">
        <v>31173</v>
      </c>
      <c r="E72" s="72">
        <v>45425.352079999997</v>
      </c>
      <c r="F72" s="72">
        <v>624140</v>
      </c>
      <c r="G72" s="72" t="s">
        <v>1293</v>
      </c>
      <c r="H72" s="72" t="s">
        <v>1141</v>
      </c>
    </row>
    <row r="73" spans="2:8" ht="14" x14ac:dyDescent="0.15">
      <c r="B73" s="72" t="s">
        <v>119</v>
      </c>
      <c r="C73" s="72">
        <v>389.7</v>
      </c>
      <c r="D73" s="72">
        <v>31173</v>
      </c>
      <c r="E73" s="72">
        <v>45425.352079999997</v>
      </c>
      <c r="F73" s="72">
        <v>624140</v>
      </c>
      <c r="G73" s="72" t="s">
        <v>1293</v>
      </c>
      <c r="H73" s="72" t="s">
        <v>1141</v>
      </c>
    </row>
    <row r="74" spans="2:8" ht="14" x14ac:dyDescent="0.15">
      <c r="B74" s="72">
        <v>311</v>
      </c>
      <c r="C74" s="73">
        <v>2003.04</v>
      </c>
      <c r="D74" s="72">
        <v>31173</v>
      </c>
      <c r="E74" s="72">
        <v>45425.352079999997</v>
      </c>
      <c r="F74" s="72">
        <v>624189</v>
      </c>
      <c r="G74" s="72" t="s">
        <v>1293</v>
      </c>
      <c r="H74" s="72" t="s">
        <v>1141</v>
      </c>
    </row>
    <row r="75" spans="2:8" ht="14" x14ac:dyDescent="0.15">
      <c r="B75" s="72">
        <v>711</v>
      </c>
      <c r="C75" s="72">
        <v>273.76</v>
      </c>
      <c r="D75" s="72">
        <v>31173</v>
      </c>
      <c r="E75" s="72">
        <v>45425.352079999997</v>
      </c>
      <c r="F75" s="72">
        <v>624189</v>
      </c>
      <c r="G75" s="72" t="s">
        <v>1293</v>
      </c>
      <c r="H75" s="72" t="s">
        <v>1141</v>
      </c>
    </row>
    <row r="76" spans="2:8" ht="14" x14ac:dyDescent="0.15">
      <c r="B76" s="72">
        <v>3</v>
      </c>
      <c r="C76" s="72">
        <v>115.19</v>
      </c>
      <c r="D76" s="72">
        <v>31173</v>
      </c>
      <c r="E76" s="72">
        <v>45425.352079999997</v>
      </c>
      <c r="F76" s="72">
        <v>624219</v>
      </c>
      <c r="G76" s="72" t="s">
        <v>1293</v>
      </c>
      <c r="H76" s="72" t="s">
        <v>1141</v>
      </c>
    </row>
    <row r="77" spans="2:8" ht="14" x14ac:dyDescent="0.15">
      <c r="B77" s="72">
        <v>111</v>
      </c>
      <c r="C77" s="73">
        <v>69956.22</v>
      </c>
      <c r="D77" s="72">
        <v>31173</v>
      </c>
      <c r="E77" s="72">
        <v>45425.352079999997</v>
      </c>
      <c r="F77" s="72">
        <v>624219</v>
      </c>
      <c r="G77" s="72" t="s">
        <v>1293</v>
      </c>
      <c r="H77" s="72" t="s">
        <v>1141</v>
      </c>
    </row>
    <row r="78" spans="2:8" ht="14" x14ac:dyDescent="0.15">
      <c r="B78" s="72">
        <v>311</v>
      </c>
      <c r="C78" s="73">
        <v>3877.63</v>
      </c>
      <c r="D78" s="72">
        <v>31173</v>
      </c>
      <c r="E78" s="72">
        <v>45425.352079999997</v>
      </c>
      <c r="F78" s="72">
        <v>624219</v>
      </c>
      <c r="G78" s="72" t="s">
        <v>1293</v>
      </c>
      <c r="H78" s="72" t="s">
        <v>1141</v>
      </c>
    </row>
    <row r="79" spans="2:8" ht="14" x14ac:dyDescent="0.15">
      <c r="B79" s="72">
        <v>421</v>
      </c>
      <c r="C79" s="73">
        <v>77570.12</v>
      </c>
      <c r="D79" s="72">
        <v>31173</v>
      </c>
      <c r="E79" s="72">
        <v>45425.352079999997</v>
      </c>
      <c r="F79" s="72">
        <v>624219</v>
      </c>
      <c r="G79" s="72" t="s">
        <v>1293</v>
      </c>
      <c r="H79" s="72" t="s">
        <v>1141</v>
      </c>
    </row>
    <row r="80" spans="2:8" ht="14" x14ac:dyDescent="0.15">
      <c r="B80" s="72">
        <v>451</v>
      </c>
      <c r="C80" s="73">
        <v>1766.23</v>
      </c>
      <c r="D80" s="72">
        <v>31173</v>
      </c>
      <c r="E80" s="72">
        <v>45425.352079999997</v>
      </c>
      <c r="F80" s="72">
        <v>624219</v>
      </c>
      <c r="G80" s="72" t="s">
        <v>1293</v>
      </c>
      <c r="H80" s="72" t="s">
        <v>1141</v>
      </c>
    </row>
    <row r="81" spans="2:8" ht="14" x14ac:dyDescent="0.15">
      <c r="B81" s="72">
        <v>523</v>
      </c>
      <c r="C81" s="73">
        <v>13682</v>
      </c>
      <c r="D81" s="72">
        <v>31173</v>
      </c>
      <c r="E81" s="72">
        <v>45425.352079999997</v>
      </c>
      <c r="F81" s="72">
        <v>624219</v>
      </c>
      <c r="G81" s="72" t="s">
        <v>1293</v>
      </c>
      <c r="H81" s="72" t="s">
        <v>1141</v>
      </c>
    </row>
    <row r="82" spans="2:8" ht="14" x14ac:dyDescent="0.15">
      <c r="B82" s="72">
        <v>533</v>
      </c>
      <c r="C82" s="73">
        <v>73200</v>
      </c>
      <c r="D82" s="72">
        <v>31173</v>
      </c>
      <c r="E82" s="72">
        <v>45425.352079999997</v>
      </c>
      <c r="F82" s="72">
        <v>624219</v>
      </c>
      <c r="G82" s="72" t="s">
        <v>1293</v>
      </c>
      <c r="H82" s="72" t="s">
        <v>1141</v>
      </c>
    </row>
    <row r="83" spans="2:8" ht="14" x14ac:dyDescent="0.15">
      <c r="B83" s="72">
        <v>543</v>
      </c>
      <c r="C83" s="73">
        <v>18142</v>
      </c>
      <c r="D83" s="72">
        <v>31173</v>
      </c>
      <c r="E83" s="72">
        <v>45425.352079999997</v>
      </c>
      <c r="F83" s="72">
        <v>624219</v>
      </c>
      <c r="G83" s="72" t="s">
        <v>1293</v>
      </c>
      <c r="H83" s="72" t="s">
        <v>1141</v>
      </c>
    </row>
    <row r="84" spans="2:8" ht="14" x14ac:dyDescent="0.15">
      <c r="B84" s="72">
        <v>711</v>
      </c>
      <c r="C84" s="73">
        <v>24691.119999999999</v>
      </c>
      <c r="D84" s="72">
        <v>31173</v>
      </c>
      <c r="E84" s="72">
        <v>45425.352079999997</v>
      </c>
      <c r="F84" s="72">
        <v>624219</v>
      </c>
      <c r="G84" s="72" t="s">
        <v>1293</v>
      </c>
      <c r="H84" s="72" t="s">
        <v>1141</v>
      </c>
    </row>
    <row r="85" spans="2:8" ht="14" x14ac:dyDescent="0.15">
      <c r="B85" s="72">
        <v>723</v>
      </c>
      <c r="C85" s="73">
        <v>11986.55</v>
      </c>
      <c r="D85" s="72">
        <v>31173</v>
      </c>
      <c r="E85" s="72">
        <v>45425.352079999997</v>
      </c>
      <c r="F85" s="72">
        <v>624219</v>
      </c>
      <c r="G85" s="72" t="s">
        <v>1293</v>
      </c>
      <c r="H85" s="72" t="s">
        <v>1141</v>
      </c>
    </row>
    <row r="86" spans="2:8" ht="14" x14ac:dyDescent="0.15">
      <c r="B86" s="72">
        <v>731</v>
      </c>
      <c r="C86" s="73">
        <v>24705.26</v>
      </c>
      <c r="D86" s="72">
        <v>31173</v>
      </c>
      <c r="E86" s="72">
        <v>45425.352079999997</v>
      </c>
      <c r="F86" s="72">
        <v>624219</v>
      </c>
      <c r="G86" s="72" t="s">
        <v>1293</v>
      </c>
      <c r="H86" s="72" t="s">
        <v>1141</v>
      </c>
    </row>
    <row r="87" spans="2:8" ht="14" x14ac:dyDescent="0.15">
      <c r="B87" s="72">
        <v>761</v>
      </c>
      <c r="C87" s="73">
        <v>6887.52</v>
      </c>
      <c r="D87" s="72">
        <v>31173</v>
      </c>
      <c r="E87" s="72">
        <v>45425.352079999997</v>
      </c>
      <c r="F87" s="72">
        <v>624219</v>
      </c>
      <c r="G87" s="72" t="s">
        <v>1293</v>
      </c>
      <c r="H87" s="72" t="s">
        <v>1141</v>
      </c>
    </row>
    <row r="88" spans="2:8" ht="14" x14ac:dyDescent="0.15">
      <c r="B88" s="72">
        <v>763</v>
      </c>
      <c r="C88" s="73">
        <v>1119.4000000000001</v>
      </c>
      <c r="D88" s="72">
        <v>31173</v>
      </c>
      <c r="E88" s="72">
        <v>45425.352079999997</v>
      </c>
      <c r="F88" s="72">
        <v>624219</v>
      </c>
      <c r="G88" s="72" t="s">
        <v>1293</v>
      </c>
      <c r="H88" s="72" t="s">
        <v>1141</v>
      </c>
    </row>
    <row r="89" spans="2:8" ht="14" x14ac:dyDescent="0.15">
      <c r="B89" s="72" t="s">
        <v>49</v>
      </c>
      <c r="C89" s="73">
        <v>9689.01</v>
      </c>
      <c r="D89" s="72">
        <v>31173</v>
      </c>
      <c r="E89" s="72">
        <v>45425.352079999997</v>
      </c>
      <c r="F89" s="72">
        <v>624219</v>
      </c>
      <c r="G89" s="72" t="s">
        <v>1293</v>
      </c>
      <c r="H89" s="72" t="s">
        <v>1141</v>
      </c>
    </row>
    <row r="90" spans="2:8" ht="14" x14ac:dyDescent="0.15">
      <c r="B90" s="72" t="s">
        <v>119</v>
      </c>
      <c r="C90" s="73">
        <v>11251.15</v>
      </c>
      <c r="D90" s="72">
        <v>31173</v>
      </c>
      <c r="E90" s="72">
        <v>45425.352079999997</v>
      </c>
      <c r="F90" s="72">
        <v>624219</v>
      </c>
      <c r="G90" s="72" t="s">
        <v>1293</v>
      </c>
      <c r="H90" s="72" t="s">
        <v>1141</v>
      </c>
    </row>
    <row r="91" spans="2:8" ht="14" x14ac:dyDescent="0.15">
      <c r="B91" s="72" t="s">
        <v>114</v>
      </c>
      <c r="C91" s="72">
        <v>675.6</v>
      </c>
      <c r="D91" s="72">
        <v>31173</v>
      </c>
      <c r="E91" s="72">
        <v>45425.352079999997</v>
      </c>
      <c r="F91" s="72">
        <v>634339</v>
      </c>
      <c r="G91" s="72" t="s">
        <v>1293</v>
      </c>
      <c r="H91" s="72" t="s">
        <v>1141</v>
      </c>
    </row>
    <row r="92" spans="2:8" ht="14" x14ac:dyDescent="0.15">
      <c r="B92" s="72">
        <v>533</v>
      </c>
      <c r="C92" s="73">
        <v>16940</v>
      </c>
      <c r="D92" s="72">
        <v>31173</v>
      </c>
      <c r="E92" s="72">
        <v>45425.352079999997</v>
      </c>
      <c r="F92" s="72">
        <v>634340</v>
      </c>
      <c r="G92" s="72" t="s">
        <v>1293</v>
      </c>
      <c r="H92" s="72" t="s">
        <v>1141</v>
      </c>
    </row>
    <row r="93" spans="2:8" ht="14" x14ac:dyDescent="0.15">
      <c r="B93" s="72" t="s">
        <v>114</v>
      </c>
      <c r="C93" s="72">
        <v>225.2</v>
      </c>
      <c r="D93" s="72">
        <v>31173</v>
      </c>
      <c r="E93" s="72">
        <v>45425.352079999997</v>
      </c>
      <c r="F93" s="72">
        <v>634340</v>
      </c>
      <c r="G93" s="72" t="s">
        <v>1293</v>
      </c>
      <c r="H93" s="72" t="s">
        <v>1141</v>
      </c>
    </row>
    <row r="94" spans="2:8" ht="14" x14ac:dyDescent="0.15">
      <c r="B94" s="72">
        <v>133</v>
      </c>
      <c r="C94" s="72">
        <v>486</v>
      </c>
      <c r="D94" s="72">
        <v>31173</v>
      </c>
      <c r="E94" s="72">
        <v>45437.352079999997</v>
      </c>
      <c r="F94" s="72">
        <v>624125</v>
      </c>
      <c r="G94" s="72" t="s">
        <v>1293</v>
      </c>
      <c r="H94" s="72" t="s">
        <v>1141</v>
      </c>
    </row>
    <row r="95" spans="2:8" ht="14" x14ac:dyDescent="0.15">
      <c r="B95" s="72">
        <v>313</v>
      </c>
      <c r="C95" s="73">
        <v>1750</v>
      </c>
      <c r="D95" s="72">
        <v>31173</v>
      </c>
      <c r="E95" s="72">
        <v>45437.352079999997</v>
      </c>
      <c r="F95" s="72">
        <v>624125</v>
      </c>
      <c r="G95" s="72" t="s">
        <v>1293</v>
      </c>
      <c r="H95" s="72" t="s">
        <v>1141</v>
      </c>
    </row>
    <row r="96" spans="2:8" ht="14" x14ac:dyDescent="0.15">
      <c r="B96" s="72">
        <v>713</v>
      </c>
      <c r="C96" s="73">
        <v>7470</v>
      </c>
      <c r="D96" s="72">
        <v>31173</v>
      </c>
      <c r="E96" s="72">
        <v>45437.352079999997</v>
      </c>
      <c r="F96" s="72">
        <v>624125</v>
      </c>
      <c r="G96" s="72" t="s">
        <v>1293</v>
      </c>
      <c r="H96" s="72" t="s">
        <v>1141</v>
      </c>
    </row>
    <row r="97" spans="2:8" ht="14" x14ac:dyDescent="0.15">
      <c r="B97" s="72">
        <v>521</v>
      </c>
      <c r="C97" s="72">
        <v>516.84</v>
      </c>
      <c r="D97" s="72">
        <v>31173</v>
      </c>
      <c r="E97" s="72">
        <v>45437.352079999997</v>
      </c>
      <c r="F97" s="72">
        <v>624140</v>
      </c>
      <c r="G97" s="72" t="s">
        <v>1293</v>
      </c>
      <c r="H97" s="72" t="s">
        <v>1141</v>
      </c>
    </row>
    <row r="98" spans="2:8" ht="14" x14ac:dyDescent="0.15">
      <c r="B98" s="72">
        <v>523</v>
      </c>
      <c r="C98" s="73">
        <v>574099.19999999995</v>
      </c>
      <c r="D98" s="72">
        <v>31173</v>
      </c>
      <c r="E98" s="72">
        <v>45437.352079999997</v>
      </c>
      <c r="F98" s="72">
        <v>624140</v>
      </c>
      <c r="G98" s="72" t="s">
        <v>1293</v>
      </c>
      <c r="H98" s="72" t="s">
        <v>1141</v>
      </c>
    </row>
    <row r="99" spans="2:8" ht="14" x14ac:dyDescent="0.15">
      <c r="B99" s="72">
        <v>533</v>
      </c>
      <c r="C99" s="73">
        <v>330850.69</v>
      </c>
      <c r="D99" s="72">
        <v>31173</v>
      </c>
      <c r="E99" s="72">
        <v>45437.352079999997</v>
      </c>
      <c r="F99" s="72">
        <v>624140</v>
      </c>
      <c r="G99" s="72" t="s">
        <v>1293</v>
      </c>
      <c r="H99" s="72" t="s">
        <v>1141</v>
      </c>
    </row>
    <row r="100" spans="2:8" ht="14" x14ac:dyDescent="0.15">
      <c r="B100" s="72">
        <v>543</v>
      </c>
      <c r="C100" s="73">
        <v>6796</v>
      </c>
      <c r="D100" s="72">
        <v>31173</v>
      </c>
      <c r="E100" s="72">
        <v>45437.352079999997</v>
      </c>
      <c r="F100" s="72">
        <v>624140</v>
      </c>
      <c r="G100" s="72" t="s">
        <v>1293</v>
      </c>
      <c r="H100" s="72" t="s">
        <v>1141</v>
      </c>
    </row>
    <row r="101" spans="2:8" ht="14" x14ac:dyDescent="0.15">
      <c r="B101" s="72">
        <v>763</v>
      </c>
      <c r="C101" s="73">
        <v>2781.07</v>
      </c>
      <c r="D101" s="72">
        <v>31173</v>
      </c>
      <c r="E101" s="72">
        <v>45437.352079999997</v>
      </c>
      <c r="F101" s="72">
        <v>624140</v>
      </c>
      <c r="G101" s="72" t="s">
        <v>1293</v>
      </c>
      <c r="H101" s="72" t="s">
        <v>1141</v>
      </c>
    </row>
    <row r="102" spans="2:8" ht="14" x14ac:dyDescent="0.15">
      <c r="B102" s="72" t="s">
        <v>49</v>
      </c>
      <c r="C102" s="73">
        <v>2530</v>
      </c>
      <c r="D102" s="72">
        <v>31173</v>
      </c>
      <c r="E102" s="72">
        <v>45437.352079999997</v>
      </c>
      <c r="F102" s="72">
        <v>624140</v>
      </c>
      <c r="G102" s="72" t="s">
        <v>1293</v>
      </c>
      <c r="H102" s="72" t="s">
        <v>1141</v>
      </c>
    </row>
    <row r="103" spans="2:8" ht="14" x14ac:dyDescent="0.15">
      <c r="B103" s="72" t="s">
        <v>119</v>
      </c>
      <c r="C103" s="72">
        <v>389.7</v>
      </c>
      <c r="D103" s="72">
        <v>31173</v>
      </c>
      <c r="E103" s="72">
        <v>45437.352079999997</v>
      </c>
      <c r="F103" s="72">
        <v>624140</v>
      </c>
      <c r="G103" s="72" t="s">
        <v>1293</v>
      </c>
      <c r="H103" s="72" t="s">
        <v>1141</v>
      </c>
    </row>
    <row r="104" spans="2:8" ht="14" x14ac:dyDescent="0.15">
      <c r="B104" s="72">
        <v>311</v>
      </c>
      <c r="C104" s="73">
        <v>2003.04</v>
      </c>
      <c r="D104" s="72">
        <v>31173</v>
      </c>
      <c r="E104" s="72">
        <v>45437.352079999997</v>
      </c>
      <c r="F104" s="72">
        <v>624189</v>
      </c>
      <c r="G104" s="72" t="s">
        <v>1293</v>
      </c>
      <c r="H104" s="72" t="s">
        <v>1141</v>
      </c>
    </row>
    <row r="105" spans="2:8" ht="14" x14ac:dyDescent="0.15">
      <c r="B105" s="72">
        <v>711</v>
      </c>
      <c r="C105" s="72">
        <v>273.76</v>
      </c>
      <c r="D105" s="72">
        <v>31173</v>
      </c>
      <c r="E105" s="72">
        <v>45437.352079999997</v>
      </c>
      <c r="F105" s="72">
        <v>624189</v>
      </c>
      <c r="G105" s="72" t="s">
        <v>1293</v>
      </c>
      <c r="H105" s="72" t="s">
        <v>1141</v>
      </c>
    </row>
    <row r="106" spans="2:8" ht="14" x14ac:dyDescent="0.15">
      <c r="B106" s="72">
        <v>3</v>
      </c>
      <c r="C106" s="72">
        <v>115.19</v>
      </c>
      <c r="D106" s="72">
        <v>31173</v>
      </c>
      <c r="E106" s="72">
        <v>45437.352079999997</v>
      </c>
      <c r="F106" s="72">
        <v>624219</v>
      </c>
      <c r="G106" s="72" t="s">
        <v>1293</v>
      </c>
      <c r="H106" s="72" t="s">
        <v>1141</v>
      </c>
    </row>
    <row r="107" spans="2:8" ht="14" x14ac:dyDescent="0.15">
      <c r="B107" s="72">
        <v>111</v>
      </c>
      <c r="C107" s="73">
        <v>69956.22</v>
      </c>
      <c r="D107" s="72">
        <v>31173</v>
      </c>
      <c r="E107" s="72">
        <v>45437.352079999997</v>
      </c>
      <c r="F107" s="72">
        <v>624219</v>
      </c>
      <c r="G107" s="72" t="s">
        <v>1293</v>
      </c>
      <c r="H107" s="72" t="s">
        <v>1141</v>
      </c>
    </row>
    <row r="108" spans="2:8" ht="14" x14ac:dyDescent="0.15">
      <c r="B108" s="72">
        <v>311</v>
      </c>
      <c r="C108" s="73">
        <v>3877.63</v>
      </c>
      <c r="D108" s="72">
        <v>31173</v>
      </c>
      <c r="E108" s="72">
        <v>45437.352079999997</v>
      </c>
      <c r="F108" s="72">
        <v>624219</v>
      </c>
      <c r="G108" s="72" t="s">
        <v>1293</v>
      </c>
      <c r="H108" s="72" t="s">
        <v>1141</v>
      </c>
    </row>
    <row r="109" spans="2:8" ht="14" x14ac:dyDescent="0.15">
      <c r="B109" s="72">
        <v>421</v>
      </c>
      <c r="C109" s="73">
        <v>77570.12</v>
      </c>
      <c r="D109" s="72">
        <v>31173</v>
      </c>
      <c r="E109" s="72">
        <v>45437.352079999997</v>
      </c>
      <c r="F109" s="72">
        <v>624219</v>
      </c>
      <c r="G109" s="72" t="s">
        <v>1293</v>
      </c>
      <c r="H109" s="72" t="s">
        <v>1141</v>
      </c>
    </row>
    <row r="110" spans="2:8" ht="14" x14ac:dyDescent="0.15">
      <c r="B110" s="72">
        <v>451</v>
      </c>
      <c r="C110" s="73">
        <v>1766.23</v>
      </c>
      <c r="D110" s="72">
        <v>31173</v>
      </c>
      <c r="E110" s="72">
        <v>45437.352079999997</v>
      </c>
      <c r="F110" s="72">
        <v>624219</v>
      </c>
      <c r="G110" s="72" t="s">
        <v>1293</v>
      </c>
      <c r="H110" s="72" t="s">
        <v>1141</v>
      </c>
    </row>
    <row r="111" spans="2:8" ht="14" x14ac:dyDescent="0.15">
      <c r="B111" s="72">
        <v>523</v>
      </c>
      <c r="C111" s="73">
        <v>13682</v>
      </c>
      <c r="D111" s="72">
        <v>31173</v>
      </c>
      <c r="E111" s="72">
        <v>45437.352079999997</v>
      </c>
      <c r="F111" s="72">
        <v>624219</v>
      </c>
      <c r="G111" s="72" t="s">
        <v>1293</v>
      </c>
      <c r="H111" s="72" t="s">
        <v>1141</v>
      </c>
    </row>
    <row r="112" spans="2:8" ht="14" x14ac:dyDescent="0.15">
      <c r="B112" s="72">
        <v>533</v>
      </c>
      <c r="C112" s="73">
        <v>73200</v>
      </c>
      <c r="D112" s="72">
        <v>31173</v>
      </c>
      <c r="E112" s="72">
        <v>45437.352079999997</v>
      </c>
      <c r="F112" s="72">
        <v>624219</v>
      </c>
      <c r="G112" s="72" t="s">
        <v>1293</v>
      </c>
      <c r="H112" s="72" t="s">
        <v>1141</v>
      </c>
    </row>
    <row r="113" spans="2:8" ht="14" x14ac:dyDescent="0.15">
      <c r="B113" s="72">
        <v>543</v>
      </c>
      <c r="C113" s="73">
        <v>18142</v>
      </c>
      <c r="D113" s="72">
        <v>31173</v>
      </c>
      <c r="E113" s="72">
        <v>45437.352079999997</v>
      </c>
      <c r="F113" s="72">
        <v>624219</v>
      </c>
      <c r="G113" s="72" t="s">
        <v>1293</v>
      </c>
      <c r="H113" s="72" t="s">
        <v>1141</v>
      </c>
    </row>
    <row r="114" spans="2:8" ht="14" x14ac:dyDescent="0.15">
      <c r="B114" s="72">
        <v>711</v>
      </c>
      <c r="C114" s="73">
        <v>24691.119999999999</v>
      </c>
      <c r="D114" s="72">
        <v>31173</v>
      </c>
      <c r="E114" s="72">
        <v>45437.352079999997</v>
      </c>
      <c r="F114" s="72">
        <v>624219</v>
      </c>
      <c r="G114" s="72" t="s">
        <v>1293</v>
      </c>
      <c r="H114" s="72" t="s">
        <v>1141</v>
      </c>
    </row>
    <row r="115" spans="2:8" ht="14" x14ac:dyDescent="0.15">
      <c r="B115" s="72">
        <v>723</v>
      </c>
      <c r="C115" s="73">
        <v>11986.55</v>
      </c>
      <c r="D115" s="72">
        <v>31173</v>
      </c>
      <c r="E115" s="72">
        <v>45437.352079999997</v>
      </c>
      <c r="F115" s="72">
        <v>624219</v>
      </c>
      <c r="G115" s="72" t="s">
        <v>1293</v>
      </c>
      <c r="H115" s="72" t="s">
        <v>1141</v>
      </c>
    </row>
    <row r="116" spans="2:8" ht="14" x14ac:dyDescent="0.15">
      <c r="B116" s="72">
        <v>731</v>
      </c>
      <c r="C116" s="73">
        <v>24705.26</v>
      </c>
      <c r="D116" s="72">
        <v>31173</v>
      </c>
      <c r="E116" s="72">
        <v>45437.352079999997</v>
      </c>
      <c r="F116" s="72">
        <v>624219</v>
      </c>
      <c r="G116" s="72" t="s">
        <v>1293</v>
      </c>
      <c r="H116" s="72" t="s">
        <v>1141</v>
      </c>
    </row>
    <row r="117" spans="2:8" ht="14" x14ac:dyDescent="0.15">
      <c r="B117" s="72">
        <v>761</v>
      </c>
      <c r="C117" s="73">
        <v>6887.52</v>
      </c>
      <c r="D117" s="72">
        <v>31173</v>
      </c>
      <c r="E117" s="72">
        <v>45437.352079999997</v>
      </c>
      <c r="F117" s="72">
        <v>624219</v>
      </c>
      <c r="G117" s="72" t="s">
        <v>1293</v>
      </c>
      <c r="H117" s="72" t="s">
        <v>1141</v>
      </c>
    </row>
    <row r="118" spans="2:8" ht="14" x14ac:dyDescent="0.15">
      <c r="B118" s="72">
        <v>763</v>
      </c>
      <c r="C118" s="73">
        <v>1119.4000000000001</v>
      </c>
      <c r="D118" s="72">
        <v>31173</v>
      </c>
      <c r="E118" s="72">
        <v>45437.352079999997</v>
      </c>
      <c r="F118" s="72">
        <v>624219</v>
      </c>
      <c r="G118" s="72" t="s">
        <v>1293</v>
      </c>
      <c r="H118" s="72" t="s">
        <v>1141</v>
      </c>
    </row>
    <row r="119" spans="2:8" ht="14" x14ac:dyDescent="0.15">
      <c r="B119" s="72" t="s">
        <v>49</v>
      </c>
      <c r="C119" s="73">
        <v>9689.01</v>
      </c>
      <c r="D119" s="72">
        <v>31173</v>
      </c>
      <c r="E119" s="72">
        <v>45437.352079999997</v>
      </c>
      <c r="F119" s="72">
        <v>624219</v>
      </c>
      <c r="G119" s="72" t="s">
        <v>1293</v>
      </c>
      <c r="H119" s="72" t="s">
        <v>1141</v>
      </c>
    </row>
    <row r="120" spans="2:8" ht="14" x14ac:dyDescent="0.15">
      <c r="B120" s="72" t="s">
        <v>119</v>
      </c>
      <c r="C120" s="73">
        <v>11199.74</v>
      </c>
      <c r="D120" s="72">
        <v>31173</v>
      </c>
      <c r="E120" s="72">
        <v>45437.352079999997</v>
      </c>
      <c r="F120" s="72">
        <v>624219</v>
      </c>
      <c r="G120" s="72" t="s">
        <v>1293</v>
      </c>
      <c r="H120" s="72" t="s">
        <v>1141</v>
      </c>
    </row>
    <row r="121" spans="2:8" ht="14" x14ac:dyDescent="0.15">
      <c r="B121" s="72" t="s">
        <v>114</v>
      </c>
      <c r="C121" s="72">
        <v>675.6</v>
      </c>
      <c r="D121" s="72">
        <v>31173</v>
      </c>
      <c r="E121" s="72">
        <v>45437.352079999997</v>
      </c>
      <c r="F121" s="72">
        <v>634339</v>
      </c>
      <c r="G121" s="72" t="s">
        <v>1293</v>
      </c>
      <c r="H121" s="72" t="s">
        <v>1141</v>
      </c>
    </row>
    <row r="122" spans="2:8" ht="14" x14ac:dyDescent="0.15">
      <c r="B122" s="72">
        <v>533</v>
      </c>
      <c r="C122" s="73">
        <v>16940</v>
      </c>
      <c r="D122" s="72">
        <v>31173</v>
      </c>
      <c r="E122" s="72">
        <v>45437.352079999997</v>
      </c>
      <c r="F122" s="72">
        <v>634340</v>
      </c>
      <c r="G122" s="72" t="s">
        <v>1293</v>
      </c>
      <c r="H122" s="72" t="s">
        <v>1141</v>
      </c>
    </row>
    <row r="123" spans="2:8" ht="14" x14ac:dyDescent="0.15">
      <c r="B123" s="72" t="s">
        <v>114</v>
      </c>
      <c r="C123" s="72">
        <v>225.2</v>
      </c>
      <c r="D123" s="72">
        <v>31173</v>
      </c>
      <c r="E123" s="72">
        <v>45437.352079999997</v>
      </c>
      <c r="F123" s="72">
        <v>634340</v>
      </c>
      <c r="G123" s="72" t="s">
        <v>1293</v>
      </c>
      <c r="H123" s="72" t="s">
        <v>1141</v>
      </c>
    </row>
    <row r="124" spans="2:8" ht="14" x14ac:dyDescent="0.15">
      <c r="B124" s="72">
        <v>133</v>
      </c>
      <c r="C124" s="72">
        <v>486</v>
      </c>
      <c r="D124" s="72">
        <v>31173</v>
      </c>
      <c r="E124" s="72">
        <v>45628.401389999999</v>
      </c>
      <c r="F124" s="72">
        <v>624125</v>
      </c>
      <c r="G124" s="72" t="s">
        <v>1293</v>
      </c>
      <c r="H124" s="72" t="s">
        <v>1141</v>
      </c>
    </row>
    <row r="125" spans="2:8" ht="14" x14ac:dyDescent="0.15">
      <c r="B125" s="72">
        <v>313</v>
      </c>
      <c r="C125" s="73">
        <v>1750</v>
      </c>
      <c r="D125" s="72">
        <v>31173</v>
      </c>
      <c r="E125" s="72">
        <v>45628.401389999999</v>
      </c>
      <c r="F125" s="72">
        <v>624125</v>
      </c>
      <c r="G125" s="72" t="s">
        <v>1293</v>
      </c>
      <c r="H125" s="72" t="s">
        <v>1141</v>
      </c>
    </row>
    <row r="126" spans="2:8" ht="14" x14ac:dyDescent="0.15">
      <c r="B126" s="72">
        <v>713</v>
      </c>
      <c r="C126" s="73">
        <v>7470</v>
      </c>
      <c r="D126" s="72">
        <v>31173</v>
      </c>
      <c r="E126" s="72">
        <v>45628.401389999999</v>
      </c>
      <c r="F126" s="72">
        <v>624125</v>
      </c>
      <c r="G126" s="72" t="s">
        <v>1293</v>
      </c>
      <c r="H126" s="72" t="s">
        <v>1141</v>
      </c>
    </row>
    <row r="127" spans="2:8" ht="14" x14ac:dyDescent="0.15">
      <c r="B127" s="72">
        <v>521</v>
      </c>
      <c r="C127" s="72">
        <v>516.84</v>
      </c>
      <c r="D127" s="72">
        <v>31173</v>
      </c>
      <c r="E127" s="72">
        <v>45628.401389999999</v>
      </c>
      <c r="F127" s="72">
        <v>624140</v>
      </c>
      <c r="G127" s="72" t="s">
        <v>1293</v>
      </c>
      <c r="H127" s="72" t="s">
        <v>1141</v>
      </c>
    </row>
    <row r="128" spans="2:8" ht="14" x14ac:dyDescent="0.15">
      <c r="B128" s="72">
        <v>523</v>
      </c>
      <c r="C128" s="73">
        <v>574099.19999999995</v>
      </c>
      <c r="D128" s="72">
        <v>31173</v>
      </c>
      <c r="E128" s="72">
        <v>45628.401389999999</v>
      </c>
      <c r="F128" s="72">
        <v>624140</v>
      </c>
      <c r="G128" s="72" t="s">
        <v>1293</v>
      </c>
      <c r="H128" s="72" t="s">
        <v>1141</v>
      </c>
    </row>
    <row r="129" spans="2:8" ht="14" x14ac:dyDescent="0.15">
      <c r="B129" s="72">
        <v>533</v>
      </c>
      <c r="C129" s="73">
        <v>330850.69</v>
      </c>
      <c r="D129" s="72">
        <v>31173</v>
      </c>
      <c r="E129" s="72">
        <v>45628.401389999999</v>
      </c>
      <c r="F129" s="72">
        <v>624140</v>
      </c>
      <c r="G129" s="72" t="s">
        <v>1293</v>
      </c>
      <c r="H129" s="72" t="s">
        <v>1141</v>
      </c>
    </row>
    <row r="130" spans="2:8" ht="14" x14ac:dyDescent="0.15">
      <c r="B130" s="72">
        <v>543</v>
      </c>
      <c r="C130" s="73">
        <v>6796</v>
      </c>
      <c r="D130" s="72">
        <v>31173</v>
      </c>
      <c r="E130" s="72">
        <v>45628.401389999999</v>
      </c>
      <c r="F130" s="72">
        <v>624140</v>
      </c>
      <c r="G130" s="72" t="s">
        <v>1293</v>
      </c>
      <c r="H130" s="72" t="s">
        <v>1141</v>
      </c>
    </row>
    <row r="131" spans="2:8" ht="14" x14ac:dyDescent="0.15">
      <c r="B131" s="72">
        <v>763</v>
      </c>
      <c r="C131" s="73">
        <v>2781.07</v>
      </c>
      <c r="D131" s="72">
        <v>31173</v>
      </c>
      <c r="E131" s="72">
        <v>45628.401389999999</v>
      </c>
      <c r="F131" s="72">
        <v>624140</v>
      </c>
      <c r="G131" s="72" t="s">
        <v>1293</v>
      </c>
      <c r="H131" s="72" t="s">
        <v>1141</v>
      </c>
    </row>
    <row r="132" spans="2:8" ht="14" x14ac:dyDescent="0.15">
      <c r="B132" s="72" t="s">
        <v>49</v>
      </c>
      <c r="C132" s="73">
        <v>2530</v>
      </c>
      <c r="D132" s="72">
        <v>31173</v>
      </c>
      <c r="E132" s="72">
        <v>45628.401389999999</v>
      </c>
      <c r="F132" s="72">
        <v>624140</v>
      </c>
      <c r="G132" s="72" t="s">
        <v>1293</v>
      </c>
      <c r="H132" s="72" t="s">
        <v>1141</v>
      </c>
    </row>
    <row r="133" spans="2:8" ht="14" x14ac:dyDescent="0.15">
      <c r="B133" s="72" t="s">
        <v>119</v>
      </c>
      <c r="C133" s="72">
        <v>389.7</v>
      </c>
      <c r="D133" s="72">
        <v>31173</v>
      </c>
      <c r="E133" s="72">
        <v>45628.401389999999</v>
      </c>
      <c r="F133" s="72">
        <v>624140</v>
      </c>
      <c r="G133" s="72" t="s">
        <v>1293</v>
      </c>
      <c r="H133" s="72" t="s">
        <v>1141</v>
      </c>
    </row>
    <row r="134" spans="2:8" ht="14" x14ac:dyDescent="0.15">
      <c r="B134" s="72">
        <v>311</v>
      </c>
      <c r="C134" s="73">
        <v>2003.04</v>
      </c>
      <c r="D134" s="72">
        <v>31173</v>
      </c>
      <c r="E134" s="72">
        <v>45628.401389999999</v>
      </c>
      <c r="F134" s="72">
        <v>624189</v>
      </c>
      <c r="G134" s="72" t="s">
        <v>1293</v>
      </c>
      <c r="H134" s="72" t="s">
        <v>1141</v>
      </c>
    </row>
    <row r="135" spans="2:8" ht="14" x14ac:dyDescent="0.15">
      <c r="B135" s="72">
        <v>711</v>
      </c>
      <c r="C135" s="72">
        <v>273.76</v>
      </c>
      <c r="D135" s="72">
        <v>31173</v>
      </c>
      <c r="E135" s="72">
        <v>45628.401389999999</v>
      </c>
      <c r="F135" s="72">
        <v>624189</v>
      </c>
      <c r="G135" s="72" t="s">
        <v>1293</v>
      </c>
      <c r="H135" s="72" t="s">
        <v>1141</v>
      </c>
    </row>
    <row r="136" spans="2:8" ht="14" x14ac:dyDescent="0.15">
      <c r="B136" s="72">
        <v>3</v>
      </c>
      <c r="C136" s="72">
        <v>115.19</v>
      </c>
      <c r="D136" s="72">
        <v>31173</v>
      </c>
      <c r="E136" s="72">
        <v>45628.401389999999</v>
      </c>
      <c r="F136" s="72">
        <v>624219</v>
      </c>
      <c r="G136" s="72" t="s">
        <v>1293</v>
      </c>
      <c r="H136" s="72" t="s">
        <v>1141</v>
      </c>
    </row>
    <row r="137" spans="2:8" ht="14" x14ac:dyDescent="0.15">
      <c r="B137" s="72">
        <v>111</v>
      </c>
      <c r="C137" s="73">
        <v>69956.22</v>
      </c>
      <c r="D137" s="72">
        <v>31173</v>
      </c>
      <c r="E137" s="72">
        <v>45628.401389999999</v>
      </c>
      <c r="F137" s="72">
        <v>624219</v>
      </c>
      <c r="G137" s="72" t="s">
        <v>1293</v>
      </c>
      <c r="H137" s="72" t="s">
        <v>1141</v>
      </c>
    </row>
    <row r="138" spans="2:8" ht="14" x14ac:dyDescent="0.15">
      <c r="B138" s="72">
        <v>311</v>
      </c>
      <c r="C138" s="73">
        <v>3877.63</v>
      </c>
      <c r="D138" s="72">
        <v>31173</v>
      </c>
      <c r="E138" s="72">
        <v>45628.401389999999</v>
      </c>
      <c r="F138" s="72">
        <v>624219</v>
      </c>
      <c r="G138" s="72" t="s">
        <v>1293</v>
      </c>
      <c r="H138" s="72" t="s">
        <v>1141</v>
      </c>
    </row>
    <row r="139" spans="2:8" ht="14" x14ac:dyDescent="0.15">
      <c r="B139" s="72">
        <v>421</v>
      </c>
      <c r="C139" s="73">
        <v>77570.12</v>
      </c>
      <c r="D139" s="72">
        <v>31173</v>
      </c>
      <c r="E139" s="72">
        <v>45628.401389999999</v>
      </c>
      <c r="F139" s="72">
        <v>624219</v>
      </c>
      <c r="G139" s="72" t="s">
        <v>1293</v>
      </c>
      <c r="H139" s="72" t="s">
        <v>1141</v>
      </c>
    </row>
    <row r="140" spans="2:8" ht="14" x14ac:dyDescent="0.15">
      <c r="B140" s="72">
        <v>451</v>
      </c>
      <c r="C140" s="73">
        <v>1766.23</v>
      </c>
      <c r="D140" s="72">
        <v>31173</v>
      </c>
      <c r="E140" s="72">
        <v>45628.401389999999</v>
      </c>
      <c r="F140" s="72">
        <v>624219</v>
      </c>
      <c r="G140" s="72" t="s">
        <v>1293</v>
      </c>
      <c r="H140" s="72" t="s">
        <v>1141</v>
      </c>
    </row>
    <row r="141" spans="2:8" ht="14" x14ac:dyDescent="0.15">
      <c r="B141" s="72">
        <v>523</v>
      </c>
      <c r="C141" s="73">
        <v>13682</v>
      </c>
      <c r="D141" s="72">
        <v>31173</v>
      </c>
      <c r="E141" s="72">
        <v>45628.401389999999</v>
      </c>
      <c r="F141" s="72">
        <v>624219</v>
      </c>
      <c r="G141" s="72" t="s">
        <v>1293</v>
      </c>
      <c r="H141" s="72" t="s">
        <v>1141</v>
      </c>
    </row>
    <row r="142" spans="2:8" ht="14" x14ac:dyDescent="0.15">
      <c r="B142" s="72">
        <v>533</v>
      </c>
      <c r="C142" s="73">
        <v>73200</v>
      </c>
      <c r="D142" s="72">
        <v>31173</v>
      </c>
      <c r="E142" s="72">
        <v>45628.401389999999</v>
      </c>
      <c r="F142" s="72">
        <v>624219</v>
      </c>
      <c r="G142" s="72" t="s">
        <v>1293</v>
      </c>
      <c r="H142" s="72" t="s">
        <v>1141</v>
      </c>
    </row>
    <row r="143" spans="2:8" ht="14" x14ac:dyDescent="0.15">
      <c r="B143" s="72">
        <v>543</v>
      </c>
      <c r="C143" s="73">
        <v>18142</v>
      </c>
      <c r="D143" s="72">
        <v>31173</v>
      </c>
      <c r="E143" s="72">
        <v>45628.401389999999</v>
      </c>
      <c r="F143" s="72">
        <v>624219</v>
      </c>
      <c r="G143" s="72" t="s">
        <v>1293</v>
      </c>
      <c r="H143" s="72" t="s">
        <v>1141</v>
      </c>
    </row>
    <row r="144" spans="2:8" ht="14" x14ac:dyDescent="0.15">
      <c r="B144" s="72">
        <v>711</v>
      </c>
      <c r="C144" s="73">
        <v>24691.119999999999</v>
      </c>
      <c r="D144" s="72">
        <v>31173</v>
      </c>
      <c r="E144" s="72">
        <v>45628.401389999999</v>
      </c>
      <c r="F144" s="72">
        <v>624219</v>
      </c>
      <c r="G144" s="72" t="s">
        <v>1293</v>
      </c>
      <c r="H144" s="72" t="s">
        <v>1141</v>
      </c>
    </row>
    <row r="145" spans="2:8" ht="14" x14ac:dyDescent="0.15">
      <c r="B145" s="72">
        <v>723</v>
      </c>
      <c r="C145" s="73">
        <v>11986.55</v>
      </c>
      <c r="D145" s="72">
        <v>31173</v>
      </c>
      <c r="E145" s="72">
        <v>45628.401389999999</v>
      </c>
      <c r="F145" s="72">
        <v>624219</v>
      </c>
      <c r="G145" s="72" t="s">
        <v>1293</v>
      </c>
      <c r="H145" s="72" t="s">
        <v>1141</v>
      </c>
    </row>
    <row r="146" spans="2:8" ht="14" x14ac:dyDescent="0.15">
      <c r="B146" s="72">
        <v>731</v>
      </c>
      <c r="C146" s="73">
        <v>24705.26</v>
      </c>
      <c r="D146" s="72">
        <v>31173</v>
      </c>
      <c r="E146" s="72">
        <v>45628.401389999999</v>
      </c>
      <c r="F146" s="72">
        <v>624219</v>
      </c>
      <c r="G146" s="72" t="s">
        <v>1293</v>
      </c>
      <c r="H146" s="72" t="s">
        <v>1141</v>
      </c>
    </row>
    <row r="147" spans="2:8" ht="14" x14ac:dyDescent="0.15">
      <c r="B147" s="72">
        <v>761</v>
      </c>
      <c r="C147" s="73">
        <v>6887.52</v>
      </c>
      <c r="D147" s="72">
        <v>31173</v>
      </c>
      <c r="E147" s="72">
        <v>45628.401389999999</v>
      </c>
      <c r="F147" s="72">
        <v>624219</v>
      </c>
      <c r="G147" s="72" t="s">
        <v>1293</v>
      </c>
      <c r="H147" s="72" t="s">
        <v>1141</v>
      </c>
    </row>
    <row r="148" spans="2:8" ht="14" x14ac:dyDescent="0.15">
      <c r="B148" s="72">
        <v>763</v>
      </c>
      <c r="C148" s="73">
        <v>1119.4000000000001</v>
      </c>
      <c r="D148" s="72">
        <v>31173</v>
      </c>
      <c r="E148" s="72">
        <v>45628.401389999999</v>
      </c>
      <c r="F148" s="72">
        <v>624219</v>
      </c>
      <c r="G148" s="72" t="s">
        <v>1293</v>
      </c>
      <c r="H148" s="72" t="s">
        <v>1141</v>
      </c>
    </row>
    <row r="149" spans="2:8" ht="14" x14ac:dyDescent="0.15">
      <c r="B149" s="72" t="s">
        <v>49</v>
      </c>
      <c r="C149" s="73">
        <v>9689.01</v>
      </c>
      <c r="D149" s="72">
        <v>31173</v>
      </c>
      <c r="E149" s="72">
        <v>45628.401389999999</v>
      </c>
      <c r="F149" s="72">
        <v>624219</v>
      </c>
      <c r="G149" s="72" t="s">
        <v>1293</v>
      </c>
      <c r="H149" s="72" t="s">
        <v>1141</v>
      </c>
    </row>
    <row r="150" spans="2:8" ht="14" x14ac:dyDescent="0.15">
      <c r="B150" s="72" t="s">
        <v>119</v>
      </c>
      <c r="C150" s="73">
        <v>11204.77</v>
      </c>
      <c r="D150" s="72">
        <v>31173</v>
      </c>
      <c r="E150" s="72">
        <v>45628.401389999999</v>
      </c>
      <c r="F150" s="72">
        <v>624219</v>
      </c>
      <c r="G150" s="72" t="s">
        <v>1293</v>
      </c>
      <c r="H150" s="72" t="s">
        <v>1141</v>
      </c>
    </row>
    <row r="151" spans="2:8" ht="14" x14ac:dyDescent="0.15">
      <c r="B151" s="72" t="s">
        <v>120</v>
      </c>
      <c r="C151" s="72">
        <v>2.6</v>
      </c>
      <c r="D151" s="72">
        <v>31173</v>
      </c>
      <c r="E151" s="72">
        <v>45628.401389999999</v>
      </c>
      <c r="F151" s="72">
        <v>624219</v>
      </c>
      <c r="G151" s="72" t="s">
        <v>1293</v>
      </c>
      <c r="H151" s="72" t="s">
        <v>1141</v>
      </c>
    </row>
    <row r="152" spans="2:8" ht="14" x14ac:dyDescent="0.15">
      <c r="B152" s="72" t="s">
        <v>114</v>
      </c>
      <c r="C152" s="72">
        <v>675.6</v>
      </c>
      <c r="D152" s="72">
        <v>31173</v>
      </c>
      <c r="E152" s="72">
        <v>45628.401389999999</v>
      </c>
      <c r="F152" s="72">
        <v>634339</v>
      </c>
      <c r="G152" s="72" t="s">
        <v>1293</v>
      </c>
      <c r="H152" s="72" t="s">
        <v>1141</v>
      </c>
    </row>
    <row r="153" spans="2:8" ht="14" x14ac:dyDescent="0.15">
      <c r="B153" s="72">
        <v>523</v>
      </c>
      <c r="C153" s="73">
        <v>4904</v>
      </c>
      <c r="D153" s="72">
        <v>31173</v>
      </c>
      <c r="E153" s="72">
        <v>45628.401389999999</v>
      </c>
      <c r="F153" s="72">
        <v>634340</v>
      </c>
      <c r="G153" s="72" t="s">
        <v>1293</v>
      </c>
      <c r="H153" s="72" t="s">
        <v>1141</v>
      </c>
    </row>
    <row r="154" spans="2:8" ht="14" x14ac:dyDescent="0.15">
      <c r="B154" s="72">
        <v>533</v>
      </c>
      <c r="C154" s="73">
        <v>16940</v>
      </c>
      <c r="D154" s="72">
        <v>31173</v>
      </c>
      <c r="E154" s="72">
        <v>45628.401389999999</v>
      </c>
      <c r="F154" s="72">
        <v>634340</v>
      </c>
      <c r="G154" s="72" t="s">
        <v>1293</v>
      </c>
      <c r="H154" s="72" t="s">
        <v>1141</v>
      </c>
    </row>
    <row r="155" spans="2:8" ht="14" x14ac:dyDescent="0.15">
      <c r="B155" s="72" t="s">
        <v>114</v>
      </c>
      <c r="C155" s="72">
        <v>225.2</v>
      </c>
      <c r="D155" s="72">
        <v>31173</v>
      </c>
      <c r="E155" s="72">
        <v>45628.401389999999</v>
      </c>
      <c r="F155" s="72">
        <v>634340</v>
      </c>
      <c r="G155" s="72" t="s">
        <v>1293</v>
      </c>
      <c r="H155" s="72" t="s">
        <v>1141</v>
      </c>
    </row>
    <row r="156" spans="2:8" ht="14" x14ac:dyDescent="0.15">
      <c r="B156" s="72" t="s">
        <v>49</v>
      </c>
      <c r="C156" s="72">
        <v>7.2</v>
      </c>
      <c r="D156" s="72">
        <v>31173</v>
      </c>
      <c r="E156" s="72">
        <v>45628.401389999999</v>
      </c>
      <c r="F156" s="72">
        <v>634340</v>
      </c>
      <c r="G156" s="72" t="s">
        <v>1293</v>
      </c>
      <c r="H156" s="72" t="s">
        <v>1141</v>
      </c>
    </row>
    <row r="157" spans="2:8" ht="14" x14ac:dyDescent="0.15">
      <c r="B157" s="72">
        <v>133</v>
      </c>
      <c r="C157" s="72">
        <v>486</v>
      </c>
      <c r="D157" s="72">
        <v>31173</v>
      </c>
      <c r="E157" s="72">
        <v>45420.457640000001</v>
      </c>
      <c r="F157" s="72">
        <v>624125</v>
      </c>
      <c r="G157" s="72" t="s">
        <v>1293</v>
      </c>
      <c r="H157" s="72" t="s">
        <v>1141</v>
      </c>
    </row>
    <row r="158" spans="2:8" ht="14" x14ac:dyDescent="0.15">
      <c r="B158" s="72">
        <v>313</v>
      </c>
      <c r="C158" s="73">
        <v>1750</v>
      </c>
      <c r="D158" s="72">
        <v>31173</v>
      </c>
      <c r="E158" s="72">
        <v>45420.457640000001</v>
      </c>
      <c r="F158" s="72">
        <v>624125</v>
      </c>
      <c r="G158" s="72" t="s">
        <v>1293</v>
      </c>
      <c r="H158" s="72" t="s">
        <v>1141</v>
      </c>
    </row>
    <row r="159" spans="2:8" ht="14" x14ac:dyDescent="0.15">
      <c r="B159" s="72">
        <v>713</v>
      </c>
      <c r="C159" s="73">
        <v>7470</v>
      </c>
      <c r="D159" s="72">
        <v>31173</v>
      </c>
      <c r="E159" s="72">
        <v>45420.457640000001</v>
      </c>
      <c r="F159" s="72">
        <v>624125</v>
      </c>
      <c r="G159" s="72" t="s">
        <v>1293</v>
      </c>
      <c r="H159" s="72" t="s">
        <v>1141</v>
      </c>
    </row>
    <row r="160" spans="2:8" ht="14" x14ac:dyDescent="0.15">
      <c r="B160" s="72">
        <v>521</v>
      </c>
      <c r="C160" s="72">
        <v>516.84</v>
      </c>
      <c r="D160" s="72">
        <v>31173</v>
      </c>
      <c r="E160" s="72">
        <v>45420.457640000001</v>
      </c>
      <c r="F160" s="72">
        <v>624140</v>
      </c>
      <c r="G160" s="72" t="s">
        <v>1293</v>
      </c>
      <c r="H160" s="72" t="s">
        <v>1141</v>
      </c>
    </row>
    <row r="161" spans="2:8" ht="14" x14ac:dyDescent="0.15">
      <c r="B161" s="72">
        <v>523</v>
      </c>
      <c r="C161" s="73">
        <v>574099.19999999995</v>
      </c>
      <c r="D161" s="72">
        <v>31173</v>
      </c>
      <c r="E161" s="72">
        <v>45420.457640000001</v>
      </c>
      <c r="F161" s="72">
        <v>624140</v>
      </c>
      <c r="G161" s="72" t="s">
        <v>1293</v>
      </c>
      <c r="H161" s="72" t="s">
        <v>1141</v>
      </c>
    </row>
    <row r="162" spans="2:8" ht="14" x14ac:dyDescent="0.15">
      <c r="B162" s="72">
        <v>533</v>
      </c>
      <c r="C162" s="73">
        <v>330850.69</v>
      </c>
      <c r="D162" s="72">
        <v>31173</v>
      </c>
      <c r="E162" s="72">
        <v>45420.457640000001</v>
      </c>
      <c r="F162" s="72">
        <v>624140</v>
      </c>
      <c r="G162" s="72" t="s">
        <v>1293</v>
      </c>
      <c r="H162" s="72" t="s">
        <v>1141</v>
      </c>
    </row>
    <row r="163" spans="2:8" ht="14" x14ac:dyDescent="0.15">
      <c r="B163" s="72">
        <v>543</v>
      </c>
      <c r="C163" s="73">
        <v>6796</v>
      </c>
      <c r="D163" s="72">
        <v>31173</v>
      </c>
      <c r="E163" s="72">
        <v>45420.457640000001</v>
      </c>
      <c r="F163" s="72">
        <v>624140</v>
      </c>
      <c r="G163" s="72" t="s">
        <v>1293</v>
      </c>
      <c r="H163" s="72" t="s">
        <v>1141</v>
      </c>
    </row>
    <row r="164" spans="2:8" ht="14" x14ac:dyDescent="0.15">
      <c r="B164" s="72">
        <v>763</v>
      </c>
      <c r="C164" s="73">
        <v>2781.07</v>
      </c>
      <c r="D164" s="72">
        <v>31173</v>
      </c>
      <c r="E164" s="72">
        <v>45420.457640000001</v>
      </c>
      <c r="F164" s="72">
        <v>624140</v>
      </c>
      <c r="G164" s="72" t="s">
        <v>1293</v>
      </c>
      <c r="H164" s="72" t="s">
        <v>1141</v>
      </c>
    </row>
    <row r="165" spans="2:8" ht="14" x14ac:dyDescent="0.15">
      <c r="B165" s="72" t="s">
        <v>49</v>
      </c>
      <c r="C165" s="73">
        <v>2530</v>
      </c>
      <c r="D165" s="72">
        <v>31173</v>
      </c>
      <c r="E165" s="72">
        <v>45420.457640000001</v>
      </c>
      <c r="F165" s="72">
        <v>624140</v>
      </c>
      <c r="G165" s="72" t="s">
        <v>1293</v>
      </c>
      <c r="H165" s="72" t="s">
        <v>1141</v>
      </c>
    </row>
    <row r="166" spans="2:8" ht="14" x14ac:dyDescent="0.15">
      <c r="B166" s="72" t="s">
        <v>119</v>
      </c>
      <c r="C166" s="72">
        <v>389.7</v>
      </c>
      <c r="D166" s="72">
        <v>31173</v>
      </c>
      <c r="E166" s="72">
        <v>45420.457640000001</v>
      </c>
      <c r="F166" s="72">
        <v>624140</v>
      </c>
      <c r="G166" s="72" t="s">
        <v>1293</v>
      </c>
      <c r="H166" s="72" t="s">
        <v>1141</v>
      </c>
    </row>
    <row r="167" spans="2:8" ht="14" x14ac:dyDescent="0.15">
      <c r="B167" s="72">
        <v>311</v>
      </c>
      <c r="C167" s="73">
        <v>2003.04</v>
      </c>
      <c r="D167" s="72">
        <v>31173</v>
      </c>
      <c r="E167" s="72">
        <v>45420.457640000001</v>
      </c>
      <c r="F167" s="72">
        <v>624189</v>
      </c>
      <c r="G167" s="72" t="s">
        <v>1293</v>
      </c>
      <c r="H167" s="72" t="s">
        <v>1141</v>
      </c>
    </row>
    <row r="168" spans="2:8" ht="14" x14ac:dyDescent="0.15">
      <c r="B168" s="72">
        <v>711</v>
      </c>
      <c r="C168" s="72">
        <v>273.76</v>
      </c>
      <c r="D168" s="72">
        <v>31173</v>
      </c>
      <c r="E168" s="72">
        <v>45420.457640000001</v>
      </c>
      <c r="F168" s="72">
        <v>624189</v>
      </c>
      <c r="G168" s="72" t="s">
        <v>1293</v>
      </c>
      <c r="H168" s="72" t="s">
        <v>1141</v>
      </c>
    </row>
    <row r="169" spans="2:8" ht="14" x14ac:dyDescent="0.15">
      <c r="B169" s="72">
        <v>3</v>
      </c>
      <c r="C169" s="72">
        <v>115.19</v>
      </c>
      <c r="D169" s="72">
        <v>31173</v>
      </c>
      <c r="E169" s="72">
        <v>45420.457640000001</v>
      </c>
      <c r="F169" s="72">
        <v>624219</v>
      </c>
      <c r="G169" s="72" t="s">
        <v>1293</v>
      </c>
      <c r="H169" s="72" t="s">
        <v>1141</v>
      </c>
    </row>
    <row r="170" spans="2:8" ht="14" x14ac:dyDescent="0.15">
      <c r="B170" s="72">
        <v>111</v>
      </c>
      <c r="C170" s="73">
        <v>69956.22</v>
      </c>
      <c r="D170" s="72">
        <v>31173</v>
      </c>
      <c r="E170" s="72">
        <v>45420.457640000001</v>
      </c>
      <c r="F170" s="72">
        <v>624219</v>
      </c>
      <c r="G170" s="72" t="s">
        <v>1293</v>
      </c>
      <c r="H170" s="72" t="s">
        <v>1141</v>
      </c>
    </row>
    <row r="171" spans="2:8" ht="14" x14ac:dyDescent="0.15">
      <c r="B171" s="72">
        <v>311</v>
      </c>
      <c r="C171" s="73">
        <v>3877.63</v>
      </c>
      <c r="D171" s="72">
        <v>31173</v>
      </c>
      <c r="E171" s="72">
        <v>45420.457640000001</v>
      </c>
      <c r="F171" s="72">
        <v>624219</v>
      </c>
      <c r="G171" s="72" t="s">
        <v>1293</v>
      </c>
      <c r="H171" s="72" t="s">
        <v>1141</v>
      </c>
    </row>
    <row r="172" spans="2:8" ht="14" x14ac:dyDescent="0.15">
      <c r="B172" s="72">
        <v>421</v>
      </c>
      <c r="C172" s="73">
        <v>77570.12</v>
      </c>
      <c r="D172" s="72">
        <v>31173</v>
      </c>
      <c r="E172" s="72">
        <v>45420.457640000001</v>
      </c>
      <c r="F172" s="72">
        <v>624219</v>
      </c>
      <c r="G172" s="72" t="s">
        <v>1293</v>
      </c>
      <c r="H172" s="72" t="s">
        <v>1141</v>
      </c>
    </row>
    <row r="173" spans="2:8" ht="14" x14ac:dyDescent="0.15">
      <c r="B173" s="72">
        <v>451</v>
      </c>
      <c r="C173" s="73">
        <v>1766.23</v>
      </c>
      <c r="D173" s="72">
        <v>31173</v>
      </c>
      <c r="E173" s="72">
        <v>45420.457640000001</v>
      </c>
      <c r="F173" s="72">
        <v>624219</v>
      </c>
      <c r="G173" s="72" t="s">
        <v>1293</v>
      </c>
      <c r="H173" s="72" t="s">
        <v>1141</v>
      </c>
    </row>
    <row r="174" spans="2:8" ht="14" x14ac:dyDescent="0.15">
      <c r="B174" s="72">
        <v>523</v>
      </c>
      <c r="C174" s="73">
        <v>13682</v>
      </c>
      <c r="D174" s="72">
        <v>31173</v>
      </c>
      <c r="E174" s="72">
        <v>45420.457640000001</v>
      </c>
      <c r="F174" s="72">
        <v>624219</v>
      </c>
      <c r="G174" s="72" t="s">
        <v>1293</v>
      </c>
      <c r="H174" s="72" t="s">
        <v>1141</v>
      </c>
    </row>
    <row r="175" spans="2:8" ht="14" x14ac:dyDescent="0.15">
      <c r="B175" s="72">
        <v>533</v>
      </c>
      <c r="C175" s="73">
        <v>73200</v>
      </c>
      <c r="D175" s="72">
        <v>31173</v>
      </c>
      <c r="E175" s="72">
        <v>45420.457640000001</v>
      </c>
      <c r="F175" s="72">
        <v>624219</v>
      </c>
      <c r="G175" s="72" t="s">
        <v>1293</v>
      </c>
      <c r="H175" s="72" t="s">
        <v>1141</v>
      </c>
    </row>
    <row r="176" spans="2:8" ht="14" x14ac:dyDescent="0.15">
      <c r="B176" s="72">
        <v>543</v>
      </c>
      <c r="C176" s="73">
        <v>18142</v>
      </c>
      <c r="D176" s="72">
        <v>31173</v>
      </c>
      <c r="E176" s="72">
        <v>45420.457640000001</v>
      </c>
      <c r="F176" s="72">
        <v>624219</v>
      </c>
      <c r="G176" s="72" t="s">
        <v>1293</v>
      </c>
      <c r="H176" s="72" t="s">
        <v>1141</v>
      </c>
    </row>
    <row r="177" spans="2:8" ht="14" x14ac:dyDescent="0.15">
      <c r="B177" s="72">
        <v>711</v>
      </c>
      <c r="C177" s="73">
        <v>24691.119999999999</v>
      </c>
      <c r="D177" s="72">
        <v>31173</v>
      </c>
      <c r="E177" s="72">
        <v>45420.457640000001</v>
      </c>
      <c r="F177" s="72">
        <v>624219</v>
      </c>
      <c r="G177" s="72" t="s">
        <v>1293</v>
      </c>
      <c r="H177" s="72" t="s">
        <v>1141</v>
      </c>
    </row>
    <row r="178" spans="2:8" ht="14" x14ac:dyDescent="0.15">
      <c r="B178" s="72">
        <v>723</v>
      </c>
      <c r="C178" s="73">
        <v>11986.55</v>
      </c>
      <c r="D178" s="72">
        <v>31173</v>
      </c>
      <c r="E178" s="72">
        <v>45420.457640000001</v>
      </c>
      <c r="F178" s="72">
        <v>624219</v>
      </c>
      <c r="G178" s="72" t="s">
        <v>1293</v>
      </c>
      <c r="H178" s="72" t="s">
        <v>1141</v>
      </c>
    </row>
    <row r="179" spans="2:8" ht="14" x14ac:dyDescent="0.15">
      <c r="B179" s="72">
        <v>731</v>
      </c>
      <c r="C179" s="73">
        <v>24705.26</v>
      </c>
      <c r="D179" s="72">
        <v>31173</v>
      </c>
      <c r="E179" s="72">
        <v>45420.457640000001</v>
      </c>
      <c r="F179" s="72">
        <v>624219</v>
      </c>
      <c r="G179" s="72" t="s">
        <v>1293</v>
      </c>
      <c r="H179" s="72" t="s">
        <v>1141</v>
      </c>
    </row>
    <row r="180" spans="2:8" ht="14" x14ac:dyDescent="0.15">
      <c r="B180" s="72">
        <v>761</v>
      </c>
      <c r="C180" s="73">
        <v>6887.52</v>
      </c>
      <c r="D180" s="72">
        <v>31173</v>
      </c>
      <c r="E180" s="72">
        <v>45420.457640000001</v>
      </c>
      <c r="F180" s="72">
        <v>624219</v>
      </c>
      <c r="G180" s="72" t="s">
        <v>1293</v>
      </c>
      <c r="H180" s="72" t="s">
        <v>1141</v>
      </c>
    </row>
    <row r="181" spans="2:8" ht="14" x14ac:dyDescent="0.15">
      <c r="B181" s="72">
        <v>763</v>
      </c>
      <c r="C181" s="73">
        <v>1119.4000000000001</v>
      </c>
      <c r="D181" s="72">
        <v>31173</v>
      </c>
      <c r="E181" s="72">
        <v>45420.457640000001</v>
      </c>
      <c r="F181" s="72">
        <v>624219</v>
      </c>
      <c r="G181" s="72" t="s">
        <v>1293</v>
      </c>
      <c r="H181" s="72" t="s">
        <v>1141</v>
      </c>
    </row>
    <row r="182" spans="2:8" ht="14" x14ac:dyDescent="0.15">
      <c r="B182" s="72" t="s">
        <v>49</v>
      </c>
      <c r="C182" s="73">
        <v>9689.01</v>
      </c>
      <c r="D182" s="72">
        <v>31173</v>
      </c>
      <c r="E182" s="72">
        <v>45420.457640000001</v>
      </c>
      <c r="F182" s="72">
        <v>624219</v>
      </c>
      <c r="G182" s="72" t="s">
        <v>1293</v>
      </c>
      <c r="H182" s="72" t="s">
        <v>1141</v>
      </c>
    </row>
    <row r="183" spans="2:8" ht="14" x14ac:dyDescent="0.15">
      <c r="B183" s="72" t="s">
        <v>119</v>
      </c>
      <c r="C183" s="73">
        <v>11251.15</v>
      </c>
      <c r="D183" s="72">
        <v>31173</v>
      </c>
      <c r="E183" s="72">
        <v>45420.457640000001</v>
      </c>
      <c r="F183" s="72">
        <v>624219</v>
      </c>
      <c r="G183" s="72" t="s">
        <v>1293</v>
      </c>
      <c r="H183" s="72" t="s">
        <v>1141</v>
      </c>
    </row>
    <row r="184" spans="2:8" ht="14" x14ac:dyDescent="0.15">
      <c r="B184" s="72" t="s">
        <v>114</v>
      </c>
      <c r="C184" s="72">
        <v>675.6</v>
      </c>
      <c r="D184" s="72">
        <v>31173</v>
      </c>
      <c r="E184" s="72">
        <v>45420.457640000001</v>
      </c>
      <c r="F184" s="72">
        <v>634339</v>
      </c>
      <c r="G184" s="72" t="s">
        <v>1293</v>
      </c>
      <c r="H184" s="72" t="s">
        <v>1141</v>
      </c>
    </row>
    <row r="185" spans="2:8" ht="14" x14ac:dyDescent="0.15">
      <c r="B185" s="72">
        <v>533</v>
      </c>
      <c r="C185" s="73">
        <v>16940</v>
      </c>
      <c r="D185" s="72">
        <v>31173</v>
      </c>
      <c r="E185" s="72">
        <v>45420.457640000001</v>
      </c>
      <c r="F185" s="72">
        <v>634340</v>
      </c>
      <c r="G185" s="72" t="s">
        <v>1293</v>
      </c>
      <c r="H185" s="72" t="s">
        <v>1141</v>
      </c>
    </row>
    <row r="186" spans="2:8" ht="14" x14ac:dyDescent="0.15">
      <c r="B186" s="72" t="s">
        <v>114</v>
      </c>
      <c r="C186" s="72">
        <v>225.2</v>
      </c>
      <c r="D186" s="72">
        <v>31173</v>
      </c>
      <c r="E186" s="72">
        <v>45420.457640000001</v>
      </c>
      <c r="F186" s="72">
        <v>634340</v>
      </c>
      <c r="G186" s="72" t="s">
        <v>1293</v>
      </c>
      <c r="H186" s="72" t="s">
        <v>1141</v>
      </c>
    </row>
    <row r="187" spans="2:8" ht="14" x14ac:dyDescent="0.15">
      <c r="B187" s="72">
        <v>133</v>
      </c>
      <c r="C187" s="72">
        <v>486</v>
      </c>
      <c r="D187" s="72">
        <v>31173</v>
      </c>
      <c r="E187" s="72">
        <v>45432.462500000001</v>
      </c>
      <c r="F187" s="72">
        <v>624125</v>
      </c>
      <c r="G187" s="72" t="s">
        <v>1293</v>
      </c>
      <c r="H187" s="72" t="s">
        <v>1141</v>
      </c>
    </row>
    <row r="188" spans="2:8" ht="14" x14ac:dyDescent="0.15">
      <c r="B188" s="72">
        <v>313</v>
      </c>
      <c r="C188" s="73">
        <v>1750</v>
      </c>
      <c r="D188" s="72">
        <v>31173</v>
      </c>
      <c r="E188" s="72">
        <v>45432.462500000001</v>
      </c>
      <c r="F188" s="72">
        <v>624125</v>
      </c>
      <c r="G188" s="72" t="s">
        <v>1293</v>
      </c>
      <c r="H188" s="72" t="s">
        <v>1141</v>
      </c>
    </row>
    <row r="189" spans="2:8" ht="14" x14ac:dyDescent="0.15">
      <c r="B189" s="72">
        <v>713</v>
      </c>
      <c r="C189" s="73">
        <v>7470</v>
      </c>
      <c r="D189" s="72">
        <v>31173</v>
      </c>
      <c r="E189" s="72">
        <v>45432.462500000001</v>
      </c>
      <c r="F189" s="72">
        <v>624125</v>
      </c>
      <c r="G189" s="72" t="s">
        <v>1293</v>
      </c>
      <c r="H189" s="72" t="s">
        <v>1141</v>
      </c>
    </row>
    <row r="190" spans="2:8" ht="14" x14ac:dyDescent="0.15">
      <c r="B190" s="72">
        <v>521</v>
      </c>
      <c r="C190" s="72">
        <v>516.84</v>
      </c>
      <c r="D190" s="72">
        <v>31173</v>
      </c>
      <c r="E190" s="72">
        <v>45432.462500000001</v>
      </c>
      <c r="F190" s="72">
        <v>624140</v>
      </c>
      <c r="G190" s="72" t="s">
        <v>1293</v>
      </c>
      <c r="H190" s="72" t="s">
        <v>1141</v>
      </c>
    </row>
    <row r="191" spans="2:8" ht="14" x14ac:dyDescent="0.15">
      <c r="B191" s="72">
        <v>523</v>
      </c>
      <c r="C191" s="73">
        <v>574099.19999999995</v>
      </c>
      <c r="D191" s="72">
        <v>31173</v>
      </c>
      <c r="E191" s="72">
        <v>45432.462500000001</v>
      </c>
      <c r="F191" s="72">
        <v>624140</v>
      </c>
      <c r="G191" s="72" t="s">
        <v>1293</v>
      </c>
      <c r="H191" s="72" t="s">
        <v>1141</v>
      </c>
    </row>
    <row r="192" spans="2:8" ht="14" x14ac:dyDescent="0.15">
      <c r="B192" s="72">
        <v>533</v>
      </c>
      <c r="C192" s="73">
        <v>330850.69</v>
      </c>
      <c r="D192" s="72">
        <v>31173</v>
      </c>
      <c r="E192" s="72">
        <v>45432.462500000001</v>
      </c>
      <c r="F192" s="72">
        <v>624140</v>
      </c>
      <c r="G192" s="72" t="s">
        <v>1293</v>
      </c>
      <c r="H192" s="72" t="s">
        <v>1141</v>
      </c>
    </row>
    <row r="193" spans="2:8" ht="14" x14ac:dyDescent="0.15">
      <c r="B193" s="72">
        <v>543</v>
      </c>
      <c r="C193" s="73">
        <v>6796</v>
      </c>
      <c r="D193" s="72">
        <v>31173</v>
      </c>
      <c r="E193" s="72">
        <v>45432.462500000001</v>
      </c>
      <c r="F193" s="72">
        <v>624140</v>
      </c>
      <c r="G193" s="72" t="s">
        <v>1293</v>
      </c>
      <c r="H193" s="72" t="s">
        <v>1141</v>
      </c>
    </row>
    <row r="194" spans="2:8" ht="14" x14ac:dyDescent="0.15">
      <c r="B194" s="72">
        <v>763</v>
      </c>
      <c r="C194" s="73">
        <v>2781.07</v>
      </c>
      <c r="D194" s="72">
        <v>31173</v>
      </c>
      <c r="E194" s="72">
        <v>45432.462500000001</v>
      </c>
      <c r="F194" s="72">
        <v>624140</v>
      </c>
      <c r="G194" s="72" t="s">
        <v>1293</v>
      </c>
      <c r="H194" s="72" t="s">
        <v>1141</v>
      </c>
    </row>
    <row r="195" spans="2:8" ht="14" x14ac:dyDescent="0.15">
      <c r="B195" s="72" t="s">
        <v>49</v>
      </c>
      <c r="C195" s="73">
        <v>2530</v>
      </c>
      <c r="D195" s="72">
        <v>31173</v>
      </c>
      <c r="E195" s="72">
        <v>45432.462500000001</v>
      </c>
      <c r="F195" s="72">
        <v>624140</v>
      </c>
      <c r="G195" s="72" t="s">
        <v>1293</v>
      </c>
      <c r="H195" s="72" t="s">
        <v>1141</v>
      </c>
    </row>
    <row r="196" spans="2:8" ht="14" x14ac:dyDescent="0.15">
      <c r="B196" s="72" t="s">
        <v>119</v>
      </c>
      <c r="C196" s="72">
        <v>389.7</v>
      </c>
      <c r="D196" s="72">
        <v>31173</v>
      </c>
      <c r="E196" s="72">
        <v>45432.462500000001</v>
      </c>
      <c r="F196" s="72">
        <v>624140</v>
      </c>
      <c r="G196" s="72" t="s">
        <v>1293</v>
      </c>
      <c r="H196" s="72" t="s">
        <v>1141</v>
      </c>
    </row>
    <row r="197" spans="2:8" ht="14" x14ac:dyDescent="0.15">
      <c r="B197" s="72">
        <v>311</v>
      </c>
      <c r="C197" s="73">
        <v>2003.04</v>
      </c>
      <c r="D197" s="72">
        <v>31173</v>
      </c>
      <c r="E197" s="72">
        <v>45432.462500000001</v>
      </c>
      <c r="F197" s="72">
        <v>624189</v>
      </c>
      <c r="G197" s="72" t="s">
        <v>1293</v>
      </c>
      <c r="H197" s="72" t="s">
        <v>1141</v>
      </c>
    </row>
    <row r="198" spans="2:8" ht="14" x14ac:dyDescent="0.15">
      <c r="B198" s="72">
        <v>711</v>
      </c>
      <c r="C198" s="72">
        <v>273.76</v>
      </c>
      <c r="D198" s="72">
        <v>31173</v>
      </c>
      <c r="E198" s="72">
        <v>45432.462500000001</v>
      </c>
      <c r="F198" s="72">
        <v>624189</v>
      </c>
      <c r="G198" s="72" t="s">
        <v>1293</v>
      </c>
      <c r="H198" s="72" t="s">
        <v>1141</v>
      </c>
    </row>
    <row r="199" spans="2:8" ht="14" x14ac:dyDescent="0.15">
      <c r="B199" s="72">
        <v>3</v>
      </c>
      <c r="C199" s="72">
        <v>115.19</v>
      </c>
      <c r="D199" s="72">
        <v>31173</v>
      </c>
      <c r="E199" s="72">
        <v>45432.462500000001</v>
      </c>
      <c r="F199" s="72">
        <v>624219</v>
      </c>
      <c r="G199" s="72" t="s">
        <v>1293</v>
      </c>
      <c r="H199" s="72" t="s">
        <v>1141</v>
      </c>
    </row>
    <row r="200" spans="2:8" ht="14" x14ac:dyDescent="0.15">
      <c r="B200" s="72">
        <v>111</v>
      </c>
      <c r="C200" s="73">
        <v>69956.22</v>
      </c>
      <c r="D200" s="72">
        <v>31173</v>
      </c>
      <c r="E200" s="72">
        <v>45432.462500000001</v>
      </c>
      <c r="F200" s="72">
        <v>624219</v>
      </c>
      <c r="G200" s="72" t="s">
        <v>1293</v>
      </c>
      <c r="H200" s="72" t="s">
        <v>1141</v>
      </c>
    </row>
    <row r="201" spans="2:8" ht="14" x14ac:dyDescent="0.15">
      <c r="B201" s="72">
        <v>311</v>
      </c>
      <c r="C201" s="73">
        <v>3877.63</v>
      </c>
      <c r="D201" s="72">
        <v>31173</v>
      </c>
      <c r="E201" s="72">
        <v>45432.462500000001</v>
      </c>
      <c r="F201" s="72">
        <v>624219</v>
      </c>
      <c r="G201" s="72" t="s">
        <v>1293</v>
      </c>
      <c r="H201" s="72" t="s">
        <v>1141</v>
      </c>
    </row>
    <row r="202" spans="2:8" ht="14" x14ac:dyDescent="0.15">
      <c r="B202" s="72">
        <v>421</v>
      </c>
      <c r="C202" s="73">
        <v>77570.12</v>
      </c>
      <c r="D202" s="72">
        <v>31173</v>
      </c>
      <c r="E202" s="72">
        <v>45432.462500000001</v>
      </c>
      <c r="F202" s="72">
        <v>624219</v>
      </c>
      <c r="G202" s="72" t="s">
        <v>1293</v>
      </c>
      <c r="H202" s="72" t="s">
        <v>1141</v>
      </c>
    </row>
    <row r="203" spans="2:8" ht="14" x14ac:dyDescent="0.15">
      <c r="B203" s="72">
        <v>451</v>
      </c>
      <c r="C203" s="73">
        <v>1766.23</v>
      </c>
      <c r="D203" s="72">
        <v>31173</v>
      </c>
      <c r="E203" s="72">
        <v>45432.462500000001</v>
      </c>
      <c r="F203" s="72">
        <v>624219</v>
      </c>
      <c r="G203" s="72" t="s">
        <v>1293</v>
      </c>
      <c r="H203" s="72" t="s">
        <v>1141</v>
      </c>
    </row>
    <row r="204" spans="2:8" ht="14" x14ac:dyDescent="0.15">
      <c r="B204" s="72">
        <v>523</v>
      </c>
      <c r="C204" s="73">
        <v>13682</v>
      </c>
      <c r="D204" s="72">
        <v>31173</v>
      </c>
      <c r="E204" s="72">
        <v>45432.462500000001</v>
      </c>
      <c r="F204" s="72">
        <v>624219</v>
      </c>
      <c r="G204" s="72" t="s">
        <v>1293</v>
      </c>
      <c r="H204" s="72" t="s">
        <v>1141</v>
      </c>
    </row>
    <row r="205" spans="2:8" ht="14" x14ac:dyDescent="0.15">
      <c r="B205" s="72">
        <v>533</v>
      </c>
      <c r="C205" s="73">
        <v>73200</v>
      </c>
      <c r="D205" s="72">
        <v>31173</v>
      </c>
      <c r="E205" s="72">
        <v>45432.462500000001</v>
      </c>
      <c r="F205" s="72">
        <v>624219</v>
      </c>
      <c r="G205" s="72" t="s">
        <v>1293</v>
      </c>
      <c r="H205" s="72" t="s">
        <v>1141</v>
      </c>
    </row>
    <row r="206" spans="2:8" ht="14" x14ac:dyDescent="0.15">
      <c r="B206" s="72">
        <v>543</v>
      </c>
      <c r="C206" s="73">
        <v>18142</v>
      </c>
      <c r="D206" s="72">
        <v>31173</v>
      </c>
      <c r="E206" s="72">
        <v>45432.462500000001</v>
      </c>
      <c r="F206" s="72">
        <v>624219</v>
      </c>
      <c r="G206" s="72" t="s">
        <v>1293</v>
      </c>
      <c r="H206" s="72" t="s">
        <v>1141</v>
      </c>
    </row>
    <row r="207" spans="2:8" ht="14" x14ac:dyDescent="0.15">
      <c r="B207" s="72">
        <v>711</v>
      </c>
      <c r="C207" s="73">
        <v>24691.119999999999</v>
      </c>
      <c r="D207" s="72">
        <v>31173</v>
      </c>
      <c r="E207" s="72">
        <v>45432.462500000001</v>
      </c>
      <c r="F207" s="72">
        <v>624219</v>
      </c>
      <c r="G207" s="72" t="s">
        <v>1293</v>
      </c>
      <c r="H207" s="72" t="s">
        <v>1141</v>
      </c>
    </row>
    <row r="208" spans="2:8" ht="14" x14ac:dyDescent="0.15">
      <c r="B208" s="72">
        <v>723</v>
      </c>
      <c r="C208" s="73">
        <v>11986.55</v>
      </c>
      <c r="D208" s="72">
        <v>31173</v>
      </c>
      <c r="E208" s="72">
        <v>45432.462500000001</v>
      </c>
      <c r="F208" s="72">
        <v>624219</v>
      </c>
      <c r="G208" s="72" t="s">
        <v>1293</v>
      </c>
      <c r="H208" s="72" t="s">
        <v>1141</v>
      </c>
    </row>
    <row r="209" spans="2:8" ht="14" x14ac:dyDescent="0.15">
      <c r="B209" s="72">
        <v>731</v>
      </c>
      <c r="C209" s="73">
        <v>24705.26</v>
      </c>
      <c r="D209" s="72">
        <v>31173</v>
      </c>
      <c r="E209" s="72">
        <v>45432.462500000001</v>
      </c>
      <c r="F209" s="72">
        <v>624219</v>
      </c>
      <c r="G209" s="72" t="s">
        <v>1293</v>
      </c>
      <c r="H209" s="72" t="s">
        <v>1141</v>
      </c>
    </row>
    <row r="210" spans="2:8" ht="14" x14ac:dyDescent="0.15">
      <c r="B210" s="72">
        <v>761</v>
      </c>
      <c r="C210" s="73">
        <v>6887.52</v>
      </c>
      <c r="D210" s="72">
        <v>31173</v>
      </c>
      <c r="E210" s="72">
        <v>45432.462500000001</v>
      </c>
      <c r="F210" s="72">
        <v>624219</v>
      </c>
      <c r="G210" s="72" t="s">
        <v>1293</v>
      </c>
      <c r="H210" s="72" t="s">
        <v>1141</v>
      </c>
    </row>
    <row r="211" spans="2:8" ht="14" x14ac:dyDescent="0.15">
      <c r="B211" s="72">
        <v>763</v>
      </c>
      <c r="C211" s="73">
        <v>1119.4000000000001</v>
      </c>
      <c r="D211" s="72">
        <v>31173</v>
      </c>
      <c r="E211" s="72">
        <v>45432.462500000001</v>
      </c>
      <c r="F211" s="72">
        <v>624219</v>
      </c>
      <c r="G211" s="72" t="s">
        <v>1293</v>
      </c>
      <c r="H211" s="72" t="s">
        <v>1141</v>
      </c>
    </row>
    <row r="212" spans="2:8" ht="14" x14ac:dyDescent="0.15">
      <c r="B212" s="72" t="s">
        <v>49</v>
      </c>
      <c r="C212" s="73">
        <v>9689.01</v>
      </c>
      <c r="D212" s="72">
        <v>31173</v>
      </c>
      <c r="E212" s="72">
        <v>45432.462500000001</v>
      </c>
      <c r="F212" s="72">
        <v>624219</v>
      </c>
      <c r="G212" s="72" t="s">
        <v>1293</v>
      </c>
      <c r="H212" s="72" t="s">
        <v>1141</v>
      </c>
    </row>
    <row r="213" spans="2:8" ht="14" x14ac:dyDescent="0.15">
      <c r="B213" s="72" t="s">
        <v>119</v>
      </c>
      <c r="C213" s="73">
        <v>11251.15</v>
      </c>
      <c r="D213" s="72">
        <v>31173</v>
      </c>
      <c r="E213" s="72">
        <v>45432.462500000001</v>
      </c>
      <c r="F213" s="72">
        <v>624219</v>
      </c>
      <c r="G213" s="72" t="s">
        <v>1293</v>
      </c>
      <c r="H213" s="72" t="s">
        <v>1141</v>
      </c>
    </row>
    <row r="214" spans="2:8" ht="14" x14ac:dyDescent="0.15">
      <c r="B214" s="72" t="s">
        <v>114</v>
      </c>
      <c r="C214" s="72">
        <v>675.6</v>
      </c>
      <c r="D214" s="72">
        <v>31173</v>
      </c>
      <c r="E214" s="72">
        <v>45432.462500000001</v>
      </c>
      <c r="F214" s="72">
        <v>634339</v>
      </c>
      <c r="G214" s="72" t="s">
        <v>1293</v>
      </c>
      <c r="H214" s="72" t="s">
        <v>1141</v>
      </c>
    </row>
    <row r="215" spans="2:8" ht="14" x14ac:dyDescent="0.15">
      <c r="B215" s="72">
        <v>533</v>
      </c>
      <c r="C215" s="73">
        <v>16940</v>
      </c>
      <c r="D215" s="72">
        <v>31173</v>
      </c>
      <c r="E215" s="72">
        <v>45432.462500000001</v>
      </c>
      <c r="F215" s="72">
        <v>634340</v>
      </c>
      <c r="G215" s="72" t="s">
        <v>1293</v>
      </c>
      <c r="H215" s="72" t="s">
        <v>1141</v>
      </c>
    </row>
    <row r="216" spans="2:8" ht="14" x14ac:dyDescent="0.15">
      <c r="B216" s="72" t="s">
        <v>114</v>
      </c>
      <c r="C216" s="72">
        <v>225.2</v>
      </c>
      <c r="D216" s="72">
        <v>31173</v>
      </c>
      <c r="E216" s="72">
        <v>45432.462500000001</v>
      </c>
      <c r="F216" s="72">
        <v>634340</v>
      </c>
      <c r="G216" s="72" t="s">
        <v>1293</v>
      </c>
      <c r="H216" s="72" t="s">
        <v>1141</v>
      </c>
    </row>
    <row r="217" spans="2:8" ht="14" x14ac:dyDescent="0.15">
      <c r="B217" s="72">
        <v>133</v>
      </c>
      <c r="C217" s="72">
        <v>486</v>
      </c>
      <c r="D217" s="72">
        <v>31173</v>
      </c>
      <c r="E217" s="72">
        <v>45670.490969999999</v>
      </c>
      <c r="F217" s="72">
        <v>624125</v>
      </c>
      <c r="G217" s="72" t="s">
        <v>1293</v>
      </c>
      <c r="H217" s="72" t="s">
        <v>1141</v>
      </c>
    </row>
    <row r="218" spans="2:8" ht="14" x14ac:dyDescent="0.15">
      <c r="B218" s="72">
        <v>313</v>
      </c>
      <c r="C218" s="73">
        <v>1750</v>
      </c>
      <c r="D218" s="72">
        <v>31173</v>
      </c>
      <c r="E218" s="72">
        <v>45670.490969999999</v>
      </c>
      <c r="F218" s="72">
        <v>624125</v>
      </c>
      <c r="G218" s="72" t="s">
        <v>1293</v>
      </c>
      <c r="H218" s="72" t="s">
        <v>1141</v>
      </c>
    </row>
    <row r="219" spans="2:8" ht="14" x14ac:dyDescent="0.15">
      <c r="B219" s="72">
        <v>713</v>
      </c>
      <c r="C219" s="73">
        <v>7470</v>
      </c>
      <c r="D219" s="72">
        <v>31173</v>
      </c>
      <c r="E219" s="72">
        <v>45670.490969999999</v>
      </c>
      <c r="F219" s="72">
        <v>624125</v>
      </c>
      <c r="G219" s="72" t="s">
        <v>1293</v>
      </c>
      <c r="H219" s="72" t="s">
        <v>1141</v>
      </c>
    </row>
    <row r="220" spans="2:8" ht="14" x14ac:dyDescent="0.15">
      <c r="B220" s="72">
        <v>521</v>
      </c>
      <c r="C220" s="72">
        <v>516.84</v>
      </c>
      <c r="D220" s="72">
        <v>31173</v>
      </c>
      <c r="E220" s="72">
        <v>45670.490969999999</v>
      </c>
      <c r="F220" s="72">
        <v>624140</v>
      </c>
      <c r="G220" s="72" t="s">
        <v>1293</v>
      </c>
      <c r="H220" s="72" t="s">
        <v>1141</v>
      </c>
    </row>
    <row r="221" spans="2:8" ht="14" x14ac:dyDescent="0.15">
      <c r="B221" s="72">
        <v>523</v>
      </c>
      <c r="C221" s="73">
        <v>574099.19999999995</v>
      </c>
      <c r="D221" s="72">
        <v>31173</v>
      </c>
      <c r="E221" s="72">
        <v>45670.490969999999</v>
      </c>
      <c r="F221" s="72">
        <v>624140</v>
      </c>
      <c r="G221" s="72" t="s">
        <v>1293</v>
      </c>
      <c r="H221" s="72" t="s">
        <v>1141</v>
      </c>
    </row>
    <row r="222" spans="2:8" ht="14" x14ac:dyDescent="0.15">
      <c r="B222" s="72">
        <v>533</v>
      </c>
      <c r="C222" s="73">
        <v>330850.69</v>
      </c>
      <c r="D222" s="72">
        <v>31173</v>
      </c>
      <c r="E222" s="72">
        <v>45670.490969999999</v>
      </c>
      <c r="F222" s="72">
        <v>624140</v>
      </c>
      <c r="G222" s="72" t="s">
        <v>1293</v>
      </c>
      <c r="H222" s="72" t="s">
        <v>1141</v>
      </c>
    </row>
    <row r="223" spans="2:8" ht="14" x14ac:dyDescent="0.15">
      <c r="B223" s="72">
        <v>543</v>
      </c>
      <c r="C223" s="73">
        <v>6796</v>
      </c>
      <c r="D223" s="72">
        <v>31173</v>
      </c>
      <c r="E223" s="72">
        <v>45670.490969999999</v>
      </c>
      <c r="F223" s="72">
        <v>624140</v>
      </c>
      <c r="G223" s="72" t="s">
        <v>1293</v>
      </c>
      <c r="H223" s="72" t="s">
        <v>1141</v>
      </c>
    </row>
    <row r="224" spans="2:8" ht="14" x14ac:dyDescent="0.15">
      <c r="B224" s="72">
        <v>763</v>
      </c>
      <c r="C224" s="73">
        <v>2781.07</v>
      </c>
      <c r="D224" s="72">
        <v>31173</v>
      </c>
      <c r="E224" s="72">
        <v>45670.490969999999</v>
      </c>
      <c r="F224" s="72">
        <v>624140</v>
      </c>
      <c r="G224" s="72" t="s">
        <v>1293</v>
      </c>
      <c r="H224" s="72" t="s">
        <v>1141</v>
      </c>
    </row>
    <row r="225" spans="2:8" ht="14" x14ac:dyDescent="0.15">
      <c r="B225" s="72" t="s">
        <v>49</v>
      </c>
      <c r="C225" s="73">
        <v>2530</v>
      </c>
      <c r="D225" s="72">
        <v>31173</v>
      </c>
      <c r="E225" s="72">
        <v>45670.490969999999</v>
      </c>
      <c r="F225" s="72">
        <v>624140</v>
      </c>
      <c r="G225" s="72" t="s">
        <v>1293</v>
      </c>
      <c r="H225" s="72" t="s">
        <v>1141</v>
      </c>
    </row>
    <row r="226" spans="2:8" ht="14" x14ac:dyDescent="0.15">
      <c r="B226" s="72" t="s">
        <v>119</v>
      </c>
      <c r="C226" s="72">
        <v>389.7</v>
      </c>
      <c r="D226" s="72">
        <v>31173</v>
      </c>
      <c r="E226" s="72">
        <v>45670.490969999999</v>
      </c>
      <c r="F226" s="72">
        <v>624140</v>
      </c>
      <c r="G226" s="72" t="s">
        <v>1293</v>
      </c>
      <c r="H226" s="72" t="s">
        <v>1141</v>
      </c>
    </row>
    <row r="227" spans="2:8" ht="14" x14ac:dyDescent="0.15">
      <c r="B227" s="72">
        <v>311</v>
      </c>
      <c r="C227" s="73">
        <v>2003.04</v>
      </c>
      <c r="D227" s="72">
        <v>31173</v>
      </c>
      <c r="E227" s="72">
        <v>45670.490969999999</v>
      </c>
      <c r="F227" s="72">
        <v>624189</v>
      </c>
      <c r="G227" s="72" t="s">
        <v>1293</v>
      </c>
      <c r="H227" s="72" t="s">
        <v>1141</v>
      </c>
    </row>
    <row r="228" spans="2:8" ht="14" x14ac:dyDescent="0.15">
      <c r="B228" s="72">
        <v>711</v>
      </c>
      <c r="C228" s="72">
        <v>273.76</v>
      </c>
      <c r="D228" s="72">
        <v>31173</v>
      </c>
      <c r="E228" s="72">
        <v>45670.490969999999</v>
      </c>
      <c r="F228" s="72">
        <v>624189</v>
      </c>
      <c r="G228" s="72" t="s">
        <v>1293</v>
      </c>
      <c r="H228" s="72" t="s">
        <v>1141</v>
      </c>
    </row>
    <row r="229" spans="2:8" ht="14" x14ac:dyDescent="0.15">
      <c r="B229" s="72">
        <v>3</v>
      </c>
      <c r="C229" s="72">
        <v>115.19</v>
      </c>
      <c r="D229" s="72">
        <v>31173</v>
      </c>
      <c r="E229" s="72">
        <v>45670.490969999999</v>
      </c>
      <c r="F229" s="72">
        <v>624219</v>
      </c>
      <c r="G229" s="72" t="s">
        <v>1293</v>
      </c>
      <c r="H229" s="72" t="s">
        <v>1141</v>
      </c>
    </row>
    <row r="230" spans="2:8" ht="14" x14ac:dyDescent="0.15">
      <c r="B230" s="72">
        <v>111</v>
      </c>
      <c r="C230" s="73">
        <v>69956.22</v>
      </c>
      <c r="D230" s="72">
        <v>31173</v>
      </c>
      <c r="E230" s="72">
        <v>45670.490969999999</v>
      </c>
      <c r="F230" s="72">
        <v>624219</v>
      </c>
      <c r="G230" s="72" t="s">
        <v>1293</v>
      </c>
      <c r="H230" s="72" t="s">
        <v>1141</v>
      </c>
    </row>
    <row r="231" spans="2:8" ht="14" x14ac:dyDescent="0.15">
      <c r="B231" s="72">
        <v>311</v>
      </c>
      <c r="C231" s="73">
        <v>3877.63</v>
      </c>
      <c r="D231" s="72">
        <v>31173</v>
      </c>
      <c r="E231" s="72">
        <v>45670.490969999999</v>
      </c>
      <c r="F231" s="72">
        <v>624219</v>
      </c>
      <c r="G231" s="72" t="s">
        <v>1293</v>
      </c>
      <c r="H231" s="72" t="s">
        <v>1141</v>
      </c>
    </row>
    <row r="232" spans="2:8" ht="14" x14ac:dyDescent="0.15">
      <c r="B232" s="72">
        <v>421</v>
      </c>
      <c r="C232" s="73">
        <v>77570.12</v>
      </c>
      <c r="D232" s="72">
        <v>31173</v>
      </c>
      <c r="E232" s="72">
        <v>45670.490969999999</v>
      </c>
      <c r="F232" s="72">
        <v>624219</v>
      </c>
      <c r="G232" s="72" t="s">
        <v>1293</v>
      </c>
      <c r="H232" s="72" t="s">
        <v>1141</v>
      </c>
    </row>
    <row r="233" spans="2:8" ht="14" x14ac:dyDescent="0.15">
      <c r="B233" s="72">
        <v>451</v>
      </c>
      <c r="C233" s="73">
        <v>1766.23</v>
      </c>
      <c r="D233" s="72">
        <v>31173</v>
      </c>
      <c r="E233" s="72">
        <v>45670.490969999999</v>
      </c>
      <c r="F233" s="72">
        <v>624219</v>
      </c>
      <c r="G233" s="72" t="s">
        <v>1293</v>
      </c>
      <c r="H233" s="72" t="s">
        <v>1141</v>
      </c>
    </row>
    <row r="234" spans="2:8" ht="14" x14ac:dyDescent="0.15">
      <c r="B234" s="72">
        <v>523</v>
      </c>
      <c r="C234" s="73">
        <v>13682</v>
      </c>
      <c r="D234" s="72">
        <v>31173</v>
      </c>
      <c r="E234" s="72">
        <v>45670.490969999999</v>
      </c>
      <c r="F234" s="72">
        <v>624219</v>
      </c>
      <c r="G234" s="72" t="s">
        <v>1293</v>
      </c>
      <c r="H234" s="72" t="s">
        <v>1141</v>
      </c>
    </row>
    <row r="235" spans="2:8" ht="14" x14ac:dyDescent="0.15">
      <c r="B235" s="72">
        <v>533</v>
      </c>
      <c r="C235" s="73">
        <v>73200</v>
      </c>
      <c r="D235" s="72">
        <v>31173</v>
      </c>
      <c r="E235" s="72">
        <v>45670.490969999999</v>
      </c>
      <c r="F235" s="72">
        <v>624219</v>
      </c>
      <c r="G235" s="72" t="s">
        <v>1293</v>
      </c>
      <c r="H235" s="72" t="s">
        <v>1141</v>
      </c>
    </row>
    <row r="236" spans="2:8" ht="14" x14ac:dyDescent="0.15">
      <c r="B236" s="72">
        <v>543</v>
      </c>
      <c r="C236" s="73">
        <v>18142</v>
      </c>
      <c r="D236" s="72">
        <v>31173</v>
      </c>
      <c r="E236" s="72">
        <v>45670.490969999999</v>
      </c>
      <c r="F236" s="72">
        <v>624219</v>
      </c>
      <c r="G236" s="72" t="s">
        <v>1293</v>
      </c>
      <c r="H236" s="72" t="s">
        <v>1141</v>
      </c>
    </row>
    <row r="237" spans="2:8" ht="14" x14ac:dyDescent="0.15">
      <c r="B237" s="72">
        <v>711</v>
      </c>
      <c r="C237" s="73">
        <v>24691.119999999999</v>
      </c>
      <c r="D237" s="72">
        <v>31173</v>
      </c>
      <c r="E237" s="72">
        <v>45670.490969999999</v>
      </c>
      <c r="F237" s="72">
        <v>624219</v>
      </c>
      <c r="G237" s="72" t="s">
        <v>1293</v>
      </c>
      <c r="H237" s="72" t="s">
        <v>1141</v>
      </c>
    </row>
    <row r="238" spans="2:8" ht="14" x14ac:dyDescent="0.15">
      <c r="B238" s="72">
        <v>723</v>
      </c>
      <c r="C238" s="73">
        <v>11986.55</v>
      </c>
      <c r="D238" s="72">
        <v>31173</v>
      </c>
      <c r="E238" s="72">
        <v>45670.490969999999</v>
      </c>
      <c r="F238" s="72">
        <v>624219</v>
      </c>
      <c r="G238" s="72" t="s">
        <v>1293</v>
      </c>
      <c r="H238" s="72" t="s">
        <v>1141</v>
      </c>
    </row>
    <row r="239" spans="2:8" ht="14" x14ac:dyDescent="0.15">
      <c r="B239" s="72">
        <v>731</v>
      </c>
      <c r="C239" s="73">
        <v>24705.26</v>
      </c>
      <c r="D239" s="72">
        <v>31173</v>
      </c>
      <c r="E239" s="72">
        <v>45670.490969999999</v>
      </c>
      <c r="F239" s="72">
        <v>624219</v>
      </c>
      <c r="G239" s="72" t="s">
        <v>1293</v>
      </c>
      <c r="H239" s="72" t="s">
        <v>1141</v>
      </c>
    </row>
    <row r="240" spans="2:8" ht="14" x14ac:dyDescent="0.15">
      <c r="B240" s="72">
        <v>761</v>
      </c>
      <c r="C240" s="73">
        <v>6887.52</v>
      </c>
      <c r="D240" s="72">
        <v>31173</v>
      </c>
      <c r="E240" s="72">
        <v>45670.490969999999</v>
      </c>
      <c r="F240" s="72">
        <v>624219</v>
      </c>
      <c r="G240" s="72" t="s">
        <v>1293</v>
      </c>
      <c r="H240" s="72" t="s">
        <v>1141</v>
      </c>
    </row>
    <row r="241" spans="2:8" ht="14" x14ac:dyDescent="0.15">
      <c r="B241" s="72">
        <v>763</v>
      </c>
      <c r="C241" s="73">
        <v>1119.4000000000001</v>
      </c>
      <c r="D241" s="72">
        <v>31173</v>
      </c>
      <c r="E241" s="72">
        <v>45670.490969999999</v>
      </c>
      <c r="F241" s="72">
        <v>624219</v>
      </c>
      <c r="G241" s="72" t="s">
        <v>1293</v>
      </c>
      <c r="H241" s="72" t="s">
        <v>1141</v>
      </c>
    </row>
    <row r="242" spans="2:8" ht="14" x14ac:dyDescent="0.15">
      <c r="B242" s="72" t="s">
        <v>49</v>
      </c>
      <c r="C242" s="73">
        <v>9689.01</v>
      </c>
      <c r="D242" s="72">
        <v>31173</v>
      </c>
      <c r="E242" s="72">
        <v>45670.490969999999</v>
      </c>
      <c r="F242" s="72">
        <v>624219</v>
      </c>
      <c r="G242" s="72" t="s">
        <v>1293</v>
      </c>
      <c r="H242" s="72" t="s">
        <v>1141</v>
      </c>
    </row>
    <row r="243" spans="2:8" ht="14" x14ac:dyDescent="0.15">
      <c r="B243" s="72" t="s">
        <v>119</v>
      </c>
      <c r="C243" s="73">
        <v>11204.77</v>
      </c>
      <c r="D243" s="72">
        <v>31173</v>
      </c>
      <c r="E243" s="72">
        <v>45670.490969999999</v>
      </c>
      <c r="F243" s="72">
        <v>624219</v>
      </c>
      <c r="G243" s="72" t="s">
        <v>1293</v>
      </c>
      <c r="H243" s="72" t="s">
        <v>1141</v>
      </c>
    </row>
    <row r="244" spans="2:8" ht="14" x14ac:dyDescent="0.15">
      <c r="B244" s="72" t="s">
        <v>120</v>
      </c>
      <c r="C244" s="72">
        <v>2.6</v>
      </c>
      <c r="D244" s="72">
        <v>31173</v>
      </c>
      <c r="E244" s="72">
        <v>45670.490969999999</v>
      </c>
      <c r="F244" s="72">
        <v>624219</v>
      </c>
      <c r="G244" s="72" t="s">
        <v>1293</v>
      </c>
      <c r="H244" s="72" t="s">
        <v>1141</v>
      </c>
    </row>
    <row r="245" spans="2:8" ht="14" x14ac:dyDescent="0.15">
      <c r="B245" s="72" t="s">
        <v>114</v>
      </c>
      <c r="C245" s="72">
        <v>675.6</v>
      </c>
      <c r="D245" s="72">
        <v>31173</v>
      </c>
      <c r="E245" s="72">
        <v>45670.490969999999</v>
      </c>
      <c r="F245" s="72">
        <v>634339</v>
      </c>
      <c r="G245" s="72" t="s">
        <v>1293</v>
      </c>
      <c r="H245" s="72" t="s">
        <v>1141</v>
      </c>
    </row>
    <row r="246" spans="2:8" ht="14" x14ac:dyDescent="0.15">
      <c r="B246" s="72">
        <v>523</v>
      </c>
      <c r="C246" s="73">
        <v>4904</v>
      </c>
      <c r="D246" s="72">
        <v>31173</v>
      </c>
      <c r="E246" s="72">
        <v>45670.490969999999</v>
      </c>
      <c r="F246" s="72">
        <v>634340</v>
      </c>
      <c r="G246" s="72" t="s">
        <v>1293</v>
      </c>
      <c r="H246" s="72" t="s">
        <v>1141</v>
      </c>
    </row>
    <row r="247" spans="2:8" ht="14" x14ac:dyDescent="0.15">
      <c r="B247" s="72">
        <v>533</v>
      </c>
      <c r="C247" s="73">
        <v>16940</v>
      </c>
      <c r="D247" s="72">
        <v>31173</v>
      </c>
      <c r="E247" s="72">
        <v>45670.490969999999</v>
      </c>
      <c r="F247" s="72">
        <v>634340</v>
      </c>
      <c r="G247" s="72" t="s">
        <v>1293</v>
      </c>
      <c r="H247" s="72" t="s">
        <v>1141</v>
      </c>
    </row>
    <row r="248" spans="2:8" ht="14" x14ac:dyDescent="0.15">
      <c r="B248" s="72" t="s">
        <v>114</v>
      </c>
      <c r="C248" s="72">
        <v>225.2</v>
      </c>
      <c r="D248" s="72">
        <v>31173</v>
      </c>
      <c r="E248" s="72">
        <v>45670.490969999999</v>
      </c>
      <c r="F248" s="72">
        <v>634340</v>
      </c>
      <c r="G248" s="72" t="s">
        <v>1293</v>
      </c>
      <c r="H248" s="72" t="s">
        <v>1141</v>
      </c>
    </row>
    <row r="249" spans="2:8" ht="14" x14ac:dyDescent="0.15">
      <c r="B249" s="72" t="s">
        <v>49</v>
      </c>
      <c r="C249" s="72">
        <v>7.2</v>
      </c>
      <c r="D249" s="72">
        <v>31173</v>
      </c>
      <c r="E249" s="72">
        <v>45670.490969999999</v>
      </c>
      <c r="F249" s="72">
        <v>634340</v>
      </c>
      <c r="G249" s="72" t="s">
        <v>1293</v>
      </c>
      <c r="H249" s="72" t="s">
        <v>1141</v>
      </c>
    </row>
    <row r="250" spans="2:8" ht="14" x14ac:dyDescent="0.15">
      <c r="B250" s="72">
        <v>133</v>
      </c>
      <c r="C250" s="72">
        <v>486</v>
      </c>
      <c r="D250" s="72">
        <v>31173</v>
      </c>
      <c r="E250" s="72">
        <v>45561.508329999997</v>
      </c>
      <c r="F250" s="72">
        <v>624125</v>
      </c>
      <c r="G250" s="72" t="s">
        <v>1293</v>
      </c>
      <c r="H250" s="72" t="s">
        <v>1141</v>
      </c>
    </row>
    <row r="251" spans="2:8" ht="14" x14ac:dyDescent="0.15">
      <c r="B251" s="72">
        <v>313</v>
      </c>
      <c r="C251" s="73">
        <v>1750</v>
      </c>
      <c r="D251" s="72">
        <v>31173</v>
      </c>
      <c r="E251" s="72">
        <v>45561.508329999997</v>
      </c>
      <c r="F251" s="72">
        <v>624125</v>
      </c>
      <c r="G251" s="72" t="s">
        <v>1293</v>
      </c>
      <c r="H251" s="72" t="s">
        <v>1141</v>
      </c>
    </row>
    <row r="252" spans="2:8" ht="14" x14ac:dyDescent="0.15">
      <c r="B252" s="72">
        <v>713</v>
      </c>
      <c r="C252" s="73">
        <v>7470</v>
      </c>
      <c r="D252" s="72">
        <v>31173</v>
      </c>
      <c r="E252" s="72">
        <v>45561.508329999997</v>
      </c>
      <c r="F252" s="72">
        <v>624125</v>
      </c>
      <c r="G252" s="72" t="s">
        <v>1293</v>
      </c>
      <c r="H252" s="72" t="s">
        <v>1141</v>
      </c>
    </row>
    <row r="253" spans="2:8" ht="14" x14ac:dyDescent="0.15">
      <c r="B253" s="72">
        <v>521</v>
      </c>
      <c r="C253" s="72">
        <v>516.84</v>
      </c>
      <c r="D253" s="72">
        <v>31173</v>
      </c>
      <c r="E253" s="72">
        <v>45561.508329999997</v>
      </c>
      <c r="F253" s="72">
        <v>624140</v>
      </c>
      <c r="G253" s="72" t="s">
        <v>1293</v>
      </c>
      <c r="H253" s="72" t="s">
        <v>1141</v>
      </c>
    </row>
    <row r="254" spans="2:8" ht="14" x14ac:dyDescent="0.15">
      <c r="B254" s="72">
        <v>523</v>
      </c>
      <c r="C254" s="73">
        <v>574099.19999999995</v>
      </c>
      <c r="D254" s="72">
        <v>31173</v>
      </c>
      <c r="E254" s="72">
        <v>45561.508329999997</v>
      </c>
      <c r="F254" s="72">
        <v>624140</v>
      </c>
      <c r="G254" s="72" t="s">
        <v>1293</v>
      </c>
      <c r="H254" s="72" t="s">
        <v>1141</v>
      </c>
    </row>
    <row r="255" spans="2:8" ht="14" x14ac:dyDescent="0.15">
      <c r="B255" s="72">
        <v>533</v>
      </c>
      <c r="C255" s="73">
        <v>330850.69</v>
      </c>
      <c r="D255" s="72">
        <v>31173</v>
      </c>
      <c r="E255" s="72">
        <v>45561.508329999997</v>
      </c>
      <c r="F255" s="72">
        <v>624140</v>
      </c>
      <c r="G255" s="72" t="s">
        <v>1293</v>
      </c>
      <c r="H255" s="72" t="s">
        <v>1141</v>
      </c>
    </row>
    <row r="256" spans="2:8" ht="14" x14ac:dyDescent="0.15">
      <c r="B256" s="72">
        <v>543</v>
      </c>
      <c r="C256" s="73">
        <v>6796</v>
      </c>
      <c r="D256" s="72">
        <v>31173</v>
      </c>
      <c r="E256" s="72">
        <v>45561.508329999997</v>
      </c>
      <c r="F256" s="72">
        <v>624140</v>
      </c>
      <c r="G256" s="72" t="s">
        <v>1293</v>
      </c>
      <c r="H256" s="72" t="s">
        <v>1141</v>
      </c>
    </row>
    <row r="257" spans="2:8" ht="14" x14ac:dyDescent="0.15">
      <c r="B257" s="72">
        <v>763</v>
      </c>
      <c r="C257" s="73">
        <v>2781.07</v>
      </c>
      <c r="D257" s="72">
        <v>31173</v>
      </c>
      <c r="E257" s="72">
        <v>45561.508329999997</v>
      </c>
      <c r="F257" s="72">
        <v>624140</v>
      </c>
      <c r="G257" s="72" t="s">
        <v>1293</v>
      </c>
      <c r="H257" s="72" t="s">
        <v>1141</v>
      </c>
    </row>
    <row r="258" spans="2:8" ht="14" x14ac:dyDescent="0.15">
      <c r="B258" s="72" t="s">
        <v>49</v>
      </c>
      <c r="C258" s="73">
        <v>2530</v>
      </c>
      <c r="D258" s="72">
        <v>31173</v>
      </c>
      <c r="E258" s="72">
        <v>45561.508329999997</v>
      </c>
      <c r="F258" s="72">
        <v>624140</v>
      </c>
      <c r="G258" s="72" t="s">
        <v>1293</v>
      </c>
      <c r="H258" s="72" t="s">
        <v>1141</v>
      </c>
    </row>
    <row r="259" spans="2:8" ht="14" x14ac:dyDescent="0.15">
      <c r="B259" s="72" t="s">
        <v>119</v>
      </c>
      <c r="C259" s="72">
        <v>389.7</v>
      </c>
      <c r="D259" s="72">
        <v>31173</v>
      </c>
      <c r="E259" s="72">
        <v>45561.508329999997</v>
      </c>
      <c r="F259" s="72">
        <v>624140</v>
      </c>
      <c r="G259" s="72" t="s">
        <v>1293</v>
      </c>
      <c r="H259" s="72" t="s">
        <v>1141</v>
      </c>
    </row>
    <row r="260" spans="2:8" ht="14" x14ac:dyDescent="0.15">
      <c r="B260" s="72">
        <v>311</v>
      </c>
      <c r="C260" s="73">
        <v>2003.04</v>
      </c>
      <c r="D260" s="72">
        <v>31173</v>
      </c>
      <c r="E260" s="72">
        <v>45561.508329999997</v>
      </c>
      <c r="F260" s="72">
        <v>624189</v>
      </c>
      <c r="G260" s="72" t="s">
        <v>1293</v>
      </c>
      <c r="H260" s="72" t="s">
        <v>1141</v>
      </c>
    </row>
    <row r="261" spans="2:8" ht="14" x14ac:dyDescent="0.15">
      <c r="B261" s="72">
        <v>711</v>
      </c>
      <c r="C261" s="72">
        <v>273.76</v>
      </c>
      <c r="D261" s="72">
        <v>31173</v>
      </c>
      <c r="E261" s="72">
        <v>45561.508329999997</v>
      </c>
      <c r="F261" s="72">
        <v>624189</v>
      </c>
      <c r="G261" s="72" t="s">
        <v>1293</v>
      </c>
      <c r="H261" s="72" t="s">
        <v>1141</v>
      </c>
    </row>
    <row r="262" spans="2:8" ht="14" x14ac:dyDescent="0.15">
      <c r="B262" s="72">
        <v>3</v>
      </c>
      <c r="C262" s="72">
        <v>115.19</v>
      </c>
      <c r="D262" s="72">
        <v>31173</v>
      </c>
      <c r="E262" s="72">
        <v>45561.508329999997</v>
      </c>
      <c r="F262" s="72">
        <v>624219</v>
      </c>
      <c r="G262" s="72" t="s">
        <v>1293</v>
      </c>
      <c r="H262" s="72" t="s">
        <v>1141</v>
      </c>
    </row>
    <row r="263" spans="2:8" ht="14" x14ac:dyDescent="0.15">
      <c r="B263" s="72">
        <v>111</v>
      </c>
      <c r="C263" s="73">
        <v>69956.22</v>
      </c>
      <c r="D263" s="72">
        <v>31173</v>
      </c>
      <c r="E263" s="72">
        <v>45561.508329999997</v>
      </c>
      <c r="F263" s="72">
        <v>624219</v>
      </c>
      <c r="G263" s="72" t="s">
        <v>1293</v>
      </c>
      <c r="H263" s="72" t="s">
        <v>1141</v>
      </c>
    </row>
    <row r="264" spans="2:8" ht="14" x14ac:dyDescent="0.15">
      <c r="B264" s="72">
        <v>311</v>
      </c>
      <c r="C264" s="73">
        <v>3877.63</v>
      </c>
      <c r="D264" s="72">
        <v>31173</v>
      </c>
      <c r="E264" s="72">
        <v>45561.508329999997</v>
      </c>
      <c r="F264" s="72">
        <v>624219</v>
      </c>
      <c r="G264" s="72" t="s">
        <v>1293</v>
      </c>
      <c r="H264" s="72" t="s">
        <v>1141</v>
      </c>
    </row>
    <row r="265" spans="2:8" ht="14" x14ac:dyDescent="0.15">
      <c r="B265" s="72">
        <v>421</v>
      </c>
      <c r="C265" s="73">
        <v>77570.12</v>
      </c>
      <c r="D265" s="72">
        <v>31173</v>
      </c>
      <c r="E265" s="72">
        <v>45561.508329999997</v>
      </c>
      <c r="F265" s="72">
        <v>624219</v>
      </c>
      <c r="G265" s="72" t="s">
        <v>1293</v>
      </c>
      <c r="H265" s="72" t="s">
        <v>1141</v>
      </c>
    </row>
    <row r="266" spans="2:8" ht="14" x14ac:dyDescent="0.15">
      <c r="B266" s="72">
        <v>451</v>
      </c>
      <c r="C266" s="73">
        <v>1766.23</v>
      </c>
      <c r="D266" s="72">
        <v>31173</v>
      </c>
      <c r="E266" s="72">
        <v>45561.508329999997</v>
      </c>
      <c r="F266" s="72">
        <v>624219</v>
      </c>
      <c r="G266" s="72" t="s">
        <v>1293</v>
      </c>
      <c r="H266" s="72" t="s">
        <v>1141</v>
      </c>
    </row>
    <row r="267" spans="2:8" ht="14" x14ac:dyDescent="0.15">
      <c r="B267" s="72">
        <v>523</v>
      </c>
      <c r="C267" s="73">
        <v>13682</v>
      </c>
      <c r="D267" s="72">
        <v>31173</v>
      </c>
      <c r="E267" s="72">
        <v>45561.508329999997</v>
      </c>
      <c r="F267" s="72">
        <v>624219</v>
      </c>
      <c r="G267" s="72" t="s">
        <v>1293</v>
      </c>
      <c r="H267" s="72" t="s">
        <v>1141</v>
      </c>
    </row>
    <row r="268" spans="2:8" ht="14" x14ac:dyDescent="0.15">
      <c r="B268" s="72">
        <v>533</v>
      </c>
      <c r="C268" s="73">
        <v>73200</v>
      </c>
      <c r="D268" s="72">
        <v>31173</v>
      </c>
      <c r="E268" s="72">
        <v>45561.508329999997</v>
      </c>
      <c r="F268" s="72">
        <v>624219</v>
      </c>
      <c r="G268" s="72" t="s">
        <v>1293</v>
      </c>
      <c r="H268" s="72" t="s">
        <v>1141</v>
      </c>
    </row>
    <row r="269" spans="2:8" ht="14" x14ac:dyDescent="0.15">
      <c r="B269" s="72">
        <v>543</v>
      </c>
      <c r="C269" s="73">
        <v>18142</v>
      </c>
      <c r="D269" s="72">
        <v>31173</v>
      </c>
      <c r="E269" s="72">
        <v>45561.508329999997</v>
      </c>
      <c r="F269" s="72">
        <v>624219</v>
      </c>
      <c r="G269" s="72" t="s">
        <v>1293</v>
      </c>
      <c r="H269" s="72" t="s">
        <v>1141</v>
      </c>
    </row>
    <row r="270" spans="2:8" ht="14" x14ac:dyDescent="0.15">
      <c r="B270" s="72">
        <v>711</v>
      </c>
      <c r="C270" s="73">
        <v>24691.119999999999</v>
      </c>
      <c r="D270" s="72">
        <v>31173</v>
      </c>
      <c r="E270" s="72">
        <v>45561.508329999997</v>
      </c>
      <c r="F270" s="72">
        <v>624219</v>
      </c>
      <c r="G270" s="72" t="s">
        <v>1293</v>
      </c>
      <c r="H270" s="72" t="s">
        <v>1141</v>
      </c>
    </row>
    <row r="271" spans="2:8" ht="14" x14ac:dyDescent="0.15">
      <c r="B271" s="72">
        <v>723</v>
      </c>
      <c r="C271" s="73">
        <v>11986.55</v>
      </c>
      <c r="D271" s="72">
        <v>31173</v>
      </c>
      <c r="E271" s="72">
        <v>45561.508329999997</v>
      </c>
      <c r="F271" s="72">
        <v>624219</v>
      </c>
      <c r="G271" s="72" t="s">
        <v>1293</v>
      </c>
      <c r="H271" s="72" t="s">
        <v>1141</v>
      </c>
    </row>
    <row r="272" spans="2:8" ht="14" x14ac:dyDescent="0.15">
      <c r="B272" s="72">
        <v>731</v>
      </c>
      <c r="C272" s="73">
        <v>24705.26</v>
      </c>
      <c r="D272" s="72">
        <v>31173</v>
      </c>
      <c r="E272" s="72">
        <v>45561.508329999997</v>
      </c>
      <c r="F272" s="72">
        <v>624219</v>
      </c>
      <c r="G272" s="72" t="s">
        <v>1293</v>
      </c>
      <c r="H272" s="72" t="s">
        <v>1141</v>
      </c>
    </row>
    <row r="273" spans="2:8" ht="14" x14ac:dyDescent="0.15">
      <c r="B273" s="72">
        <v>761</v>
      </c>
      <c r="C273" s="73">
        <v>6887.52</v>
      </c>
      <c r="D273" s="72">
        <v>31173</v>
      </c>
      <c r="E273" s="72">
        <v>45561.508329999997</v>
      </c>
      <c r="F273" s="72">
        <v>624219</v>
      </c>
      <c r="G273" s="72" t="s">
        <v>1293</v>
      </c>
      <c r="H273" s="72" t="s">
        <v>1141</v>
      </c>
    </row>
    <row r="274" spans="2:8" ht="14" x14ac:dyDescent="0.15">
      <c r="B274" s="72">
        <v>763</v>
      </c>
      <c r="C274" s="73">
        <v>1119.4000000000001</v>
      </c>
      <c r="D274" s="72">
        <v>31173</v>
      </c>
      <c r="E274" s="72">
        <v>45561.508329999997</v>
      </c>
      <c r="F274" s="72">
        <v>624219</v>
      </c>
      <c r="G274" s="72" t="s">
        <v>1293</v>
      </c>
      <c r="H274" s="72" t="s">
        <v>1141</v>
      </c>
    </row>
    <row r="275" spans="2:8" ht="14" x14ac:dyDescent="0.15">
      <c r="B275" s="72" t="s">
        <v>49</v>
      </c>
      <c r="C275" s="73">
        <v>9689.01</v>
      </c>
      <c r="D275" s="72">
        <v>31173</v>
      </c>
      <c r="E275" s="72">
        <v>45561.508329999997</v>
      </c>
      <c r="F275" s="72">
        <v>624219</v>
      </c>
      <c r="G275" s="72" t="s">
        <v>1293</v>
      </c>
      <c r="H275" s="72" t="s">
        <v>1141</v>
      </c>
    </row>
    <row r="276" spans="2:8" ht="14" x14ac:dyDescent="0.15">
      <c r="B276" s="72" t="s">
        <v>119</v>
      </c>
      <c r="C276" s="73">
        <v>11204.77</v>
      </c>
      <c r="D276" s="72">
        <v>31173</v>
      </c>
      <c r="E276" s="72">
        <v>45561.508329999997</v>
      </c>
      <c r="F276" s="72">
        <v>624219</v>
      </c>
      <c r="G276" s="72" t="s">
        <v>1293</v>
      </c>
      <c r="H276" s="72" t="s">
        <v>1141</v>
      </c>
    </row>
    <row r="277" spans="2:8" ht="14" x14ac:dyDescent="0.15">
      <c r="B277" s="72" t="s">
        <v>120</v>
      </c>
      <c r="C277" s="72">
        <v>2.6</v>
      </c>
      <c r="D277" s="72">
        <v>31173</v>
      </c>
      <c r="E277" s="72">
        <v>45561.508329999997</v>
      </c>
      <c r="F277" s="72">
        <v>624219</v>
      </c>
      <c r="G277" s="72" t="s">
        <v>1293</v>
      </c>
      <c r="H277" s="72" t="s">
        <v>1141</v>
      </c>
    </row>
    <row r="278" spans="2:8" ht="14" x14ac:dyDescent="0.15">
      <c r="B278" s="72" t="s">
        <v>114</v>
      </c>
      <c r="C278" s="72">
        <v>675.6</v>
      </c>
      <c r="D278" s="72">
        <v>31173</v>
      </c>
      <c r="E278" s="72">
        <v>45561.508329999997</v>
      </c>
      <c r="F278" s="72">
        <v>634339</v>
      </c>
      <c r="G278" s="72" t="s">
        <v>1293</v>
      </c>
      <c r="H278" s="72" t="s">
        <v>1141</v>
      </c>
    </row>
    <row r="279" spans="2:8" ht="14" x14ac:dyDescent="0.15">
      <c r="B279" s="72">
        <v>533</v>
      </c>
      <c r="C279" s="73">
        <v>16940</v>
      </c>
      <c r="D279" s="72">
        <v>31173</v>
      </c>
      <c r="E279" s="72">
        <v>45561.508329999997</v>
      </c>
      <c r="F279" s="72">
        <v>634340</v>
      </c>
      <c r="G279" s="72" t="s">
        <v>1293</v>
      </c>
      <c r="H279" s="72" t="s">
        <v>1141</v>
      </c>
    </row>
    <row r="280" spans="2:8" ht="14" x14ac:dyDescent="0.15">
      <c r="B280" s="72" t="s">
        <v>114</v>
      </c>
      <c r="C280" s="72">
        <v>225.2</v>
      </c>
      <c r="D280" s="72">
        <v>31173</v>
      </c>
      <c r="E280" s="72">
        <v>45561.508329999997</v>
      </c>
      <c r="F280" s="72">
        <v>634340</v>
      </c>
      <c r="G280" s="72" t="s">
        <v>1293</v>
      </c>
      <c r="H280" s="72" t="s">
        <v>1141</v>
      </c>
    </row>
    <row r="281" spans="2:8" ht="14" x14ac:dyDescent="0.15">
      <c r="B281" s="72">
        <v>133</v>
      </c>
      <c r="C281" s="72">
        <v>486</v>
      </c>
      <c r="D281" s="72">
        <v>31173</v>
      </c>
      <c r="E281" s="72">
        <v>45553.534720000003</v>
      </c>
      <c r="F281" s="72">
        <v>624125</v>
      </c>
      <c r="G281" s="72" t="s">
        <v>1293</v>
      </c>
      <c r="H281" s="72" t="s">
        <v>1141</v>
      </c>
    </row>
    <row r="282" spans="2:8" ht="14" x14ac:dyDescent="0.15">
      <c r="B282" s="72">
        <v>313</v>
      </c>
      <c r="C282" s="73">
        <v>1750</v>
      </c>
      <c r="D282" s="72">
        <v>31173</v>
      </c>
      <c r="E282" s="72">
        <v>45553.534720000003</v>
      </c>
      <c r="F282" s="72">
        <v>624125</v>
      </c>
      <c r="G282" s="72" t="s">
        <v>1293</v>
      </c>
      <c r="H282" s="72" t="s">
        <v>1141</v>
      </c>
    </row>
    <row r="283" spans="2:8" ht="14" x14ac:dyDescent="0.15">
      <c r="B283" s="72">
        <v>713</v>
      </c>
      <c r="C283" s="73">
        <v>7470</v>
      </c>
      <c r="D283" s="72">
        <v>31173</v>
      </c>
      <c r="E283" s="72">
        <v>45553.534720000003</v>
      </c>
      <c r="F283" s="72">
        <v>624125</v>
      </c>
      <c r="G283" s="72" t="s">
        <v>1293</v>
      </c>
      <c r="H283" s="72" t="s">
        <v>1141</v>
      </c>
    </row>
    <row r="284" spans="2:8" ht="14" x14ac:dyDescent="0.15">
      <c r="B284" s="72">
        <v>521</v>
      </c>
      <c r="C284" s="72">
        <v>516.84</v>
      </c>
      <c r="D284" s="72">
        <v>31173</v>
      </c>
      <c r="E284" s="72">
        <v>45553.534720000003</v>
      </c>
      <c r="F284" s="72">
        <v>624140</v>
      </c>
      <c r="G284" s="72" t="s">
        <v>1293</v>
      </c>
      <c r="H284" s="72" t="s">
        <v>1141</v>
      </c>
    </row>
    <row r="285" spans="2:8" ht="14" x14ac:dyDescent="0.15">
      <c r="B285" s="72">
        <v>523</v>
      </c>
      <c r="C285" s="73">
        <v>574099.19999999995</v>
      </c>
      <c r="D285" s="72">
        <v>31173</v>
      </c>
      <c r="E285" s="72">
        <v>45553.534720000003</v>
      </c>
      <c r="F285" s="72">
        <v>624140</v>
      </c>
      <c r="G285" s="72" t="s">
        <v>1293</v>
      </c>
      <c r="H285" s="72" t="s">
        <v>1141</v>
      </c>
    </row>
    <row r="286" spans="2:8" ht="14" x14ac:dyDescent="0.15">
      <c r="B286" s="72">
        <v>533</v>
      </c>
      <c r="C286" s="73">
        <v>330850.69</v>
      </c>
      <c r="D286" s="72">
        <v>31173</v>
      </c>
      <c r="E286" s="72">
        <v>45553.534720000003</v>
      </c>
      <c r="F286" s="72">
        <v>624140</v>
      </c>
      <c r="G286" s="72" t="s">
        <v>1293</v>
      </c>
      <c r="H286" s="72" t="s">
        <v>1141</v>
      </c>
    </row>
    <row r="287" spans="2:8" ht="14" x14ac:dyDescent="0.15">
      <c r="B287" s="72">
        <v>543</v>
      </c>
      <c r="C287" s="73">
        <v>6796</v>
      </c>
      <c r="D287" s="72">
        <v>31173</v>
      </c>
      <c r="E287" s="72">
        <v>45553.534720000003</v>
      </c>
      <c r="F287" s="72">
        <v>624140</v>
      </c>
      <c r="G287" s="72" t="s">
        <v>1293</v>
      </c>
      <c r="H287" s="72" t="s">
        <v>1141</v>
      </c>
    </row>
    <row r="288" spans="2:8" ht="14" x14ac:dyDescent="0.15">
      <c r="B288" s="72">
        <v>763</v>
      </c>
      <c r="C288" s="73">
        <v>2781.07</v>
      </c>
      <c r="D288" s="72">
        <v>31173</v>
      </c>
      <c r="E288" s="72">
        <v>45553.534720000003</v>
      </c>
      <c r="F288" s="72">
        <v>624140</v>
      </c>
      <c r="G288" s="72" t="s">
        <v>1293</v>
      </c>
      <c r="H288" s="72" t="s">
        <v>1141</v>
      </c>
    </row>
    <row r="289" spans="2:8" ht="14" x14ac:dyDescent="0.15">
      <c r="B289" s="72" t="s">
        <v>49</v>
      </c>
      <c r="C289" s="73">
        <v>2530</v>
      </c>
      <c r="D289" s="72">
        <v>31173</v>
      </c>
      <c r="E289" s="72">
        <v>45553.534720000003</v>
      </c>
      <c r="F289" s="72">
        <v>624140</v>
      </c>
      <c r="G289" s="72" t="s">
        <v>1293</v>
      </c>
      <c r="H289" s="72" t="s">
        <v>1141</v>
      </c>
    </row>
    <row r="290" spans="2:8" ht="14" x14ac:dyDescent="0.15">
      <c r="B290" s="72" t="s">
        <v>119</v>
      </c>
      <c r="C290" s="72">
        <v>389.7</v>
      </c>
      <c r="D290" s="72">
        <v>31173</v>
      </c>
      <c r="E290" s="72">
        <v>45553.534720000003</v>
      </c>
      <c r="F290" s="72">
        <v>624140</v>
      </c>
      <c r="G290" s="72" t="s">
        <v>1293</v>
      </c>
      <c r="H290" s="72" t="s">
        <v>1141</v>
      </c>
    </row>
    <row r="291" spans="2:8" ht="14" x14ac:dyDescent="0.15">
      <c r="B291" s="72">
        <v>311</v>
      </c>
      <c r="C291" s="73">
        <v>2003.04</v>
      </c>
      <c r="D291" s="72">
        <v>31173</v>
      </c>
      <c r="E291" s="72">
        <v>45553.534720000003</v>
      </c>
      <c r="F291" s="72">
        <v>624189</v>
      </c>
      <c r="G291" s="72" t="s">
        <v>1293</v>
      </c>
      <c r="H291" s="72" t="s">
        <v>1141</v>
      </c>
    </row>
    <row r="292" spans="2:8" ht="14" x14ac:dyDescent="0.15">
      <c r="B292" s="72">
        <v>711</v>
      </c>
      <c r="C292" s="72">
        <v>273.76</v>
      </c>
      <c r="D292" s="72">
        <v>31173</v>
      </c>
      <c r="E292" s="72">
        <v>45553.534720000003</v>
      </c>
      <c r="F292" s="72">
        <v>624189</v>
      </c>
      <c r="G292" s="72" t="s">
        <v>1293</v>
      </c>
      <c r="H292" s="72" t="s">
        <v>1141</v>
      </c>
    </row>
    <row r="293" spans="2:8" ht="14" x14ac:dyDescent="0.15">
      <c r="B293" s="72">
        <v>3</v>
      </c>
      <c r="C293" s="72">
        <v>115.19</v>
      </c>
      <c r="D293" s="72">
        <v>31173</v>
      </c>
      <c r="E293" s="72">
        <v>45553.534720000003</v>
      </c>
      <c r="F293" s="72">
        <v>624219</v>
      </c>
      <c r="G293" s="72" t="s">
        <v>1293</v>
      </c>
      <c r="H293" s="72" t="s">
        <v>1141</v>
      </c>
    </row>
    <row r="294" spans="2:8" ht="14" x14ac:dyDescent="0.15">
      <c r="B294" s="72">
        <v>111</v>
      </c>
      <c r="C294" s="73">
        <v>69956.22</v>
      </c>
      <c r="D294" s="72">
        <v>31173</v>
      </c>
      <c r="E294" s="72">
        <v>45553.534720000003</v>
      </c>
      <c r="F294" s="72">
        <v>624219</v>
      </c>
      <c r="G294" s="72" t="s">
        <v>1293</v>
      </c>
      <c r="H294" s="72" t="s">
        <v>1141</v>
      </c>
    </row>
    <row r="295" spans="2:8" ht="14" x14ac:dyDescent="0.15">
      <c r="B295" s="72">
        <v>311</v>
      </c>
      <c r="C295" s="73">
        <v>3877.63</v>
      </c>
      <c r="D295" s="72">
        <v>31173</v>
      </c>
      <c r="E295" s="72">
        <v>45553.534720000003</v>
      </c>
      <c r="F295" s="72">
        <v>624219</v>
      </c>
      <c r="G295" s="72" t="s">
        <v>1293</v>
      </c>
      <c r="H295" s="72" t="s">
        <v>1141</v>
      </c>
    </row>
    <row r="296" spans="2:8" ht="14" x14ac:dyDescent="0.15">
      <c r="B296" s="72">
        <v>421</v>
      </c>
      <c r="C296" s="73">
        <v>77570.12</v>
      </c>
      <c r="D296" s="72">
        <v>31173</v>
      </c>
      <c r="E296" s="72">
        <v>45553.534720000003</v>
      </c>
      <c r="F296" s="72">
        <v>624219</v>
      </c>
      <c r="G296" s="72" t="s">
        <v>1293</v>
      </c>
      <c r="H296" s="72" t="s">
        <v>1141</v>
      </c>
    </row>
    <row r="297" spans="2:8" ht="14" x14ac:dyDescent="0.15">
      <c r="B297" s="72">
        <v>451</v>
      </c>
      <c r="C297" s="73">
        <v>1766.23</v>
      </c>
      <c r="D297" s="72">
        <v>31173</v>
      </c>
      <c r="E297" s="72">
        <v>45553.534720000003</v>
      </c>
      <c r="F297" s="72">
        <v>624219</v>
      </c>
      <c r="G297" s="72" t="s">
        <v>1293</v>
      </c>
      <c r="H297" s="72" t="s">
        <v>1141</v>
      </c>
    </row>
    <row r="298" spans="2:8" ht="14" x14ac:dyDescent="0.15">
      <c r="B298" s="72">
        <v>523</v>
      </c>
      <c r="C298" s="73">
        <v>13682</v>
      </c>
      <c r="D298" s="72">
        <v>31173</v>
      </c>
      <c r="E298" s="72">
        <v>45553.534720000003</v>
      </c>
      <c r="F298" s="72">
        <v>624219</v>
      </c>
      <c r="G298" s="72" t="s">
        <v>1293</v>
      </c>
      <c r="H298" s="72" t="s">
        <v>1141</v>
      </c>
    </row>
    <row r="299" spans="2:8" ht="14" x14ac:dyDescent="0.15">
      <c r="B299" s="72">
        <v>533</v>
      </c>
      <c r="C299" s="73">
        <v>73200</v>
      </c>
      <c r="D299" s="72">
        <v>31173</v>
      </c>
      <c r="E299" s="72">
        <v>45553.534720000003</v>
      </c>
      <c r="F299" s="72">
        <v>624219</v>
      </c>
      <c r="G299" s="72" t="s">
        <v>1293</v>
      </c>
      <c r="H299" s="72" t="s">
        <v>1141</v>
      </c>
    </row>
    <row r="300" spans="2:8" ht="14" x14ac:dyDescent="0.15">
      <c r="B300" s="72">
        <v>543</v>
      </c>
      <c r="C300" s="73">
        <v>18142</v>
      </c>
      <c r="D300" s="72">
        <v>31173</v>
      </c>
      <c r="E300" s="72">
        <v>45553.534720000003</v>
      </c>
      <c r="F300" s="72">
        <v>624219</v>
      </c>
      <c r="G300" s="72" t="s">
        <v>1293</v>
      </c>
      <c r="H300" s="72" t="s">
        <v>1141</v>
      </c>
    </row>
    <row r="301" spans="2:8" ht="14" x14ac:dyDescent="0.15">
      <c r="B301" s="72">
        <v>711</v>
      </c>
      <c r="C301" s="73">
        <v>24691.119999999999</v>
      </c>
      <c r="D301" s="72">
        <v>31173</v>
      </c>
      <c r="E301" s="72">
        <v>45553.534720000003</v>
      </c>
      <c r="F301" s="72">
        <v>624219</v>
      </c>
      <c r="G301" s="72" t="s">
        <v>1293</v>
      </c>
      <c r="H301" s="72" t="s">
        <v>1141</v>
      </c>
    </row>
    <row r="302" spans="2:8" ht="14" x14ac:dyDescent="0.15">
      <c r="B302" s="72">
        <v>723</v>
      </c>
      <c r="C302" s="73">
        <v>11986.55</v>
      </c>
      <c r="D302" s="72">
        <v>31173</v>
      </c>
      <c r="E302" s="72">
        <v>45553.534720000003</v>
      </c>
      <c r="F302" s="72">
        <v>624219</v>
      </c>
      <c r="G302" s="72" t="s">
        <v>1293</v>
      </c>
      <c r="H302" s="72" t="s">
        <v>1141</v>
      </c>
    </row>
    <row r="303" spans="2:8" ht="14" x14ac:dyDescent="0.15">
      <c r="B303" s="72">
        <v>731</v>
      </c>
      <c r="C303" s="73">
        <v>24705.26</v>
      </c>
      <c r="D303" s="72">
        <v>31173</v>
      </c>
      <c r="E303" s="72">
        <v>45553.534720000003</v>
      </c>
      <c r="F303" s="72">
        <v>624219</v>
      </c>
      <c r="G303" s="72" t="s">
        <v>1293</v>
      </c>
      <c r="H303" s="72" t="s">
        <v>1141</v>
      </c>
    </row>
    <row r="304" spans="2:8" ht="14" x14ac:dyDescent="0.15">
      <c r="B304" s="72">
        <v>761</v>
      </c>
      <c r="C304" s="73">
        <v>6887.52</v>
      </c>
      <c r="D304" s="72">
        <v>31173</v>
      </c>
      <c r="E304" s="72">
        <v>45553.534720000003</v>
      </c>
      <c r="F304" s="72">
        <v>624219</v>
      </c>
      <c r="G304" s="72" t="s">
        <v>1293</v>
      </c>
      <c r="H304" s="72" t="s">
        <v>1141</v>
      </c>
    </row>
    <row r="305" spans="2:8" ht="14" x14ac:dyDescent="0.15">
      <c r="B305" s="72">
        <v>763</v>
      </c>
      <c r="C305" s="73">
        <v>1119.4000000000001</v>
      </c>
      <c r="D305" s="72">
        <v>31173</v>
      </c>
      <c r="E305" s="72">
        <v>45553.534720000003</v>
      </c>
      <c r="F305" s="72">
        <v>624219</v>
      </c>
      <c r="G305" s="72" t="s">
        <v>1293</v>
      </c>
      <c r="H305" s="72" t="s">
        <v>1141</v>
      </c>
    </row>
    <row r="306" spans="2:8" ht="14" x14ac:dyDescent="0.15">
      <c r="B306" s="72" t="s">
        <v>49</v>
      </c>
      <c r="C306" s="73">
        <v>9689.01</v>
      </c>
      <c r="D306" s="72">
        <v>31173</v>
      </c>
      <c r="E306" s="72">
        <v>45553.534720000003</v>
      </c>
      <c r="F306" s="72">
        <v>624219</v>
      </c>
      <c r="G306" s="72" t="s">
        <v>1293</v>
      </c>
      <c r="H306" s="72" t="s">
        <v>1141</v>
      </c>
    </row>
    <row r="307" spans="2:8" ht="14" x14ac:dyDescent="0.15">
      <c r="B307" s="72" t="s">
        <v>119</v>
      </c>
      <c r="C307" s="73">
        <v>11204.77</v>
      </c>
      <c r="D307" s="72">
        <v>31173</v>
      </c>
      <c r="E307" s="72">
        <v>45553.534720000003</v>
      </c>
      <c r="F307" s="72">
        <v>624219</v>
      </c>
      <c r="G307" s="72" t="s">
        <v>1293</v>
      </c>
      <c r="H307" s="72" t="s">
        <v>1141</v>
      </c>
    </row>
    <row r="308" spans="2:8" ht="14" x14ac:dyDescent="0.15">
      <c r="B308" s="72" t="s">
        <v>120</v>
      </c>
      <c r="C308" s="72">
        <v>2.6</v>
      </c>
      <c r="D308" s="72">
        <v>31173</v>
      </c>
      <c r="E308" s="72">
        <v>45553.534720000003</v>
      </c>
      <c r="F308" s="72">
        <v>624219</v>
      </c>
      <c r="G308" s="72" t="s">
        <v>1293</v>
      </c>
      <c r="H308" s="72" t="s">
        <v>1141</v>
      </c>
    </row>
    <row r="309" spans="2:8" ht="14" x14ac:dyDescent="0.15">
      <c r="B309" s="72" t="s">
        <v>114</v>
      </c>
      <c r="C309" s="72">
        <v>675.6</v>
      </c>
      <c r="D309" s="72">
        <v>31173</v>
      </c>
      <c r="E309" s="72">
        <v>45553.534720000003</v>
      </c>
      <c r="F309" s="72">
        <v>634339</v>
      </c>
      <c r="G309" s="72" t="s">
        <v>1293</v>
      </c>
      <c r="H309" s="72" t="s">
        <v>1141</v>
      </c>
    </row>
    <row r="310" spans="2:8" ht="14" x14ac:dyDescent="0.15">
      <c r="B310" s="72">
        <v>533</v>
      </c>
      <c r="C310" s="73">
        <v>16940</v>
      </c>
      <c r="D310" s="72">
        <v>31173</v>
      </c>
      <c r="E310" s="72">
        <v>45553.534720000003</v>
      </c>
      <c r="F310" s="72">
        <v>634340</v>
      </c>
      <c r="G310" s="72" t="s">
        <v>1293</v>
      </c>
      <c r="H310" s="72" t="s">
        <v>1141</v>
      </c>
    </row>
    <row r="311" spans="2:8" ht="14" x14ac:dyDescent="0.15">
      <c r="B311" s="72" t="s">
        <v>114</v>
      </c>
      <c r="C311" s="72">
        <v>225.2</v>
      </c>
      <c r="D311" s="72">
        <v>31173</v>
      </c>
      <c r="E311" s="72">
        <v>45553.534720000003</v>
      </c>
      <c r="F311" s="72">
        <v>634340</v>
      </c>
      <c r="G311" s="72" t="s">
        <v>1293</v>
      </c>
      <c r="H311" s="72" t="s">
        <v>1141</v>
      </c>
    </row>
    <row r="312" spans="2:8" ht="14" x14ac:dyDescent="0.15">
      <c r="B312" s="72">
        <v>133</v>
      </c>
      <c r="C312" s="72">
        <v>486</v>
      </c>
      <c r="D312" s="72">
        <v>31173</v>
      </c>
      <c r="E312" s="72">
        <v>45649.585420000003</v>
      </c>
      <c r="F312" s="72">
        <v>624125</v>
      </c>
      <c r="G312" s="72" t="s">
        <v>1293</v>
      </c>
      <c r="H312" s="72" t="s">
        <v>1141</v>
      </c>
    </row>
    <row r="313" spans="2:8" ht="14" x14ac:dyDescent="0.15">
      <c r="B313" s="72">
        <v>313</v>
      </c>
      <c r="C313" s="73">
        <v>1750</v>
      </c>
      <c r="D313" s="72">
        <v>31173</v>
      </c>
      <c r="E313" s="72">
        <v>45649.585420000003</v>
      </c>
      <c r="F313" s="72">
        <v>624125</v>
      </c>
      <c r="G313" s="72" t="s">
        <v>1293</v>
      </c>
      <c r="H313" s="72" t="s">
        <v>1141</v>
      </c>
    </row>
    <row r="314" spans="2:8" ht="14" x14ac:dyDescent="0.15">
      <c r="B314" s="72">
        <v>713</v>
      </c>
      <c r="C314" s="73">
        <v>7470</v>
      </c>
      <c r="D314" s="72">
        <v>31173</v>
      </c>
      <c r="E314" s="72">
        <v>45649.585420000003</v>
      </c>
      <c r="F314" s="72">
        <v>624125</v>
      </c>
      <c r="G314" s="72" t="s">
        <v>1293</v>
      </c>
      <c r="H314" s="72" t="s">
        <v>1141</v>
      </c>
    </row>
    <row r="315" spans="2:8" ht="14" x14ac:dyDescent="0.15">
      <c r="B315" s="72">
        <v>521</v>
      </c>
      <c r="C315" s="72">
        <v>516.84</v>
      </c>
      <c r="D315" s="72">
        <v>31173</v>
      </c>
      <c r="E315" s="72">
        <v>45649.585420000003</v>
      </c>
      <c r="F315" s="72">
        <v>624140</v>
      </c>
      <c r="G315" s="72" t="s">
        <v>1293</v>
      </c>
      <c r="H315" s="72" t="s">
        <v>1141</v>
      </c>
    </row>
    <row r="316" spans="2:8" ht="14" x14ac:dyDescent="0.15">
      <c r="B316" s="72">
        <v>523</v>
      </c>
      <c r="C316" s="73">
        <v>574099.19999999995</v>
      </c>
      <c r="D316" s="72">
        <v>31173</v>
      </c>
      <c r="E316" s="72">
        <v>45649.585420000003</v>
      </c>
      <c r="F316" s="72">
        <v>624140</v>
      </c>
      <c r="G316" s="72" t="s">
        <v>1293</v>
      </c>
      <c r="H316" s="72" t="s">
        <v>1141</v>
      </c>
    </row>
    <row r="317" spans="2:8" ht="14" x14ac:dyDescent="0.15">
      <c r="B317" s="72">
        <v>533</v>
      </c>
      <c r="C317" s="73">
        <v>330850.69</v>
      </c>
      <c r="D317" s="72">
        <v>31173</v>
      </c>
      <c r="E317" s="72">
        <v>45649.585420000003</v>
      </c>
      <c r="F317" s="72">
        <v>624140</v>
      </c>
      <c r="G317" s="72" t="s">
        <v>1293</v>
      </c>
      <c r="H317" s="72" t="s">
        <v>1141</v>
      </c>
    </row>
    <row r="318" spans="2:8" ht="14" x14ac:dyDescent="0.15">
      <c r="B318" s="72">
        <v>543</v>
      </c>
      <c r="C318" s="73">
        <v>6796</v>
      </c>
      <c r="D318" s="72">
        <v>31173</v>
      </c>
      <c r="E318" s="72">
        <v>45649.585420000003</v>
      </c>
      <c r="F318" s="72">
        <v>624140</v>
      </c>
      <c r="G318" s="72" t="s">
        <v>1293</v>
      </c>
      <c r="H318" s="72" t="s">
        <v>1141</v>
      </c>
    </row>
    <row r="319" spans="2:8" ht="14" x14ac:dyDescent="0.15">
      <c r="B319" s="72">
        <v>763</v>
      </c>
      <c r="C319" s="73">
        <v>2781.07</v>
      </c>
      <c r="D319" s="72">
        <v>31173</v>
      </c>
      <c r="E319" s="72">
        <v>45649.585420000003</v>
      </c>
      <c r="F319" s="72">
        <v>624140</v>
      </c>
      <c r="G319" s="72" t="s">
        <v>1293</v>
      </c>
      <c r="H319" s="72" t="s">
        <v>1141</v>
      </c>
    </row>
    <row r="320" spans="2:8" ht="14" x14ac:dyDescent="0.15">
      <c r="B320" s="72" t="s">
        <v>49</v>
      </c>
      <c r="C320" s="73">
        <v>2530</v>
      </c>
      <c r="D320" s="72">
        <v>31173</v>
      </c>
      <c r="E320" s="72">
        <v>45649.585420000003</v>
      </c>
      <c r="F320" s="72">
        <v>624140</v>
      </c>
      <c r="G320" s="72" t="s">
        <v>1293</v>
      </c>
      <c r="H320" s="72" t="s">
        <v>1141</v>
      </c>
    </row>
    <row r="321" spans="2:8" ht="14" x14ac:dyDescent="0.15">
      <c r="B321" s="72" t="s">
        <v>119</v>
      </c>
      <c r="C321" s="72">
        <v>389.7</v>
      </c>
      <c r="D321" s="72">
        <v>31173</v>
      </c>
      <c r="E321" s="72">
        <v>45649.585420000003</v>
      </c>
      <c r="F321" s="72">
        <v>624140</v>
      </c>
      <c r="G321" s="72" t="s">
        <v>1293</v>
      </c>
      <c r="H321" s="72" t="s">
        <v>1141</v>
      </c>
    </row>
    <row r="322" spans="2:8" ht="14" x14ac:dyDescent="0.15">
      <c r="B322" s="72">
        <v>311</v>
      </c>
      <c r="C322" s="73">
        <v>2003.04</v>
      </c>
      <c r="D322" s="72">
        <v>31173</v>
      </c>
      <c r="E322" s="72">
        <v>45649.585420000003</v>
      </c>
      <c r="F322" s="72">
        <v>624189</v>
      </c>
      <c r="G322" s="72" t="s">
        <v>1293</v>
      </c>
      <c r="H322" s="72" t="s">
        <v>1141</v>
      </c>
    </row>
    <row r="323" spans="2:8" ht="14" x14ac:dyDescent="0.15">
      <c r="B323" s="72">
        <v>711</v>
      </c>
      <c r="C323" s="72">
        <v>273.76</v>
      </c>
      <c r="D323" s="72">
        <v>31173</v>
      </c>
      <c r="E323" s="72">
        <v>45649.585420000003</v>
      </c>
      <c r="F323" s="72">
        <v>624189</v>
      </c>
      <c r="G323" s="72" t="s">
        <v>1293</v>
      </c>
      <c r="H323" s="72" t="s">
        <v>1141</v>
      </c>
    </row>
    <row r="324" spans="2:8" ht="14" x14ac:dyDescent="0.15">
      <c r="B324" s="72">
        <v>3</v>
      </c>
      <c r="C324" s="72">
        <v>115.19</v>
      </c>
      <c r="D324" s="72">
        <v>31173</v>
      </c>
      <c r="E324" s="72">
        <v>45649.585420000003</v>
      </c>
      <c r="F324" s="72">
        <v>624219</v>
      </c>
      <c r="G324" s="72" t="s">
        <v>1293</v>
      </c>
      <c r="H324" s="72" t="s">
        <v>1141</v>
      </c>
    </row>
    <row r="325" spans="2:8" ht="14" x14ac:dyDescent="0.15">
      <c r="B325" s="72">
        <v>111</v>
      </c>
      <c r="C325" s="73">
        <v>69956.22</v>
      </c>
      <c r="D325" s="72">
        <v>31173</v>
      </c>
      <c r="E325" s="72">
        <v>45649.585420000003</v>
      </c>
      <c r="F325" s="72">
        <v>624219</v>
      </c>
      <c r="G325" s="72" t="s">
        <v>1293</v>
      </c>
      <c r="H325" s="72" t="s">
        <v>1141</v>
      </c>
    </row>
    <row r="326" spans="2:8" ht="14" x14ac:dyDescent="0.15">
      <c r="B326" s="72">
        <v>311</v>
      </c>
      <c r="C326" s="73">
        <v>3877.63</v>
      </c>
      <c r="D326" s="72">
        <v>31173</v>
      </c>
      <c r="E326" s="72">
        <v>45649.585420000003</v>
      </c>
      <c r="F326" s="72">
        <v>624219</v>
      </c>
      <c r="G326" s="72" t="s">
        <v>1293</v>
      </c>
      <c r="H326" s="72" t="s">
        <v>1141</v>
      </c>
    </row>
    <row r="327" spans="2:8" ht="14" x14ac:dyDescent="0.15">
      <c r="B327" s="72">
        <v>421</v>
      </c>
      <c r="C327" s="73">
        <v>77570.12</v>
      </c>
      <c r="D327" s="72">
        <v>31173</v>
      </c>
      <c r="E327" s="72">
        <v>45649.585420000003</v>
      </c>
      <c r="F327" s="72">
        <v>624219</v>
      </c>
      <c r="G327" s="72" t="s">
        <v>1293</v>
      </c>
      <c r="H327" s="72" t="s">
        <v>1141</v>
      </c>
    </row>
    <row r="328" spans="2:8" ht="14" x14ac:dyDescent="0.15">
      <c r="B328" s="72">
        <v>451</v>
      </c>
      <c r="C328" s="73">
        <v>1766.23</v>
      </c>
      <c r="D328" s="72">
        <v>31173</v>
      </c>
      <c r="E328" s="72">
        <v>45649.585420000003</v>
      </c>
      <c r="F328" s="72">
        <v>624219</v>
      </c>
      <c r="G328" s="72" t="s">
        <v>1293</v>
      </c>
      <c r="H328" s="72" t="s">
        <v>1141</v>
      </c>
    </row>
    <row r="329" spans="2:8" ht="14" x14ac:dyDescent="0.15">
      <c r="B329" s="72">
        <v>523</v>
      </c>
      <c r="C329" s="73">
        <v>13682</v>
      </c>
      <c r="D329" s="72">
        <v>31173</v>
      </c>
      <c r="E329" s="72">
        <v>45649.585420000003</v>
      </c>
      <c r="F329" s="72">
        <v>624219</v>
      </c>
      <c r="G329" s="72" t="s">
        <v>1293</v>
      </c>
      <c r="H329" s="72" t="s">
        <v>1141</v>
      </c>
    </row>
    <row r="330" spans="2:8" ht="14" x14ac:dyDescent="0.15">
      <c r="B330" s="72">
        <v>533</v>
      </c>
      <c r="C330" s="73">
        <v>73200</v>
      </c>
      <c r="D330" s="72">
        <v>31173</v>
      </c>
      <c r="E330" s="72">
        <v>45649.585420000003</v>
      </c>
      <c r="F330" s="72">
        <v>624219</v>
      </c>
      <c r="G330" s="72" t="s">
        <v>1293</v>
      </c>
      <c r="H330" s="72" t="s">
        <v>1141</v>
      </c>
    </row>
    <row r="331" spans="2:8" ht="14" x14ac:dyDescent="0.15">
      <c r="B331" s="72">
        <v>543</v>
      </c>
      <c r="C331" s="73">
        <v>18142</v>
      </c>
      <c r="D331" s="72">
        <v>31173</v>
      </c>
      <c r="E331" s="72">
        <v>45649.585420000003</v>
      </c>
      <c r="F331" s="72">
        <v>624219</v>
      </c>
      <c r="G331" s="72" t="s">
        <v>1293</v>
      </c>
      <c r="H331" s="72" t="s">
        <v>1141</v>
      </c>
    </row>
    <row r="332" spans="2:8" ht="14" x14ac:dyDescent="0.15">
      <c r="B332" s="72">
        <v>711</v>
      </c>
      <c r="C332" s="73">
        <v>24691.119999999999</v>
      </c>
      <c r="D332" s="72">
        <v>31173</v>
      </c>
      <c r="E332" s="72">
        <v>45649.585420000003</v>
      </c>
      <c r="F332" s="72">
        <v>624219</v>
      </c>
      <c r="G332" s="72" t="s">
        <v>1293</v>
      </c>
      <c r="H332" s="72" t="s">
        <v>1141</v>
      </c>
    </row>
    <row r="333" spans="2:8" ht="14" x14ac:dyDescent="0.15">
      <c r="B333" s="72">
        <v>723</v>
      </c>
      <c r="C333" s="73">
        <v>11986.55</v>
      </c>
      <c r="D333" s="72">
        <v>31173</v>
      </c>
      <c r="E333" s="72">
        <v>45649.585420000003</v>
      </c>
      <c r="F333" s="72">
        <v>624219</v>
      </c>
      <c r="G333" s="72" t="s">
        <v>1293</v>
      </c>
      <c r="H333" s="72" t="s">
        <v>1141</v>
      </c>
    </row>
    <row r="334" spans="2:8" ht="14" x14ac:dyDescent="0.15">
      <c r="B334" s="72">
        <v>731</v>
      </c>
      <c r="C334" s="73">
        <v>24705.26</v>
      </c>
      <c r="D334" s="72">
        <v>31173</v>
      </c>
      <c r="E334" s="72">
        <v>45649.585420000003</v>
      </c>
      <c r="F334" s="72">
        <v>624219</v>
      </c>
      <c r="G334" s="72" t="s">
        <v>1293</v>
      </c>
      <c r="H334" s="72" t="s">
        <v>1141</v>
      </c>
    </row>
    <row r="335" spans="2:8" ht="14" x14ac:dyDescent="0.15">
      <c r="B335" s="72">
        <v>761</v>
      </c>
      <c r="C335" s="73">
        <v>6887.52</v>
      </c>
      <c r="D335" s="72">
        <v>31173</v>
      </c>
      <c r="E335" s="72">
        <v>45649.585420000003</v>
      </c>
      <c r="F335" s="72">
        <v>624219</v>
      </c>
      <c r="G335" s="72" t="s">
        <v>1293</v>
      </c>
      <c r="H335" s="72" t="s">
        <v>1141</v>
      </c>
    </row>
    <row r="336" spans="2:8" ht="14" x14ac:dyDescent="0.15">
      <c r="B336" s="72">
        <v>763</v>
      </c>
      <c r="C336" s="73">
        <v>1119.4000000000001</v>
      </c>
      <c r="D336" s="72">
        <v>31173</v>
      </c>
      <c r="E336" s="72">
        <v>45649.585420000003</v>
      </c>
      <c r="F336" s="72">
        <v>624219</v>
      </c>
      <c r="G336" s="72" t="s">
        <v>1293</v>
      </c>
      <c r="H336" s="72" t="s">
        <v>1141</v>
      </c>
    </row>
    <row r="337" spans="2:8" ht="14" x14ac:dyDescent="0.15">
      <c r="B337" s="72" t="s">
        <v>49</v>
      </c>
      <c r="C337" s="73">
        <v>9689.01</v>
      </c>
      <c r="D337" s="72">
        <v>31173</v>
      </c>
      <c r="E337" s="72">
        <v>45649.585420000003</v>
      </c>
      <c r="F337" s="72">
        <v>624219</v>
      </c>
      <c r="G337" s="72" t="s">
        <v>1293</v>
      </c>
      <c r="H337" s="72" t="s">
        <v>1141</v>
      </c>
    </row>
    <row r="338" spans="2:8" ht="14" x14ac:dyDescent="0.15">
      <c r="B338" s="72" t="s">
        <v>119</v>
      </c>
      <c r="C338" s="73">
        <v>11204.77</v>
      </c>
      <c r="D338" s="72">
        <v>31173</v>
      </c>
      <c r="E338" s="72">
        <v>45649.585420000003</v>
      </c>
      <c r="F338" s="72">
        <v>624219</v>
      </c>
      <c r="G338" s="72" t="s">
        <v>1293</v>
      </c>
      <c r="H338" s="72" t="s">
        <v>1141</v>
      </c>
    </row>
    <row r="339" spans="2:8" ht="14" x14ac:dyDescent="0.15">
      <c r="B339" s="72" t="s">
        <v>120</v>
      </c>
      <c r="C339" s="72">
        <v>2.6</v>
      </c>
      <c r="D339" s="72">
        <v>31173</v>
      </c>
      <c r="E339" s="72">
        <v>45649.585420000003</v>
      </c>
      <c r="F339" s="72">
        <v>624219</v>
      </c>
      <c r="G339" s="72" t="s">
        <v>1293</v>
      </c>
      <c r="H339" s="72" t="s">
        <v>1141</v>
      </c>
    </row>
    <row r="340" spans="2:8" ht="14" x14ac:dyDescent="0.15">
      <c r="B340" s="72" t="s">
        <v>114</v>
      </c>
      <c r="C340" s="72">
        <v>675.6</v>
      </c>
      <c r="D340" s="72">
        <v>31173</v>
      </c>
      <c r="E340" s="72">
        <v>45649.585420000003</v>
      </c>
      <c r="F340" s="72">
        <v>634339</v>
      </c>
      <c r="G340" s="72" t="s">
        <v>1293</v>
      </c>
      <c r="H340" s="72" t="s">
        <v>1141</v>
      </c>
    </row>
    <row r="341" spans="2:8" ht="14" x14ac:dyDescent="0.15">
      <c r="B341" s="72">
        <v>523</v>
      </c>
      <c r="C341" s="73">
        <v>4904</v>
      </c>
      <c r="D341" s="72">
        <v>31173</v>
      </c>
      <c r="E341" s="72">
        <v>45649.585420000003</v>
      </c>
      <c r="F341" s="72">
        <v>634340</v>
      </c>
      <c r="G341" s="72" t="s">
        <v>1293</v>
      </c>
      <c r="H341" s="72" t="s">
        <v>1141</v>
      </c>
    </row>
    <row r="342" spans="2:8" ht="14" x14ac:dyDescent="0.15">
      <c r="B342" s="72">
        <v>533</v>
      </c>
      <c r="C342" s="73">
        <v>16940</v>
      </c>
      <c r="D342" s="72">
        <v>31173</v>
      </c>
      <c r="E342" s="72">
        <v>45649.585420000003</v>
      </c>
      <c r="F342" s="72">
        <v>634340</v>
      </c>
      <c r="G342" s="72" t="s">
        <v>1293</v>
      </c>
      <c r="H342" s="72" t="s">
        <v>1141</v>
      </c>
    </row>
    <row r="343" spans="2:8" ht="14" x14ac:dyDescent="0.15">
      <c r="B343" s="72" t="s">
        <v>114</v>
      </c>
      <c r="C343" s="72">
        <v>225.2</v>
      </c>
      <c r="D343" s="72">
        <v>31173</v>
      </c>
      <c r="E343" s="72">
        <v>45649.585420000003</v>
      </c>
      <c r="F343" s="72">
        <v>634340</v>
      </c>
      <c r="G343" s="72" t="s">
        <v>1293</v>
      </c>
      <c r="H343" s="72" t="s">
        <v>1141</v>
      </c>
    </row>
    <row r="344" spans="2:8" ht="14" x14ac:dyDescent="0.15">
      <c r="B344" s="72" t="s">
        <v>49</v>
      </c>
      <c r="C344" s="72">
        <v>7.2</v>
      </c>
      <c r="D344" s="72">
        <v>31173</v>
      </c>
      <c r="E344" s="72">
        <v>45649.585420000003</v>
      </c>
      <c r="F344" s="72">
        <v>634340</v>
      </c>
      <c r="G344" s="72" t="s">
        <v>1293</v>
      </c>
      <c r="H344" s="72" t="s">
        <v>1141</v>
      </c>
    </row>
    <row r="345" spans="2:8" ht="14" x14ac:dyDescent="0.15">
      <c r="B345" s="72">
        <v>133</v>
      </c>
      <c r="C345" s="72">
        <v>486</v>
      </c>
      <c r="D345" s="72">
        <v>31173</v>
      </c>
      <c r="E345" s="72">
        <v>45484.915280000001</v>
      </c>
      <c r="F345" s="72">
        <v>624125</v>
      </c>
      <c r="G345" s="72" t="s">
        <v>1293</v>
      </c>
      <c r="H345" s="72" t="s">
        <v>1141</v>
      </c>
    </row>
    <row r="346" spans="2:8" ht="14" x14ac:dyDescent="0.15">
      <c r="B346" s="72">
        <v>313</v>
      </c>
      <c r="C346" s="73">
        <v>1750</v>
      </c>
      <c r="D346" s="72">
        <v>31173</v>
      </c>
      <c r="E346" s="72">
        <v>45484.915280000001</v>
      </c>
      <c r="F346" s="72">
        <v>624125</v>
      </c>
      <c r="G346" s="72" t="s">
        <v>1293</v>
      </c>
      <c r="H346" s="72" t="s">
        <v>1141</v>
      </c>
    </row>
    <row r="347" spans="2:8" ht="14" x14ac:dyDescent="0.15">
      <c r="B347" s="72">
        <v>713</v>
      </c>
      <c r="C347" s="73">
        <v>7470</v>
      </c>
      <c r="D347" s="72">
        <v>31173</v>
      </c>
      <c r="E347" s="72">
        <v>45484.915280000001</v>
      </c>
      <c r="F347" s="72">
        <v>624125</v>
      </c>
      <c r="G347" s="72" t="s">
        <v>1293</v>
      </c>
      <c r="H347" s="72" t="s">
        <v>1141</v>
      </c>
    </row>
    <row r="348" spans="2:8" ht="14" x14ac:dyDescent="0.15">
      <c r="B348" s="72">
        <v>521</v>
      </c>
      <c r="C348" s="72">
        <v>516.84</v>
      </c>
      <c r="D348" s="72">
        <v>31173</v>
      </c>
      <c r="E348" s="72">
        <v>45484.915280000001</v>
      </c>
      <c r="F348" s="72">
        <v>624140</v>
      </c>
      <c r="G348" s="72" t="s">
        <v>1293</v>
      </c>
      <c r="H348" s="72" t="s">
        <v>1141</v>
      </c>
    </row>
    <row r="349" spans="2:8" ht="14" x14ac:dyDescent="0.15">
      <c r="B349" s="72">
        <v>523</v>
      </c>
      <c r="C349" s="73">
        <v>574099.19999999995</v>
      </c>
      <c r="D349" s="72">
        <v>31173</v>
      </c>
      <c r="E349" s="72">
        <v>45484.915280000001</v>
      </c>
      <c r="F349" s="72">
        <v>624140</v>
      </c>
      <c r="G349" s="72" t="s">
        <v>1293</v>
      </c>
      <c r="H349" s="72" t="s">
        <v>1141</v>
      </c>
    </row>
    <row r="350" spans="2:8" ht="14" x14ac:dyDescent="0.15">
      <c r="B350" s="72">
        <v>533</v>
      </c>
      <c r="C350" s="73">
        <v>330850.69</v>
      </c>
      <c r="D350" s="72">
        <v>31173</v>
      </c>
      <c r="E350" s="72">
        <v>45484.915280000001</v>
      </c>
      <c r="F350" s="72">
        <v>624140</v>
      </c>
      <c r="G350" s="72" t="s">
        <v>1293</v>
      </c>
      <c r="H350" s="72" t="s">
        <v>1141</v>
      </c>
    </row>
    <row r="351" spans="2:8" ht="14" x14ac:dyDescent="0.15">
      <c r="B351" s="72">
        <v>543</v>
      </c>
      <c r="C351" s="73">
        <v>6796</v>
      </c>
      <c r="D351" s="72">
        <v>31173</v>
      </c>
      <c r="E351" s="72">
        <v>45484.915280000001</v>
      </c>
      <c r="F351" s="72">
        <v>624140</v>
      </c>
      <c r="G351" s="72" t="s">
        <v>1293</v>
      </c>
      <c r="H351" s="72" t="s">
        <v>1141</v>
      </c>
    </row>
    <row r="352" spans="2:8" ht="14" x14ac:dyDescent="0.15">
      <c r="B352" s="72">
        <v>763</v>
      </c>
      <c r="C352" s="73">
        <v>2781.07</v>
      </c>
      <c r="D352" s="72">
        <v>31173</v>
      </c>
      <c r="E352" s="72">
        <v>45484.915280000001</v>
      </c>
      <c r="F352" s="72">
        <v>624140</v>
      </c>
      <c r="G352" s="72" t="s">
        <v>1293</v>
      </c>
      <c r="H352" s="72" t="s">
        <v>1141</v>
      </c>
    </row>
    <row r="353" spans="2:8" ht="14" x14ac:dyDescent="0.15">
      <c r="B353" s="72" t="s">
        <v>49</v>
      </c>
      <c r="C353" s="73">
        <v>2530</v>
      </c>
      <c r="D353" s="72">
        <v>31173</v>
      </c>
      <c r="E353" s="72">
        <v>45484.915280000001</v>
      </c>
      <c r="F353" s="72">
        <v>624140</v>
      </c>
      <c r="G353" s="72" t="s">
        <v>1293</v>
      </c>
      <c r="H353" s="72" t="s">
        <v>1141</v>
      </c>
    </row>
    <row r="354" spans="2:8" ht="14" x14ac:dyDescent="0.15">
      <c r="B354" s="72" t="s">
        <v>119</v>
      </c>
      <c r="C354" s="72">
        <v>389.7</v>
      </c>
      <c r="D354" s="72">
        <v>31173</v>
      </c>
      <c r="E354" s="72">
        <v>45484.915280000001</v>
      </c>
      <c r="F354" s="72">
        <v>624140</v>
      </c>
      <c r="G354" s="72" t="s">
        <v>1293</v>
      </c>
      <c r="H354" s="72" t="s">
        <v>1141</v>
      </c>
    </row>
    <row r="355" spans="2:8" ht="14" x14ac:dyDescent="0.15">
      <c r="B355" s="72">
        <v>311</v>
      </c>
      <c r="C355" s="73">
        <v>2003.04</v>
      </c>
      <c r="D355" s="72">
        <v>31173</v>
      </c>
      <c r="E355" s="72">
        <v>45484.915280000001</v>
      </c>
      <c r="F355" s="72">
        <v>624189</v>
      </c>
      <c r="G355" s="72" t="s">
        <v>1293</v>
      </c>
      <c r="H355" s="72" t="s">
        <v>1141</v>
      </c>
    </row>
    <row r="356" spans="2:8" ht="14" x14ac:dyDescent="0.15">
      <c r="B356" s="72">
        <v>711</v>
      </c>
      <c r="C356" s="72">
        <v>273.76</v>
      </c>
      <c r="D356" s="72">
        <v>31173</v>
      </c>
      <c r="E356" s="72">
        <v>45484.915280000001</v>
      </c>
      <c r="F356" s="72">
        <v>624189</v>
      </c>
      <c r="G356" s="72" t="s">
        <v>1293</v>
      </c>
      <c r="H356" s="72" t="s">
        <v>1141</v>
      </c>
    </row>
    <row r="357" spans="2:8" ht="14" x14ac:dyDescent="0.15">
      <c r="B357" s="72">
        <v>3</v>
      </c>
      <c r="C357" s="72">
        <v>115.19</v>
      </c>
      <c r="D357" s="72">
        <v>31173</v>
      </c>
      <c r="E357" s="72">
        <v>45484.915280000001</v>
      </c>
      <c r="F357" s="72">
        <v>624219</v>
      </c>
      <c r="G357" s="72" t="s">
        <v>1293</v>
      </c>
      <c r="H357" s="72" t="s">
        <v>1141</v>
      </c>
    </row>
    <row r="358" spans="2:8" ht="14" x14ac:dyDescent="0.15">
      <c r="B358" s="72">
        <v>111</v>
      </c>
      <c r="C358" s="73">
        <v>69956.22</v>
      </c>
      <c r="D358" s="72">
        <v>31173</v>
      </c>
      <c r="E358" s="72">
        <v>45484.915280000001</v>
      </c>
      <c r="F358" s="72">
        <v>624219</v>
      </c>
      <c r="G358" s="72" t="s">
        <v>1293</v>
      </c>
      <c r="H358" s="72" t="s">
        <v>1141</v>
      </c>
    </row>
    <row r="359" spans="2:8" ht="14" x14ac:dyDescent="0.15">
      <c r="B359" s="72">
        <v>311</v>
      </c>
      <c r="C359" s="73">
        <v>3877.63</v>
      </c>
      <c r="D359" s="72">
        <v>31173</v>
      </c>
      <c r="E359" s="72">
        <v>45484.915280000001</v>
      </c>
      <c r="F359" s="72">
        <v>624219</v>
      </c>
      <c r="G359" s="72" t="s">
        <v>1293</v>
      </c>
      <c r="H359" s="72" t="s">
        <v>1141</v>
      </c>
    </row>
    <row r="360" spans="2:8" ht="14" x14ac:dyDescent="0.15">
      <c r="B360" s="72">
        <v>421</v>
      </c>
      <c r="C360" s="73">
        <v>77570.12</v>
      </c>
      <c r="D360" s="72">
        <v>31173</v>
      </c>
      <c r="E360" s="72">
        <v>45484.915280000001</v>
      </c>
      <c r="F360" s="72">
        <v>624219</v>
      </c>
      <c r="G360" s="72" t="s">
        <v>1293</v>
      </c>
      <c r="H360" s="72" t="s">
        <v>1141</v>
      </c>
    </row>
    <row r="361" spans="2:8" ht="14" x14ac:dyDescent="0.15">
      <c r="B361" s="72">
        <v>451</v>
      </c>
      <c r="C361" s="73">
        <v>1766.23</v>
      </c>
      <c r="D361" s="72">
        <v>31173</v>
      </c>
      <c r="E361" s="72">
        <v>45484.915280000001</v>
      </c>
      <c r="F361" s="72">
        <v>624219</v>
      </c>
      <c r="G361" s="72" t="s">
        <v>1293</v>
      </c>
      <c r="H361" s="72" t="s">
        <v>1141</v>
      </c>
    </row>
    <row r="362" spans="2:8" ht="14" x14ac:dyDescent="0.15">
      <c r="B362" s="72">
        <v>523</v>
      </c>
      <c r="C362" s="73">
        <v>13682</v>
      </c>
      <c r="D362" s="72">
        <v>31173</v>
      </c>
      <c r="E362" s="72">
        <v>45484.915280000001</v>
      </c>
      <c r="F362" s="72">
        <v>624219</v>
      </c>
      <c r="G362" s="72" t="s">
        <v>1293</v>
      </c>
      <c r="H362" s="72" t="s">
        <v>1141</v>
      </c>
    </row>
    <row r="363" spans="2:8" ht="14" x14ac:dyDescent="0.15">
      <c r="B363" s="72">
        <v>533</v>
      </c>
      <c r="C363" s="73">
        <v>73200</v>
      </c>
      <c r="D363" s="72">
        <v>31173</v>
      </c>
      <c r="E363" s="72">
        <v>45484.915280000001</v>
      </c>
      <c r="F363" s="72">
        <v>624219</v>
      </c>
      <c r="G363" s="72" t="s">
        <v>1293</v>
      </c>
      <c r="H363" s="72" t="s">
        <v>1141</v>
      </c>
    </row>
    <row r="364" spans="2:8" ht="14" x14ac:dyDescent="0.15">
      <c r="B364" s="72">
        <v>543</v>
      </c>
      <c r="C364" s="73">
        <v>18142</v>
      </c>
      <c r="D364" s="72">
        <v>31173</v>
      </c>
      <c r="E364" s="72">
        <v>45484.915280000001</v>
      </c>
      <c r="F364" s="72">
        <v>624219</v>
      </c>
      <c r="G364" s="72" t="s">
        <v>1293</v>
      </c>
      <c r="H364" s="72" t="s">
        <v>1141</v>
      </c>
    </row>
    <row r="365" spans="2:8" ht="14" x14ac:dyDescent="0.15">
      <c r="B365" s="72">
        <v>711</v>
      </c>
      <c r="C365" s="73">
        <v>24691.119999999999</v>
      </c>
      <c r="D365" s="72">
        <v>31173</v>
      </c>
      <c r="E365" s="72">
        <v>45484.915280000001</v>
      </c>
      <c r="F365" s="72">
        <v>624219</v>
      </c>
      <c r="G365" s="72" t="s">
        <v>1293</v>
      </c>
      <c r="H365" s="72" t="s">
        <v>1141</v>
      </c>
    </row>
    <row r="366" spans="2:8" ht="14" x14ac:dyDescent="0.15">
      <c r="B366" s="72">
        <v>723</v>
      </c>
      <c r="C366" s="73">
        <v>11986.55</v>
      </c>
      <c r="D366" s="72">
        <v>31173</v>
      </c>
      <c r="E366" s="72">
        <v>45484.915280000001</v>
      </c>
      <c r="F366" s="72">
        <v>624219</v>
      </c>
      <c r="G366" s="72" t="s">
        <v>1293</v>
      </c>
      <c r="H366" s="72" t="s">
        <v>1141</v>
      </c>
    </row>
    <row r="367" spans="2:8" ht="14" x14ac:dyDescent="0.15">
      <c r="B367" s="72">
        <v>731</v>
      </c>
      <c r="C367" s="73">
        <v>24705.26</v>
      </c>
      <c r="D367" s="72">
        <v>31173</v>
      </c>
      <c r="E367" s="72">
        <v>45484.915280000001</v>
      </c>
      <c r="F367" s="72">
        <v>624219</v>
      </c>
      <c r="G367" s="72" t="s">
        <v>1293</v>
      </c>
      <c r="H367" s="72" t="s">
        <v>1141</v>
      </c>
    </row>
    <row r="368" spans="2:8" ht="14" x14ac:dyDescent="0.15">
      <c r="B368" s="72">
        <v>761</v>
      </c>
      <c r="C368" s="73">
        <v>6887.52</v>
      </c>
      <c r="D368" s="72">
        <v>31173</v>
      </c>
      <c r="E368" s="72">
        <v>45484.915280000001</v>
      </c>
      <c r="F368" s="72">
        <v>624219</v>
      </c>
      <c r="G368" s="72" t="s">
        <v>1293</v>
      </c>
      <c r="H368" s="72" t="s">
        <v>1141</v>
      </c>
    </row>
    <row r="369" spans="2:8" ht="14" x14ac:dyDescent="0.15">
      <c r="B369" s="72">
        <v>763</v>
      </c>
      <c r="C369" s="73">
        <v>1119.4000000000001</v>
      </c>
      <c r="D369" s="72">
        <v>31173</v>
      </c>
      <c r="E369" s="72">
        <v>45484.915280000001</v>
      </c>
      <c r="F369" s="72">
        <v>624219</v>
      </c>
      <c r="G369" s="72" t="s">
        <v>1293</v>
      </c>
      <c r="H369" s="72" t="s">
        <v>1141</v>
      </c>
    </row>
    <row r="370" spans="2:8" ht="14" x14ac:dyDescent="0.15">
      <c r="B370" s="72" t="s">
        <v>49</v>
      </c>
      <c r="C370" s="73">
        <v>9689.01</v>
      </c>
      <c r="D370" s="72">
        <v>31173</v>
      </c>
      <c r="E370" s="72">
        <v>45484.915280000001</v>
      </c>
      <c r="F370" s="72">
        <v>624219</v>
      </c>
      <c r="G370" s="72" t="s">
        <v>1293</v>
      </c>
      <c r="H370" s="72" t="s">
        <v>1141</v>
      </c>
    </row>
    <row r="371" spans="2:8" ht="14" x14ac:dyDescent="0.15">
      <c r="B371" s="72" t="s">
        <v>119</v>
      </c>
      <c r="C371" s="73">
        <v>11204.77</v>
      </c>
      <c r="D371" s="72">
        <v>31173</v>
      </c>
      <c r="E371" s="72">
        <v>45484.915280000001</v>
      </c>
      <c r="F371" s="72">
        <v>624219</v>
      </c>
      <c r="G371" s="72" t="s">
        <v>1293</v>
      </c>
      <c r="H371" s="72" t="s">
        <v>1141</v>
      </c>
    </row>
    <row r="372" spans="2:8" ht="14" x14ac:dyDescent="0.15">
      <c r="B372" s="72" t="s">
        <v>120</v>
      </c>
      <c r="C372" s="72">
        <v>2.6</v>
      </c>
      <c r="D372" s="72">
        <v>31173</v>
      </c>
      <c r="E372" s="72">
        <v>45484.915280000001</v>
      </c>
      <c r="F372" s="72">
        <v>624219</v>
      </c>
      <c r="G372" s="72" t="s">
        <v>1293</v>
      </c>
      <c r="H372" s="72" t="s">
        <v>1141</v>
      </c>
    </row>
    <row r="373" spans="2:8" ht="14" x14ac:dyDescent="0.15">
      <c r="B373" s="72" t="s">
        <v>114</v>
      </c>
      <c r="C373" s="72">
        <v>675.6</v>
      </c>
      <c r="D373" s="72">
        <v>31173</v>
      </c>
      <c r="E373" s="72">
        <v>45484.915280000001</v>
      </c>
      <c r="F373" s="72">
        <v>634339</v>
      </c>
      <c r="G373" s="72" t="s">
        <v>1293</v>
      </c>
      <c r="H373" s="72" t="s">
        <v>1141</v>
      </c>
    </row>
    <row r="374" spans="2:8" ht="14" x14ac:dyDescent="0.15">
      <c r="B374" s="72">
        <v>533</v>
      </c>
      <c r="C374" s="73">
        <v>16940</v>
      </c>
      <c r="D374" s="72">
        <v>31173</v>
      </c>
      <c r="E374" s="72">
        <v>45484.915280000001</v>
      </c>
      <c r="F374" s="72">
        <v>634340</v>
      </c>
      <c r="G374" s="72" t="s">
        <v>1293</v>
      </c>
      <c r="H374" s="72" t="s">
        <v>1141</v>
      </c>
    </row>
    <row r="375" spans="2:8" ht="14" x14ac:dyDescent="0.15">
      <c r="B375" s="72" t="s">
        <v>114</v>
      </c>
      <c r="C375" s="72">
        <v>225.2</v>
      </c>
      <c r="D375" s="72">
        <v>31173</v>
      </c>
      <c r="E375" s="72">
        <v>45484.915280000001</v>
      </c>
      <c r="F375" s="72">
        <v>634340</v>
      </c>
      <c r="G375" s="72" t="s">
        <v>1293</v>
      </c>
      <c r="H375" s="72" t="s">
        <v>1141</v>
      </c>
    </row>
    <row r="376" spans="2:8" ht="14" x14ac:dyDescent="0.15">
      <c r="B376" s="72">
        <v>3</v>
      </c>
      <c r="C376" s="72">
        <v>48</v>
      </c>
      <c r="D376" s="72">
        <v>31179</v>
      </c>
      <c r="E376" s="72">
        <v>45530.224999999999</v>
      </c>
      <c r="F376" s="72">
        <v>624158</v>
      </c>
      <c r="G376" s="72" t="s">
        <v>1293</v>
      </c>
      <c r="H376" s="72" t="s">
        <v>1141</v>
      </c>
    </row>
    <row r="377" spans="2:8" ht="14" x14ac:dyDescent="0.15">
      <c r="B377" s="72">
        <v>111</v>
      </c>
      <c r="C377" s="73">
        <v>139443.04999999999</v>
      </c>
      <c r="D377" s="72">
        <v>31179</v>
      </c>
      <c r="E377" s="72">
        <v>45530.224999999999</v>
      </c>
      <c r="F377" s="72">
        <v>624158</v>
      </c>
      <c r="G377" s="72" t="s">
        <v>1293</v>
      </c>
      <c r="H377" s="72" t="s">
        <v>1141</v>
      </c>
    </row>
    <row r="378" spans="2:8" ht="14" x14ac:dyDescent="0.15">
      <c r="B378" s="72">
        <v>131</v>
      </c>
      <c r="C378" s="73">
        <v>85618.44</v>
      </c>
      <c r="D378" s="72">
        <v>31179</v>
      </c>
      <c r="E378" s="72">
        <v>45530.224999999999</v>
      </c>
      <c r="F378" s="72">
        <v>624158</v>
      </c>
      <c r="G378" s="72" t="s">
        <v>1293</v>
      </c>
      <c r="H378" s="72" t="s">
        <v>1141</v>
      </c>
    </row>
    <row r="379" spans="2:8" ht="14" x14ac:dyDescent="0.15">
      <c r="B379" s="72">
        <v>133</v>
      </c>
      <c r="C379" s="73">
        <v>10332</v>
      </c>
      <c r="D379" s="72">
        <v>31179</v>
      </c>
      <c r="E379" s="72">
        <v>45530.224999999999</v>
      </c>
      <c r="F379" s="72">
        <v>624158</v>
      </c>
      <c r="G379" s="72" t="s">
        <v>1293</v>
      </c>
      <c r="H379" s="72" t="s">
        <v>1141</v>
      </c>
    </row>
    <row r="380" spans="2:8" ht="14" x14ac:dyDescent="0.15">
      <c r="B380" s="72">
        <v>141</v>
      </c>
      <c r="C380" s="73">
        <v>57678.62</v>
      </c>
      <c r="D380" s="72">
        <v>31179</v>
      </c>
      <c r="E380" s="72">
        <v>45530.224999999999</v>
      </c>
      <c r="F380" s="72">
        <v>624158</v>
      </c>
      <c r="G380" s="72" t="s">
        <v>1293</v>
      </c>
      <c r="H380" s="72" t="s">
        <v>1141</v>
      </c>
    </row>
    <row r="381" spans="2:8" ht="14" x14ac:dyDescent="0.15">
      <c r="B381" s="72">
        <v>241</v>
      </c>
      <c r="C381" s="73">
        <v>11680.27</v>
      </c>
      <c r="D381" s="72">
        <v>31179</v>
      </c>
      <c r="E381" s="72">
        <v>45530.224999999999</v>
      </c>
      <c r="F381" s="72">
        <v>624158</v>
      </c>
      <c r="G381" s="72" t="s">
        <v>1293</v>
      </c>
      <c r="H381" s="72" t="s">
        <v>1141</v>
      </c>
    </row>
    <row r="382" spans="2:8" ht="14" x14ac:dyDescent="0.15">
      <c r="B382" s="72">
        <v>731</v>
      </c>
      <c r="C382" s="73">
        <v>13656.72</v>
      </c>
      <c r="D382" s="72">
        <v>31179</v>
      </c>
      <c r="E382" s="72">
        <v>45530.224999999999</v>
      </c>
      <c r="F382" s="72">
        <v>624158</v>
      </c>
      <c r="G382" s="72" t="s">
        <v>1293</v>
      </c>
      <c r="H382" s="72" t="s">
        <v>1141</v>
      </c>
    </row>
    <row r="383" spans="2:8" ht="14" x14ac:dyDescent="0.15">
      <c r="B383" s="72">
        <v>761</v>
      </c>
      <c r="C383" s="73">
        <v>10067.950000000001</v>
      </c>
      <c r="D383" s="72">
        <v>31179</v>
      </c>
      <c r="E383" s="72">
        <v>45530.224999999999</v>
      </c>
      <c r="F383" s="72">
        <v>624158</v>
      </c>
      <c r="G383" s="72" t="s">
        <v>1293</v>
      </c>
      <c r="H383" s="72" t="s">
        <v>1141</v>
      </c>
    </row>
    <row r="384" spans="2:8" ht="14" x14ac:dyDescent="0.15">
      <c r="B384" s="72">
        <v>211</v>
      </c>
      <c r="C384" s="73">
        <v>27065.9</v>
      </c>
      <c r="D384" s="72">
        <v>31179</v>
      </c>
      <c r="E384" s="72">
        <v>45530.224999999999</v>
      </c>
      <c r="F384" s="72">
        <v>624159</v>
      </c>
      <c r="G384" s="72" t="s">
        <v>1293</v>
      </c>
      <c r="H384" s="72" t="s">
        <v>1141</v>
      </c>
    </row>
    <row r="385" spans="2:8" ht="14" x14ac:dyDescent="0.15">
      <c r="B385" s="72">
        <v>213</v>
      </c>
      <c r="C385" s="73">
        <v>18562.5</v>
      </c>
      <c r="D385" s="72">
        <v>31179</v>
      </c>
      <c r="E385" s="72">
        <v>45530.224999999999</v>
      </c>
      <c r="F385" s="72">
        <v>624159</v>
      </c>
      <c r="G385" s="72" t="s">
        <v>1293</v>
      </c>
      <c r="H385" s="72" t="s">
        <v>1141</v>
      </c>
    </row>
    <row r="386" spans="2:8" ht="14" x14ac:dyDescent="0.15">
      <c r="B386" s="72">
        <v>231</v>
      </c>
      <c r="C386" s="73">
        <v>4019.75</v>
      </c>
      <c r="D386" s="72">
        <v>31179</v>
      </c>
      <c r="E386" s="72">
        <v>45530.224999999999</v>
      </c>
      <c r="F386" s="72">
        <v>624159</v>
      </c>
      <c r="G386" s="72" t="s">
        <v>1293</v>
      </c>
      <c r="H386" s="72" t="s">
        <v>1141</v>
      </c>
    </row>
    <row r="387" spans="2:8" ht="14" x14ac:dyDescent="0.15">
      <c r="B387" s="72">
        <v>421</v>
      </c>
      <c r="C387" s="73">
        <v>5119.5</v>
      </c>
      <c r="D387" s="72">
        <v>31179</v>
      </c>
      <c r="E387" s="72">
        <v>45530.224999999999</v>
      </c>
      <c r="F387" s="72">
        <v>624160</v>
      </c>
      <c r="G387" s="72" t="s">
        <v>1293</v>
      </c>
      <c r="H387" s="72" t="s">
        <v>1141</v>
      </c>
    </row>
    <row r="388" spans="2:8" ht="14" x14ac:dyDescent="0.15">
      <c r="B388" s="72">
        <v>431</v>
      </c>
      <c r="C388" s="73">
        <v>22273.61</v>
      </c>
      <c r="D388" s="72">
        <v>31179</v>
      </c>
      <c r="E388" s="72">
        <v>45530.224999999999</v>
      </c>
      <c r="F388" s="72">
        <v>624160</v>
      </c>
      <c r="G388" s="72" t="s">
        <v>1293</v>
      </c>
      <c r="H388" s="72" t="s">
        <v>1141</v>
      </c>
    </row>
    <row r="389" spans="2:8" ht="14" x14ac:dyDescent="0.15">
      <c r="B389" s="72">
        <v>441</v>
      </c>
      <c r="C389" s="73">
        <v>1148.7</v>
      </c>
      <c r="D389" s="72">
        <v>31179</v>
      </c>
      <c r="E389" s="72">
        <v>45530.224999999999</v>
      </c>
      <c r="F389" s="72">
        <v>624160</v>
      </c>
      <c r="G389" s="72" t="s">
        <v>1293</v>
      </c>
      <c r="H389" s="72" t="s">
        <v>1141</v>
      </c>
    </row>
    <row r="390" spans="2:8" ht="14" x14ac:dyDescent="0.15">
      <c r="B390" s="72">
        <v>443</v>
      </c>
      <c r="C390" s="73">
        <v>12655</v>
      </c>
      <c r="D390" s="72">
        <v>31179</v>
      </c>
      <c r="E390" s="72">
        <v>45530.224999999999</v>
      </c>
      <c r="F390" s="72">
        <v>624160</v>
      </c>
      <c r="G390" s="72" t="s">
        <v>1293</v>
      </c>
      <c r="H390" s="72" t="s">
        <v>1141</v>
      </c>
    </row>
    <row r="391" spans="2:8" ht="14" x14ac:dyDescent="0.15">
      <c r="B391" s="72" t="s">
        <v>161</v>
      </c>
      <c r="C391" s="72">
        <v>727.07</v>
      </c>
      <c r="D391" s="72">
        <v>31179</v>
      </c>
      <c r="E391" s="72">
        <v>45530.224999999999</v>
      </c>
      <c r="F391" s="72">
        <v>624160</v>
      </c>
      <c r="G391" s="72" t="s">
        <v>1293</v>
      </c>
      <c r="H391" s="72" t="s">
        <v>1141</v>
      </c>
    </row>
    <row r="392" spans="2:8" ht="14" x14ac:dyDescent="0.15">
      <c r="B392" s="72" t="s">
        <v>49</v>
      </c>
      <c r="C392" s="73">
        <v>9109.5</v>
      </c>
      <c r="D392" s="72">
        <v>31179</v>
      </c>
      <c r="E392" s="72">
        <v>45530.224999999999</v>
      </c>
      <c r="F392" s="72">
        <v>624160</v>
      </c>
      <c r="G392" s="72" t="s">
        <v>1293</v>
      </c>
      <c r="H392" s="72" t="s">
        <v>1141</v>
      </c>
    </row>
    <row r="393" spans="2:8" ht="14" x14ac:dyDescent="0.15">
      <c r="B393" s="72">
        <v>711</v>
      </c>
      <c r="C393" s="73">
        <v>12887.22</v>
      </c>
      <c r="D393" s="72">
        <v>31179</v>
      </c>
      <c r="E393" s="72">
        <v>45530.224999999999</v>
      </c>
      <c r="F393" s="72">
        <v>624161</v>
      </c>
      <c r="G393" s="72" t="s">
        <v>1293</v>
      </c>
      <c r="H393" s="72" t="s">
        <v>1141</v>
      </c>
    </row>
    <row r="394" spans="2:8" ht="14" x14ac:dyDescent="0.15">
      <c r="B394" s="72">
        <v>713</v>
      </c>
      <c r="C394" s="73">
        <v>30871.279999999999</v>
      </c>
      <c r="D394" s="72">
        <v>31179</v>
      </c>
      <c r="E394" s="72">
        <v>45530.224999999999</v>
      </c>
      <c r="F394" s="72">
        <v>624161</v>
      </c>
      <c r="G394" s="72" t="s">
        <v>1293</v>
      </c>
      <c r="H394" s="72" t="s">
        <v>1141</v>
      </c>
    </row>
    <row r="395" spans="2:8" ht="14" x14ac:dyDescent="0.15">
      <c r="B395" s="72" t="s">
        <v>49</v>
      </c>
      <c r="C395" s="72">
        <v>135.76</v>
      </c>
      <c r="D395" s="72">
        <v>31179</v>
      </c>
      <c r="E395" s="72">
        <v>45530.224999999999</v>
      </c>
      <c r="F395" s="72">
        <v>624161</v>
      </c>
      <c r="G395" s="72" t="s">
        <v>1293</v>
      </c>
      <c r="H395" s="72" t="s">
        <v>1141</v>
      </c>
    </row>
    <row r="396" spans="2:8" ht="14" x14ac:dyDescent="0.15">
      <c r="B396" s="72" t="s">
        <v>119</v>
      </c>
      <c r="C396" s="72">
        <v>24.85</v>
      </c>
      <c r="D396" s="72">
        <v>31179</v>
      </c>
      <c r="E396" s="72">
        <v>45530.224999999999</v>
      </c>
      <c r="F396" s="72">
        <v>624161</v>
      </c>
      <c r="G396" s="72" t="s">
        <v>1293</v>
      </c>
      <c r="H396" s="72" t="s">
        <v>1141</v>
      </c>
    </row>
    <row r="397" spans="2:8" ht="14" x14ac:dyDescent="0.15">
      <c r="B397" s="72" t="s">
        <v>120</v>
      </c>
      <c r="C397" s="72">
        <v>5.61</v>
      </c>
      <c r="D397" s="72">
        <v>31179</v>
      </c>
      <c r="E397" s="72">
        <v>45530.224999999999</v>
      </c>
      <c r="F397" s="72">
        <v>624161</v>
      </c>
      <c r="G397" s="72" t="s">
        <v>1293</v>
      </c>
      <c r="H397" s="72" t="s">
        <v>1141</v>
      </c>
    </row>
    <row r="398" spans="2:8" ht="14" x14ac:dyDescent="0.15">
      <c r="B398" s="72">
        <v>3</v>
      </c>
      <c r="C398" s="72">
        <v>131.28</v>
      </c>
      <c r="D398" s="72">
        <v>31179</v>
      </c>
      <c r="E398" s="72">
        <v>45530.224999999999</v>
      </c>
      <c r="F398" s="72">
        <v>624162</v>
      </c>
      <c r="G398" s="72" t="s">
        <v>1293</v>
      </c>
      <c r="H398" s="72" t="s">
        <v>1141</v>
      </c>
    </row>
    <row r="399" spans="2:8" ht="14" x14ac:dyDescent="0.15">
      <c r="B399" s="72">
        <v>733</v>
      </c>
      <c r="C399" s="72">
        <v>425.5</v>
      </c>
      <c r="D399" s="72">
        <v>31179</v>
      </c>
      <c r="E399" s="72">
        <v>45530.224999999999</v>
      </c>
      <c r="F399" s="72">
        <v>624162</v>
      </c>
      <c r="G399" s="72" t="s">
        <v>1293</v>
      </c>
      <c r="H399" s="72" t="s">
        <v>1141</v>
      </c>
    </row>
    <row r="400" spans="2:8" ht="14" x14ac:dyDescent="0.15">
      <c r="B400" s="72">
        <v>751</v>
      </c>
      <c r="C400" s="73">
        <v>11728.38</v>
      </c>
      <c r="D400" s="72">
        <v>31179</v>
      </c>
      <c r="E400" s="72">
        <v>45530.224999999999</v>
      </c>
      <c r="F400" s="72">
        <v>624162</v>
      </c>
      <c r="G400" s="72" t="s">
        <v>1293</v>
      </c>
      <c r="H400" s="72" t="s">
        <v>1141</v>
      </c>
    </row>
    <row r="401" spans="2:8" ht="14" x14ac:dyDescent="0.15">
      <c r="B401" s="72">
        <v>753</v>
      </c>
      <c r="C401" s="73">
        <v>51954.5</v>
      </c>
      <c r="D401" s="72">
        <v>31179</v>
      </c>
      <c r="E401" s="72">
        <v>45530.224999999999</v>
      </c>
      <c r="F401" s="72">
        <v>624162</v>
      </c>
      <c r="G401" s="72" t="s">
        <v>1293</v>
      </c>
      <c r="H401" s="72" t="s">
        <v>1141</v>
      </c>
    </row>
    <row r="402" spans="2:8" ht="14" x14ac:dyDescent="0.15">
      <c r="B402" s="72" t="s">
        <v>161</v>
      </c>
      <c r="C402" s="72">
        <v>834</v>
      </c>
      <c r="D402" s="72">
        <v>31179</v>
      </c>
      <c r="E402" s="72">
        <v>45530.224999999999</v>
      </c>
      <c r="F402" s="72">
        <v>624162</v>
      </c>
      <c r="G402" s="72" t="s">
        <v>1293</v>
      </c>
      <c r="H402" s="72" t="s">
        <v>1141</v>
      </c>
    </row>
    <row r="403" spans="2:8" ht="14" x14ac:dyDescent="0.15">
      <c r="B403" s="72" t="s">
        <v>49</v>
      </c>
      <c r="C403" s="72">
        <v>161.44999999999999</v>
      </c>
      <c r="D403" s="72">
        <v>31179</v>
      </c>
      <c r="E403" s="72">
        <v>45530.224999999999</v>
      </c>
      <c r="F403" s="72">
        <v>624162</v>
      </c>
      <c r="G403" s="72" t="s">
        <v>1293</v>
      </c>
      <c r="H403" s="72" t="s">
        <v>1141</v>
      </c>
    </row>
    <row r="404" spans="2:8" ht="14" x14ac:dyDescent="0.15">
      <c r="B404" s="72" t="s">
        <v>119</v>
      </c>
      <c r="C404" s="73">
        <v>366670.38</v>
      </c>
      <c r="D404" s="72">
        <v>31179</v>
      </c>
      <c r="E404" s="72">
        <v>45530.224999999999</v>
      </c>
      <c r="F404" s="72">
        <v>624162</v>
      </c>
      <c r="G404" s="72" t="s">
        <v>1293</v>
      </c>
      <c r="H404" s="72" t="s">
        <v>1141</v>
      </c>
    </row>
    <row r="405" spans="2:8" ht="14" x14ac:dyDescent="0.15">
      <c r="B405" s="72">
        <v>3</v>
      </c>
      <c r="C405" s="72">
        <v>919.23</v>
      </c>
      <c r="D405" s="72">
        <v>31179</v>
      </c>
      <c r="E405" s="72">
        <v>45530.224999999999</v>
      </c>
      <c r="F405" s="72">
        <v>624163</v>
      </c>
      <c r="G405" s="72" t="s">
        <v>1293</v>
      </c>
      <c r="H405" s="72" t="s">
        <v>1141</v>
      </c>
    </row>
    <row r="406" spans="2:8" ht="14" x14ac:dyDescent="0.15">
      <c r="B406" s="72">
        <v>723</v>
      </c>
      <c r="C406" s="73">
        <v>148358.84</v>
      </c>
      <c r="D406" s="72">
        <v>31179</v>
      </c>
      <c r="E406" s="72">
        <v>45530.224999999999</v>
      </c>
      <c r="F406" s="72">
        <v>624163</v>
      </c>
      <c r="G406" s="72" t="s">
        <v>1293</v>
      </c>
      <c r="H406" s="72" t="s">
        <v>1141</v>
      </c>
    </row>
    <row r="407" spans="2:8" ht="14" x14ac:dyDescent="0.15">
      <c r="B407" s="72">
        <v>733</v>
      </c>
      <c r="C407" s="73">
        <v>1442</v>
      </c>
      <c r="D407" s="72">
        <v>31179</v>
      </c>
      <c r="E407" s="72">
        <v>45530.224999999999</v>
      </c>
      <c r="F407" s="72">
        <v>624163</v>
      </c>
      <c r="G407" s="72" t="s">
        <v>1293</v>
      </c>
      <c r="H407" s="72" t="s">
        <v>1141</v>
      </c>
    </row>
    <row r="408" spans="2:8" ht="14" x14ac:dyDescent="0.15">
      <c r="B408" s="72" t="s">
        <v>161</v>
      </c>
      <c r="C408" s="73">
        <v>490887.38</v>
      </c>
      <c r="D408" s="72">
        <v>31179</v>
      </c>
      <c r="E408" s="72">
        <v>45530.224999999999</v>
      </c>
      <c r="F408" s="72">
        <v>624163</v>
      </c>
      <c r="G408" s="72" t="s">
        <v>1293</v>
      </c>
      <c r="H408" s="72" t="s">
        <v>1141</v>
      </c>
    </row>
    <row r="409" spans="2:8" ht="14" x14ac:dyDescent="0.15">
      <c r="B409" s="72" t="s">
        <v>49</v>
      </c>
      <c r="C409" s="73">
        <v>159416.92000000001</v>
      </c>
      <c r="D409" s="72">
        <v>31179</v>
      </c>
      <c r="E409" s="72">
        <v>45530.224999999999</v>
      </c>
      <c r="F409" s="72">
        <v>624163</v>
      </c>
      <c r="G409" s="72" t="s">
        <v>1293</v>
      </c>
      <c r="H409" s="72" t="s">
        <v>1141</v>
      </c>
    </row>
    <row r="410" spans="2:8" ht="14" x14ac:dyDescent="0.15">
      <c r="B410" s="72" t="s">
        <v>119</v>
      </c>
      <c r="C410" s="73">
        <v>15960</v>
      </c>
      <c r="D410" s="72">
        <v>31179</v>
      </c>
      <c r="E410" s="72">
        <v>45530.224999999999</v>
      </c>
      <c r="F410" s="72">
        <v>624163</v>
      </c>
      <c r="G410" s="72" t="s">
        <v>1293</v>
      </c>
      <c r="H410" s="72" t="s">
        <v>1141</v>
      </c>
    </row>
    <row r="411" spans="2:8" ht="14" x14ac:dyDescent="0.15">
      <c r="B411" s="72">
        <v>543</v>
      </c>
      <c r="C411" s="72">
        <v>48</v>
      </c>
      <c r="D411" s="72">
        <v>31179</v>
      </c>
      <c r="E411" s="72">
        <v>45530.224999999999</v>
      </c>
      <c r="F411" s="72">
        <v>624164</v>
      </c>
      <c r="G411" s="72" t="s">
        <v>1293</v>
      </c>
      <c r="H411" s="72" t="s">
        <v>1141</v>
      </c>
    </row>
    <row r="412" spans="2:8" ht="14" x14ac:dyDescent="0.15">
      <c r="B412" s="72">
        <v>731</v>
      </c>
      <c r="C412" s="73">
        <v>43756.17</v>
      </c>
      <c r="D412" s="72">
        <v>31179</v>
      </c>
      <c r="E412" s="72">
        <v>45530.224999999999</v>
      </c>
      <c r="F412" s="72">
        <v>624164</v>
      </c>
      <c r="G412" s="72" t="s">
        <v>1293</v>
      </c>
      <c r="H412" s="72" t="s">
        <v>1141</v>
      </c>
    </row>
    <row r="413" spans="2:8" ht="14" x14ac:dyDescent="0.15">
      <c r="B413" s="72">
        <v>733</v>
      </c>
      <c r="C413" s="73">
        <v>20457.09</v>
      </c>
      <c r="D413" s="72">
        <v>31179</v>
      </c>
      <c r="E413" s="72">
        <v>45530.224999999999</v>
      </c>
      <c r="F413" s="72">
        <v>624164</v>
      </c>
      <c r="G413" s="72" t="s">
        <v>1293</v>
      </c>
      <c r="H413" s="72" t="s">
        <v>1141</v>
      </c>
    </row>
    <row r="414" spans="2:8" ht="14" x14ac:dyDescent="0.15">
      <c r="B414" s="72" t="s">
        <v>49</v>
      </c>
      <c r="C414" s="73">
        <v>9172.74</v>
      </c>
      <c r="D414" s="72">
        <v>31179</v>
      </c>
      <c r="E414" s="72">
        <v>45530.224999999999</v>
      </c>
      <c r="F414" s="72">
        <v>624164</v>
      </c>
      <c r="G414" s="72" t="s">
        <v>1293</v>
      </c>
      <c r="H414" s="72" t="s">
        <v>1141</v>
      </c>
    </row>
    <row r="415" spans="2:8" ht="14" x14ac:dyDescent="0.15">
      <c r="B415" s="72" t="s">
        <v>119</v>
      </c>
      <c r="C415" s="72">
        <v>872.84</v>
      </c>
      <c r="D415" s="72">
        <v>31179</v>
      </c>
      <c r="E415" s="72">
        <v>45530.224999999999</v>
      </c>
      <c r="F415" s="72">
        <v>624164</v>
      </c>
      <c r="G415" s="72" t="s">
        <v>1293</v>
      </c>
      <c r="H415" s="72" t="s">
        <v>1141</v>
      </c>
    </row>
    <row r="416" spans="2:8" ht="14" x14ac:dyDescent="0.15">
      <c r="B416" s="72" t="s">
        <v>120</v>
      </c>
      <c r="C416" s="72">
        <v>63.26</v>
      </c>
      <c r="D416" s="72">
        <v>31179</v>
      </c>
      <c r="E416" s="72">
        <v>45530.224999999999</v>
      </c>
      <c r="F416" s="72">
        <v>624164</v>
      </c>
      <c r="G416" s="72" t="s">
        <v>1293</v>
      </c>
      <c r="H416" s="72" t="s">
        <v>1141</v>
      </c>
    </row>
    <row r="417" spans="2:8" ht="14" x14ac:dyDescent="0.15">
      <c r="B417" s="72" t="s">
        <v>49</v>
      </c>
      <c r="C417" s="73">
        <v>1454376.34</v>
      </c>
      <c r="D417" s="72">
        <v>31179</v>
      </c>
      <c r="E417" s="72">
        <v>45530.224999999999</v>
      </c>
      <c r="F417" s="72">
        <v>624165</v>
      </c>
      <c r="G417" s="72" t="s">
        <v>1293</v>
      </c>
      <c r="H417" s="72" t="s">
        <v>1141</v>
      </c>
    </row>
    <row r="418" spans="2:8" ht="14" x14ac:dyDescent="0.15">
      <c r="B418" s="72" t="s">
        <v>120</v>
      </c>
      <c r="C418" s="73">
        <v>147687.37</v>
      </c>
      <c r="D418" s="72">
        <v>31179</v>
      </c>
      <c r="E418" s="72">
        <v>45530.224999999999</v>
      </c>
      <c r="F418" s="72">
        <v>624165</v>
      </c>
      <c r="G418" s="72" t="s">
        <v>1293</v>
      </c>
      <c r="H418" s="72" t="s">
        <v>1141</v>
      </c>
    </row>
    <row r="419" spans="2:8" ht="14" x14ac:dyDescent="0.15">
      <c r="B419" s="72">
        <v>521</v>
      </c>
      <c r="C419" s="73">
        <v>4098.6400000000003</v>
      </c>
      <c r="D419" s="72">
        <v>31179</v>
      </c>
      <c r="E419" s="72">
        <v>45530.224999999999</v>
      </c>
      <c r="F419" s="72">
        <v>624294</v>
      </c>
      <c r="G419" s="72" t="s">
        <v>1293</v>
      </c>
      <c r="H419" s="72" t="s">
        <v>1141</v>
      </c>
    </row>
    <row r="420" spans="2:8" ht="14" x14ac:dyDescent="0.15">
      <c r="B420" s="72">
        <v>523</v>
      </c>
      <c r="C420" s="73">
        <v>5510.5</v>
      </c>
      <c r="D420" s="72">
        <v>31179</v>
      </c>
      <c r="E420" s="72">
        <v>45530.224999999999</v>
      </c>
      <c r="F420" s="72">
        <v>624294</v>
      </c>
      <c r="G420" s="72" t="s">
        <v>1293</v>
      </c>
      <c r="H420" s="72" t="s">
        <v>1141</v>
      </c>
    </row>
    <row r="421" spans="2:8" ht="14" x14ac:dyDescent="0.15">
      <c r="B421" s="72">
        <v>533</v>
      </c>
      <c r="C421" s="73">
        <v>38150.5</v>
      </c>
      <c r="D421" s="72">
        <v>31179</v>
      </c>
      <c r="E421" s="72">
        <v>45530.224999999999</v>
      </c>
      <c r="F421" s="72">
        <v>624294</v>
      </c>
      <c r="G421" s="72" t="s">
        <v>1293</v>
      </c>
      <c r="H421" s="72" t="s">
        <v>1141</v>
      </c>
    </row>
    <row r="422" spans="2:8" ht="14" x14ac:dyDescent="0.15">
      <c r="B422" s="72">
        <v>543</v>
      </c>
      <c r="C422" s="73">
        <v>18109.7</v>
      </c>
      <c r="D422" s="72">
        <v>31179</v>
      </c>
      <c r="E422" s="72">
        <v>45530.224999999999</v>
      </c>
      <c r="F422" s="72">
        <v>624294</v>
      </c>
      <c r="G422" s="72" t="s">
        <v>1293</v>
      </c>
      <c r="H422" s="72" t="s">
        <v>1141</v>
      </c>
    </row>
    <row r="423" spans="2:8" ht="14" x14ac:dyDescent="0.15">
      <c r="B423" s="72" t="s">
        <v>112</v>
      </c>
      <c r="C423" s="73">
        <v>12240</v>
      </c>
      <c r="D423" s="72">
        <v>31179</v>
      </c>
      <c r="E423" s="72">
        <v>45530.224999999999</v>
      </c>
      <c r="F423" s="72">
        <v>624294</v>
      </c>
      <c r="G423" s="72" t="s">
        <v>1293</v>
      </c>
      <c r="H423" s="72" t="s">
        <v>1141</v>
      </c>
    </row>
    <row r="424" spans="2:8" ht="14" x14ac:dyDescent="0.15">
      <c r="B424" s="72" t="s">
        <v>113</v>
      </c>
      <c r="C424" s="73">
        <v>19374</v>
      </c>
      <c r="D424" s="72">
        <v>31179</v>
      </c>
      <c r="E424" s="72">
        <v>45530.224999999999</v>
      </c>
      <c r="F424" s="72">
        <v>624294</v>
      </c>
      <c r="G424" s="72" t="s">
        <v>1293</v>
      </c>
      <c r="H424" s="72" t="s">
        <v>1141</v>
      </c>
    </row>
    <row r="425" spans="2:8" ht="14" x14ac:dyDescent="0.15">
      <c r="B425" s="72" t="s">
        <v>120</v>
      </c>
      <c r="C425" s="73">
        <v>2289.09</v>
      </c>
      <c r="D425" s="72">
        <v>31179</v>
      </c>
      <c r="E425" s="72">
        <v>45530.224999999999</v>
      </c>
      <c r="F425" s="72">
        <v>624294</v>
      </c>
      <c r="G425" s="72" t="s">
        <v>1293</v>
      </c>
      <c r="H425" s="72" t="s">
        <v>1141</v>
      </c>
    </row>
    <row r="426" spans="2:8" ht="14" x14ac:dyDescent="0.15">
      <c r="B426" s="72">
        <v>521</v>
      </c>
      <c r="C426" s="73">
        <v>3378</v>
      </c>
      <c r="D426" s="72">
        <v>31179</v>
      </c>
      <c r="E426" s="72">
        <v>45530.224999999999</v>
      </c>
      <c r="F426" s="72">
        <v>624295</v>
      </c>
      <c r="G426" s="72" t="s">
        <v>1293</v>
      </c>
      <c r="H426" s="72" t="s">
        <v>1141</v>
      </c>
    </row>
    <row r="427" spans="2:8" ht="14" x14ac:dyDescent="0.15">
      <c r="B427" s="72">
        <v>523</v>
      </c>
      <c r="C427" s="73">
        <v>22958</v>
      </c>
      <c r="D427" s="72">
        <v>31179</v>
      </c>
      <c r="E427" s="72">
        <v>45530.224999999999</v>
      </c>
      <c r="F427" s="72">
        <v>624295</v>
      </c>
      <c r="G427" s="72" t="s">
        <v>1293</v>
      </c>
      <c r="H427" s="72" t="s">
        <v>1141</v>
      </c>
    </row>
    <row r="428" spans="2:8" ht="14" x14ac:dyDescent="0.15">
      <c r="B428" s="72">
        <v>531</v>
      </c>
      <c r="C428" s="72">
        <v>415.5</v>
      </c>
      <c r="D428" s="72">
        <v>31179</v>
      </c>
      <c r="E428" s="72">
        <v>45530.224999999999</v>
      </c>
      <c r="F428" s="72">
        <v>624295</v>
      </c>
      <c r="G428" s="72" t="s">
        <v>1293</v>
      </c>
      <c r="H428" s="72" t="s">
        <v>1141</v>
      </c>
    </row>
    <row r="429" spans="2:8" ht="14" x14ac:dyDescent="0.15">
      <c r="B429" s="72">
        <v>533</v>
      </c>
      <c r="C429" s="73">
        <v>15200</v>
      </c>
      <c r="D429" s="72">
        <v>31179</v>
      </c>
      <c r="E429" s="72">
        <v>45530.224999999999</v>
      </c>
      <c r="F429" s="72">
        <v>624295</v>
      </c>
      <c r="G429" s="72" t="s">
        <v>1293</v>
      </c>
      <c r="H429" s="72" t="s">
        <v>1141</v>
      </c>
    </row>
    <row r="430" spans="2:8" ht="14" x14ac:dyDescent="0.15">
      <c r="B430" s="72">
        <v>543</v>
      </c>
      <c r="C430" s="73">
        <v>18649.240000000002</v>
      </c>
      <c r="D430" s="72">
        <v>31179</v>
      </c>
      <c r="E430" s="72">
        <v>45530.224999999999</v>
      </c>
      <c r="F430" s="72">
        <v>624295</v>
      </c>
      <c r="G430" s="72" t="s">
        <v>1293</v>
      </c>
      <c r="H430" s="72" t="s">
        <v>1141</v>
      </c>
    </row>
    <row r="431" spans="2:8" ht="14" x14ac:dyDescent="0.15">
      <c r="B431" s="72" t="s">
        <v>120</v>
      </c>
      <c r="C431" s="73">
        <v>1799.08</v>
      </c>
      <c r="D431" s="72">
        <v>31179</v>
      </c>
      <c r="E431" s="72">
        <v>45530.224999999999</v>
      </c>
      <c r="F431" s="72">
        <v>624295</v>
      </c>
      <c r="G431" s="72" t="s">
        <v>1293</v>
      </c>
      <c r="H431" s="72" t="s">
        <v>1141</v>
      </c>
    </row>
    <row r="432" spans="2:8" ht="14" x14ac:dyDescent="0.15">
      <c r="B432" s="72">
        <v>221</v>
      </c>
      <c r="C432" s="73">
        <v>1270.7</v>
      </c>
      <c r="D432" s="72">
        <v>31179</v>
      </c>
      <c r="E432" s="72">
        <v>45530.224999999999</v>
      </c>
      <c r="F432" s="72">
        <v>634186</v>
      </c>
      <c r="G432" s="72" t="s">
        <v>1293</v>
      </c>
      <c r="H432" s="72" t="s">
        <v>1141</v>
      </c>
    </row>
    <row r="433" spans="2:8" ht="14" x14ac:dyDescent="0.15">
      <c r="B433" s="72">
        <v>223</v>
      </c>
      <c r="C433" s="73">
        <v>54195.7</v>
      </c>
      <c r="D433" s="72">
        <v>31179</v>
      </c>
      <c r="E433" s="72">
        <v>45530.224999999999</v>
      </c>
      <c r="F433" s="72">
        <v>634186</v>
      </c>
      <c r="G433" s="72" t="s">
        <v>1293</v>
      </c>
      <c r="H433" s="72" t="s">
        <v>1141</v>
      </c>
    </row>
    <row r="434" spans="2:8" ht="14" x14ac:dyDescent="0.15">
      <c r="B434" s="72">
        <v>241</v>
      </c>
      <c r="C434" s="73">
        <v>5449.23</v>
      </c>
      <c r="D434" s="72">
        <v>31179</v>
      </c>
      <c r="E434" s="72">
        <v>45530.224999999999</v>
      </c>
      <c r="F434" s="72">
        <v>634186</v>
      </c>
      <c r="G434" s="72" t="s">
        <v>1293</v>
      </c>
      <c r="H434" s="72" t="s">
        <v>1141</v>
      </c>
    </row>
    <row r="435" spans="2:8" ht="14" x14ac:dyDescent="0.15">
      <c r="B435" s="72">
        <v>243</v>
      </c>
      <c r="C435" s="73">
        <v>18620</v>
      </c>
      <c r="D435" s="72">
        <v>31179</v>
      </c>
      <c r="E435" s="72">
        <v>45530.224999999999</v>
      </c>
      <c r="F435" s="72">
        <v>634186</v>
      </c>
      <c r="G435" s="72" t="s">
        <v>1293</v>
      </c>
      <c r="H435" s="72" t="s">
        <v>1141</v>
      </c>
    </row>
    <row r="436" spans="2:8" ht="14" x14ac:dyDescent="0.15">
      <c r="B436" s="72">
        <v>311</v>
      </c>
      <c r="C436" s="73">
        <v>1229.44</v>
      </c>
      <c r="D436" s="72">
        <v>31179</v>
      </c>
      <c r="E436" s="72">
        <v>45530.224999999999</v>
      </c>
      <c r="F436" s="72">
        <v>634187</v>
      </c>
      <c r="G436" s="72" t="s">
        <v>1293</v>
      </c>
      <c r="H436" s="72" t="s">
        <v>1141</v>
      </c>
    </row>
    <row r="437" spans="2:8" ht="14" x14ac:dyDescent="0.15">
      <c r="B437" s="72">
        <v>313</v>
      </c>
      <c r="C437" s="73">
        <v>29570</v>
      </c>
      <c r="D437" s="72">
        <v>31179</v>
      </c>
      <c r="E437" s="72">
        <v>45530.224999999999</v>
      </c>
      <c r="F437" s="72">
        <v>634187</v>
      </c>
      <c r="G437" s="72" t="s">
        <v>1293</v>
      </c>
      <c r="H437" s="72" t="s">
        <v>1141</v>
      </c>
    </row>
    <row r="438" spans="2:8" ht="14" x14ac:dyDescent="0.15">
      <c r="B438" s="72">
        <v>1</v>
      </c>
      <c r="C438" s="72">
        <v>270.81</v>
      </c>
      <c r="D438" s="72">
        <v>31179</v>
      </c>
      <c r="E438" s="72">
        <v>45530.224999999999</v>
      </c>
      <c r="F438" s="72">
        <v>634188</v>
      </c>
      <c r="G438" s="72" t="s">
        <v>1293</v>
      </c>
      <c r="H438" s="72" t="s">
        <v>1141</v>
      </c>
    </row>
    <row r="439" spans="2:8" ht="14" x14ac:dyDescent="0.15">
      <c r="B439" s="72">
        <v>3</v>
      </c>
      <c r="C439" s="73">
        <v>1964.27</v>
      </c>
      <c r="D439" s="72">
        <v>31179</v>
      </c>
      <c r="E439" s="72">
        <v>45530.224999999999</v>
      </c>
      <c r="F439" s="72">
        <v>634188</v>
      </c>
      <c r="G439" s="72" t="s">
        <v>1293</v>
      </c>
      <c r="H439" s="72" t="s">
        <v>1141</v>
      </c>
    </row>
    <row r="440" spans="2:8" ht="14" x14ac:dyDescent="0.15">
      <c r="B440" s="72">
        <v>543</v>
      </c>
      <c r="C440" s="72">
        <v>793</v>
      </c>
      <c r="D440" s="72">
        <v>31179</v>
      </c>
      <c r="E440" s="72">
        <v>45530.224999999999</v>
      </c>
      <c r="F440" s="72">
        <v>634188</v>
      </c>
      <c r="G440" s="72" t="s">
        <v>1293</v>
      </c>
      <c r="H440" s="72" t="s">
        <v>1141</v>
      </c>
    </row>
    <row r="441" spans="2:8" ht="14" x14ac:dyDescent="0.15">
      <c r="B441" s="72">
        <v>731</v>
      </c>
      <c r="C441" s="73">
        <v>32043.89</v>
      </c>
      <c r="D441" s="72">
        <v>31179</v>
      </c>
      <c r="E441" s="72">
        <v>45530.224999999999</v>
      </c>
      <c r="F441" s="72">
        <v>634188</v>
      </c>
      <c r="G441" s="72" t="s">
        <v>1293</v>
      </c>
      <c r="H441" s="72" t="s">
        <v>1141</v>
      </c>
    </row>
    <row r="442" spans="2:8" ht="14" x14ac:dyDescent="0.15">
      <c r="B442" s="72">
        <v>733</v>
      </c>
      <c r="C442" s="73">
        <v>26729.85</v>
      </c>
      <c r="D442" s="72">
        <v>31179</v>
      </c>
      <c r="E442" s="72">
        <v>45530.224999999999</v>
      </c>
      <c r="F442" s="72">
        <v>634188</v>
      </c>
      <c r="G442" s="72" t="s">
        <v>1293</v>
      </c>
      <c r="H442" s="72" t="s">
        <v>1141</v>
      </c>
    </row>
    <row r="443" spans="2:8" ht="14" x14ac:dyDescent="0.15">
      <c r="B443" s="72">
        <v>761</v>
      </c>
      <c r="C443" s="73">
        <v>19820.169999999998</v>
      </c>
      <c r="D443" s="72">
        <v>31179</v>
      </c>
      <c r="E443" s="72">
        <v>45530.224999999999</v>
      </c>
      <c r="F443" s="72">
        <v>634188</v>
      </c>
      <c r="G443" s="72" t="s">
        <v>1293</v>
      </c>
      <c r="H443" s="72" t="s">
        <v>1141</v>
      </c>
    </row>
    <row r="444" spans="2:8" ht="14" x14ac:dyDescent="0.15">
      <c r="B444" s="72">
        <v>763</v>
      </c>
      <c r="C444" s="73">
        <v>67589.600000000006</v>
      </c>
      <c r="D444" s="72">
        <v>31179</v>
      </c>
      <c r="E444" s="72">
        <v>45530.224999999999</v>
      </c>
      <c r="F444" s="72">
        <v>634188</v>
      </c>
      <c r="G444" s="72" t="s">
        <v>1293</v>
      </c>
      <c r="H444" s="72" t="s">
        <v>1141</v>
      </c>
    </row>
    <row r="445" spans="2:8" ht="14" x14ac:dyDescent="0.15">
      <c r="B445" s="72" t="s">
        <v>161</v>
      </c>
      <c r="C445" s="73">
        <v>1702.57</v>
      </c>
      <c r="D445" s="72">
        <v>31179</v>
      </c>
      <c r="E445" s="72">
        <v>45530.224999999999</v>
      </c>
      <c r="F445" s="72">
        <v>634188</v>
      </c>
      <c r="G445" s="72" t="s">
        <v>1293</v>
      </c>
      <c r="H445" s="72" t="s">
        <v>1141</v>
      </c>
    </row>
    <row r="446" spans="2:8" ht="14" x14ac:dyDescent="0.15">
      <c r="B446" s="72" t="s">
        <v>49</v>
      </c>
      <c r="C446" s="73">
        <v>97266.52</v>
      </c>
      <c r="D446" s="72">
        <v>31179</v>
      </c>
      <c r="E446" s="72">
        <v>45530.224999999999</v>
      </c>
      <c r="F446" s="72">
        <v>634188</v>
      </c>
      <c r="G446" s="72" t="s">
        <v>1293</v>
      </c>
      <c r="H446" s="72" t="s">
        <v>1141</v>
      </c>
    </row>
    <row r="447" spans="2:8" ht="14" x14ac:dyDescent="0.15">
      <c r="B447" s="72" t="s">
        <v>119</v>
      </c>
      <c r="C447" s="73">
        <v>469525.42</v>
      </c>
      <c r="D447" s="72">
        <v>31179</v>
      </c>
      <c r="E447" s="72">
        <v>45530.224999999999</v>
      </c>
      <c r="F447" s="72">
        <v>634188</v>
      </c>
      <c r="G447" s="72" t="s">
        <v>1293</v>
      </c>
      <c r="H447" s="72" t="s">
        <v>1141</v>
      </c>
    </row>
    <row r="448" spans="2:8" ht="14" x14ac:dyDescent="0.15">
      <c r="B448" s="72" t="s">
        <v>120</v>
      </c>
      <c r="C448" s="73">
        <v>167879.34</v>
      </c>
      <c r="D448" s="72">
        <v>31179</v>
      </c>
      <c r="E448" s="72">
        <v>45530.224999999999</v>
      </c>
      <c r="F448" s="72">
        <v>634188</v>
      </c>
      <c r="G448" s="72" t="s">
        <v>1293</v>
      </c>
      <c r="H448" s="72" t="s">
        <v>1141</v>
      </c>
    </row>
    <row r="449" spans="2:8" ht="14" x14ac:dyDescent="0.15">
      <c r="B449" s="72">
        <v>463</v>
      </c>
      <c r="C449" s="73">
        <v>7900</v>
      </c>
      <c r="D449" s="72">
        <v>31179</v>
      </c>
      <c r="E449" s="72">
        <v>45530.224999999999</v>
      </c>
      <c r="F449" s="72">
        <v>634189</v>
      </c>
      <c r="G449" s="72" t="s">
        <v>1293</v>
      </c>
      <c r="H449" s="72" t="s">
        <v>1141</v>
      </c>
    </row>
    <row r="450" spans="2:8" ht="14" x14ac:dyDescent="0.15">
      <c r="B450" s="72">
        <v>473</v>
      </c>
      <c r="C450" s="73">
        <v>9000</v>
      </c>
      <c r="D450" s="72">
        <v>31179</v>
      </c>
      <c r="E450" s="72">
        <v>45530.224999999999</v>
      </c>
      <c r="F450" s="72">
        <v>634189</v>
      </c>
      <c r="G450" s="72" t="s">
        <v>1293</v>
      </c>
      <c r="H450" s="72" t="s">
        <v>1141</v>
      </c>
    </row>
    <row r="451" spans="2:8" ht="14" x14ac:dyDescent="0.15">
      <c r="B451" s="72">
        <v>523</v>
      </c>
      <c r="C451" s="73">
        <v>5072</v>
      </c>
      <c r="D451" s="72">
        <v>31179</v>
      </c>
      <c r="E451" s="72">
        <v>45530.224999999999</v>
      </c>
      <c r="F451" s="72">
        <v>634189</v>
      </c>
      <c r="G451" s="72" t="s">
        <v>1293</v>
      </c>
      <c r="H451" s="72" t="s">
        <v>1141</v>
      </c>
    </row>
    <row r="452" spans="2:8" ht="14" x14ac:dyDescent="0.15">
      <c r="B452" s="72">
        <v>541</v>
      </c>
      <c r="C452" s="73">
        <v>48056.160000000003</v>
      </c>
      <c r="D452" s="72">
        <v>31179</v>
      </c>
      <c r="E452" s="72">
        <v>45530.224999999999</v>
      </c>
      <c r="F452" s="72">
        <v>634189</v>
      </c>
      <c r="G452" s="72" t="s">
        <v>1293</v>
      </c>
      <c r="H452" s="72" t="s">
        <v>1141</v>
      </c>
    </row>
    <row r="453" spans="2:8" ht="14" x14ac:dyDescent="0.15">
      <c r="B453" s="72">
        <v>543</v>
      </c>
      <c r="C453" s="73">
        <v>2161.5</v>
      </c>
      <c r="D453" s="72">
        <v>31179</v>
      </c>
      <c r="E453" s="72">
        <v>45530.224999999999</v>
      </c>
      <c r="F453" s="72">
        <v>634189</v>
      </c>
      <c r="G453" s="72" t="s">
        <v>1293</v>
      </c>
      <c r="H453" s="72" t="s">
        <v>1141</v>
      </c>
    </row>
    <row r="454" spans="2:8" ht="14" x14ac:dyDescent="0.15">
      <c r="B454" s="72">
        <v>563</v>
      </c>
      <c r="C454" s="73">
        <v>73060</v>
      </c>
      <c r="D454" s="72">
        <v>31179</v>
      </c>
      <c r="E454" s="72">
        <v>45530.224999999999</v>
      </c>
      <c r="F454" s="72">
        <v>634189</v>
      </c>
      <c r="G454" s="72" t="s">
        <v>1293</v>
      </c>
      <c r="H454" s="72" t="s">
        <v>1141</v>
      </c>
    </row>
    <row r="455" spans="2:8" ht="14" x14ac:dyDescent="0.15">
      <c r="B455" s="72">
        <v>573</v>
      </c>
      <c r="C455" s="73">
        <v>78256.5</v>
      </c>
      <c r="D455" s="72">
        <v>31179</v>
      </c>
      <c r="E455" s="72">
        <v>45530.224999999999</v>
      </c>
      <c r="F455" s="72">
        <v>634189</v>
      </c>
      <c r="G455" s="72" t="s">
        <v>1293</v>
      </c>
      <c r="H455" s="72" t="s">
        <v>1141</v>
      </c>
    </row>
    <row r="456" spans="2:8" ht="14" x14ac:dyDescent="0.15">
      <c r="B456" s="72">
        <v>761</v>
      </c>
      <c r="C456" s="73">
        <v>3927.2</v>
      </c>
      <c r="D456" s="72">
        <v>31179</v>
      </c>
      <c r="E456" s="72">
        <v>45530.224999999999</v>
      </c>
      <c r="F456" s="72">
        <v>634189</v>
      </c>
      <c r="G456" s="72" t="s">
        <v>1293</v>
      </c>
      <c r="H456" s="72" t="s">
        <v>1141</v>
      </c>
    </row>
    <row r="457" spans="2:8" ht="14" x14ac:dyDescent="0.15">
      <c r="B457" s="72">
        <v>763</v>
      </c>
      <c r="C457" s="73">
        <v>12883.75</v>
      </c>
      <c r="D457" s="72">
        <v>31179</v>
      </c>
      <c r="E457" s="72">
        <v>45530.224999999999</v>
      </c>
      <c r="F457" s="72">
        <v>634189</v>
      </c>
      <c r="G457" s="72" t="s">
        <v>1293</v>
      </c>
      <c r="H457" s="72" t="s">
        <v>1141</v>
      </c>
    </row>
    <row r="458" spans="2:8" ht="14" x14ac:dyDescent="0.15">
      <c r="B458" s="72" t="s">
        <v>49</v>
      </c>
      <c r="C458" s="72">
        <v>766.35</v>
      </c>
      <c r="D458" s="72">
        <v>31179</v>
      </c>
      <c r="E458" s="72">
        <v>45530.224999999999</v>
      </c>
      <c r="F458" s="72">
        <v>634189</v>
      </c>
      <c r="G458" s="72" t="s">
        <v>1293</v>
      </c>
      <c r="H458" s="72" t="s">
        <v>1141</v>
      </c>
    </row>
    <row r="459" spans="2:8" ht="14" x14ac:dyDescent="0.15">
      <c r="B459" s="72" t="s">
        <v>119</v>
      </c>
      <c r="C459" s="73">
        <v>1120</v>
      </c>
      <c r="D459" s="72">
        <v>31179</v>
      </c>
      <c r="E459" s="72">
        <v>45530.224999999999</v>
      </c>
      <c r="F459" s="72">
        <v>634189</v>
      </c>
      <c r="G459" s="72" t="s">
        <v>1293</v>
      </c>
      <c r="H459" s="72" t="s">
        <v>1141</v>
      </c>
    </row>
    <row r="460" spans="2:8" ht="14" x14ac:dyDescent="0.15">
      <c r="B460" s="72">
        <v>3</v>
      </c>
      <c r="C460" s="72">
        <v>45.24</v>
      </c>
      <c r="D460" s="72">
        <v>31179</v>
      </c>
      <c r="E460" s="72">
        <v>45530.224999999999</v>
      </c>
      <c r="F460" s="72">
        <v>634190</v>
      </c>
      <c r="G460" s="72" t="s">
        <v>1293</v>
      </c>
      <c r="H460" s="72" t="s">
        <v>1141</v>
      </c>
    </row>
    <row r="461" spans="2:8" ht="14" x14ac:dyDescent="0.15">
      <c r="B461" s="72">
        <v>521</v>
      </c>
      <c r="C461" s="73">
        <v>34663.89</v>
      </c>
      <c r="D461" s="72">
        <v>31179</v>
      </c>
      <c r="E461" s="72">
        <v>45530.224999999999</v>
      </c>
      <c r="F461" s="72">
        <v>634190</v>
      </c>
      <c r="G461" s="72" t="s">
        <v>1293</v>
      </c>
      <c r="H461" s="72" t="s">
        <v>1141</v>
      </c>
    </row>
    <row r="462" spans="2:8" ht="14" x14ac:dyDescent="0.15">
      <c r="B462" s="72">
        <v>523</v>
      </c>
      <c r="C462" s="73">
        <v>254792.5</v>
      </c>
      <c r="D462" s="72">
        <v>31179</v>
      </c>
      <c r="E462" s="72">
        <v>45530.224999999999</v>
      </c>
      <c r="F462" s="72">
        <v>634190</v>
      </c>
      <c r="G462" s="72" t="s">
        <v>1293</v>
      </c>
      <c r="H462" s="72" t="s">
        <v>1141</v>
      </c>
    </row>
    <row r="463" spans="2:8" ht="14" x14ac:dyDescent="0.15">
      <c r="B463" s="72">
        <v>533</v>
      </c>
      <c r="C463" s="73">
        <v>244349.5</v>
      </c>
      <c r="D463" s="72">
        <v>31179</v>
      </c>
      <c r="E463" s="72">
        <v>45530.224999999999</v>
      </c>
      <c r="F463" s="72">
        <v>634190</v>
      </c>
      <c r="G463" s="72" t="s">
        <v>1293</v>
      </c>
      <c r="H463" s="72" t="s">
        <v>1141</v>
      </c>
    </row>
    <row r="464" spans="2:8" ht="14" x14ac:dyDescent="0.15">
      <c r="B464" s="72">
        <v>541</v>
      </c>
      <c r="C464" s="73">
        <v>21695.17</v>
      </c>
      <c r="D464" s="72">
        <v>31179</v>
      </c>
      <c r="E464" s="72">
        <v>45530.224999999999</v>
      </c>
      <c r="F464" s="72">
        <v>634190</v>
      </c>
      <c r="G464" s="72" t="s">
        <v>1293</v>
      </c>
      <c r="H464" s="72" t="s">
        <v>1141</v>
      </c>
    </row>
    <row r="465" spans="2:8" ht="14" x14ac:dyDescent="0.15">
      <c r="B465" s="72">
        <v>543</v>
      </c>
      <c r="C465" s="73">
        <v>47914.69</v>
      </c>
      <c r="D465" s="72">
        <v>31179</v>
      </c>
      <c r="E465" s="72">
        <v>45530.224999999999</v>
      </c>
      <c r="F465" s="72">
        <v>634190</v>
      </c>
      <c r="G465" s="72" t="s">
        <v>1293</v>
      </c>
      <c r="H465" s="72" t="s">
        <v>1141</v>
      </c>
    </row>
    <row r="466" spans="2:8" ht="14" x14ac:dyDescent="0.15">
      <c r="B466" s="72">
        <v>743</v>
      </c>
      <c r="C466" s="73">
        <v>4635.6899999999996</v>
      </c>
      <c r="D466" s="72">
        <v>31179</v>
      </c>
      <c r="E466" s="72">
        <v>45530.224999999999</v>
      </c>
      <c r="F466" s="72">
        <v>634190</v>
      </c>
      <c r="G466" s="72" t="s">
        <v>1293</v>
      </c>
      <c r="H466" s="72" t="s">
        <v>1141</v>
      </c>
    </row>
    <row r="467" spans="2:8" ht="14" x14ac:dyDescent="0.15">
      <c r="B467" s="72">
        <v>763</v>
      </c>
      <c r="C467" s="73">
        <v>96934.44</v>
      </c>
      <c r="D467" s="72">
        <v>31179</v>
      </c>
      <c r="E467" s="72">
        <v>45530.224999999999</v>
      </c>
      <c r="F467" s="72">
        <v>634190</v>
      </c>
      <c r="G467" s="72" t="s">
        <v>1293</v>
      </c>
      <c r="H467" s="72" t="s">
        <v>1141</v>
      </c>
    </row>
    <row r="468" spans="2:8" ht="14" x14ac:dyDescent="0.15">
      <c r="B468" s="72" t="s">
        <v>49</v>
      </c>
      <c r="C468" s="72">
        <v>484.95</v>
      </c>
      <c r="D468" s="72">
        <v>31179</v>
      </c>
      <c r="E468" s="72">
        <v>45530.224999999999</v>
      </c>
      <c r="F468" s="72">
        <v>634190</v>
      </c>
      <c r="G468" s="72" t="s">
        <v>1293</v>
      </c>
      <c r="H468" s="72" t="s">
        <v>1141</v>
      </c>
    </row>
    <row r="469" spans="2:8" ht="14" x14ac:dyDescent="0.15">
      <c r="B469" s="72" t="s">
        <v>120</v>
      </c>
      <c r="C469" s="72">
        <v>37.14</v>
      </c>
      <c r="D469" s="72">
        <v>31179</v>
      </c>
      <c r="E469" s="72">
        <v>45530.224999999999</v>
      </c>
      <c r="F469" s="72">
        <v>634190</v>
      </c>
      <c r="G469" s="72" t="s">
        <v>1293</v>
      </c>
      <c r="H469" s="72" t="s">
        <v>1141</v>
      </c>
    </row>
    <row r="470" spans="2:8" ht="14" x14ac:dyDescent="0.15">
      <c r="B470" s="72">
        <v>711</v>
      </c>
      <c r="C470" s="73">
        <v>29454.43</v>
      </c>
      <c r="D470" s="72">
        <v>31179</v>
      </c>
      <c r="E470" s="72">
        <v>45530.224999999999</v>
      </c>
      <c r="F470" s="72">
        <v>634191</v>
      </c>
      <c r="G470" s="72" t="s">
        <v>1293</v>
      </c>
      <c r="H470" s="72" t="s">
        <v>1141</v>
      </c>
    </row>
    <row r="471" spans="2:8" ht="14" x14ac:dyDescent="0.15">
      <c r="B471" s="72">
        <v>713</v>
      </c>
      <c r="C471" s="73">
        <v>116618.4</v>
      </c>
      <c r="D471" s="72">
        <v>31179</v>
      </c>
      <c r="E471" s="72">
        <v>45530.224999999999</v>
      </c>
      <c r="F471" s="72">
        <v>634191</v>
      </c>
      <c r="G471" s="72" t="s">
        <v>1293</v>
      </c>
      <c r="H471" s="72" t="s">
        <v>1141</v>
      </c>
    </row>
    <row r="472" spans="2:8" ht="14" x14ac:dyDescent="0.15">
      <c r="B472" s="72" t="s">
        <v>49</v>
      </c>
      <c r="C472" s="72">
        <v>22.11</v>
      </c>
      <c r="D472" s="72">
        <v>31179</v>
      </c>
      <c r="E472" s="72">
        <v>45530.224999999999</v>
      </c>
      <c r="F472" s="72">
        <v>634191</v>
      </c>
      <c r="G472" s="72" t="s">
        <v>1293</v>
      </c>
      <c r="H472" s="72" t="s">
        <v>1141</v>
      </c>
    </row>
    <row r="473" spans="2:8" ht="14" x14ac:dyDescent="0.15">
      <c r="B473" s="72">
        <v>1</v>
      </c>
      <c r="C473" s="72">
        <v>0.55000000000000004</v>
      </c>
      <c r="D473" s="72">
        <v>31179</v>
      </c>
      <c r="E473" s="72">
        <v>45530.224999999999</v>
      </c>
      <c r="F473" s="72">
        <v>634192</v>
      </c>
      <c r="G473" s="72" t="s">
        <v>1293</v>
      </c>
      <c r="H473" s="72" t="s">
        <v>1141</v>
      </c>
    </row>
    <row r="474" spans="2:8" ht="14" x14ac:dyDescent="0.15">
      <c r="B474" s="72">
        <v>3</v>
      </c>
      <c r="C474" s="72">
        <v>360.25</v>
      </c>
      <c r="D474" s="72">
        <v>31179</v>
      </c>
      <c r="E474" s="72">
        <v>45530.224999999999</v>
      </c>
      <c r="F474" s="72">
        <v>634192</v>
      </c>
      <c r="G474" s="72" t="s">
        <v>1293</v>
      </c>
      <c r="H474" s="72" t="s">
        <v>1141</v>
      </c>
    </row>
    <row r="475" spans="2:8" ht="14" x14ac:dyDescent="0.15">
      <c r="B475" s="72">
        <v>723</v>
      </c>
      <c r="C475" s="73">
        <v>38677.9</v>
      </c>
      <c r="D475" s="72">
        <v>31179</v>
      </c>
      <c r="E475" s="72">
        <v>45530.224999999999</v>
      </c>
      <c r="F475" s="72">
        <v>634192</v>
      </c>
      <c r="G475" s="72" t="s">
        <v>1293</v>
      </c>
      <c r="H475" s="72" t="s">
        <v>1141</v>
      </c>
    </row>
    <row r="476" spans="2:8" ht="14" x14ac:dyDescent="0.15">
      <c r="B476" s="72">
        <v>733</v>
      </c>
      <c r="C476" s="73">
        <v>1864.75</v>
      </c>
      <c r="D476" s="72">
        <v>31179</v>
      </c>
      <c r="E476" s="72">
        <v>45530.224999999999</v>
      </c>
      <c r="F476" s="72">
        <v>634192</v>
      </c>
      <c r="G476" s="72" t="s">
        <v>1293</v>
      </c>
      <c r="H476" s="72" t="s">
        <v>1141</v>
      </c>
    </row>
    <row r="477" spans="2:8" ht="14" x14ac:dyDescent="0.15">
      <c r="B477" s="72">
        <v>741</v>
      </c>
      <c r="C477" s="73">
        <v>22189.55</v>
      </c>
      <c r="D477" s="72">
        <v>31179</v>
      </c>
      <c r="E477" s="72">
        <v>45530.224999999999</v>
      </c>
      <c r="F477" s="72">
        <v>634192</v>
      </c>
      <c r="G477" s="72" t="s">
        <v>1293</v>
      </c>
      <c r="H477" s="72" t="s">
        <v>1141</v>
      </c>
    </row>
    <row r="478" spans="2:8" ht="14" x14ac:dyDescent="0.15">
      <c r="B478" s="72" t="s">
        <v>161</v>
      </c>
      <c r="C478" s="73">
        <v>767682.18</v>
      </c>
      <c r="D478" s="72">
        <v>31179</v>
      </c>
      <c r="E478" s="72">
        <v>45530.224999999999</v>
      </c>
      <c r="F478" s="72">
        <v>634192</v>
      </c>
      <c r="G478" s="72" t="s">
        <v>1293</v>
      </c>
      <c r="H478" s="72" t="s">
        <v>1141</v>
      </c>
    </row>
    <row r="479" spans="2:8" ht="14" x14ac:dyDescent="0.15">
      <c r="B479" s="72" t="s">
        <v>49</v>
      </c>
      <c r="C479" s="73">
        <v>159179.35</v>
      </c>
      <c r="D479" s="72">
        <v>31179</v>
      </c>
      <c r="E479" s="72">
        <v>45530.224999999999</v>
      </c>
      <c r="F479" s="72">
        <v>634192</v>
      </c>
      <c r="G479" s="72" t="s">
        <v>1293</v>
      </c>
      <c r="H479" s="72" t="s">
        <v>1141</v>
      </c>
    </row>
    <row r="480" spans="2:8" ht="14" x14ac:dyDescent="0.15">
      <c r="B480" s="72" t="s">
        <v>120</v>
      </c>
      <c r="C480" s="72">
        <v>22.32</v>
      </c>
      <c r="D480" s="72">
        <v>31179</v>
      </c>
      <c r="E480" s="72">
        <v>45530.224999999999</v>
      </c>
      <c r="F480" s="72">
        <v>634192</v>
      </c>
      <c r="G480" s="72" t="s">
        <v>1293</v>
      </c>
      <c r="H480" s="72" t="s">
        <v>1141</v>
      </c>
    </row>
    <row r="481" spans="2:8" ht="14" x14ac:dyDescent="0.15">
      <c r="B481" s="72">
        <v>1</v>
      </c>
      <c r="C481" s="72">
        <v>40.5</v>
      </c>
      <c r="D481" s="72">
        <v>31179</v>
      </c>
      <c r="E481" s="72">
        <v>45530.224999999999</v>
      </c>
      <c r="F481" s="72">
        <v>634193</v>
      </c>
      <c r="G481" s="72" t="s">
        <v>1293</v>
      </c>
      <c r="H481" s="72" t="s">
        <v>1141</v>
      </c>
    </row>
    <row r="482" spans="2:8" ht="14" x14ac:dyDescent="0.15">
      <c r="B482" s="72">
        <v>3</v>
      </c>
      <c r="C482" s="72">
        <v>79.3</v>
      </c>
      <c r="D482" s="72">
        <v>31179</v>
      </c>
      <c r="E482" s="72">
        <v>45530.224999999999</v>
      </c>
      <c r="F482" s="72">
        <v>634193</v>
      </c>
      <c r="G482" s="72" t="s">
        <v>1293</v>
      </c>
      <c r="H482" s="72" t="s">
        <v>1141</v>
      </c>
    </row>
    <row r="483" spans="2:8" ht="14" x14ac:dyDescent="0.15">
      <c r="B483" s="72">
        <v>723</v>
      </c>
      <c r="C483" s="72">
        <v>398</v>
      </c>
      <c r="D483" s="72">
        <v>31179</v>
      </c>
      <c r="E483" s="72">
        <v>45530.224999999999</v>
      </c>
      <c r="F483" s="72">
        <v>634193</v>
      </c>
      <c r="G483" s="72" t="s">
        <v>1293</v>
      </c>
      <c r="H483" s="72" t="s">
        <v>1141</v>
      </c>
    </row>
    <row r="484" spans="2:8" ht="14" x14ac:dyDescent="0.15">
      <c r="B484" s="72">
        <v>733</v>
      </c>
      <c r="C484" s="72">
        <v>989</v>
      </c>
      <c r="D484" s="72">
        <v>31179</v>
      </c>
      <c r="E484" s="72">
        <v>45530.224999999999</v>
      </c>
      <c r="F484" s="72">
        <v>634193</v>
      </c>
      <c r="G484" s="72" t="s">
        <v>1293</v>
      </c>
      <c r="H484" s="72" t="s">
        <v>1141</v>
      </c>
    </row>
    <row r="485" spans="2:8" ht="14" x14ac:dyDescent="0.15">
      <c r="B485" s="72">
        <v>761</v>
      </c>
      <c r="C485" s="73">
        <v>12848.31</v>
      </c>
      <c r="D485" s="72">
        <v>31179</v>
      </c>
      <c r="E485" s="72">
        <v>45530.224999999999</v>
      </c>
      <c r="F485" s="72">
        <v>634193</v>
      </c>
      <c r="G485" s="72" t="s">
        <v>1293</v>
      </c>
      <c r="H485" s="72" t="s">
        <v>1141</v>
      </c>
    </row>
    <row r="486" spans="2:8" ht="14" x14ac:dyDescent="0.15">
      <c r="B486" s="72">
        <v>763</v>
      </c>
      <c r="C486" s="73">
        <v>51048</v>
      </c>
      <c r="D486" s="72">
        <v>31179</v>
      </c>
      <c r="E486" s="72">
        <v>45530.224999999999</v>
      </c>
      <c r="F486" s="72">
        <v>634193</v>
      </c>
      <c r="G486" s="72" t="s">
        <v>1293</v>
      </c>
      <c r="H486" s="72" t="s">
        <v>1141</v>
      </c>
    </row>
    <row r="487" spans="2:8" ht="14" x14ac:dyDescent="0.15">
      <c r="B487" s="72" t="s">
        <v>161</v>
      </c>
      <c r="C487" s="72">
        <v>377.02</v>
      </c>
      <c r="D487" s="72">
        <v>31179</v>
      </c>
      <c r="E487" s="72">
        <v>45530.224999999999</v>
      </c>
      <c r="F487" s="72">
        <v>634193</v>
      </c>
      <c r="G487" s="72" t="s">
        <v>1293</v>
      </c>
      <c r="H487" s="72" t="s">
        <v>1141</v>
      </c>
    </row>
    <row r="488" spans="2:8" ht="14" x14ac:dyDescent="0.15">
      <c r="B488" s="72" t="s">
        <v>49</v>
      </c>
      <c r="C488" s="72">
        <v>473.06</v>
      </c>
      <c r="D488" s="72">
        <v>31179</v>
      </c>
      <c r="E488" s="72">
        <v>45530.224999999999</v>
      </c>
      <c r="F488" s="72">
        <v>634193</v>
      </c>
      <c r="G488" s="72" t="s">
        <v>1293</v>
      </c>
      <c r="H488" s="72" t="s">
        <v>1141</v>
      </c>
    </row>
    <row r="489" spans="2:8" ht="14" x14ac:dyDescent="0.15">
      <c r="B489" s="72" t="s">
        <v>119</v>
      </c>
      <c r="C489" s="73">
        <v>36633.96</v>
      </c>
      <c r="D489" s="72">
        <v>31179</v>
      </c>
      <c r="E489" s="72">
        <v>45530.224999999999</v>
      </c>
      <c r="F489" s="72">
        <v>634193</v>
      </c>
      <c r="G489" s="72" t="s">
        <v>1293</v>
      </c>
      <c r="H489" s="72" t="s">
        <v>1141</v>
      </c>
    </row>
    <row r="490" spans="2:8" ht="14" x14ac:dyDescent="0.15">
      <c r="B490" s="72" t="s">
        <v>120</v>
      </c>
      <c r="C490" s="73">
        <v>105011.05</v>
      </c>
      <c r="D490" s="72">
        <v>31179</v>
      </c>
      <c r="E490" s="72">
        <v>45530.224999999999</v>
      </c>
      <c r="F490" s="72">
        <v>634193</v>
      </c>
      <c r="G490" s="72" t="s">
        <v>1293</v>
      </c>
      <c r="H490" s="72" t="s">
        <v>1141</v>
      </c>
    </row>
    <row r="491" spans="2:8" ht="14" x14ac:dyDescent="0.15">
      <c r="B491" s="72">
        <v>221</v>
      </c>
      <c r="C491" s="72">
        <v>720.64</v>
      </c>
      <c r="D491" s="72">
        <v>31179</v>
      </c>
      <c r="E491" s="72">
        <v>45530.224999999999</v>
      </c>
      <c r="F491" s="72">
        <v>634194</v>
      </c>
      <c r="G491" s="72" t="s">
        <v>1293</v>
      </c>
      <c r="H491" s="72" t="s">
        <v>1141</v>
      </c>
    </row>
    <row r="492" spans="2:8" ht="14" x14ac:dyDescent="0.15">
      <c r="B492" s="72">
        <v>223</v>
      </c>
      <c r="C492" s="73">
        <v>29912.5</v>
      </c>
      <c r="D492" s="72">
        <v>31179</v>
      </c>
      <c r="E492" s="72">
        <v>45530.224999999999</v>
      </c>
      <c r="F492" s="72">
        <v>634194</v>
      </c>
      <c r="G492" s="72" t="s">
        <v>1293</v>
      </c>
      <c r="H492" s="72" t="s">
        <v>1141</v>
      </c>
    </row>
    <row r="493" spans="2:8" ht="14" x14ac:dyDescent="0.15">
      <c r="B493" s="72">
        <v>241</v>
      </c>
      <c r="C493" s="73">
        <v>20183</v>
      </c>
      <c r="D493" s="72">
        <v>31179</v>
      </c>
      <c r="E493" s="72">
        <v>45530.224999999999</v>
      </c>
      <c r="F493" s="72">
        <v>634194</v>
      </c>
      <c r="G493" s="72" t="s">
        <v>1293</v>
      </c>
      <c r="H493" s="72" t="s">
        <v>1141</v>
      </c>
    </row>
    <row r="494" spans="2:8" ht="14" x14ac:dyDescent="0.15">
      <c r="B494" s="72">
        <v>243</v>
      </c>
      <c r="C494" s="73">
        <v>8435</v>
      </c>
      <c r="D494" s="72">
        <v>31179</v>
      </c>
      <c r="E494" s="72">
        <v>45530.224999999999</v>
      </c>
      <c r="F494" s="72">
        <v>634194</v>
      </c>
      <c r="G494" s="72" t="s">
        <v>1293</v>
      </c>
      <c r="H494" s="72" t="s">
        <v>1141</v>
      </c>
    </row>
    <row r="495" spans="2:8" ht="14" x14ac:dyDescent="0.15">
      <c r="B495" s="72">
        <v>311</v>
      </c>
      <c r="C495" s="72">
        <v>463.97</v>
      </c>
      <c r="D495" s="72">
        <v>31179</v>
      </c>
      <c r="E495" s="72">
        <v>45530.224999999999</v>
      </c>
      <c r="F495" s="72">
        <v>634195</v>
      </c>
      <c r="G495" s="72" t="s">
        <v>1293</v>
      </c>
      <c r="H495" s="72" t="s">
        <v>1141</v>
      </c>
    </row>
    <row r="496" spans="2:8" ht="14" x14ac:dyDescent="0.15">
      <c r="B496" s="72">
        <v>313</v>
      </c>
      <c r="C496" s="73">
        <v>17574</v>
      </c>
      <c r="D496" s="72">
        <v>31179</v>
      </c>
      <c r="E496" s="72">
        <v>45530.224999999999</v>
      </c>
      <c r="F496" s="72">
        <v>634195</v>
      </c>
      <c r="G496" s="72" t="s">
        <v>1293</v>
      </c>
      <c r="H496" s="72" t="s">
        <v>1141</v>
      </c>
    </row>
    <row r="497" spans="2:8" ht="14" x14ac:dyDescent="0.15">
      <c r="B497" s="72">
        <v>731</v>
      </c>
      <c r="C497" s="73">
        <v>4070.56</v>
      </c>
      <c r="D497" s="72">
        <v>31179</v>
      </c>
      <c r="E497" s="72">
        <v>45530.224999999999</v>
      </c>
      <c r="F497" s="72">
        <v>634196</v>
      </c>
      <c r="G497" s="72" t="s">
        <v>1293</v>
      </c>
      <c r="H497" s="72" t="s">
        <v>1141</v>
      </c>
    </row>
    <row r="498" spans="2:8" ht="14" x14ac:dyDescent="0.15">
      <c r="B498" s="72">
        <v>733</v>
      </c>
      <c r="C498" s="73">
        <v>13786.25</v>
      </c>
      <c r="D498" s="72">
        <v>31179</v>
      </c>
      <c r="E498" s="72">
        <v>45530.224999999999</v>
      </c>
      <c r="F498" s="72">
        <v>634196</v>
      </c>
      <c r="G498" s="72" t="s">
        <v>1293</v>
      </c>
      <c r="H498" s="72" t="s">
        <v>1141</v>
      </c>
    </row>
    <row r="499" spans="2:8" ht="14" x14ac:dyDescent="0.15">
      <c r="B499" s="72">
        <v>761</v>
      </c>
      <c r="C499" s="73">
        <v>24435.17</v>
      </c>
      <c r="D499" s="72">
        <v>31179</v>
      </c>
      <c r="E499" s="72">
        <v>45530.224999999999</v>
      </c>
      <c r="F499" s="72">
        <v>634196</v>
      </c>
      <c r="G499" s="72" t="s">
        <v>1293</v>
      </c>
      <c r="H499" s="72" t="s">
        <v>1141</v>
      </c>
    </row>
    <row r="500" spans="2:8" ht="14" x14ac:dyDescent="0.15">
      <c r="B500" s="72">
        <v>763</v>
      </c>
      <c r="C500" s="73">
        <v>39208</v>
      </c>
      <c r="D500" s="72">
        <v>31179</v>
      </c>
      <c r="E500" s="72">
        <v>45530.224999999999</v>
      </c>
      <c r="F500" s="72">
        <v>634196</v>
      </c>
      <c r="G500" s="72" t="s">
        <v>1293</v>
      </c>
      <c r="H500" s="72" t="s">
        <v>1141</v>
      </c>
    </row>
    <row r="501" spans="2:8" ht="14" x14ac:dyDescent="0.15">
      <c r="B501" s="72" t="s">
        <v>49</v>
      </c>
      <c r="C501" s="73">
        <v>2800.6</v>
      </c>
      <c r="D501" s="72">
        <v>31179</v>
      </c>
      <c r="E501" s="72">
        <v>45530.224999999999</v>
      </c>
      <c r="F501" s="72">
        <v>634196</v>
      </c>
      <c r="G501" s="72" t="s">
        <v>1293</v>
      </c>
      <c r="H501" s="72" t="s">
        <v>1141</v>
      </c>
    </row>
    <row r="502" spans="2:8" ht="14" x14ac:dyDescent="0.15">
      <c r="B502" s="72" t="s">
        <v>119</v>
      </c>
      <c r="C502" s="73">
        <v>36595.410000000003</v>
      </c>
      <c r="D502" s="72">
        <v>31179</v>
      </c>
      <c r="E502" s="72">
        <v>45530.224999999999</v>
      </c>
      <c r="F502" s="72">
        <v>634196</v>
      </c>
      <c r="G502" s="72" t="s">
        <v>1293</v>
      </c>
      <c r="H502" s="72" t="s">
        <v>1141</v>
      </c>
    </row>
    <row r="503" spans="2:8" ht="14" x14ac:dyDescent="0.15">
      <c r="B503" s="72" t="s">
        <v>120</v>
      </c>
      <c r="C503" s="72">
        <v>378.9</v>
      </c>
      <c r="D503" s="72">
        <v>31179</v>
      </c>
      <c r="E503" s="72">
        <v>45530.224999999999</v>
      </c>
      <c r="F503" s="72">
        <v>634196</v>
      </c>
      <c r="G503" s="72" t="s">
        <v>1293</v>
      </c>
      <c r="H503" s="72" t="s">
        <v>1141</v>
      </c>
    </row>
    <row r="504" spans="2:8" ht="14" x14ac:dyDescent="0.15">
      <c r="B504" s="72">
        <v>463</v>
      </c>
      <c r="C504" s="73">
        <v>7300</v>
      </c>
      <c r="D504" s="72">
        <v>31179</v>
      </c>
      <c r="E504" s="72">
        <v>45530.224999999999</v>
      </c>
      <c r="F504" s="72">
        <v>634197</v>
      </c>
      <c r="G504" s="72" t="s">
        <v>1293</v>
      </c>
      <c r="H504" s="72" t="s">
        <v>1141</v>
      </c>
    </row>
    <row r="505" spans="2:8" ht="14" x14ac:dyDescent="0.15">
      <c r="B505" s="72">
        <v>473</v>
      </c>
      <c r="C505" s="72">
        <v>583</v>
      </c>
      <c r="D505" s="72">
        <v>31179</v>
      </c>
      <c r="E505" s="72">
        <v>45530.224999999999</v>
      </c>
      <c r="F505" s="72">
        <v>634197</v>
      </c>
      <c r="G505" s="72" t="s">
        <v>1293</v>
      </c>
      <c r="H505" s="72" t="s">
        <v>1141</v>
      </c>
    </row>
    <row r="506" spans="2:8" ht="14" x14ac:dyDescent="0.15">
      <c r="B506" s="72">
        <v>523</v>
      </c>
      <c r="C506" s="72">
        <v>225</v>
      </c>
      <c r="D506" s="72">
        <v>31179</v>
      </c>
      <c r="E506" s="72">
        <v>45530.224999999999</v>
      </c>
      <c r="F506" s="72">
        <v>634197</v>
      </c>
      <c r="G506" s="72" t="s">
        <v>1293</v>
      </c>
      <c r="H506" s="72" t="s">
        <v>1141</v>
      </c>
    </row>
    <row r="507" spans="2:8" ht="14" x14ac:dyDescent="0.15">
      <c r="B507" s="72">
        <v>541</v>
      </c>
      <c r="C507" s="73">
        <v>15747.84</v>
      </c>
      <c r="D507" s="72">
        <v>31179</v>
      </c>
      <c r="E507" s="72">
        <v>45530.224999999999</v>
      </c>
      <c r="F507" s="72">
        <v>634197</v>
      </c>
      <c r="G507" s="72" t="s">
        <v>1293</v>
      </c>
      <c r="H507" s="72" t="s">
        <v>1141</v>
      </c>
    </row>
    <row r="508" spans="2:8" ht="14" x14ac:dyDescent="0.15">
      <c r="B508" s="72">
        <v>563</v>
      </c>
      <c r="C508" s="73">
        <v>57520</v>
      </c>
      <c r="D508" s="72">
        <v>31179</v>
      </c>
      <c r="E508" s="72">
        <v>45530.224999999999</v>
      </c>
      <c r="F508" s="72">
        <v>634197</v>
      </c>
      <c r="G508" s="72" t="s">
        <v>1293</v>
      </c>
      <c r="H508" s="72" t="s">
        <v>1141</v>
      </c>
    </row>
    <row r="509" spans="2:8" ht="14" x14ac:dyDescent="0.15">
      <c r="B509" s="72">
        <v>573</v>
      </c>
      <c r="C509" s="73">
        <v>24618</v>
      </c>
      <c r="D509" s="72">
        <v>31179</v>
      </c>
      <c r="E509" s="72">
        <v>45530.224999999999</v>
      </c>
      <c r="F509" s="72">
        <v>634197</v>
      </c>
      <c r="G509" s="72" t="s">
        <v>1293</v>
      </c>
      <c r="H509" s="72" t="s">
        <v>1141</v>
      </c>
    </row>
    <row r="510" spans="2:8" ht="14" x14ac:dyDescent="0.15">
      <c r="B510" s="72">
        <v>761</v>
      </c>
      <c r="C510" s="73">
        <v>24588.43</v>
      </c>
      <c r="D510" s="72">
        <v>31179</v>
      </c>
      <c r="E510" s="72">
        <v>45530.224999999999</v>
      </c>
      <c r="F510" s="72">
        <v>634197</v>
      </c>
      <c r="G510" s="72" t="s">
        <v>1293</v>
      </c>
      <c r="H510" s="72" t="s">
        <v>1141</v>
      </c>
    </row>
    <row r="511" spans="2:8" ht="14" x14ac:dyDescent="0.15">
      <c r="B511" s="72">
        <v>763</v>
      </c>
      <c r="C511" s="73">
        <v>6098</v>
      </c>
      <c r="D511" s="72">
        <v>31179</v>
      </c>
      <c r="E511" s="72">
        <v>45530.224999999999</v>
      </c>
      <c r="F511" s="72">
        <v>634197</v>
      </c>
      <c r="G511" s="72" t="s">
        <v>1293</v>
      </c>
      <c r="H511" s="72" t="s">
        <v>1141</v>
      </c>
    </row>
    <row r="512" spans="2:8" ht="14" x14ac:dyDescent="0.15">
      <c r="B512" s="72" t="s">
        <v>119</v>
      </c>
      <c r="C512" s="72">
        <v>480</v>
      </c>
      <c r="D512" s="72">
        <v>31179</v>
      </c>
      <c r="E512" s="72">
        <v>45530.224999999999</v>
      </c>
      <c r="F512" s="72">
        <v>634197</v>
      </c>
      <c r="G512" s="72" t="s">
        <v>1293</v>
      </c>
      <c r="H512" s="72" t="s">
        <v>1141</v>
      </c>
    </row>
    <row r="513" spans="2:8" ht="14" x14ac:dyDescent="0.15">
      <c r="B513" s="72">
        <v>521</v>
      </c>
      <c r="C513" s="73">
        <v>30824.85</v>
      </c>
      <c r="D513" s="72">
        <v>31179</v>
      </c>
      <c r="E513" s="72">
        <v>45530.224999999999</v>
      </c>
      <c r="F513" s="72">
        <v>634198</v>
      </c>
      <c r="G513" s="72" t="s">
        <v>1293</v>
      </c>
      <c r="H513" s="72" t="s">
        <v>1141</v>
      </c>
    </row>
    <row r="514" spans="2:8" ht="14" x14ac:dyDescent="0.15">
      <c r="B514" s="72">
        <v>523</v>
      </c>
      <c r="C514" s="73">
        <v>133982.5</v>
      </c>
      <c r="D514" s="72">
        <v>31179</v>
      </c>
      <c r="E514" s="72">
        <v>45530.224999999999</v>
      </c>
      <c r="F514" s="72">
        <v>634198</v>
      </c>
      <c r="G514" s="72" t="s">
        <v>1293</v>
      </c>
      <c r="H514" s="72" t="s">
        <v>1141</v>
      </c>
    </row>
    <row r="515" spans="2:8" ht="14" x14ac:dyDescent="0.15">
      <c r="B515" s="72">
        <v>531</v>
      </c>
      <c r="C515" s="73">
        <v>22195.56</v>
      </c>
      <c r="D515" s="72">
        <v>31179</v>
      </c>
      <c r="E515" s="72">
        <v>45530.224999999999</v>
      </c>
      <c r="F515" s="72">
        <v>634198</v>
      </c>
      <c r="G515" s="72" t="s">
        <v>1293</v>
      </c>
      <c r="H515" s="72" t="s">
        <v>1141</v>
      </c>
    </row>
    <row r="516" spans="2:8" ht="14" x14ac:dyDescent="0.15">
      <c r="B516" s="72">
        <v>533</v>
      </c>
      <c r="C516" s="73">
        <v>182948.5</v>
      </c>
      <c r="D516" s="72">
        <v>31179</v>
      </c>
      <c r="E516" s="72">
        <v>45530.224999999999</v>
      </c>
      <c r="F516" s="72">
        <v>634198</v>
      </c>
      <c r="G516" s="72" t="s">
        <v>1293</v>
      </c>
      <c r="H516" s="72" t="s">
        <v>1141</v>
      </c>
    </row>
    <row r="517" spans="2:8" ht="14" x14ac:dyDescent="0.15">
      <c r="B517" s="72">
        <v>541</v>
      </c>
      <c r="C517" s="73">
        <v>5011.8100000000004</v>
      </c>
      <c r="D517" s="72">
        <v>31179</v>
      </c>
      <c r="E517" s="72">
        <v>45530.224999999999</v>
      </c>
      <c r="F517" s="72">
        <v>634198</v>
      </c>
      <c r="G517" s="72" t="s">
        <v>1293</v>
      </c>
      <c r="H517" s="72" t="s">
        <v>1141</v>
      </c>
    </row>
    <row r="518" spans="2:8" ht="14" x14ac:dyDescent="0.15">
      <c r="B518" s="72">
        <v>543</v>
      </c>
      <c r="C518" s="73">
        <v>34186.199999999997</v>
      </c>
      <c r="D518" s="72">
        <v>31179</v>
      </c>
      <c r="E518" s="72">
        <v>45530.224999999999</v>
      </c>
      <c r="F518" s="72">
        <v>634198</v>
      </c>
      <c r="G518" s="72" t="s">
        <v>1293</v>
      </c>
      <c r="H518" s="72" t="s">
        <v>1141</v>
      </c>
    </row>
    <row r="519" spans="2:8" ht="14" x14ac:dyDescent="0.15">
      <c r="B519" s="72">
        <v>743</v>
      </c>
      <c r="C519" s="73">
        <v>12544.69</v>
      </c>
      <c r="D519" s="72">
        <v>31179</v>
      </c>
      <c r="E519" s="72">
        <v>45530.224999999999</v>
      </c>
      <c r="F519" s="72">
        <v>634198</v>
      </c>
      <c r="G519" s="72" t="s">
        <v>1293</v>
      </c>
      <c r="H519" s="72" t="s">
        <v>1141</v>
      </c>
    </row>
    <row r="520" spans="2:8" ht="14" x14ac:dyDescent="0.15">
      <c r="B520" s="72">
        <v>763</v>
      </c>
      <c r="C520" s="73">
        <v>61032.44</v>
      </c>
      <c r="D520" s="72">
        <v>31179</v>
      </c>
      <c r="E520" s="72">
        <v>45530.224999999999</v>
      </c>
      <c r="F520" s="72">
        <v>634198</v>
      </c>
      <c r="G520" s="72" t="s">
        <v>1293</v>
      </c>
      <c r="H520" s="72" t="s">
        <v>1141</v>
      </c>
    </row>
    <row r="521" spans="2:8" ht="14" x14ac:dyDescent="0.15">
      <c r="B521" s="72" t="s">
        <v>49</v>
      </c>
      <c r="C521" s="72">
        <v>51.26</v>
      </c>
      <c r="D521" s="72">
        <v>31179</v>
      </c>
      <c r="E521" s="72">
        <v>45530.224999999999</v>
      </c>
      <c r="F521" s="72">
        <v>634198</v>
      </c>
      <c r="G521" s="72" t="s">
        <v>1293</v>
      </c>
      <c r="H521" s="72" t="s">
        <v>1141</v>
      </c>
    </row>
    <row r="522" spans="2:8" ht="14" x14ac:dyDescent="0.15">
      <c r="B522" s="72" t="s">
        <v>119</v>
      </c>
      <c r="C522" s="73">
        <v>1738</v>
      </c>
      <c r="D522" s="72">
        <v>31179</v>
      </c>
      <c r="E522" s="72">
        <v>45530.224999999999</v>
      </c>
      <c r="F522" s="72">
        <v>634198</v>
      </c>
      <c r="G522" s="72" t="s">
        <v>1293</v>
      </c>
      <c r="H522" s="72" t="s">
        <v>1141</v>
      </c>
    </row>
    <row r="523" spans="2:8" ht="14" x14ac:dyDescent="0.15">
      <c r="B523" s="72">
        <v>711</v>
      </c>
      <c r="C523" s="73">
        <v>12149.71</v>
      </c>
      <c r="D523" s="72">
        <v>31179</v>
      </c>
      <c r="E523" s="72">
        <v>45530.224999999999</v>
      </c>
      <c r="F523" s="72">
        <v>634199</v>
      </c>
      <c r="G523" s="72" t="s">
        <v>1293</v>
      </c>
      <c r="H523" s="72" t="s">
        <v>1141</v>
      </c>
    </row>
    <row r="524" spans="2:8" ht="14" x14ac:dyDescent="0.15">
      <c r="B524" s="72">
        <v>713</v>
      </c>
      <c r="C524" s="73">
        <v>86795.05</v>
      </c>
      <c r="D524" s="72">
        <v>31179</v>
      </c>
      <c r="E524" s="72">
        <v>45530.224999999999</v>
      </c>
      <c r="F524" s="72">
        <v>634199</v>
      </c>
      <c r="G524" s="72" t="s">
        <v>1293</v>
      </c>
      <c r="H524" s="72" t="s">
        <v>1141</v>
      </c>
    </row>
    <row r="525" spans="2:8" ht="14" x14ac:dyDescent="0.15">
      <c r="B525" s="72">
        <v>3</v>
      </c>
      <c r="C525" s="72">
        <v>270.75</v>
      </c>
      <c r="D525" s="72">
        <v>31179</v>
      </c>
      <c r="E525" s="72">
        <v>45530.224999999999</v>
      </c>
      <c r="F525" s="72">
        <v>634200</v>
      </c>
      <c r="G525" s="72" t="s">
        <v>1293</v>
      </c>
      <c r="H525" s="72" t="s">
        <v>1141</v>
      </c>
    </row>
    <row r="526" spans="2:8" ht="14" x14ac:dyDescent="0.15">
      <c r="B526" s="72">
        <v>723</v>
      </c>
      <c r="C526" s="73">
        <v>21904.3</v>
      </c>
      <c r="D526" s="72">
        <v>31179</v>
      </c>
      <c r="E526" s="72">
        <v>45530.224999999999</v>
      </c>
      <c r="F526" s="72">
        <v>634200</v>
      </c>
      <c r="G526" s="72" t="s">
        <v>1293</v>
      </c>
      <c r="H526" s="72" t="s">
        <v>1141</v>
      </c>
    </row>
    <row r="527" spans="2:8" ht="14" x14ac:dyDescent="0.15">
      <c r="B527" s="72">
        <v>733</v>
      </c>
      <c r="C527" s="73">
        <v>1300.5</v>
      </c>
      <c r="D527" s="72">
        <v>31179</v>
      </c>
      <c r="E527" s="72">
        <v>45530.224999999999</v>
      </c>
      <c r="F527" s="72">
        <v>634200</v>
      </c>
      <c r="G527" s="72" t="s">
        <v>1293</v>
      </c>
      <c r="H527" s="72" t="s">
        <v>1141</v>
      </c>
    </row>
    <row r="528" spans="2:8" ht="14" x14ac:dyDescent="0.15">
      <c r="B528" s="72">
        <v>741</v>
      </c>
      <c r="C528" s="73">
        <v>9745.75</v>
      </c>
      <c r="D528" s="72">
        <v>31179</v>
      </c>
      <c r="E528" s="72">
        <v>45530.224999999999</v>
      </c>
      <c r="F528" s="72">
        <v>634200</v>
      </c>
      <c r="G528" s="72" t="s">
        <v>1293</v>
      </c>
      <c r="H528" s="72" t="s">
        <v>1141</v>
      </c>
    </row>
    <row r="529" spans="2:8" ht="14" x14ac:dyDescent="0.15">
      <c r="B529" s="72" t="s">
        <v>161</v>
      </c>
      <c r="C529" s="73">
        <v>540186.87</v>
      </c>
      <c r="D529" s="72">
        <v>31179</v>
      </c>
      <c r="E529" s="72">
        <v>45530.224999999999</v>
      </c>
      <c r="F529" s="72">
        <v>634200</v>
      </c>
      <c r="G529" s="72" t="s">
        <v>1293</v>
      </c>
      <c r="H529" s="72" t="s">
        <v>1141</v>
      </c>
    </row>
    <row r="530" spans="2:8" ht="14" x14ac:dyDescent="0.15">
      <c r="B530" s="72" t="s">
        <v>49</v>
      </c>
      <c r="C530" s="73">
        <v>95394.54</v>
      </c>
      <c r="D530" s="72">
        <v>31179</v>
      </c>
      <c r="E530" s="72">
        <v>45530.224999999999</v>
      </c>
      <c r="F530" s="72">
        <v>634200</v>
      </c>
      <c r="G530" s="72" t="s">
        <v>1293</v>
      </c>
      <c r="H530" s="72" t="s">
        <v>1141</v>
      </c>
    </row>
    <row r="531" spans="2:8" ht="14" x14ac:dyDescent="0.15">
      <c r="B531" s="72">
        <v>761</v>
      </c>
      <c r="C531" s="73">
        <v>5027.59</v>
      </c>
      <c r="D531" s="72">
        <v>31179</v>
      </c>
      <c r="E531" s="72">
        <v>45530.224999999999</v>
      </c>
      <c r="F531" s="72">
        <v>634201</v>
      </c>
      <c r="G531" s="72" t="s">
        <v>1293</v>
      </c>
      <c r="H531" s="72" t="s">
        <v>1141</v>
      </c>
    </row>
    <row r="532" spans="2:8" ht="14" x14ac:dyDescent="0.15">
      <c r="B532" s="72">
        <v>763</v>
      </c>
      <c r="C532" s="73">
        <v>33320</v>
      </c>
      <c r="D532" s="72">
        <v>31179</v>
      </c>
      <c r="E532" s="72">
        <v>45530.224999999999</v>
      </c>
      <c r="F532" s="72">
        <v>634201</v>
      </c>
      <c r="G532" s="72" t="s">
        <v>1293</v>
      </c>
      <c r="H532" s="72" t="s">
        <v>1141</v>
      </c>
    </row>
    <row r="533" spans="2:8" ht="14" x14ac:dyDescent="0.15">
      <c r="B533" s="72" t="s">
        <v>119</v>
      </c>
      <c r="C533" s="73">
        <v>2854.56</v>
      </c>
      <c r="D533" s="72">
        <v>31179</v>
      </c>
      <c r="E533" s="72">
        <v>45530.224999999999</v>
      </c>
      <c r="F533" s="72">
        <v>634201</v>
      </c>
      <c r="G533" s="72" t="s">
        <v>1293</v>
      </c>
      <c r="H533" s="72" t="s">
        <v>1141</v>
      </c>
    </row>
    <row r="534" spans="2:8" ht="14" x14ac:dyDescent="0.15">
      <c r="B534" s="72">
        <v>423</v>
      </c>
      <c r="C534" s="73">
        <v>23027</v>
      </c>
      <c r="D534" s="72">
        <v>31179</v>
      </c>
      <c r="E534" s="72">
        <v>45530.224999999999</v>
      </c>
      <c r="F534" s="72">
        <v>634336</v>
      </c>
      <c r="G534" s="72" t="s">
        <v>1293</v>
      </c>
      <c r="H534" s="72" t="s">
        <v>1141</v>
      </c>
    </row>
    <row r="535" spans="2:8" ht="14" x14ac:dyDescent="0.15">
      <c r="B535" s="72">
        <v>433</v>
      </c>
      <c r="C535" s="73">
        <v>23027</v>
      </c>
      <c r="D535" s="72">
        <v>31179</v>
      </c>
      <c r="E535" s="72">
        <v>45530.224999999999</v>
      </c>
      <c r="F535" s="72">
        <v>634336</v>
      </c>
      <c r="G535" s="72" t="s">
        <v>1293</v>
      </c>
      <c r="H535" s="72" t="s">
        <v>1141</v>
      </c>
    </row>
    <row r="536" spans="2:8" ht="14" x14ac:dyDescent="0.15">
      <c r="B536" s="72">
        <v>521</v>
      </c>
      <c r="C536" s="72">
        <v>810.72</v>
      </c>
      <c r="D536" s="72">
        <v>31179</v>
      </c>
      <c r="E536" s="72">
        <v>45530.224999999999</v>
      </c>
      <c r="F536" s="72">
        <v>634336</v>
      </c>
      <c r="G536" s="72" t="s">
        <v>1293</v>
      </c>
      <c r="H536" s="72" t="s">
        <v>1141</v>
      </c>
    </row>
    <row r="537" spans="2:8" ht="14" x14ac:dyDescent="0.15">
      <c r="B537" s="72">
        <v>541</v>
      </c>
      <c r="C537" s="73">
        <v>39971.24</v>
      </c>
      <c r="D537" s="72">
        <v>31179</v>
      </c>
      <c r="E537" s="72">
        <v>45530.224999999999</v>
      </c>
      <c r="F537" s="72">
        <v>634336</v>
      </c>
      <c r="G537" s="72" t="s">
        <v>1293</v>
      </c>
      <c r="H537" s="72" t="s">
        <v>1141</v>
      </c>
    </row>
    <row r="538" spans="2:8" ht="14" x14ac:dyDescent="0.15">
      <c r="B538" s="72">
        <v>543</v>
      </c>
      <c r="C538" s="73">
        <v>27138.91</v>
      </c>
      <c r="D538" s="72">
        <v>31179</v>
      </c>
      <c r="E538" s="72">
        <v>45530.224999999999</v>
      </c>
      <c r="F538" s="72">
        <v>634336</v>
      </c>
      <c r="G538" s="72" t="s">
        <v>1293</v>
      </c>
      <c r="H538" s="72" t="s">
        <v>1141</v>
      </c>
    </row>
    <row r="539" spans="2:8" ht="14" x14ac:dyDescent="0.15">
      <c r="B539" s="72">
        <v>711</v>
      </c>
      <c r="C539" s="73">
        <v>1260.48</v>
      </c>
      <c r="D539" s="72">
        <v>31179</v>
      </c>
      <c r="E539" s="72">
        <v>45530.224999999999</v>
      </c>
      <c r="F539" s="72">
        <v>634336</v>
      </c>
      <c r="G539" s="72" t="s">
        <v>1293</v>
      </c>
      <c r="H539" s="72" t="s">
        <v>1141</v>
      </c>
    </row>
    <row r="540" spans="2:8" ht="14" x14ac:dyDescent="0.15">
      <c r="B540" s="72" t="s">
        <v>49</v>
      </c>
      <c r="C540" s="72">
        <v>1.62</v>
      </c>
      <c r="D540" s="72">
        <v>31179</v>
      </c>
      <c r="E540" s="72">
        <v>45530.224999999999</v>
      </c>
      <c r="F540" s="72">
        <v>634336</v>
      </c>
      <c r="G540" s="72" t="s">
        <v>1293</v>
      </c>
      <c r="H540" s="72" t="s">
        <v>1141</v>
      </c>
    </row>
    <row r="541" spans="2:8" ht="14" x14ac:dyDescent="0.15">
      <c r="B541" s="72">
        <v>223</v>
      </c>
      <c r="C541" s="73">
        <v>10000</v>
      </c>
      <c r="D541" s="72">
        <v>31179</v>
      </c>
      <c r="E541" s="72">
        <v>45530.224999999999</v>
      </c>
      <c r="F541" s="72">
        <v>634337</v>
      </c>
      <c r="G541" s="72" t="s">
        <v>1293</v>
      </c>
      <c r="H541" s="72" t="s">
        <v>1141</v>
      </c>
    </row>
    <row r="542" spans="2:8" ht="14" x14ac:dyDescent="0.15">
      <c r="B542" s="72">
        <v>423</v>
      </c>
      <c r="C542" s="73">
        <v>13500</v>
      </c>
      <c r="D542" s="72">
        <v>31179</v>
      </c>
      <c r="E542" s="72">
        <v>45530.224999999999</v>
      </c>
      <c r="F542" s="72">
        <v>634337</v>
      </c>
      <c r="G542" s="72" t="s">
        <v>1293</v>
      </c>
      <c r="H542" s="72" t="s">
        <v>1141</v>
      </c>
    </row>
    <row r="543" spans="2:8" ht="14" x14ac:dyDescent="0.15">
      <c r="B543" s="72">
        <v>521</v>
      </c>
      <c r="C543" s="72">
        <v>900.8</v>
      </c>
      <c r="D543" s="72">
        <v>31179</v>
      </c>
      <c r="E543" s="72">
        <v>45530.224999999999</v>
      </c>
      <c r="F543" s="72">
        <v>634337</v>
      </c>
      <c r="G543" s="72" t="s">
        <v>1293</v>
      </c>
      <c r="H543" s="72" t="s">
        <v>1141</v>
      </c>
    </row>
    <row r="544" spans="2:8" ht="14" x14ac:dyDescent="0.15">
      <c r="B544" s="72">
        <v>531</v>
      </c>
      <c r="C544" s="73">
        <v>18799.849999999999</v>
      </c>
      <c r="D544" s="72">
        <v>31179</v>
      </c>
      <c r="E544" s="72">
        <v>45530.224999999999</v>
      </c>
      <c r="F544" s="72">
        <v>634337</v>
      </c>
      <c r="G544" s="72" t="s">
        <v>1293</v>
      </c>
      <c r="H544" s="72" t="s">
        <v>1141</v>
      </c>
    </row>
    <row r="545" spans="2:8" ht="14" x14ac:dyDescent="0.15">
      <c r="B545" s="72">
        <v>541</v>
      </c>
      <c r="C545" s="73">
        <v>22045.98</v>
      </c>
      <c r="D545" s="72">
        <v>31179</v>
      </c>
      <c r="E545" s="72">
        <v>45530.224999999999</v>
      </c>
      <c r="F545" s="72">
        <v>634337</v>
      </c>
      <c r="G545" s="72" t="s">
        <v>1293</v>
      </c>
      <c r="H545" s="72" t="s">
        <v>1141</v>
      </c>
    </row>
    <row r="546" spans="2:8" ht="14" x14ac:dyDescent="0.15">
      <c r="B546" s="72">
        <v>543</v>
      </c>
      <c r="C546" s="73">
        <v>27096</v>
      </c>
      <c r="D546" s="72">
        <v>31179</v>
      </c>
      <c r="E546" s="72">
        <v>45530.224999999999</v>
      </c>
      <c r="F546" s="72">
        <v>634337</v>
      </c>
      <c r="G546" s="72" t="s">
        <v>1293</v>
      </c>
      <c r="H546" s="72" t="s">
        <v>1141</v>
      </c>
    </row>
    <row r="547" spans="2:8" ht="14" x14ac:dyDescent="0.15">
      <c r="B547" s="72" t="s">
        <v>113</v>
      </c>
      <c r="C547" s="73">
        <v>10000</v>
      </c>
      <c r="D547" s="72">
        <v>31179</v>
      </c>
      <c r="E547" s="72">
        <v>45530.224999999999</v>
      </c>
      <c r="F547" s="72">
        <v>634337</v>
      </c>
      <c r="G547" s="72" t="s">
        <v>1293</v>
      </c>
      <c r="H547" s="72" t="s">
        <v>1141</v>
      </c>
    </row>
    <row r="548" spans="2:8" ht="14" x14ac:dyDescent="0.15">
      <c r="B548" s="72">
        <v>141</v>
      </c>
      <c r="C548" s="73">
        <v>2160.3000000000002</v>
      </c>
      <c r="D548" s="72">
        <v>31179</v>
      </c>
      <c r="E548" s="72">
        <v>45530.224999999999</v>
      </c>
      <c r="F548" s="72">
        <v>651636</v>
      </c>
      <c r="G548" s="72" t="s">
        <v>1293</v>
      </c>
      <c r="H548" s="72" t="s">
        <v>1141</v>
      </c>
    </row>
    <row r="549" spans="2:8" ht="14" x14ac:dyDescent="0.15">
      <c r="B549" s="72">
        <v>523</v>
      </c>
      <c r="C549" s="73">
        <v>1802</v>
      </c>
      <c r="D549" s="72">
        <v>31179</v>
      </c>
      <c r="E549" s="72">
        <v>45530.224999999999</v>
      </c>
      <c r="F549" s="72">
        <v>651636</v>
      </c>
      <c r="G549" s="72" t="s">
        <v>1293</v>
      </c>
      <c r="H549" s="72" t="s">
        <v>1141</v>
      </c>
    </row>
    <row r="550" spans="2:8" ht="14" x14ac:dyDescent="0.15">
      <c r="B550" s="72">
        <v>543</v>
      </c>
      <c r="C550" s="73">
        <v>5419.8</v>
      </c>
      <c r="D550" s="72">
        <v>31179</v>
      </c>
      <c r="E550" s="72">
        <v>45530.224999999999</v>
      </c>
      <c r="F550" s="72">
        <v>651636</v>
      </c>
      <c r="G550" s="72" t="s">
        <v>1293</v>
      </c>
      <c r="H550" s="72" t="s">
        <v>1141</v>
      </c>
    </row>
    <row r="551" spans="2:8" ht="14" x14ac:dyDescent="0.15">
      <c r="B551" s="72">
        <v>711</v>
      </c>
      <c r="C551" s="73">
        <v>1043.72</v>
      </c>
      <c r="D551" s="72">
        <v>31179</v>
      </c>
      <c r="E551" s="72">
        <v>45530.224999999999</v>
      </c>
      <c r="F551" s="72">
        <v>651636</v>
      </c>
      <c r="G551" s="72" t="s">
        <v>1293</v>
      </c>
      <c r="H551" s="72" t="s">
        <v>1141</v>
      </c>
    </row>
    <row r="552" spans="2:8" ht="14" x14ac:dyDescent="0.15">
      <c r="B552" s="72">
        <v>723</v>
      </c>
      <c r="C552" s="73">
        <v>13001</v>
      </c>
      <c r="D552" s="72">
        <v>31179</v>
      </c>
      <c r="E552" s="72">
        <v>45530.224999999999</v>
      </c>
      <c r="F552" s="72">
        <v>651636</v>
      </c>
      <c r="G552" s="72" t="s">
        <v>1293</v>
      </c>
      <c r="H552" s="72" t="s">
        <v>1141</v>
      </c>
    </row>
    <row r="553" spans="2:8" ht="14" x14ac:dyDescent="0.15">
      <c r="B553" s="72">
        <v>731</v>
      </c>
      <c r="C553" s="73">
        <v>4329.99</v>
      </c>
      <c r="D553" s="72">
        <v>31179</v>
      </c>
      <c r="E553" s="72">
        <v>45530.224999999999</v>
      </c>
      <c r="F553" s="72">
        <v>651636</v>
      </c>
      <c r="G553" s="72" t="s">
        <v>1293</v>
      </c>
      <c r="H553" s="72" t="s">
        <v>1141</v>
      </c>
    </row>
    <row r="554" spans="2:8" ht="14" x14ac:dyDescent="0.15">
      <c r="B554" s="72">
        <v>733</v>
      </c>
      <c r="C554" s="73">
        <v>1234.5</v>
      </c>
      <c r="D554" s="72">
        <v>31179</v>
      </c>
      <c r="E554" s="72">
        <v>45530.224999999999</v>
      </c>
      <c r="F554" s="72">
        <v>651636</v>
      </c>
      <c r="G554" s="72" t="s">
        <v>1293</v>
      </c>
      <c r="H554" s="72" t="s">
        <v>1141</v>
      </c>
    </row>
    <row r="555" spans="2:8" ht="14" x14ac:dyDescent="0.15">
      <c r="B555" s="72">
        <v>741</v>
      </c>
      <c r="C555" s="72">
        <v>269.74</v>
      </c>
      <c r="D555" s="72">
        <v>31179</v>
      </c>
      <c r="E555" s="72">
        <v>45530.224999999999</v>
      </c>
      <c r="F555" s="72">
        <v>651636</v>
      </c>
      <c r="G555" s="72" t="s">
        <v>1293</v>
      </c>
      <c r="H555" s="72" t="s">
        <v>1141</v>
      </c>
    </row>
    <row r="556" spans="2:8" ht="14" x14ac:dyDescent="0.15">
      <c r="B556" s="72">
        <v>761</v>
      </c>
      <c r="C556" s="73">
        <v>1275.8399999999999</v>
      </c>
      <c r="D556" s="72">
        <v>31179</v>
      </c>
      <c r="E556" s="72">
        <v>45530.224999999999</v>
      </c>
      <c r="F556" s="72">
        <v>651636</v>
      </c>
      <c r="G556" s="72" t="s">
        <v>1293</v>
      </c>
      <c r="H556" s="72" t="s">
        <v>1141</v>
      </c>
    </row>
    <row r="557" spans="2:8" ht="14" x14ac:dyDescent="0.15">
      <c r="B557" s="72">
        <v>763</v>
      </c>
      <c r="C557" s="73">
        <v>1693</v>
      </c>
      <c r="D557" s="72">
        <v>31179</v>
      </c>
      <c r="E557" s="72">
        <v>45530.224999999999</v>
      </c>
      <c r="F557" s="72">
        <v>651636</v>
      </c>
      <c r="G557" s="72" t="s">
        <v>1293</v>
      </c>
      <c r="H557" s="72" t="s">
        <v>1141</v>
      </c>
    </row>
    <row r="558" spans="2:8" ht="14" x14ac:dyDescent="0.15">
      <c r="B558" s="72" t="s">
        <v>161</v>
      </c>
      <c r="C558" s="73">
        <v>2496</v>
      </c>
      <c r="D558" s="72">
        <v>31179</v>
      </c>
      <c r="E558" s="72">
        <v>45530.224999999999</v>
      </c>
      <c r="F558" s="72">
        <v>651636</v>
      </c>
      <c r="G558" s="72" t="s">
        <v>1293</v>
      </c>
      <c r="H558" s="72" t="s">
        <v>1141</v>
      </c>
    </row>
    <row r="559" spans="2:8" ht="14" x14ac:dyDescent="0.15">
      <c r="B559" s="72" t="s">
        <v>49</v>
      </c>
      <c r="C559" s="73">
        <v>17773.55</v>
      </c>
      <c r="D559" s="72">
        <v>31179</v>
      </c>
      <c r="E559" s="72">
        <v>45530.224999999999</v>
      </c>
      <c r="F559" s="72">
        <v>651636</v>
      </c>
      <c r="G559" s="72" t="s">
        <v>1293</v>
      </c>
      <c r="H559" s="72" t="s">
        <v>1141</v>
      </c>
    </row>
    <row r="560" spans="2:8" ht="14" x14ac:dyDescent="0.15">
      <c r="B560" s="72" t="s">
        <v>119</v>
      </c>
      <c r="C560" s="72">
        <v>46</v>
      </c>
      <c r="D560" s="72">
        <v>31179</v>
      </c>
      <c r="E560" s="72">
        <v>45530.224999999999</v>
      </c>
      <c r="F560" s="72">
        <v>651636</v>
      </c>
      <c r="G560" s="72" t="s">
        <v>1293</v>
      </c>
      <c r="H560" s="72" t="s">
        <v>1141</v>
      </c>
    </row>
    <row r="561" spans="2:8" ht="14" x14ac:dyDescent="0.15">
      <c r="B561" s="72">
        <v>543</v>
      </c>
      <c r="C561" s="73">
        <v>12126</v>
      </c>
      <c r="D561" s="72">
        <v>31179</v>
      </c>
      <c r="E561" s="72">
        <v>45530.224999999999</v>
      </c>
      <c r="F561" s="72">
        <v>651637</v>
      </c>
      <c r="G561" s="72" t="s">
        <v>1293</v>
      </c>
      <c r="H561" s="72" t="s">
        <v>1141</v>
      </c>
    </row>
    <row r="562" spans="2:8" ht="14" x14ac:dyDescent="0.15">
      <c r="B562" s="72">
        <v>723</v>
      </c>
      <c r="C562" s="72">
        <v>155</v>
      </c>
      <c r="D562" s="72">
        <v>31179</v>
      </c>
      <c r="E562" s="72">
        <v>45530.224999999999</v>
      </c>
      <c r="F562" s="72">
        <v>651637</v>
      </c>
      <c r="G562" s="72" t="s">
        <v>1293</v>
      </c>
      <c r="H562" s="72" t="s">
        <v>1141</v>
      </c>
    </row>
    <row r="563" spans="2:8" ht="14" x14ac:dyDescent="0.15">
      <c r="B563" s="72">
        <v>731</v>
      </c>
      <c r="C563" s="73">
        <v>1329.21</v>
      </c>
      <c r="D563" s="72">
        <v>31179</v>
      </c>
      <c r="E563" s="72">
        <v>45530.224999999999</v>
      </c>
      <c r="F563" s="72">
        <v>651637</v>
      </c>
      <c r="G563" s="72" t="s">
        <v>1293</v>
      </c>
      <c r="H563" s="72" t="s">
        <v>1141</v>
      </c>
    </row>
    <row r="564" spans="2:8" ht="14" x14ac:dyDescent="0.15">
      <c r="B564" s="72">
        <v>733</v>
      </c>
      <c r="C564" s="72">
        <v>115</v>
      </c>
      <c r="D564" s="72">
        <v>31179</v>
      </c>
      <c r="E564" s="72">
        <v>45530.224999999999</v>
      </c>
      <c r="F564" s="72">
        <v>651637</v>
      </c>
      <c r="G564" s="72" t="s">
        <v>1293</v>
      </c>
      <c r="H564" s="72" t="s">
        <v>1141</v>
      </c>
    </row>
    <row r="565" spans="2:8" ht="14" x14ac:dyDescent="0.15">
      <c r="B565" s="72">
        <v>741</v>
      </c>
      <c r="C565" s="73">
        <v>1322.47</v>
      </c>
      <c r="D565" s="72">
        <v>31179</v>
      </c>
      <c r="E565" s="72">
        <v>45530.224999999999</v>
      </c>
      <c r="F565" s="72">
        <v>651637</v>
      </c>
      <c r="G565" s="72" t="s">
        <v>1293</v>
      </c>
      <c r="H565" s="72" t="s">
        <v>1141</v>
      </c>
    </row>
    <row r="566" spans="2:8" ht="14" x14ac:dyDescent="0.15">
      <c r="B566" s="72">
        <v>763</v>
      </c>
      <c r="C566" s="72">
        <v>120</v>
      </c>
      <c r="D566" s="72">
        <v>31179</v>
      </c>
      <c r="E566" s="72">
        <v>45530.224999999999</v>
      </c>
      <c r="F566" s="72">
        <v>651637</v>
      </c>
      <c r="G566" s="72" t="s">
        <v>1293</v>
      </c>
      <c r="H566" s="72" t="s">
        <v>1141</v>
      </c>
    </row>
    <row r="567" spans="2:8" ht="14" x14ac:dyDescent="0.15">
      <c r="B567" s="72">
        <v>3</v>
      </c>
      <c r="C567" s="72">
        <v>48</v>
      </c>
      <c r="D567" s="72">
        <v>31179</v>
      </c>
      <c r="E567" s="72">
        <v>45321.332640000001</v>
      </c>
      <c r="F567" s="72">
        <v>624158</v>
      </c>
      <c r="G567" s="72" t="s">
        <v>1293</v>
      </c>
      <c r="H567" s="72" t="s">
        <v>1141</v>
      </c>
    </row>
    <row r="568" spans="2:8" ht="14" x14ac:dyDescent="0.15">
      <c r="B568" s="72">
        <v>111</v>
      </c>
      <c r="C568" s="73">
        <v>122587.19</v>
      </c>
      <c r="D568" s="72">
        <v>31179</v>
      </c>
      <c r="E568" s="72">
        <v>45321.332640000001</v>
      </c>
      <c r="F568" s="72">
        <v>624158</v>
      </c>
      <c r="G568" s="72" t="s">
        <v>1293</v>
      </c>
      <c r="H568" s="72" t="s">
        <v>1141</v>
      </c>
    </row>
    <row r="569" spans="2:8" ht="14" x14ac:dyDescent="0.15">
      <c r="B569" s="72">
        <v>131</v>
      </c>
      <c r="C569" s="73">
        <v>79247.83</v>
      </c>
      <c r="D569" s="72">
        <v>31179</v>
      </c>
      <c r="E569" s="72">
        <v>45321.332640000001</v>
      </c>
      <c r="F569" s="72">
        <v>624158</v>
      </c>
      <c r="G569" s="72" t="s">
        <v>1293</v>
      </c>
      <c r="H569" s="72" t="s">
        <v>1141</v>
      </c>
    </row>
    <row r="570" spans="2:8" ht="14" x14ac:dyDescent="0.15">
      <c r="B570" s="72">
        <v>133</v>
      </c>
      <c r="C570" s="73">
        <v>10332</v>
      </c>
      <c r="D570" s="72">
        <v>31179</v>
      </c>
      <c r="E570" s="72">
        <v>45321.332640000001</v>
      </c>
      <c r="F570" s="72">
        <v>624158</v>
      </c>
      <c r="G570" s="72" t="s">
        <v>1293</v>
      </c>
      <c r="H570" s="72" t="s">
        <v>1141</v>
      </c>
    </row>
    <row r="571" spans="2:8" ht="14" x14ac:dyDescent="0.15">
      <c r="B571" s="72">
        <v>141</v>
      </c>
      <c r="C571" s="73">
        <v>44985.14</v>
      </c>
      <c r="D571" s="72">
        <v>31179</v>
      </c>
      <c r="E571" s="72">
        <v>45321.332640000001</v>
      </c>
      <c r="F571" s="72">
        <v>624158</v>
      </c>
      <c r="G571" s="72" t="s">
        <v>1293</v>
      </c>
      <c r="H571" s="72" t="s">
        <v>1141</v>
      </c>
    </row>
    <row r="572" spans="2:8" ht="14" x14ac:dyDescent="0.15">
      <c r="B572" s="72">
        <v>241</v>
      </c>
      <c r="C572" s="73">
        <v>11396.83</v>
      </c>
      <c r="D572" s="72">
        <v>31179</v>
      </c>
      <c r="E572" s="72">
        <v>45321.332640000001</v>
      </c>
      <c r="F572" s="72">
        <v>624158</v>
      </c>
      <c r="G572" s="72" t="s">
        <v>1293</v>
      </c>
      <c r="H572" s="72" t="s">
        <v>1141</v>
      </c>
    </row>
    <row r="573" spans="2:8" ht="14" x14ac:dyDescent="0.15">
      <c r="B573" s="72">
        <v>731</v>
      </c>
      <c r="C573" s="73">
        <v>13656.72</v>
      </c>
      <c r="D573" s="72">
        <v>31179</v>
      </c>
      <c r="E573" s="72">
        <v>45321.332640000001</v>
      </c>
      <c r="F573" s="72">
        <v>624158</v>
      </c>
      <c r="G573" s="72" t="s">
        <v>1293</v>
      </c>
      <c r="H573" s="72" t="s">
        <v>1141</v>
      </c>
    </row>
    <row r="574" spans="2:8" ht="14" x14ac:dyDescent="0.15">
      <c r="B574" s="72">
        <v>761</v>
      </c>
      <c r="C574" s="73">
        <v>8858.8799999999992</v>
      </c>
      <c r="D574" s="72">
        <v>31179</v>
      </c>
      <c r="E574" s="72">
        <v>45321.332640000001</v>
      </c>
      <c r="F574" s="72">
        <v>624158</v>
      </c>
      <c r="G574" s="72" t="s">
        <v>1293</v>
      </c>
      <c r="H574" s="72" t="s">
        <v>1141</v>
      </c>
    </row>
    <row r="575" spans="2:8" ht="14" x14ac:dyDescent="0.15">
      <c r="B575" s="72">
        <v>211</v>
      </c>
      <c r="C575" s="73">
        <v>21825.96</v>
      </c>
      <c r="D575" s="72">
        <v>31179</v>
      </c>
      <c r="E575" s="72">
        <v>45321.332640000001</v>
      </c>
      <c r="F575" s="72">
        <v>624159</v>
      </c>
      <c r="G575" s="72" t="s">
        <v>1293</v>
      </c>
      <c r="H575" s="72" t="s">
        <v>1141</v>
      </c>
    </row>
    <row r="576" spans="2:8" ht="14" x14ac:dyDescent="0.15">
      <c r="B576" s="72">
        <v>213</v>
      </c>
      <c r="C576" s="73">
        <v>20250</v>
      </c>
      <c r="D576" s="72">
        <v>31179</v>
      </c>
      <c r="E576" s="72">
        <v>45321.332640000001</v>
      </c>
      <c r="F576" s="72">
        <v>624159</v>
      </c>
      <c r="G576" s="72" t="s">
        <v>1293</v>
      </c>
      <c r="H576" s="72" t="s">
        <v>1141</v>
      </c>
    </row>
    <row r="577" spans="2:8" ht="14" x14ac:dyDescent="0.15">
      <c r="B577" s="72">
        <v>231</v>
      </c>
      <c r="C577" s="73">
        <v>4019.75</v>
      </c>
      <c r="D577" s="72">
        <v>31179</v>
      </c>
      <c r="E577" s="72">
        <v>45321.332640000001</v>
      </c>
      <c r="F577" s="72">
        <v>624159</v>
      </c>
      <c r="G577" s="72" t="s">
        <v>1293</v>
      </c>
      <c r="H577" s="72" t="s">
        <v>1141</v>
      </c>
    </row>
    <row r="578" spans="2:8" ht="14" x14ac:dyDescent="0.15">
      <c r="B578" s="72">
        <v>421</v>
      </c>
      <c r="C578" s="73">
        <v>5119.5</v>
      </c>
      <c r="D578" s="72">
        <v>31179</v>
      </c>
      <c r="E578" s="72">
        <v>45321.332640000001</v>
      </c>
      <c r="F578" s="72">
        <v>624160</v>
      </c>
      <c r="G578" s="72" t="s">
        <v>1293</v>
      </c>
      <c r="H578" s="72" t="s">
        <v>1141</v>
      </c>
    </row>
    <row r="579" spans="2:8" ht="14" x14ac:dyDescent="0.15">
      <c r="B579" s="72">
        <v>431</v>
      </c>
      <c r="C579" s="73">
        <v>22273.61</v>
      </c>
      <c r="D579" s="72">
        <v>31179</v>
      </c>
      <c r="E579" s="72">
        <v>45321.332640000001</v>
      </c>
      <c r="F579" s="72">
        <v>624160</v>
      </c>
      <c r="G579" s="72" t="s">
        <v>1293</v>
      </c>
      <c r="H579" s="72" t="s">
        <v>1141</v>
      </c>
    </row>
    <row r="580" spans="2:8" ht="14" x14ac:dyDescent="0.15">
      <c r="B580" s="72">
        <v>441</v>
      </c>
      <c r="C580" s="73">
        <v>1148.7</v>
      </c>
      <c r="D580" s="72">
        <v>31179</v>
      </c>
      <c r="E580" s="72">
        <v>45321.332640000001</v>
      </c>
      <c r="F580" s="72">
        <v>624160</v>
      </c>
      <c r="G580" s="72" t="s">
        <v>1293</v>
      </c>
      <c r="H580" s="72" t="s">
        <v>1141</v>
      </c>
    </row>
    <row r="581" spans="2:8" ht="14" x14ac:dyDescent="0.15">
      <c r="B581" s="72">
        <v>443</v>
      </c>
      <c r="C581" s="73">
        <v>12655</v>
      </c>
      <c r="D581" s="72">
        <v>31179</v>
      </c>
      <c r="E581" s="72">
        <v>45321.332640000001</v>
      </c>
      <c r="F581" s="72">
        <v>624160</v>
      </c>
      <c r="G581" s="72" t="s">
        <v>1293</v>
      </c>
      <c r="H581" s="72" t="s">
        <v>1141</v>
      </c>
    </row>
    <row r="582" spans="2:8" ht="14" x14ac:dyDescent="0.15">
      <c r="B582" s="72" t="s">
        <v>161</v>
      </c>
      <c r="C582" s="72">
        <v>727.07</v>
      </c>
      <c r="D582" s="72">
        <v>31179</v>
      </c>
      <c r="E582" s="72">
        <v>45321.332640000001</v>
      </c>
      <c r="F582" s="72">
        <v>624160</v>
      </c>
      <c r="G582" s="72" t="s">
        <v>1293</v>
      </c>
      <c r="H582" s="72" t="s">
        <v>1141</v>
      </c>
    </row>
    <row r="583" spans="2:8" ht="14" x14ac:dyDescent="0.15">
      <c r="B583" s="72" t="s">
        <v>49</v>
      </c>
      <c r="C583" s="73">
        <v>9105.6</v>
      </c>
      <c r="D583" s="72">
        <v>31179</v>
      </c>
      <c r="E583" s="72">
        <v>45321.332640000001</v>
      </c>
      <c r="F583" s="72">
        <v>624160</v>
      </c>
      <c r="G583" s="72" t="s">
        <v>1293</v>
      </c>
      <c r="H583" s="72" t="s">
        <v>1141</v>
      </c>
    </row>
    <row r="584" spans="2:8" ht="14" x14ac:dyDescent="0.15">
      <c r="B584" s="72">
        <v>711</v>
      </c>
      <c r="C584" s="73">
        <v>12132.12</v>
      </c>
      <c r="D584" s="72">
        <v>31179</v>
      </c>
      <c r="E584" s="72">
        <v>45321.332640000001</v>
      </c>
      <c r="F584" s="72">
        <v>624161</v>
      </c>
      <c r="G584" s="72" t="s">
        <v>1293</v>
      </c>
      <c r="H584" s="72" t="s">
        <v>1141</v>
      </c>
    </row>
    <row r="585" spans="2:8" ht="14" x14ac:dyDescent="0.15">
      <c r="B585" s="72">
        <v>713</v>
      </c>
      <c r="C585" s="73">
        <v>27127.68</v>
      </c>
      <c r="D585" s="72">
        <v>31179</v>
      </c>
      <c r="E585" s="72">
        <v>45321.332640000001</v>
      </c>
      <c r="F585" s="72">
        <v>624161</v>
      </c>
      <c r="G585" s="72" t="s">
        <v>1293</v>
      </c>
      <c r="H585" s="72" t="s">
        <v>1141</v>
      </c>
    </row>
    <row r="586" spans="2:8" ht="14" x14ac:dyDescent="0.15">
      <c r="B586" s="72" t="s">
        <v>49</v>
      </c>
      <c r="C586" s="72">
        <v>135.76</v>
      </c>
      <c r="D586" s="72">
        <v>31179</v>
      </c>
      <c r="E586" s="72">
        <v>45321.332640000001</v>
      </c>
      <c r="F586" s="72">
        <v>624161</v>
      </c>
      <c r="G586" s="72" t="s">
        <v>1293</v>
      </c>
      <c r="H586" s="72" t="s">
        <v>1141</v>
      </c>
    </row>
    <row r="587" spans="2:8" ht="14" x14ac:dyDescent="0.15">
      <c r="B587" s="72" t="s">
        <v>119</v>
      </c>
      <c r="C587" s="72">
        <v>24.85</v>
      </c>
      <c r="D587" s="72">
        <v>31179</v>
      </c>
      <c r="E587" s="72">
        <v>45321.332640000001</v>
      </c>
      <c r="F587" s="72">
        <v>624161</v>
      </c>
      <c r="G587" s="72" t="s">
        <v>1293</v>
      </c>
      <c r="H587" s="72" t="s">
        <v>1141</v>
      </c>
    </row>
    <row r="588" spans="2:8" ht="14" x14ac:dyDescent="0.15">
      <c r="B588" s="72" t="s">
        <v>120</v>
      </c>
      <c r="C588" s="72">
        <v>5.61</v>
      </c>
      <c r="D588" s="72">
        <v>31179</v>
      </c>
      <c r="E588" s="72">
        <v>45321.332640000001</v>
      </c>
      <c r="F588" s="72">
        <v>624161</v>
      </c>
      <c r="G588" s="72" t="s">
        <v>1293</v>
      </c>
      <c r="H588" s="72" t="s">
        <v>1141</v>
      </c>
    </row>
    <row r="589" spans="2:8" ht="14" x14ac:dyDescent="0.15">
      <c r="B589" s="72">
        <v>3</v>
      </c>
      <c r="C589" s="72">
        <v>131.28</v>
      </c>
      <c r="D589" s="72">
        <v>31179</v>
      </c>
      <c r="E589" s="72">
        <v>45321.332640000001</v>
      </c>
      <c r="F589" s="72">
        <v>624162</v>
      </c>
      <c r="G589" s="72" t="s">
        <v>1293</v>
      </c>
      <c r="H589" s="72" t="s">
        <v>1141</v>
      </c>
    </row>
    <row r="590" spans="2:8" ht="14" x14ac:dyDescent="0.15">
      <c r="B590" s="72">
        <v>733</v>
      </c>
      <c r="C590" s="72">
        <v>425.5</v>
      </c>
      <c r="D590" s="72">
        <v>31179</v>
      </c>
      <c r="E590" s="72">
        <v>45321.332640000001</v>
      </c>
      <c r="F590" s="72">
        <v>624162</v>
      </c>
      <c r="G590" s="72" t="s">
        <v>1293</v>
      </c>
      <c r="H590" s="72" t="s">
        <v>1141</v>
      </c>
    </row>
    <row r="591" spans="2:8" ht="14" x14ac:dyDescent="0.15">
      <c r="B591" s="72">
        <v>751</v>
      </c>
      <c r="C591" s="73">
        <v>11728.38</v>
      </c>
      <c r="D591" s="72">
        <v>31179</v>
      </c>
      <c r="E591" s="72">
        <v>45321.332640000001</v>
      </c>
      <c r="F591" s="72">
        <v>624162</v>
      </c>
      <c r="G591" s="72" t="s">
        <v>1293</v>
      </c>
      <c r="H591" s="72" t="s">
        <v>1141</v>
      </c>
    </row>
    <row r="592" spans="2:8" ht="14" x14ac:dyDescent="0.15">
      <c r="B592" s="72">
        <v>753</v>
      </c>
      <c r="C592" s="73">
        <v>51954.5</v>
      </c>
      <c r="D592" s="72">
        <v>31179</v>
      </c>
      <c r="E592" s="72">
        <v>45321.332640000001</v>
      </c>
      <c r="F592" s="72">
        <v>624162</v>
      </c>
      <c r="G592" s="72" t="s">
        <v>1293</v>
      </c>
      <c r="H592" s="72" t="s">
        <v>1141</v>
      </c>
    </row>
    <row r="593" spans="2:8" ht="14" x14ac:dyDescent="0.15">
      <c r="B593" s="72" t="s">
        <v>161</v>
      </c>
      <c r="C593" s="72">
        <v>834</v>
      </c>
      <c r="D593" s="72">
        <v>31179</v>
      </c>
      <c r="E593" s="72">
        <v>45321.332640000001</v>
      </c>
      <c r="F593" s="72">
        <v>624162</v>
      </c>
      <c r="G593" s="72" t="s">
        <v>1293</v>
      </c>
      <c r="H593" s="72" t="s">
        <v>1141</v>
      </c>
    </row>
    <row r="594" spans="2:8" ht="14" x14ac:dyDescent="0.15">
      <c r="B594" s="72" t="s">
        <v>49</v>
      </c>
      <c r="C594" s="72">
        <v>161.44999999999999</v>
      </c>
      <c r="D594" s="72">
        <v>31179</v>
      </c>
      <c r="E594" s="72">
        <v>45321.332640000001</v>
      </c>
      <c r="F594" s="72">
        <v>624162</v>
      </c>
      <c r="G594" s="72" t="s">
        <v>1293</v>
      </c>
      <c r="H594" s="72" t="s">
        <v>1141</v>
      </c>
    </row>
    <row r="595" spans="2:8" ht="14" x14ac:dyDescent="0.15">
      <c r="B595" s="72" t="s">
        <v>119</v>
      </c>
      <c r="C595" s="73">
        <v>365445.67</v>
      </c>
      <c r="D595" s="72">
        <v>31179</v>
      </c>
      <c r="E595" s="72">
        <v>45321.332640000001</v>
      </c>
      <c r="F595" s="72">
        <v>624162</v>
      </c>
      <c r="G595" s="72" t="s">
        <v>1293</v>
      </c>
      <c r="H595" s="72" t="s">
        <v>1141</v>
      </c>
    </row>
    <row r="596" spans="2:8" ht="14" x14ac:dyDescent="0.15">
      <c r="B596" s="72">
        <v>3</v>
      </c>
      <c r="C596" s="72">
        <v>919.23</v>
      </c>
      <c r="D596" s="72">
        <v>31179</v>
      </c>
      <c r="E596" s="72">
        <v>45321.332640000001</v>
      </c>
      <c r="F596" s="72">
        <v>624163</v>
      </c>
      <c r="G596" s="72" t="s">
        <v>1293</v>
      </c>
      <c r="H596" s="72" t="s">
        <v>1141</v>
      </c>
    </row>
    <row r="597" spans="2:8" ht="14" x14ac:dyDescent="0.15">
      <c r="B597" s="72">
        <v>723</v>
      </c>
      <c r="C597" s="73">
        <v>141948.12</v>
      </c>
      <c r="D597" s="72">
        <v>31179</v>
      </c>
      <c r="E597" s="72">
        <v>45321.332640000001</v>
      </c>
      <c r="F597" s="72">
        <v>624163</v>
      </c>
      <c r="G597" s="72" t="s">
        <v>1293</v>
      </c>
      <c r="H597" s="72" t="s">
        <v>1141</v>
      </c>
    </row>
    <row r="598" spans="2:8" ht="14" x14ac:dyDescent="0.15">
      <c r="B598" s="72">
        <v>733</v>
      </c>
      <c r="C598" s="73">
        <v>1442</v>
      </c>
      <c r="D598" s="72">
        <v>31179</v>
      </c>
      <c r="E598" s="72">
        <v>45321.332640000001</v>
      </c>
      <c r="F598" s="72">
        <v>624163</v>
      </c>
      <c r="G598" s="72" t="s">
        <v>1293</v>
      </c>
      <c r="H598" s="72" t="s">
        <v>1141</v>
      </c>
    </row>
    <row r="599" spans="2:8" ht="14" x14ac:dyDescent="0.15">
      <c r="B599" s="72" t="s">
        <v>161</v>
      </c>
      <c r="C599" s="73">
        <v>432157.98</v>
      </c>
      <c r="D599" s="72">
        <v>31179</v>
      </c>
      <c r="E599" s="72">
        <v>45321.332640000001</v>
      </c>
      <c r="F599" s="72">
        <v>624163</v>
      </c>
      <c r="G599" s="72" t="s">
        <v>1293</v>
      </c>
      <c r="H599" s="72" t="s">
        <v>1141</v>
      </c>
    </row>
    <row r="600" spans="2:8" ht="14" x14ac:dyDescent="0.15">
      <c r="B600" s="72" t="s">
        <v>49</v>
      </c>
      <c r="C600" s="73">
        <v>139834.76999999999</v>
      </c>
      <c r="D600" s="72">
        <v>31179</v>
      </c>
      <c r="E600" s="72">
        <v>45321.332640000001</v>
      </c>
      <c r="F600" s="72">
        <v>624163</v>
      </c>
      <c r="G600" s="72" t="s">
        <v>1293</v>
      </c>
      <c r="H600" s="72" t="s">
        <v>1141</v>
      </c>
    </row>
    <row r="601" spans="2:8" ht="14" x14ac:dyDescent="0.15">
      <c r="B601" s="72" t="s">
        <v>119</v>
      </c>
      <c r="C601" s="73">
        <v>15200</v>
      </c>
      <c r="D601" s="72">
        <v>31179</v>
      </c>
      <c r="E601" s="72">
        <v>45321.332640000001</v>
      </c>
      <c r="F601" s="72">
        <v>624163</v>
      </c>
      <c r="G601" s="72" t="s">
        <v>1293</v>
      </c>
      <c r="H601" s="72" t="s">
        <v>1141</v>
      </c>
    </row>
    <row r="602" spans="2:8" ht="14" x14ac:dyDescent="0.15">
      <c r="B602" s="72">
        <v>543</v>
      </c>
      <c r="C602" s="72">
        <v>48</v>
      </c>
      <c r="D602" s="72">
        <v>31179</v>
      </c>
      <c r="E602" s="72">
        <v>45321.332640000001</v>
      </c>
      <c r="F602" s="72">
        <v>624164</v>
      </c>
      <c r="G602" s="72" t="s">
        <v>1293</v>
      </c>
      <c r="H602" s="72" t="s">
        <v>1141</v>
      </c>
    </row>
    <row r="603" spans="2:8" ht="14" x14ac:dyDescent="0.15">
      <c r="B603" s="72">
        <v>731</v>
      </c>
      <c r="C603" s="73">
        <v>41423.760000000002</v>
      </c>
      <c r="D603" s="72">
        <v>31179</v>
      </c>
      <c r="E603" s="72">
        <v>45321.332640000001</v>
      </c>
      <c r="F603" s="72">
        <v>624164</v>
      </c>
      <c r="G603" s="72" t="s">
        <v>1293</v>
      </c>
      <c r="H603" s="72" t="s">
        <v>1141</v>
      </c>
    </row>
    <row r="604" spans="2:8" ht="14" x14ac:dyDescent="0.15">
      <c r="B604" s="72">
        <v>733</v>
      </c>
      <c r="C604" s="73">
        <v>20457.09</v>
      </c>
      <c r="D604" s="72">
        <v>31179</v>
      </c>
      <c r="E604" s="72">
        <v>45321.332640000001</v>
      </c>
      <c r="F604" s="72">
        <v>624164</v>
      </c>
      <c r="G604" s="72" t="s">
        <v>1293</v>
      </c>
      <c r="H604" s="72" t="s">
        <v>1141</v>
      </c>
    </row>
    <row r="605" spans="2:8" ht="14" x14ac:dyDescent="0.15">
      <c r="B605" s="72" t="s">
        <v>49</v>
      </c>
      <c r="C605" s="73">
        <v>9110.7800000000007</v>
      </c>
      <c r="D605" s="72">
        <v>31179</v>
      </c>
      <c r="E605" s="72">
        <v>45321.332640000001</v>
      </c>
      <c r="F605" s="72">
        <v>624164</v>
      </c>
      <c r="G605" s="72" t="s">
        <v>1293</v>
      </c>
      <c r="H605" s="72" t="s">
        <v>1141</v>
      </c>
    </row>
    <row r="606" spans="2:8" ht="14" x14ac:dyDescent="0.15">
      <c r="B606" s="72" t="s">
        <v>119</v>
      </c>
      <c r="C606" s="72">
        <v>872.84</v>
      </c>
      <c r="D606" s="72">
        <v>31179</v>
      </c>
      <c r="E606" s="72">
        <v>45321.332640000001</v>
      </c>
      <c r="F606" s="72">
        <v>624164</v>
      </c>
      <c r="G606" s="72" t="s">
        <v>1293</v>
      </c>
      <c r="H606" s="72" t="s">
        <v>1141</v>
      </c>
    </row>
    <row r="607" spans="2:8" ht="14" x14ac:dyDescent="0.15">
      <c r="B607" s="72" t="s">
        <v>120</v>
      </c>
      <c r="C607" s="72">
        <v>63.26</v>
      </c>
      <c r="D607" s="72">
        <v>31179</v>
      </c>
      <c r="E607" s="72">
        <v>45321.332640000001</v>
      </c>
      <c r="F607" s="72">
        <v>624164</v>
      </c>
      <c r="G607" s="72" t="s">
        <v>1293</v>
      </c>
      <c r="H607" s="72" t="s">
        <v>1141</v>
      </c>
    </row>
    <row r="608" spans="2:8" ht="14" x14ac:dyDescent="0.15">
      <c r="B608" s="72" t="s">
        <v>49</v>
      </c>
      <c r="C608" s="73">
        <v>1447476.34</v>
      </c>
      <c r="D608" s="72">
        <v>31179</v>
      </c>
      <c r="E608" s="72">
        <v>45321.332640000001</v>
      </c>
      <c r="F608" s="72">
        <v>624165</v>
      </c>
      <c r="G608" s="72" t="s">
        <v>1293</v>
      </c>
      <c r="H608" s="72" t="s">
        <v>1141</v>
      </c>
    </row>
    <row r="609" spans="2:8" ht="14" x14ac:dyDescent="0.15">
      <c r="B609" s="72" t="s">
        <v>120</v>
      </c>
      <c r="C609" s="73">
        <v>147687.37</v>
      </c>
      <c r="D609" s="72">
        <v>31179</v>
      </c>
      <c r="E609" s="72">
        <v>45321.332640000001</v>
      </c>
      <c r="F609" s="72">
        <v>624165</v>
      </c>
      <c r="G609" s="72" t="s">
        <v>1293</v>
      </c>
      <c r="H609" s="72" t="s">
        <v>1141</v>
      </c>
    </row>
    <row r="610" spans="2:8" ht="14" x14ac:dyDescent="0.15">
      <c r="B610" s="72">
        <v>521</v>
      </c>
      <c r="C610" s="73">
        <v>4098.6400000000003</v>
      </c>
      <c r="D610" s="72">
        <v>31179</v>
      </c>
      <c r="E610" s="72">
        <v>45321.332640000001</v>
      </c>
      <c r="F610" s="72">
        <v>624294</v>
      </c>
      <c r="G610" s="72" t="s">
        <v>1293</v>
      </c>
      <c r="H610" s="72" t="s">
        <v>1141</v>
      </c>
    </row>
    <row r="611" spans="2:8" ht="14" x14ac:dyDescent="0.15">
      <c r="B611" s="72">
        <v>523</v>
      </c>
      <c r="C611" s="73">
        <v>5510.5</v>
      </c>
      <c r="D611" s="72">
        <v>31179</v>
      </c>
      <c r="E611" s="72">
        <v>45321.332640000001</v>
      </c>
      <c r="F611" s="72">
        <v>624294</v>
      </c>
      <c r="G611" s="72" t="s">
        <v>1293</v>
      </c>
      <c r="H611" s="72" t="s">
        <v>1141</v>
      </c>
    </row>
    <row r="612" spans="2:8" ht="14" x14ac:dyDescent="0.15">
      <c r="B612" s="72">
        <v>533</v>
      </c>
      <c r="C612" s="73">
        <v>38150.5</v>
      </c>
      <c r="D612" s="72">
        <v>31179</v>
      </c>
      <c r="E612" s="72">
        <v>45321.332640000001</v>
      </c>
      <c r="F612" s="72">
        <v>624294</v>
      </c>
      <c r="G612" s="72" t="s">
        <v>1293</v>
      </c>
      <c r="H612" s="72" t="s">
        <v>1141</v>
      </c>
    </row>
    <row r="613" spans="2:8" ht="14" x14ac:dyDescent="0.15">
      <c r="B613" s="72">
        <v>543</v>
      </c>
      <c r="C613" s="73">
        <v>18109.7</v>
      </c>
      <c r="D613" s="72">
        <v>31179</v>
      </c>
      <c r="E613" s="72">
        <v>45321.332640000001</v>
      </c>
      <c r="F613" s="72">
        <v>624294</v>
      </c>
      <c r="G613" s="72" t="s">
        <v>1293</v>
      </c>
      <c r="H613" s="72" t="s">
        <v>1141</v>
      </c>
    </row>
    <row r="614" spans="2:8" ht="14" x14ac:dyDescent="0.15">
      <c r="B614" s="72" t="s">
        <v>112</v>
      </c>
      <c r="C614" s="73">
        <v>12240</v>
      </c>
      <c r="D614" s="72">
        <v>31179</v>
      </c>
      <c r="E614" s="72">
        <v>45321.332640000001</v>
      </c>
      <c r="F614" s="72">
        <v>624294</v>
      </c>
      <c r="G614" s="72" t="s">
        <v>1293</v>
      </c>
      <c r="H614" s="72" t="s">
        <v>1141</v>
      </c>
    </row>
    <row r="615" spans="2:8" ht="14" x14ac:dyDescent="0.15">
      <c r="B615" s="72" t="s">
        <v>113</v>
      </c>
      <c r="C615" s="73">
        <v>19374</v>
      </c>
      <c r="D615" s="72">
        <v>31179</v>
      </c>
      <c r="E615" s="72">
        <v>45321.332640000001</v>
      </c>
      <c r="F615" s="72">
        <v>624294</v>
      </c>
      <c r="G615" s="72" t="s">
        <v>1293</v>
      </c>
      <c r="H615" s="72" t="s">
        <v>1141</v>
      </c>
    </row>
    <row r="616" spans="2:8" ht="14" x14ac:dyDescent="0.15">
      <c r="B616" s="72" t="s">
        <v>120</v>
      </c>
      <c r="C616" s="73">
        <v>2289.09</v>
      </c>
      <c r="D616" s="72">
        <v>31179</v>
      </c>
      <c r="E616" s="72">
        <v>45321.332640000001</v>
      </c>
      <c r="F616" s="72">
        <v>624294</v>
      </c>
      <c r="G616" s="72" t="s">
        <v>1293</v>
      </c>
      <c r="H616" s="72" t="s">
        <v>1141</v>
      </c>
    </row>
    <row r="617" spans="2:8" ht="14" x14ac:dyDescent="0.15">
      <c r="B617" s="72">
        <v>123</v>
      </c>
      <c r="C617" s="73">
        <v>7600</v>
      </c>
      <c r="D617" s="72">
        <v>31179</v>
      </c>
      <c r="E617" s="72">
        <v>45321.332640000001</v>
      </c>
      <c r="F617" s="72">
        <v>624295</v>
      </c>
      <c r="G617" s="72" t="s">
        <v>1293</v>
      </c>
      <c r="H617" s="72" t="s">
        <v>1141</v>
      </c>
    </row>
    <row r="618" spans="2:8" ht="14" x14ac:dyDescent="0.15">
      <c r="B618" s="72">
        <v>521</v>
      </c>
      <c r="C618" s="73">
        <v>3378</v>
      </c>
      <c r="D618" s="72">
        <v>31179</v>
      </c>
      <c r="E618" s="72">
        <v>45321.332640000001</v>
      </c>
      <c r="F618" s="72">
        <v>624295</v>
      </c>
      <c r="G618" s="72" t="s">
        <v>1293</v>
      </c>
      <c r="H618" s="72" t="s">
        <v>1141</v>
      </c>
    </row>
    <row r="619" spans="2:8" ht="14" x14ac:dyDescent="0.15">
      <c r="B619" s="72">
        <v>523</v>
      </c>
      <c r="C619" s="73">
        <v>22958</v>
      </c>
      <c r="D619" s="72">
        <v>31179</v>
      </c>
      <c r="E619" s="72">
        <v>45321.332640000001</v>
      </c>
      <c r="F619" s="72">
        <v>624295</v>
      </c>
      <c r="G619" s="72" t="s">
        <v>1293</v>
      </c>
      <c r="H619" s="72" t="s">
        <v>1141</v>
      </c>
    </row>
    <row r="620" spans="2:8" ht="14" x14ac:dyDescent="0.15">
      <c r="B620" s="72">
        <v>531</v>
      </c>
      <c r="C620" s="72">
        <v>415.5</v>
      </c>
      <c r="D620" s="72">
        <v>31179</v>
      </c>
      <c r="E620" s="72">
        <v>45321.332640000001</v>
      </c>
      <c r="F620" s="72">
        <v>624295</v>
      </c>
      <c r="G620" s="72" t="s">
        <v>1293</v>
      </c>
      <c r="H620" s="72" t="s">
        <v>1141</v>
      </c>
    </row>
    <row r="621" spans="2:8" ht="14" x14ac:dyDescent="0.15">
      <c r="B621" s="72">
        <v>533</v>
      </c>
      <c r="C621" s="73">
        <v>15200</v>
      </c>
      <c r="D621" s="72">
        <v>31179</v>
      </c>
      <c r="E621" s="72">
        <v>45321.332640000001</v>
      </c>
      <c r="F621" s="72">
        <v>624295</v>
      </c>
      <c r="G621" s="72" t="s">
        <v>1293</v>
      </c>
      <c r="H621" s="72" t="s">
        <v>1141</v>
      </c>
    </row>
    <row r="622" spans="2:8" ht="14" x14ac:dyDescent="0.15">
      <c r="B622" s="72">
        <v>543</v>
      </c>
      <c r="C622" s="73">
        <v>18649.240000000002</v>
      </c>
      <c r="D622" s="72">
        <v>31179</v>
      </c>
      <c r="E622" s="72">
        <v>45321.332640000001</v>
      </c>
      <c r="F622" s="72">
        <v>624295</v>
      </c>
      <c r="G622" s="72" t="s">
        <v>1293</v>
      </c>
      <c r="H622" s="72" t="s">
        <v>1141</v>
      </c>
    </row>
    <row r="623" spans="2:8" ht="14" x14ac:dyDescent="0.15">
      <c r="B623" s="72" t="s">
        <v>120</v>
      </c>
      <c r="C623" s="73">
        <v>1799.08</v>
      </c>
      <c r="D623" s="72">
        <v>31179</v>
      </c>
      <c r="E623" s="72">
        <v>45321.332640000001</v>
      </c>
      <c r="F623" s="72">
        <v>624295</v>
      </c>
      <c r="G623" s="72" t="s">
        <v>1293</v>
      </c>
      <c r="H623" s="72" t="s">
        <v>1141</v>
      </c>
    </row>
    <row r="624" spans="2:8" ht="14" x14ac:dyDescent="0.15">
      <c r="B624" s="72">
        <v>221</v>
      </c>
      <c r="C624" s="73">
        <v>1270.7</v>
      </c>
      <c r="D624" s="72">
        <v>31179</v>
      </c>
      <c r="E624" s="72">
        <v>45321.332640000001</v>
      </c>
      <c r="F624" s="72">
        <v>634186</v>
      </c>
      <c r="G624" s="72" t="s">
        <v>1293</v>
      </c>
      <c r="H624" s="72" t="s">
        <v>1141</v>
      </c>
    </row>
    <row r="625" spans="2:8" ht="14" x14ac:dyDescent="0.15">
      <c r="B625" s="72">
        <v>223</v>
      </c>
      <c r="C625" s="73">
        <v>54195.7</v>
      </c>
      <c r="D625" s="72">
        <v>31179</v>
      </c>
      <c r="E625" s="72">
        <v>45321.332640000001</v>
      </c>
      <c r="F625" s="72">
        <v>634186</v>
      </c>
      <c r="G625" s="72" t="s">
        <v>1293</v>
      </c>
      <c r="H625" s="72" t="s">
        <v>1141</v>
      </c>
    </row>
    <row r="626" spans="2:8" ht="14" x14ac:dyDescent="0.15">
      <c r="B626" s="72">
        <v>241</v>
      </c>
      <c r="C626" s="73">
        <v>2815.01</v>
      </c>
      <c r="D626" s="72">
        <v>31179</v>
      </c>
      <c r="E626" s="72">
        <v>45321.332640000001</v>
      </c>
      <c r="F626" s="72">
        <v>634186</v>
      </c>
      <c r="G626" s="72" t="s">
        <v>1293</v>
      </c>
      <c r="H626" s="72" t="s">
        <v>1141</v>
      </c>
    </row>
    <row r="627" spans="2:8" ht="14" x14ac:dyDescent="0.15">
      <c r="B627" s="72">
        <v>243</v>
      </c>
      <c r="C627" s="73">
        <v>18620</v>
      </c>
      <c r="D627" s="72">
        <v>31179</v>
      </c>
      <c r="E627" s="72">
        <v>45321.332640000001</v>
      </c>
      <c r="F627" s="72">
        <v>634186</v>
      </c>
      <c r="G627" s="72" t="s">
        <v>1293</v>
      </c>
      <c r="H627" s="72" t="s">
        <v>1141</v>
      </c>
    </row>
    <row r="628" spans="2:8" ht="14" x14ac:dyDescent="0.15">
      <c r="B628" s="72">
        <v>311</v>
      </c>
      <c r="C628" s="72">
        <v>444.28</v>
      </c>
      <c r="D628" s="72">
        <v>31179</v>
      </c>
      <c r="E628" s="72">
        <v>45321.332640000001</v>
      </c>
      <c r="F628" s="72">
        <v>634187</v>
      </c>
      <c r="G628" s="72" t="s">
        <v>1293</v>
      </c>
      <c r="H628" s="72" t="s">
        <v>1141</v>
      </c>
    </row>
    <row r="629" spans="2:8" ht="14" x14ac:dyDescent="0.15">
      <c r="B629" s="72">
        <v>313</v>
      </c>
      <c r="C629" s="73">
        <v>29570</v>
      </c>
      <c r="D629" s="72">
        <v>31179</v>
      </c>
      <c r="E629" s="72">
        <v>45321.332640000001</v>
      </c>
      <c r="F629" s="72">
        <v>634187</v>
      </c>
      <c r="G629" s="72" t="s">
        <v>1293</v>
      </c>
      <c r="H629" s="72" t="s">
        <v>1141</v>
      </c>
    </row>
    <row r="630" spans="2:8" ht="14" x14ac:dyDescent="0.15">
      <c r="B630" s="72">
        <v>1</v>
      </c>
      <c r="C630" s="72">
        <v>236.01</v>
      </c>
      <c r="D630" s="72">
        <v>31179</v>
      </c>
      <c r="E630" s="72">
        <v>45321.332640000001</v>
      </c>
      <c r="F630" s="72">
        <v>634188</v>
      </c>
      <c r="G630" s="72" t="s">
        <v>1293</v>
      </c>
      <c r="H630" s="72" t="s">
        <v>1141</v>
      </c>
    </row>
    <row r="631" spans="2:8" ht="14" x14ac:dyDescent="0.15">
      <c r="B631" s="72">
        <v>3</v>
      </c>
      <c r="C631" s="73">
        <v>1960.15</v>
      </c>
      <c r="D631" s="72">
        <v>31179</v>
      </c>
      <c r="E631" s="72">
        <v>45321.332640000001</v>
      </c>
      <c r="F631" s="72">
        <v>634188</v>
      </c>
      <c r="G631" s="72" t="s">
        <v>1293</v>
      </c>
      <c r="H631" s="72" t="s">
        <v>1141</v>
      </c>
    </row>
    <row r="632" spans="2:8" ht="14" x14ac:dyDescent="0.15">
      <c r="B632" s="72">
        <v>543</v>
      </c>
      <c r="C632" s="72">
        <v>793</v>
      </c>
      <c r="D632" s="72">
        <v>31179</v>
      </c>
      <c r="E632" s="72">
        <v>45321.332640000001</v>
      </c>
      <c r="F632" s="72">
        <v>634188</v>
      </c>
      <c r="G632" s="72" t="s">
        <v>1293</v>
      </c>
      <c r="H632" s="72" t="s">
        <v>1141</v>
      </c>
    </row>
    <row r="633" spans="2:8" ht="14" x14ac:dyDescent="0.15">
      <c r="B633" s="72">
        <v>731</v>
      </c>
      <c r="C633" s="73">
        <v>31032.03</v>
      </c>
      <c r="D633" s="72">
        <v>31179</v>
      </c>
      <c r="E633" s="72">
        <v>45321.332640000001</v>
      </c>
      <c r="F633" s="72">
        <v>634188</v>
      </c>
      <c r="G633" s="72" t="s">
        <v>1293</v>
      </c>
      <c r="H633" s="72" t="s">
        <v>1141</v>
      </c>
    </row>
    <row r="634" spans="2:8" ht="14" x14ac:dyDescent="0.15">
      <c r="B634" s="72">
        <v>733</v>
      </c>
      <c r="C634" s="73">
        <v>26729.85</v>
      </c>
      <c r="D634" s="72">
        <v>31179</v>
      </c>
      <c r="E634" s="72">
        <v>45321.332640000001</v>
      </c>
      <c r="F634" s="72">
        <v>634188</v>
      </c>
      <c r="G634" s="72" t="s">
        <v>1293</v>
      </c>
      <c r="H634" s="72" t="s">
        <v>1141</v>
      </c>
    </row>
    <row r="635" spans="2:8" ht="14" x14ac:dyDescent="0.15">
      <c r="B635" s="72">
        <v>761</v>
      </c>
      <c r="C635" s="73">
        <v>17186.89</v>
      </c>
      <c r="D635" s="72">
        <v>31179</v>
      </c>
      <c r="E635" s="72">
        <v>45321.332640000001</v>
      </c>
      <c r="F635" s="72">
        <v>634188</v>
      </c>
      <c r="G635" s="72" t="s">
        <v>1293</v>
      </c>
      <c r="H635" s="72" t="s">
        <v>1141</v>
      </c>
    </row>
    <row r="636" spans="2:8" ht="14" x14ac:dyDescent="0.15">
      <c r="B636" s="72">
        <v>763</v>
      </c>
      <c r="C636" s="73">
        <v>67589.600000000006</v>
      </c>
      <c r="D636" s="72">
        <v>31179</v>
      </c>
      <c r="E636" s="72">
        <v>45321.332640000001</v>
      </c>
      <c r="F636" s="72">
        <v>634188</v>
      </c>
      <c r="G636" s="72" t="s">
        <v>1293</v>
      </c>
      <c r="H636" s="72" t="s">
        <v>1141</v>
      </c>
    </row>
    <row r="637" spans="2:8" ht="14" x14ac:dyDescent="0.15">
      <c r="B637" s="72" t="s">
        <v>161</v>
      </c>
      <c r="C637" s="73">
        <v>1702.57</v>
      </c>
      <c r="D637" s="72">
        <v>31179</v>
      </c>
      <c r="E637" s="72">
        <v>45321.332640000001</v>
      </c>
      <c r="F637" s="72">
        <v>634188</v>
      </c>
      <c r="G637" s="72" t="s">
        <v>1293</v>
      </c>
      <c r="H637" s="72" t="s">
        <v>1141</v>
      </c>
    </row>
    <row r="638" spans="2:8" ht="14" x14ac:dyDescent="0.15">
      <c r="B638" s="72" t="s">
        <v>49</v>
      </c>
      <c r="C638" s="73">
        <v>93689.55</v>
      </c>
      <c r="D638" s="72">
        <v>31179</v>
      </c>
      <c r="E638" s="72">
        <v>45321.332640000001</v>
      </c>
      <c r="F638" s="72">
        <v>634188</v>
      </c>
      <c r="G638" s="72" t="s">
        <v>1293</v>
      </c>
      <c r="H638" s="72" t="s">
        <v>1141</v>
      </c>
    </row>
    <row r="639" spans="2:8" ht="14" x14ac:dyDescent="0.15">
      <c r="B639" s="72" t="s">
        <v>119</v>
      </c>
      <c r="C639" s="73">
        <v>455563.69</v>
      </c>
      <c r="D639" s="72">
        <v>31179</v>
      </c>
      <c r="E639" s="72">
        <v>45321.332640000001</v>
      </c>
      <c r="F639" s="72">
        <v>634188</v>
      </c>
      <c r="G639" s="72" t="s">
        <v>1293</v>
      </c>
      <c r="H639" s="72" t="s">
        <v>1141</v>
      </c>
    </row>
    <row r="640" spans="2:8" ht="14" x14ac:dyDescent="0.15">
      <c r="B640" s="72" t="s">
        <v>120</v>
      </c>
      <c r="C640" s="73">
        <v>167813.98</v>
      </c>
      <c r="D640" s="72">
        <v>31179</v>
      </c>
      <c r="E640" s="72">
        <v>45321.332640000001</v>
      </c>
      <c r="F640" s="72">
        <v>634188</v>
      </c>
      <c r="G640" s="72" t="s">
        <v>1293</v>
      </c>
      <c r="H640" s="72" t="s">
        <v>1141</v>
      </c>
    </row>
    <row r="641" spans="2:8" ht="14" x14ac:dyDescent="0.15">
      <c r="B641" s="72">
        <v>463</v>
      </c>
      <c r="C641" s="73">
        <v>7900</v>
      </c>
      <c r="D641" s="72">
        <v>31179</v>
      </c>
      <c r="E641" s="72">
        <v>45321.332640000001</v>
      </c>
      <c r="F641" s="72">
        <v>634189</v>
      </c>
      <c r="G641" s="72" t="s">
        <v>1293</v>
      </c>
      <c r="H641" s="72" t="s">
        <v>1141</v>
      </c>
    </row>
    <row r="642" spans="2:8" ht="14" x14ac:dyDescent="0.15">
      <c r="B642" s="72">
        <v>473</v>
      </c>
      <c r="C642" s="73">
        <v>9000</v>
      </c>
      <c r="D642" s="72">
        <v>31179</v>
      </c>
      <c r="E642" s="72">
        <v>45321.332640000001</v>
      </c>
      <c r="F642" s="72">
        <v>634189</v>
      </c>
      <c r="G642" s="72" t="s">
        <v>1293</v>
      </c>
      <c r="H642" s="72" t="s">
        <v>1141</v>
      </c>
    </row>
    <row r="643" spans="2:8" ht="14" x14ac:dyDescent="0.15">
      <c r="B643" s="72">
        <v>523</v>
      </c>
      <c r="C643" s="73">
        <v>5072</v>
      </c>
      <c r="D643" s="72">
        <v>31179</v>
      </c>
      <c r="E643" s="72">
        <v>45321.332640000001</v>
      </c>
      <c r="F643" s="72">
        <v>634189</v>
      </c>
      <c r="G643" s="72" t="s">
        <v>1293</v>
      </c>
      <c r="H643" s="72" t="s">
        <v>1141</v>
      </c>
    </row>
    <row r="644" spans="2:8" ht="14" x14ac:dyDescent="0.15">
      <c r="B644" s="72">
        <v>541</v>
      </c>
      <c r="C644" s="73">
        <v>48056.160000000003</v>
      </c>
      <c r="D644" s="72">
        <v>31179</v>
      </c>
      <c r="E644" s="72">
        <v>45321.332640000001</v>
      </c>
      <c r="F644" s="72">
        <v>634189</v>
      </c>
      <c r="G644" s="72" t="s">
        <v>1293</v>
      </c>
      <c r="H644" s="72" t="s">
        <v>1141</v>
      </c>
    </row>
    <row r="645" spans="2:8" ht="14" x14ac:dyDescent="0.15">
      <c r="B645" s="72">
        <v>543</v>
      </c>
      <c r="C645" s="73">
        <v>2161.5</v>
      </c>
      <c r="D645" s="72">
        <v>31179</v>
      </c>
      <c r="E645" s="72">
        <v>45321.332640000001</v>
      </c>
      <c r="F645" s="72">
        <v>634189</v>
      </c>
      <c r="G645" s="72" t="s">
        <v>1293</v>
      </c>
      <c r="H645" s="72" t="s">
        <v>1141</v>
      </c>
    </row>
    <row r="646" spans="2:8" ht="14" x14ac:dyDescent="0.15">
      <c r="B646" s="72">
        <v>563</v>
      </c>
      <c r="C646" s="73">
        <v>73060</v>
      </c>
      <c r="D646" s="72">
        <v>31179</v>
      </c>
      <c r="E646" s="72">
        <v>45321.332640000001</v>
      </c>
      <c r="F646" s="72">
        <v>634189</v>
      </c>
      <c r="G646" s="72" t="s">
        <v>1293</v>
      </c>
      <c r="H646" s="72" t="s">
        <v>1141</v>
      </c>
    </row>
    <row r="647" spans="2:8" ht="14" x14ac:dyDescent="0.15">
      <c r="B647" s="72">
        <v>573</v>
      </c>
      <c r="C647" s="73">
        <v>74938.5</v>
      </c>
      <c r="D647" s="72">
        <v>31179</v>
      </c>
      <c r="E647" s="72">
        <v>45321.332640000001</v>
      </c>
      <c r="F647" s="72">
        <v>634189</v>
      </c>
      <c r="G647" s="72" t="s">
        <v>1293</v>
      </c>
      <c r="H647" s="72" t="s">
        <v>1141</v>
      </c>
    </row>
    <row r="648" spans="2:8" ht="14" x14ac:dyDescent="0.15">
      <c r="B648" s="72">
        <v>761</v>
      </c>
      <c r="C648" s="73">
        <v>3927.2</v>
      </c>
      <c r="D648" s="72">
        <v>31179</v>
      </c>
      <c r="E648" s="72">
        <v>45321.332640000001</v>
      </c>
      <c r="F648" s="72">
        <v>634189</v>
      </c>
      <c r="G648" s="72" t="s">
        <v>1293</v>
      </c>
      <c r="H648" s="72" t="s">
        <v>1141</v>
      </c>
    </row>
    <row r="649" spans="2:8" ht="14" x14ac:dyDescent="0.15">
      <c r="B649" s="72">
        <v>763</v>
      </c>
      <c r="C649" s="73">
        <v>9931.75</v>
      </c>
      <c r="D649" s="72">
        <v>31179</v>
      </c>
      <c r="E649" s="72">
        <v>45321.332640000001</v>
      </c>
      <c r="F649" s="72">
        <v>634189</v>
      </c>
      <c r="G649" s="72" t="s">
        <v>1293</v>
      </c>
      <c r="H649" s="72" t="s">
        <v>1141</v>
      </c>
    </row>
    <row r="650" spans="2:8" ht="14" x14ac:dyDescent="0.15">
      <c r="B650" s="72" t="s">
        <v>49</v>
      </c>
      <c r="C650" s="72">
        <v>766.35</v>
      </c>
      <c r="D650" s="72">
        <v>31179</v>
      </c>
      <c r="E650" s="72">
        <v>45321.332640000001</v>
      </c>
      <c r="F650" s="72">
        <v>634189</v>
      </c>
      <c r="G650" s="72" t="s">
        <v>1293</v>
      </c>
      <c r="H650" s="72" t="s">
        <v>1141</v>
      </c>
    </row>
    <row r="651" spans="2:8" ht="14" x14ac:dyDescent="0.15">
      <c r="B651" s="72" t="s">
        <v>119</v>
      </c>
      <c r="C651" s="73">
        <v>1120</v>
      </c>
      <c r="D651" s="72">
        <v>31179</v>
      </c>
      <c r="E651" s="72">
        <v>45321.332640000001</v>
      </c>
      <c r="F651" s="72">
        <v>634189</v>
      </c>
      <c r="G651" s="72" t="s">
        <v>1293</v>
      </c>
      <c r="H651" s="72" t="s">
        <v>1141</v>
      </c>
    </row>
    <row r="652" spans="2:8" ht="14" x14ac:dyDescent="0.15">
      <c r="B652" s="72">
        <v>3</v>
      </c>
      <c r="C652" s="72">
        <v>45.24</v>
      </c>
      <c r="D652" s="72">
        <v>31179</v>
      </c>
      <c r="E652" s="72">
        <v>45321.332640000001</v>
      </c>
      <c r="F652" s="72">
        <v>634190</v>
      </c>
      <c r="G652" s="72" t="s">
        <v>1293</v>
      </c>
      <c r="H652" s="72" t="s">
        <v>1141</v>
      </c>
    </row>
    <row r="653" spans="2:8" ht="14" x14ac:dyDescent="0.15">
      <c r="B653" s="72">
        <v>521</v>
      </c>
      <c r="C653" s="73">
        <v>19783.82</v>
      </c>
      <c r="D653" s="72">
        <v>31179</v>
      </c>
      <c r="E653" s="72">
        <v>45321.332640000001</v>
      </c>
      <c r="F653" s="72">
        <v>634190</v>
      </c>
      <c r="G653" s="72" t="s">
        <v>1293</v>
      </c>
      <c r="H653" s="72" t="s">
        <v>1141</v>
      </c>
    </row>
    <row r="654" spans="2:8" ht="14" x14ac:dyDescent="0.15">
      <c r="B654" s="72">
        <v>523</v>
      </c>
      <c r="C654" s="73">
        <v>241570</v>
      </c>
      <c r="D654" s="72">
        <v>31179</v>
      </c>
      <c r="E654" s="72">
        <v>45321.332640000001</v>
      </c>
      <c r="F654" s="72">
        <v>634190</v>
      </c>
      <c r="G654" s="72" t="s">
        <v>1293</v>
      </c>
      <c r="H654" s="72" t="s">
        <v>1141</v>
      </c>
    </row>
    <row r="655" spans="2:8" ht="14" x14ac:dyDescent="0.15">
      <c r="B655" s="72">
        <v>533</v>
      </c>
      <c r="C655" s="73">
        <v>223849.5</v>
      </c>
      <c r="D655" s="72">
        <v>31179</v>
      </c>
      <c r="E655" s="72">
        <v>45321.332640000001</v>
      </c>
      <c r="F655" s="72">
        <v>634190</v>
      </c>
      <c r="G655" s="72" t="s">
        <v>1293</v>
      </c>
      <c r="H655" s="72" t="s">
        <v>1141</v>
      </c>
    </row>
    <row r="656" spans="2:8" ht="14" x14ac:dyDescent="0.15">
      <c r="B656" s="72">
        <v>541</v>
      </c>
      <c r="C656" s="73">
        <v>21695.17</v>
      </c>
      <c r="D656" s="72">
        <v>31179</v>
      </c>
      <c r="E656" s="72">
        <v>45321.332640000001</v>
      </c>
      <c r="F656" s="72">
        <v>634190</v>
      </c>
      <c r="G656" s="72" t="s">
        <v>1293</v>
      </c>
      <c r="H656" s="72" t="s">
        <v>1141</v>
      </c>
    </row>
    <row r="657" spans="2:8" ht="14" x14ac:dyDescent="0.15">
      <c r="B657" s="72">
        <v>543</v>
      </c>
      <c r="C657" s="73">
        <v>46648.69</v>
      </c>
      <c r="D657" s="72">
        <v>31179</v>
      </c>
      <c r="E657" s="72">
        <v>45321.332640000001</v>
      </c>
      <c r="F657" s="72">
        <v>634190</v>
      </c>
      <c r="G657" s="72" t="s">
        <v>1293</v>
      </c>
      <c r="H657" s="72" t="s">
        <v>1141</v>
      </c>
    </row>
    <row r="658" spans="2:8" ht="14" x14ac:dyDescent="0.15">
      <c r="B658" s="72">
        <v>743</v>
      </c>
      <c r="C658" s="73">
        <v>4635.6899999999996</v>
      </c>
      <c r="D658" s="72">
        <v>31179</v>
      </c>
      <c r="E658" s="72">
        <v>45321.332640000001</v>
      </c>
      <c r="F658" s="72">
        <v>634190</v>
      </c>
      <c r="G658" s="72" t="s">
        <v>1293</v>
      </c>
      <c r="H658" s="72" t="s">
        <v>1141</v>
      </c>
    </row>
    <row r="659" spans="2:8" ht="14" x14ac:dyDescent="0.15">
      <c r="B659" s="72">
        <v>763</v>
      </c>
      <c r="C659" s="73">
        <v>94960</v>
      </c>
      <c r="D659" s="72">
        <v>31179</v>
      </c>
      <c r="E659" s="72">
        <v>45321.332640000001</v>
      </c>
      <c r="F659" s="72">
        <v>634190</v>
      </c>
      <c r="G659" s="72" t="s">
        <v>1293</v>
      </c>
      <c r="H659" s="72" t="s">
        <v>1141</v>
      </c>
    </row>
    <row r="660" spans="2:8" ht="14" x14ac:dyDescent="0.15">
      <c r="B660" s="72" t="s">
        <v>49</v>
      </c>
      <c r="C660" s="72">
        <v>187.21</v>
      </c>
      <c r="D660" s="72">
        <v>31179</v>
      </c>
      <c r="E660" s="72">
        <v>45321.332640000001</v>
      </c>
      <c r="F660" s="72">
        <v>634190</v>
      </c>
      <c r="G660" s="72" t="s">
        <v>1293</v>
      </c>
      <c r="H660" s="72" t="s">
        <v>1141</v>
      </c>
    </row>
    <row r="661" spans="2:8" ht="14" x14ac:dyDescent="0.15">
      <c r="B661" s="72">
        <v>711</v>
      </c>
      <c r="C661" s="73">
        <v>21792.23</v>
      </c>
      <c r="D661" s="72">
        <v>31179</v>
      </c>
      <c r="E661" s="72">
        <v>45321.332640000001</v>
      </c>
      <c r="F661" s="72">
        <v>634191</v>
      </c>
      <c r="G661" s="72" t="s">
        <v>1293</v>
      </c>
      <c r="H661" s="72" t="s">
        <v>1141</v>
      </c>
    </row>
    <row r="662" spans="2:8" ht="14" x14ac:dyDescent="0.15">
      <c r="B662" s="72">
        <v>713</v>
      </c>
      <c r="C662" s="73">
        <v>116618.4</v>
      </c>
      <c r="D662" s="72">
        <v>31179</v>
      </c>
      <c r="E662" s="72">
        <v>45321.332640000001</v>
      </c>
      <c r="F662" s="72">
        <v>634191</v>
      </c>
      <c r="G662" s="72" t="s">
        <v>1293</v>
      </c>
      <c r="H662" s="72" t="s">
        <v>1141</v>
      </c>
    </row>
    <row r="663" spans="2:8" ht="14" x14ac:dyDescent="0.15">
      <c r="B663" s="72" t="s">
        <v>49</v>
      </c>
      <c r="C663" s="72">
        <v>22.11</v>
      </c>
      <c r="D663" s="72">
        <v>31179</v>
      </c>
      <c r="E663" s="72">
        <v>45321.332640000001</v>
      </c>
      <c r="F663" s="72">
        <v>634191</v>
      </c>
      <c r="G663" s="72" t="s">
        <v>1293</v>
      </c>
      <c r="H663" s="72" t="s">
        <v>1141</v>
      </c>
    </row>
    <row r="664" spans="2:8" ht="14" x14ac:dyDescent="0.15">
      <c r="B664" s="72">
        <v>1</v>
      </c>
      <c r="C664" s="72">
        <v>0.55000000000000004</v>
      </c>
      <c r="D664" s="72">
        <v>31179</v>
      </c>
      <c r="E664" s="72">
        <v>45321.332640000001</v>
      </c>
      <c r="F664" s="72">
        <v>634192</v>
      </c>
      <c r="G664" s="72" t="s">
        <v>1293</v>
      </c>
      <c r="H664" s="72" t="s">
        <v>1141</v>
      </c>
    </row>
    <row r="665" spans="2:8" ht="14" x14ac:dyDescent="0.15">
      <c r="B665" s="72">
        <v>3</v>
      </c>
      <c r="C665" s="72">
        <v>360.25</v>
      </c>
      <c r="D665" s="72">
        <v>31179</v>
      </c>
      <c r="E665" s="72">
        <v>45321.332640000001</v>
      </c>
      <c r="F665" s="72">
        <v>634192</v>
      </c>
      <c r="G665" s="72" t="s">
        <v>1293</v>
      </c>
      <c r="H665" s="72" t="s">
        <v>1141</v>
      </c>
    </row>
    <row r="666" spans="2:8" ht="14" x14ac:dyDescent="0.15">
      <c r="B666" s="72">
        <v>723</v>
      </c>
      <c r="C666" s="73">
        <v>33166.199999999997</v>
      </c>
      <c r="D666" s="72">
        <v>31179</v>
      </c>
      <c r="E666" s="72">
        <v>45321.332640000001</v>
      </c>
      <c r="F666" s="72">
        <v>634192</v>
      </c>
      <c r="G666" s="72" t="s">
        <v>1293</v>
      </c>
      <c r="H666" s="72" t="s">
        <v>1141</v>
      </c>
    </row>
    <row r="667" spans="2:8" ht="14" x14ac:dyDescent="0.15">
      <c r="B667" s="72">
        <v>733</v>
      </c>
      <c r="C667" s="73">
        <v>1864.75</v>
      </c>
      <c r="D667" s="72">
        <v>31179</v>
      </c>
      <c r="E667" s="72">
        <v>45321.332640000001</v>
      </c>
      <c r="F667" s="72">
        <v>634192</v>
      </c>
      <c r="G667" s="72" t="s">
        <v>1293</v>
      </c>
      <c r="H667" s="72" t="s">
        <v>1141</v>
      </c>
    </row>
    <row r="668" spans="2:8" ht="14" x14ac:dyDescent="0.15">
      <c r="B668" s="72">
        <v>741</v>
      </c>
      <c r="C668" s="73">
        <v>21968.43</v>
      </c>
      <c r="D668" s="72">
        <v>31179</v>
      </c>
      <c r="E668" s="72">
        <v>45321.332640000001</v>
      </c>
      <c r="F668" s="72">
        <v>634192</v>
      </c>
      <c r="G668" s="72" t="s">
        <v>1293</v>
      </c>
      <c r="H668" s="72" t="s">
        <v>1141</v>
      </c>
    </row>
    <row r="669" spans="2:8" ht="14" x14ac:dyDescent="0.15">
      <c r="B669" s="72" t="s">
        <v>161</v>
      </c>
      <c r="C669" s="73">
        <v>767682.18</v>
      </c>
      <c r="D669" s="72">
        <v>31179</v>
      </c>
      <c r="E669" s="72">
        <v>45321.332640000001</v>
      </c>
      <c r="F669" s="72">
        <v>634192</v>
      </c>
      <c r="G669" s="72" t="s">
        <v>1293</v>
      </c>
      <c r="H669" s="72" t="s">
        <v>1141</v>
      </c>
    </row>
    <row r="670" spans="2:8" ht="14" x14ac:dyDescent="0.15">
      <c r="B670" s="72" t="s">
        <v>49</v>
      </c>
      <c r="C670" s="73">
        <v>159185.76999999999</v>
      </c>
      <c r="D670" s="72">
        <v>31179</v>
      </c>
      <c r="E670" s="72">
        <v>45321.332640000001</v>
      </c>
      <c r="F670" s="72">
        <v>634192</v>
      </c>
      <c r="G670" s="72" t="s">
        <v>1293</v>
      </c>
      <c r="H670" s="72" t="s">
        <v>1141</v>
      </c>
    </row>
    <row r="671" spans="2:8" ht="14" x14ac:dyDescent="0.15">
      <c r="B671" s="72" t="s">
        <v>120</v>
      </c>
      <c r="C671" s="72">
        <v>22.32</v>
      </c>
      <c r="D671" s="72">
        <v>31179</v>
      </c>
      <c r="E671" s="72">
        <v>45321.332640000001</v>
      </c>
      <c r="F671" s="72">
        <v>634192</v>
      </c>
      <c r="G671" s="72" t="s">
        <v>1293</v>
      </c>
      <c r="H671" s="72" t="s">
        <v>1141</v>
      </c>
    </row>
    <row r="672" spans="2:8" ht="14" x14ac:dyDescent="0.15">
      <c r="B672" s="72">
        <v>1</v>
      </c>
      <c r="C672" s="72">
        <v>40.5</v>
      </c>
      <c r="D672" s="72">
        <v>31179</v>
      </c>
      <c r="E672" s="72">
        <v>45321.332640000001</v>
      </c>
      <c r="F672" s="72">
        <v>634193</v>
      </c>
      <c r="G672" s="72" t="s">
        <v>1293</v>
      </c>
      <c r="H672" s="72" t="s">
        <v>1141</v>
      </c>
    </row>
    <row r="673" spans="2:8" ht="14" x14ac:dyDescent="0.15">
      <c r="B673" s="72">
        <v>3</v>
      </c>
      <c r="C673" s="72">
        <v>79.3</v>
      </c>
      <c r="D673" s="72">
        <v>31179</v>
      </c>
      <c r="E673" s="72">
        <v>45321.332640000001</v>
      </c>
      <c r="F673" s="72">
        <v>634193</v>
      </c>
      <c r="G673" s="72" t="s">
        <v>1293</v>
      </c>
      <c r="H673" s="72" t="s">
        <v>1141</v>
      </c>
    </row>
    <row r="674" spans="2:8" ht="14" x14ac:dyDescent="0.15">
      <c r="B674" s="72">
        <v>723</v>
      </c>
      <c r="C674" s="72">
        <v>398</v>
      </c>
      <c r="D674" s="72">
        <v>31179</v>
      </c>
      <c r="E674" s="72">
        <v>45321.332640000001</v>
      </c>
      <c r="F674" s="72">
        <v>634193</v>
      </c>
      <c r="G674" s="72" t="s">
        <v>1293</v>
      </c>
      <c r="H674" s="72" t="s">
        <v>1141</v>
      </c>
    </row>
    <row r="675" spans="2:8" ht="14" x14ac:dyDescent="0.15">
      <c r="B675" s="72">
        <v>733</v>
      </c>
      <c r="C675" s="72">
        <v>989</v>
      </c>
      <c r="D675" s="72">
        <v>31179</v>
      </c>
      <c r="E675" s="72">
        <v>45321.332640000001</v>
      </c>
      <c r="F675" s="72">
        <v>634193</v>
      </c>
      <c r="G675" s="72" t="s">
        <v>1293</v>
      </c>
      <c r="H675" s="72" t="s">
        <v>1141</v>
      </c>
    </row>
    <row r="676" spans="2:8" ht="14" x14ac:dyDescent="0.15">
      <c r="B676" s="72">
        <v>761</v>
      </c>
      <c r="C676" s="73">
        <v>12848.31</v>
      </c>
      <c r="D676" s="72">
        <v>31179</v>
      </c>
      <c r="E676" s="72">
        <v>45321.332640000001</v>
      </c>
      <c r="F676" s="72">
        <v>634193</v>
      </c>
      <c r="G676" s="72" t="s">
        <v>1293</v>
      </c>
      <c r="H676" s="72" t="s">
        <v>1141</v>
      </c>
    </row>
    <row r="677" spans="2:8" ht="14" x14ac:dyDescent="0.15">
      <c r="B677" s="72">
        <v>763</v>
      </c>
      <c r="C677" s="73">
        <v>51048</v>
      </c>
      <c r="D677" s="72">
        <v>31179</v>
      </c>
      <c r="E677" s="72">
        <v>45321.332640000001</v>
      </c>
      <c r="F677" s="72">
        <v>634193</v>
      </c>
      <c r="G677" s="72" t="s">
        <v>1293</v>
      </c>
      <c r="H677" s="72" t="s">
        <v>1141</v>
      </c>
    </row>
    <row r="678" spans="2:8" ht="14" x14ac:dyDescent="0.15">
      <c r="B678" s="72" t="s">
        <v>161</v>
      </c>
      <c r="C678" s="72">
        <v>377.02</v>
      </c>
      <c r="D678" s="72">
        <v>31179</v>
      </c>
      <c r="E678" s="72">
        <v>45321.332640000001</v>
      </c>
      <c r="F678" s="72">
        <v>634193</v>
      </c>
      <c r="G678" s="72" t="s">
        <v>1293</v>
      </c>
      <c r="H678" s="72" t="s">
        <v>1141</v>
      </c>
    </row>
    <row r="679" spans="2:8" ht="14" x14ac:dyDescent="0.15">
      <c r="B679" s="72" t="s">
        <v>49</v>
      </c>
      <c r="C679" s="72">
        <v>473.06</v>
      </c>
      <c r="D679" s="72">
        <v>31179</v>
      </c>
      <c r="E679" s="72">
        <v>45321.332640000001</v>
      </c>
      <c r="F679" s="72">
        <v>634193</v>
      </c>
      <c r="G679" s="72" t="s">
        <v>1293</v>
      </c>
      <c r="H679" s="72" t="s">
        <v>1141</v>
      </c>
    </row>
    <row r="680" spans="2:8" ht="14" x14ac:dyDescent="0.15">
      <c r="B680" s="72" t="s">
        <v>119</v>
      </c>
      <c r="C680" s="73">
        <v>42177.37</v>
      </c>
      <c r="D680" s="72">
        <v>31179</v>
      </c>
      <c r="E680" s="72">
        <v>45321.332640000001</v>
      </c>
      <c r="F680" s="72">
        <v>634193</v>
      </c>
      <c r="G680" s="72" t="s">
        <v>1293</v>
      </c>
      <c r="H680" s="72" t="s">
        <v>1141</v>
      </c>
    </row>
    <row r="681" spans="2:8" ht="14" x14ac:dyDescent="0.15">
      <c r="B681" s="72" t="s">
        <v>120</v>
      </c>
      <c r="C681" s="73">
        <v>104492.65</v>
      </c>
      <c r="D681" s="72">
        <v>31179</v>
      </c>
      <c r="E681" s="72">
        <v>45321.332640000001</v>
      </c>
      <c r="F681" s="72">
        <v>634193</v>
      </c>
      <c r="G681" s="72" t="s">
        <v>1293</v>
      </c>
      <c r="H681" s="72" t="s">
        <v>1141</v>
      </c>
    </row>
    <row r="682" spans="2:8" ht="14" x14ac:dyDescent="0.15">
      <c r="B682" s="72">
        <v>221</v>
      </c>
      <c r="C682" s="72">
        <v>720.64</v>
      </c>
      <c r="D682" s="72">
        <v>31179</v>
      </c>
      <c r="E682" s="72">
        <v>45321.332640000001</v>
      </c>
      <c r="F682" s="72">
        <v>634194</v>
      </c>
      <c r="G682" s="72" t="s">
        <v>1293</v>
      </c>
      <c r="H682" s="72" t="s">
        <v>1141</v>
      </c>
    </row>
    <row r="683" spans="2:8" ht="14" x14ac:dyDescent="0.15">
      <c r="B683" s="72">
        <v>223</v>
      </c>
      <c r="C683" s="73">
        <v>29912.5</v>
      </c>
      <c r="D683" s="72">
        <v>31179</v>
      </c>
      <c r="E683" s="72">
        <v>45321.332640000001</v>
      </c>
      <c r="F683" s="72">
        <v>634194</v>
      </c>
      <c r="G683" s="72" t="s">
        <v>1293</v>
      </c>
      <c r="H683" s="72" t="s">
        <v>1141</v>
      </c>
    </row>
    <row r="684" spans="2:8" ht="14" x14ac:dyDescent="0.15">
      <c r="B684" s="72">
        <v>241</v>
      </c>
      <c r="C684" s="73">
        <v>20183</v>
      </c>
      <c r="D684" s="72">
        <v>31179</v>
      </c>
      <c r="E684" s="72">
        <v>45321.332640000001</v>
      </c>
      <c r="F684" s="72">
        <v>634194</v>
      </c>
      <c r="G684" s="72" t="s">
        <v>1293</v>
      </c>
      <c r="H684" s="72" t="s">
        <v>1141</v>
      </c>
    </row>
    <row r="685" spans="2:8" ht="14" x14ac:dyDescent="0.15">
      <c r="B685" s="72">
        <v>243</v>
      </c>
      <c r="C685" s="73">
        <v>8435</v>
      </c>
      <c r="D685" s="72">
        <v>31179</v>
      </c>
      <c r="E685" s="72">
        <v>45321.332640000001</v>
      </c>
      <c r="F685" s="72">
        <v>634194</v>
      </c>
      <c r="G685" s="72" t="s">
        <v>1293</v>
      </c>
      <c r="H685" s="72" t="s">
        <v>1141</v>
      </c>
    </row>
    <row r="686" spans="2:8" ht="14" x14ac:dyDescent="0.15">
      <c r="B686" s="72">
        <v>311</v>
      </c>
      <c r="C686" s="72">
        <v>463.97</v>
      </c>
      <c r="D686" s="72">
        <v>31179</v>
      </c>
      <c r="E686" s="72">
        <v>45321.332640000001</v>
      </c>
      <c r="F686" s="72">
        <v>634195</v>
      </c>
      <c r="G686" s="72" t="s">
        <v>1293</v>
      </c>
      <c r="H686" s="72" t="s">
        <v>1141</v>
      </c>
    </row>
    <row r="687" spans="2:8" ht="14" x14ac:dyDescent="0.15">
      <c r="B687" s="72">
        <v>313</v>
      </c>
      <c r="C687" s="73">
        <v>17574</v>
      </c>
      <c r="D687" s="72">
        <v>31179</v>
      </c>
      <c r="E687" s="72">
        <v>45321.332640000001</v>
      </c>
      <c r="F687" s="72">
        <v>634195</v>
      </c>
      <c r="G687" s="72" t="s">
        <v>1293</v>
      </c>
      <c r="H687" s="72" t="s">
        <v>1141</v>
      </c>
    </row>
    <row r="688" spans="2:8" ht="14" x14ac:dyDescent="0.15">
      <c r="B688" s="72">
        <v>731</v>
      </c>
      <c r="C688" s="73">
        <v>2904.34</v>
      </c>
      <c r="D688" s="72">
        <v>31179</v>
      </c>
      <c r="E688" s="72">
        <v>45321.332640000001</v>
      </c>
      <c r="F688" s="72">
        <v>634196</v>
      </c>
      <c r="G688" s="72" t="s">
        <v>1293</v>
      </c>
      <c r="H688" s="72" t="s">
        <v>1141</v>
      </c>
    </row>
    <row r="689" spans="2:8" ht="14" x14ac:dyDescent="0.15">
      <c r="B689" s="72">
        <v>733</v>
      </c>
      <c r="C689" s="73">
        <v>13786.25</v>
      </c>
      <c r="D689" s="72">
        <v>31179</v>
      </c>
      <c r="E689" s="72">
        <v>45321.332640000001</v>
      </c>
      <c r="F689" s="72">
        <v>634196</v>
      </c>
      <c r="G689" s="72" t="s">
        <v>1293</v>
      </c>
      <c r="H689" s="72" t="s">
        <v>1141</v>
      </c>
    </row>
    <row r="690" spans="2:8" ht="14" x14ac:dyDescent="0.15">
      <c r="B690" s="72">
        <v>761</v>
      </c>
      <c r="C690" s="73">
        <v>19511.22</v>
      </c>
      <c r="D690" s="72">
        <v>31179</v>
      </c>
      <c r="E690" s="72">
        <v>45321.332640000001</v>
      </c>
      <c r="F690" s="72">
        <v>634196</v>
      </c>
      <c r="G690" s="72" t="s">
        <v>1293</v>
      </c>
      <c r="H690" s="72" t="s">
        <v>1141</v>
      </c>
    </row>
    <row r="691" spans="2:8" ht="14" x14ac:dyDescent="0.15">
      <c r="B691" s="72">
        <v>763</v>
      </c>
      <c r="C691" s="73">
        <v>39208</v>
      </c>
      <c r="D691" s="72">
        <v>31179</v>
      </c>
      <c r="E691" s="72">
        <v>45321.332640000001</v>
      </c>
      <c r="F691" s="72">
        <v>634196</v>
      </c>
      <c r="G691" s="72" t="s">
        <v>1293</v>
      </c>
      <c r="H691" s="72" t="s">
        <v>1141</v>
      </c>
    </row>
    <row r="692" spans="2:8" ht="14" x14ac:dyDescent="0.15">
      <c r="B692" s="72" t="s">
        <v>49</v>
      </c>
      <c r="C692" s="72">
        <v>996.61</v>
      </c>
      <c r="D692" s="72">
        <v>31179</v>
      </c>
      <c r="E692" s="72">
        <v>45321.332640000001</v>
      </c>
      <c r="F692" s="72">
        <v>634196</v>
      </c>
      <c r="G692" s="72" t="s">
        <v>1293</v>
      </c>
      <c r="H692" s="72" t="s">
        <v>1141</v>
      </c>
    </row>
    <row r="693" spans="2:8" ht="14" x14ac:dyDescent="0.15">
      <c r="B693" s="72" t="s">
        <v>119</v>
      </c>
      <c r="C693" s="73">
        <v>37074.93</v>
      </c>
      <c r="D693" s="72">
        <v>31179</v>
      </c>
      <c r="E693" s="72">
        <v>45321.332640000001</v>
      </c>
      <c r="F693" s="72">
        <v>634196</v>
      </c>
      <c r="G693" s="72" t="s">
        <v>1293</v>
      </c>
      <c r="H693" s="72" t="s">
        <v>1141</v>
      </c>
    </row>
    <row r="694" spans="2:8" ht="14" x14ac:dyDescent="0.15">
      <c r="B694" s="72" t="s">
        <v>120</v>
      </c>
      <c r="C694" s="72">
        <v>378.9</v>
      </c>
      <c r="D694" s="72">
        <v>31179</v>
      </c>
      <c r="E694" s="72">
        <v>45321.332640000001</v>
      </c>
      <c r="F694" s="72">
        <v>634196</v>
      </c>
      <c r="G694" s="72" t="s">
        <v>1293</v>
      </c>
      <c r="H694" s="72" t="s">
        <v>1141</v>
      </c>
    </row>
    <row r="695" spans="2:8" ht="14" x14ac:dyDescent="0.15">
      <c r="B695" s="72">
        <v>463</v>
      </c>
      <c r="C695" s="73">
        <v>7300</v>
      </c>
      <c r="D695" s="72">
        <v>31179</v>
      </c>
      <c r="E695" s="72">
        <v>45321.332640000001</v>
      </c>
      <c r="F695" s="72">
        <v>634197</v>
      </c>
      <c r="G695" s="72" t="s">
        <v>1293</v>
      </c>
      <c r="H695" s="72" t="s">
        <v>1141</v>
      </c>
    </row>
    <row r="696" spans="2:8" ht="14" x14ac:dyDescent="0.15">
      <c r="B696" s="72">
        <v>473</v>
      </c>
      <c r="C696" s="72">
        <v>583</v>
      </c>
      <c r="D696" s="72">
        <v>31179</v>
      </c>
      <c r="E696" s="72">
        <v>45321.332640000001</v>
      </c>
      <c r="F696" s="72">
        <v>634197</v>
      </c>
      <c r="G696" s="72" t="s">
        <v>1293</v>
      </c>
      <c r="H696" s="72" t="s">
        <v>1141</v>
      </c>
    </row>
    <row r="697" spans="2:8" ht="14" x14ac:dyDescent="0.15">
      <c r="B697" s="72">
        <v>523</v>
      </c>
      <c r="C697" s="72">
        <v>225</v>
      </c>
      <c r="D697" s="72">
        <v>31179</v>
      </c>
      <c r="E697" s="72">
        <v>45321.332640000001</v>
      </c>
      <c r="F697" s="72">
        <v>634197</v>
      </c>
      <c r="G697" s="72" t="s">
        <v>1293</v>
      </c>
      <c r="H697" s="72" t="s">
        <v>1141</v>
      </c>
    </row>
    <row r="698" spans="2:8" ht="14" x14ac:dyDescent="0.15">
      <c r="B698" s="72">
        <v>541</v>
      </c>
      <c r="C698" s="73">
        <v>14375.84</v>
      </c>
      <c r="D698" s="72">
        <v>31179</v>
      </c>
      <c r="E698" s="72">
        <v>45321.332640000001</v>
      </c>
      <c r="F698" s="72">
        <v>634197</v>
      </c>
      <c r="G698" s="72" t="s">
        <v>1293</v>
      </c>
      <c r="H698" s="72" t="s">
        <v>1141</v>
      </c>
    </row>
    <row r="699" spans="2:8" ht="14" x14ac:dyDescent="0.15">
      <c r="B699" s="72">
        <v>563</v>
      </c>
      <c r="C699" s="73">
        <v>57520</v>
      </c>
      <c r="D699" s="72">
        <v>31179</v>
      </c>
      <c r="E699" s="72">
        <v>45321.332640000001</v>
      </c>
      <c r="F699" s="72">
        <v>634197</v>
      </c>
      <c r="G699" s="72" t="s">
        <v>1293</v>
      </c>
      <c r="H699" s="72" t="s">
        <v>1141</v>
      </c>
    </row>
    <row r="700" spans="2:8" ht="14" x14ac:dyDescent="0.15">
      <c r="B700" s="72">
        <v>573</v>
      </c>
      <c r="C700" s="73">
        <v>20400</v>
      </c>
      <c r="D700" s="72">
        <v>31179</v>
      </c>
      <c r="E700" s="72">
        <v>45321.332640000001</v>
      </c>
      <c r="F700" s="72">
        <v>634197</v>
      </c>
      <c r="G700" s="72" t="s">
        <v>1293</v>
      </c>
      <c r="H700" s="72" t="s">
        <v>1141</v>
      </c>
    </row>
    <row r="701" spans="2:8" ht="14" x14ac:dyDescent="0.15">
      <c r="B701" s="72">
        <v>761</v>
      </c>
      <c r="C701" s="73">
        <v>24588.43</v>
      </c>
      <c r="D701" s="72">
        <v>31179</v>
      </c>
      <c r="E701" s="72">
        <v>45321.332640000001</v>
      </c>
      <c r="F701" s="72">
        <v>634197</v>
      </c>
      <c r="G701" s="72" t="s">
        <v>1293</v>
      </c>
      <c r="H701" s="72" t="s">
        <v>1141</v>
      </c>
    </row>
    <row r="702" spans="2:8" ht="14" x14ac:dyDescent="0.15">
      <c r="B702" s="72">
        <v>763</v>
      </c>
      <c r="C702" s="73">
        <v>6098</v>
      </c>
      <c r="D702" s="72">
        <v>31179</v>
      </c>
      <c r="E702" s="72">
        <v>45321.332640000001</v>
      </c>
      <c r="F702" s="72">
        <v>634197</v>
      </c>
      <c r="G702" s="72" t="s">
        <v>1293</v>
      </c>
      <c r="H702" s="72" t="s">
        <v>1141</v>
      </c>
    </row>
    <row r="703" spans="2:8" ht="14" x14ac:dyDescent="0.15">
      <c r="B703" s="72" t="s">
        <v>119</v>
      </c>
      <c r="C703" s="72">
        <v>480</v>
      </c>
      <c r="D703" s="72">
        <v>31179</v>
      </c>
      <c r="E703" s="72">
        <v>45321.332640000001</v>
      </c>
      <c r="F703" s="72">
        <v>634197</v>
      </c>
      <c r="G703" s="72" t="s">
        <v>1293</v>
      </c>
      <c r="H703" s="72" t="s">
        <v>1141</v>
      </c>
    </row>
    <row r="704" spans="2:8" ht="14" x14ac:dyDescent="0.15">
      <c r="B704" s="72">
        <v>521</v>
      </c>
      <c r="C704" s="73">
        <v>19133.91</v>
      </c>
      <c r="D704" s="72">
        <v>31179</v>
      </c>
      <c r="E704" s="72">
        <v>45321.332640000001</v>
      </c>
      <c r="F704" s="72">
        <v>634198</v>
      </c>
      <c r="G704" s="72" t="s">
        <v>1293</v>
      </c>
      <c r="H704" s="72" t="s">
        <v>1141</v>
      </c>
    </row>
    <row r="705" spans="2:8" ht="14" x14ac:dyDescent="0.15">
      <c r="B705" s="72">
        <v>523</v>
      </c>
      <c r="C705" s="73">
        <v>118970</v>
      </c>
      <c r="D705" s="72">
        <v>31179</v>
      </c>
      <c r="E705" s="72">
        <v>45321.332640000001</v>
      </c>
      <c r="F705" s="72">
        <v>634198</v>
      </c>
      <c r="G705" s="72" t="s">
        <v>1293</v>
      </c>
      <c r="H705" s="72" t="s">
        <v>1141</v>
      </c>
    </row>
    <row r="706" spans="2:8" ht="14" x14ac:dyDescent="0.15">
      <c r="B706" s="72">
        <v>531</v>
      </c>
      <c r="C706" s="73">
        <v>20249.04</v>
      </c>
      <c r="D706" s="72">
        <v>31179</v>
      </c>
      <c r="E706" s="72">
        <v>45321.332640000001</v>
      </c>
      <c r="F706" s="72">
        <v>634198</v>
      </c>
      <c r="G706" s="72" t="s">
        <v>1293</v>
      </c>
      <c r="H706" s="72" t="s">
        <v>1141</v>
      </c>
    </row>
    <row r="707" spans="2:8" ht="14" x14ac:dyDescent="0.15">
      <c r="B707" s="72">
        <v>533</v>
      </c>
      <c r="C707" s="73">
        <v>159987.5</v>
      </c>
      <c r="D707" s="72">
        <v>31179</v>
      </c>
      <c r="E707" s="72">
        <v>45321.332640000001</v>
      </c>
      <c r="F707" s="72">
        <v>634198</v>
      </c>
      <c r="G707" s="72" t="s">
        <v>1293</v>
      </c>
      <c r="H707" s="72" t="s">
        <v>1141</v>
      </c>
    </row>
    <row r="708" spans="2:8" ht="14" x14ac:dyDescent="0.15">
      <c r="B708" s="72">
        <v>541</v>
      </c>
      <c r="C708" s="73">
        <v>5011.8100000000004</v>
      </c>
      <c r="D708" s="72">
        <v>31179</v>
      </c>
      <c r="E708" s="72">
        <v>45321.332640000001</v>
      </c>
      <c r="F708" s="72">
        <v>634198</v>
      </c>
      <c r="G708" s="72" t="s">
        <v>1293</v>
      </c>
      <c r="H708" s="72" t="s">
        <v>1141</v>
      </c>
    </row>
    <row r="709" spans="2:8" ht="14" x14ac:dyDescent="0.15">
      <c r="B709" s="72">
        <v>543</v>
      </c>
      <c r="C709" s="73">
        <v>34543.4</v>
      </c>
      <c r="D709" s="72">
        <v>31179</v>
      </c>
      <c r="E709" s="72">
        <v>45321.332640000001</v>
      </c>
      <c r="F709" s="72">
        <v>634198</v>
      </c>
      <c r="G709" s="72" t="s">
        <v>1293</v>
      </c>
      <c r="H709" s="72" t="s">
        <v>1141</v>
      </c>
    </row>
    <row r="710" spans="2:8" ht="14" x14ac:dyDescent="0.15">
      <c r="B710" s="72">
        <v>743</v>
      </c>
      <c r="C710" s="73">
        <v>12544.69</v>
      </c>
      <c r="D710" s="72">
        <v>31179</v>
      </c>
      <c r="E710" s="72">
        <v>45321.332640000001</v>
      </c>
      <c r="F710" s="72">
        <v>634198</v>
      </c>
      <c r="G710" s="72" t="s">
        <v>1293</v>
      </c>
      <c r="H710" s="72" t="s">
        <v>1141</v>
      </c>
    </row>
    <row r="711" spans="2:8" ht="14" x14ac:dyDescent="0.15">
      <c r="B711" s="72">
        <v>763</v>
      </c>
      <c r="C711" s="73">
        <v>41899</v>
      </c>
      <c r="D711" s="72">
        <v>31179</v>
      </c>
      <c r="E711" s="72">
        <v>45321.332640000001</v>
      </c>
      <c r="F711" s="72">
        <v>634198</v>
      </c>
      <c r="G711" s="72" t="s">
        <v>1293</v>
      </c>
      <c r="H711" s="72" t="s">
        <v>1141</v>
      </c>
    </row>
    <row r="712" spans="2:8" ht="14" x14ac:dyDescent="0.15">
      <c r="B712" s="72" t="s">
        <v>49</v>
      </c>
      <c r="C712" s="72">
        <v>51.26</v>
      </c>
      <c r="D712" s="72">
        <v>31179</v>
      </c>
      <c r="E712" s="72">
        <v>45321.332640000001</v>
      </c>
      <c r="F712" s="72">
        <v>634198</v>
      </c>
      <c r="G712" s="72" t="s">
        <v>1293</v>
      </c>
      <c r="H712" s="72" t="s">
        <v>1141</v>
      </c>
    </row>
    <row r="713" spans="2:8" ht="14" x14ac:dyDescent="0.15">
      <c r="B713" s="72" t="s">
        <v>119</v>
      </c>
      <c r="C713" s="73">
        <v>1738</v>
      </c>
      <c r="D713" s="72">
        <v>31179</v>
      </c>
      <c r="E713" s="72">
        <v>45321.332640000001</v>
      </c>
      <c r="F713" s="72">
        <v>634198</v>
      </c>
      <c r="G713" s="72" t="s">
        <v>1293</v>
      </c>
      <c r="H713" s="72" t="s">
        <v>1141</v>
      </c>
    </row>
    <row r="714" spans="2:8" ht="14" x14ac:dyDescent="0.15">
      <c r="B714" s="72">
        <v>711</v>
      </c>
      <c r="C714" s="73">
        <v>11519.47</v>
      </c>
      <c r="D714" s="72">
        <v>31179</v>
      </c>
      <c r="E714" s="72">
        <v>45321.332640000001</v>
      </c>
      <c r="F714" s="72">
        <v>634199</v>
      </c>
      <c r="G714" s="72" t="s">
        <v>1293</v>
      </c>
      <c r="H714" s="72" t="s">
        <v>1141</v>
      </c>
    </row>
    <row r="715" spans="2:8" ht="14" x14ac:dyDescent="0.15">
      <c r="B715" s="72">
        <v>713</v>
      </c>
      <c r="C715" s="73">
        <v>86795.05</v>
      </c>
      <c r="D715" s="72">
        <v>31179</v>
      </c>
      <c r="E715" s="72">
        <v>45321.332640000001</v>
      </c>
      <c r="F715" s="72">
        <v>634199</v>
      </c>
      <c r="G715" s="72" t="s">
        <v>1293</v>
      </c>
      <c r="H715" s="72" t="s">
        <v>1141</v>
      </c>
    </row>
    <row r="716" spans="2:8" ht="14" x14ac:dyDescent="0.15">
      <c r="B716" s="72">
        <v>3</v>
      </c>
      <c r="C716" s="72">
        <v>270.75</v>
      </c>
      <c r="D716" s="72">
        <v>31179</v>
      </c>
      <c r="E716" s="72">
        <v>45321.332640000001</v>
      </c>
      <c r="F716" s="72">
        <v>634200</v>
      </c>
      <c r="G716" s="72" t="s">
        <v>1293</v>
      </c>
      <c r="H716" s="72" t="s">
        <v>1141</v>
      </c>
    </row>
    <row r="717" spans="2:8" ht="14" x14ac:dyDescent="0.15">
      <c r="B717" s="72">
        <v>723</v>
      </c>
      <c r="C717" s="73">
        <v>19215.3</v>
      </c>
      <c r="D717" s="72">
        <v>31179</v>
      </c>
      <c r="E717" s="72">
        <v>45321.332640000001</v>
      </c>
      <c r="F717" s="72">
        <v>634200</v>
      </c>
      <c r="G717" s="72" t="s">
        <v>1293</v>
      </c>
      <c r="H717" s="72" t="s">
        <v>1141</v>
      </c>
    </row>
    <row r="718" spans="2:8" ht="14" x14ac:dyDescent="0.15">
      <c r="B718" s="72">
        <v>733</v>
      </c>
      <c r="C718" s="73">
        <v>1300.5</v>
      </c>
      <c r="D718" s="72">
        <v>31179</v>
      </c>
      <c r="E718" s="72">
        <v>45321.332640000001</v>
      </c>
      <c r="F718" s="72">
        <v>634200</v>
      </c>
      <c r="G718" s="72" t="s">
        <v>1293</v>
      </c>
      <c r="H718" s="72" t="s">
        <v>1141</v>
      </c>
    </row>
    <row r="719" spans="2:8" ht="14" x14ac:dyDescent="0.15">
      <c r="B719" s="72">
        <v>741</v>
      </c>
      <c r="C719" s="73">
        <v>9524.6299999999992</v>
      </c>
      <c r="D719" s="72">
        <v>31179</v>
      </c>
      <c r="E719" s="72">
        <v>45321.332640000001</v>
      </c>
      <c r="F719" s="72">
        <v>634200</v>
      </c>
      <c r="G719" s="72" t="s">
        <v>1293</v>
      </c>
      <c r="H719" s="72" t="s">
        <v>1141</v>
      </c>
    </row>
    <row r="720" spans="2:8" ht="14" x14ac:dyDescent="0.15">
      <c r="B720" s="72" t="s">
        <v>161</v>
      </c>
      <c r="C720" s="73">
        <v>540186.87</v>
      </c>
      <c r="D720" s="72">
        <v>31179</v>
      </c>
      <c r="E720" s="72">
        <v>45321.332640000001</v>
      </c>
      <c r="F720" s="72">
        <v>634200</v>
      </c>
      <c r="G720" s="72" t="s">
        <v>1293</v>
      </c>
      <c r="H720" s="72" t="s">
        <v>1141</v>
      </c>
    </row>
    <row r="721" spans="2:8" ht="14" x14ac:dyDescent="0.15">
      <c r="B721" s="72" t="s">
        <v>49</v>
      </c>
      <c r="C721" s="73">
        <v>95368.24</v>
      </c>
      <c r="D721" s="72">
        <v>31179</v>
      </c>
      <c r="E721" s="72">
        <v>45321.332640000001</v>
      </c>
      <c r="F721" s="72">
        <v>634200</v>
      </c>
      <c r="G721" s="72" t="s">
        <v>1293</v>
      </c>
      <c r="H721" s="72" t="s">
        <v>1141</v>
      </c>
    </row>
    <row r="722" spans="2:8" ht="14" x14ac:dyDescent="0.15">
      <c r="B722" s="72">
        <v>761</v>
      </c>
      <c r="C722" s="73">
        <v>5027.59</v>
      </c>
      <c r="D722" s="72">
        <v>31179</v>
      </c>
      <c r="E722" s="72">
        <v>45321.332640000001</v>
      </c>
      <c r="F722" s="72">
        <v>634201</v>
      </c>
      <c r="G722" s="72" t="s">
        <v>1293</v>
      </c>
      <c r="H722" s="72" t="s">
        <v>1141</v>
      </c>
    </row>
    <row r="723" spans="2:8" ht="14" x14ac:dyDescent="0.15">
      <c r="B723" s="72">
        <v>763</v>
      </c>
      <c r="C723" s="73">
        <v>33320</v>
      </c>
      <c r="D723" s="72">
        <v>31179</v>
      </c>
      <c r="E723" s="72">
        <v>45321.332640000001</v>
      </c>
      <c r="F723" s="72">
        <v>634201</v>
      </c>
      <c r="G723" s="72" t="s">
        <v>1293</v>
      </c>
      <c r="H723" s="72" t="s">
        <v>1141</v>
      </c>
    </row>
    <row r="724" spans="2:8" ht="14" x14ac:dyDescent="0.15">
      <c r="B724" s="72" t="s">
        <v>119</v>
      </c>
      <c r="C724" s="73">
        <v>2854.56</v>
      </c>
      <c r="D724" s="72">
        <v>31179</v>
      </c>
      <c r="E724" s="72">
        <v>45321.332640000001</v>
      </c>
      <c r="F724" s="72">
        <v>634201</v>
      </c>
      <c r="G724" s="72" t="s">
        <v>1293</v>
      </c>
      <c r="H724" s="72" t="s">
        <v>1141</v>
      </c>
    </row>
    <row r="725" spans="2:8" ht="14" x14ac:dyDescent="0.15">
      <c r="B725" s="72">
        <v>423</v>
      </c>
      <c r="C725" s="73">
        <v>23027</v>
      </c>
      <c r="D725" s="72">
        <v>31179</v>
      </c>
      <c r="E725" s="72">
        <v>45321.332640000001</v>
      </c>
      <c r="F725" s="72">
        <v>634336</v>
      </c>
      <c r="G725" s="72" t="s">
        <v>1293</v>
      </c>
      <c r="H725" s="72" t="s">
        <v>1141</v>
      </c>
    </row>
    <row r="726" spans="2:8" ht="14" x14ac:dyDescent="0.15">
      <c r="B726" s="72">
        <v>433</v>
      </c>
      <c r="C726" s="73">
        <v>23027</v>
      </c>
      <c r="D726" s="72">
        <v>31179</v>
      </c>
      <c r="E726" s="72">
        <v>45321.332640000001</v>
      </c>
      <c r="F726" s="72">
        <v>634336</v>
      </c>
      <c r="G726" s="72" t="s">
        <v>1293</v>
      </c>
      <c r="H726" s="72" t="s">
        <v>1141</v>
      </c>
    </row>
    <row r="727" spans="2:8" ht="14" x14ac:dyDescent="0.15">
      <c r="B727" s="72">
        <v>521</v>
      </c>
      <c r="C727" s="72">
        <v>810.72</v>
      </c>
      <c r="D727" s="72">
        <v>31179</v>
      </c>
      <c r="E727" s="72">
        <v>45321.332640000001</v>
      </c>
      <c r="F727" s="72">
        <v>634336</v>
      </c>
      <c r="G727" s="72" t="s">
        <v>1293</v>
      </c>
      <c r="H727" s="72" t="s">
        <v>1141</v>
      </c>
    </row>
    <row r="728" spans="2:8" ht="14" x14ac:dyDescent="0.15">
      <c r="B728" s="72">
        <v>541</v>
      </c>
      <c r="C728" s="73">
        <v>39971.24</v>
      </c>
      <c r="D728" s="72">
        <v>31179</v>
      </c>
      <c r="E728" s="72">
        <v>45321.332640000001</v>
      </c>
      <c r="F728" s="72">
        <v>634336</v>
      </c>
      <c r="G728" s="72" t="s">
        <v>1293</v>
      </c>
      <c r="H728" s="72" t="s">
        <v>1141</v>
      </c>
    </row>
    <row r="729" spans="2:8" ht="14" x14ac:dyDescent="0.15">
      <c r="B729" s="72">
        <v>543</v>
      </c>
      <c r="C729" s="73">
        <v>15230.91</v>
      </c>
      <c r="D729" s="72">
        <v>31179</v>
      </c>
      <c r="E729" s="72">
        <v>45321.332640000001</v>
      </c>
      <c r="F729" s="72">
        <v>634336</v>
      </c>
      <c r="G729" s="72" t="s">
        <v>1293</v>
      </c>
      <c r="H729" s="72" t="s">
        <v>1141</v>
      </c>
    </row>
    <row r="730" spans="2:8" ht="14" x14ac:dyDescent="0.15">
      <c r="B730" s="72">
        <v>711</v>
      </c>
      <c r="C730" s="73">
        <v>1260.48</v>
      </c>
      <c r="D730" s="72">
        <v>31179</v>
      </c>
      <c r="E730" s="72">
        <v>45321.332640000001</v>
      </c>
      <c r="F730" s="72">
        <v>634336</v>
      </c>
      <c r="G730" s="72" t="s">
        <v>1293</v>
      </c>
      <c r="H730" s="72" t="s">
        <v>1141</v>
      </c>
    </row>
    <row r="731" spans="2:8" ht="14" x14ac:dyDescent="0.15">
      <c r="B731" s="72" t="s">
        <v>49</v>
      </c>
      <c r="C731" s="72">
        <v>1.62</v>
      </c>
      <c r="D731" s="72">
        <v>31179</v>
      </c>
      <c r="E731" s="72">
        <v>45321.332640000001</v>
      </c>
      <c r="F731" s="72">
        <v>634336</v>
      </c>
      <c r="G731" s="72" t="s">
        <v>1293</v>
      </c>
      <c r="H731" s="72" t="s">
        <v>1141</v>
      </c>
    </row>
    <row r="732" spans="2:8" ht="14" x14ac:dyDescent="0.15">
      <c r="B732" s="72">
        <v>223</v>
      </c>
      <c r="C732" s="73">
        <v>10000</v>
      </c>
      <c r="D732" s="72">
        <v>31179</v>
      </c>
      <c r="E732" s="72">
        <v>45321.332640000001</v>
      </c>
      <c r="F732" s="72">
        <v>634337</v>
      </c>
      <c r="G732" s="72" t="s">
        <v>1293</v>
      </c>
      <c r="H732" s="72" t="s">
        <v>1141</v>
      </c>
    </row>
    <row r="733" spans="2:8" ht="14" x14ac:dyDescent="0.15">
      <c r="B733" s="72">
        <v>423</v>
      </c>
      <c r="C733" s="73">
        <v>13500</v>
      </c>
      <c r="D733" s="72">
        <v>31179</v>
      </c>
      <c r="E733" s="72">
        <v>45321.332640000001</v>
      </c>
      <c r="F733" s="72">
        <v>634337</v>
      </c>
      <c r="G733" s="72" t="s">
        <v>1293</v>
      </c>
      <c r="H733" s="72" t="s">
        <v>1141</v>
      </c>
    </row>
    <row r="734" spans="2:8" ht="14" x14ac:dyDescent="0.15">
      <c r="B734" s="72">
        <v>521</v>
      </c>
      <c r="C734" s="72">
        <v>900.8</v>
      </c>
      <c r="D734" s="72">
        <v>31179</v>
      </c>
      <c r="E734" s="72">
        <v>45321.332640000001</v>
      </c>
      <c r="F734" s="72">
        <v>634337</v>
      </c>
      <c r="G734" s="72" t="s">
        <v>1293</v>
      </c>
      <c r="H734" s="72" t="s">
        <v>1141</v>
      </c>
    </row>
    <row r="735" spans="2:8" ht="14" x14ac:dyDescent="0.15">
      <c r="B735" s="72" t="s">
        <v>113</v>
      </c>
      <c r="C735" s="73">
        <v>10000</v>
      </c>
      <c r="D735" s="72">
        <v>31179</v>
      </c>
      <c r="E735" s="72">
        <v>45321.332640000001</v>
      </c>
      <c r="F735" s="72">
        <v>634337</v>
      </c>
      <c r="G735" s="72" t="s">
        <v>1293</v>
      </c>
      <c r="H735" s="72" t="s">
        <v>1141</v>
      </c>
    </row>
    <row r="736" spans="2:8" ht="14" x14ac:dyDescent="0.15">
      <c r="B736" s="72">
        <v>141</v>
      </c>
      <c r="C736" s="73">
        <v>2160.3000000000002</v>
      </c>
      <c r="D736" s="72">
        <v>31179</v>
      </c>
      <c r="E736" s="72">
        <v>45321.332640000001</v>
      </c>
      <c r="F736" s="72">
        <v>651636</v>
      </c>
      <c r="G736" s="72" t="s">
        <v>1293</v>
      </c>
      <c r="H736" s="72" t="s">
        <v>1141</v>
      </c>
    </row>
    <row r="737" spans="2:8" ht="14" x14ac:dyDescent="0.15">
      <c r="B737" s="72">
        <v>523</v>
      </c>
      <c r="C737" s="73">
        <v>1802</v>
      </c>
      <c r="D737" s="72">
        <v>31179</v>
      </c>
      <c r="E737" s="72">
        <v>45321.332640000001</v>
      </c>
      <c r="F737" s="72">
        <v>651636</v>
      </c>
      <c r="G737" s="72" t="s">
        <v>1293</v>
      </c>
      <c r="H737" s="72" t="s">
        <v>1141</v>
      </c>
    </row>
    <row r="738" spans="2:8" ht="14" x14ac:dyDescent="0.15">
      <c r="B738" s="72">
        <v>543</v>
      </c>
      <c r="C738" s="73">
        <v>5419.8</v>
      </c>
      <c r="D738" s="72">
        <v>31179</v>
      </c>
      <c r="E738" s="72">
        <v>45321.332640000001</v>
      </c>
      <c r="F738" s="72">
        <v>651636</v>
      </c>
      <c r="G738" s="72" t="s">
        <v>1293</v>
      </c>
      <c r="H738" s="72" t="s">
        <v>1141</v>
      </c>
    </row>
    <row r="739" spans="2:8" ht="14" x14ac:dyDescent="0.15">
      <c r="B739" s="72">
        <v>711</v>
      </c>
      <c r="C739" s="73">
        <v>1043.72</v>
      </c>
      <c r="D739" s="72">
        <v>31179</v>
      </c>
      <c r="E739" s="72">
        <v>45321.332640000001</v>
      </c>
      <c r="F739" s="72">
        <v>651636</v>
      </c>
      <c r="G739" s="72" t="s">
        <v>1293</v>
      </c>
      <c r="H739" s="72" t="s">
        <v>1141</v>
      </c>
    </row>
    <row r="740" spans="2:8" ht="14" x14ac:dyDescent="0.15">
      <c r="B740" s="72">
        <v>723</v>
      </c>
      <c r="C740" s="73">
        <v>12765</v>
      </c>
      <c r="D740" s="72">
        <v>31179</v>
      </c>
      <c r="E740" s="72">
        <v>45321.332640000001</v>
      </c>
      <c r="F740" s="72">
        <v>651636</v>
      </c>
      <c r="G740" s="72" t="s">
        <v>1293</v>
      </c>
      <c r="H740" s="72" t="s">
        <v>1141</v>
      </c>
    </row>
    <row r="741" spans="2:8" ht="14" x14ac:dyDescent="0.15">
      <c r="B741" s="72">
        <v>731</v>
      </c>
      <c r="C741" s="73">
        <v>4329.99</v>
      </c>
      <c r="D741" s="72">
        <v>31179</v>
      </c>
      <c r="E741" s="72">
        <v>45321.332640000001</v>
      </c>
      <c r="F741" s="72">
        <v>651636</v>
      </c>
      <c r="G741" s="72" t="s">
        <v>1293</v>
      </c>
      <c r="H741" s="72" t="s">
        <v>1141</v>
      </c>
    </row>
    <row r="742" spans="2:8" ht="14" x14ac:dyDescent="0.15">
      <c r="B742" s="72">
        <v>733</v>
      </c>
      <c r="C742" s="73">
        <v>1234.5</v>
      </c>
      <c r="D742" s="72">
        <v>31179</v>
      </c>
      <c r="E742" s="72">
        <v>45321.332640000001</v>
      </c>
      <c r="F742" s="72">
        <v>651636</v>
      </c>
      <c r="G742" s="72" t="s">
        <v>1293</v>
      </c>
      <c r="H742" s="72" t="s">
        <v>1141</v>
      </c>
    </row>
    <row r="743" spans="2:8" ht="14" x14ac:dyDescent="0.15">
      <c r="B743" s="72">
        <v>741</v>
      </c>
      <c r="C743" s="72">
        <v>269.74</v>
      </c>
      <c r="D743" s="72">
        <v>31179</v>
      </c>
      <c r="E743" s="72">
        <v>45321.332640000001</v>
      </c>
      <c r="F743" s="72">
        <v>651636</v>
      </c>
      <c r="G743" s="72" t="s">
        <v>1293</v>
      </c>
      <c r="H743" s="72" t="s">
        <v>1141</v>
      </c>
    </row>
    <row r="744" spans="2:8" ht="14" x14ac:dyDescent="0.15">
      <c r="B744" s="72">
        <v>761</v>
      </c>
      <c r="C744" s="73">
        <v>1275.8399999999999</v>
      </c>
      <c r="D744" s="72">
        <v>31179</v>
      </c>
      <c r="E744" s="72">
        <v>45321.332640000001</v>
      </c>
      <c r="F744" s="72">
        <v>651636</v>
      </c>
      <c r="G744" s="72" t="s">
        <v>1293</v>
      </c>
      <c r="H744" s="72" t="s">
        <v>1141</v>
      </c>
    </row>
    <row r="745" spans="2:8" ht="14" x14ac:dyDescent="0.15">
      <c r="B745" s="72">
        <v>763</v>
      </c>
      <c r="C745" s="73">
        <v>1693</v>
      </c>
      <c r="D745" s="72">
        <v>31179</v>
      </c>
      <c r="E745" s="72">
        <v>45321.332640000001</v>
      </c>
      <c r="F745" s="72">
        <v>651636</v>
      </c>
      <c r="G745" s="72" t="s">
        <v>1293</v>
      </c>
      <c r="H745" s="72" t="s">
        <v>1141</v>
      </c>
    </row>
    <row r="746" spans="2:8" ht="14" x14ac:dyDescent="0.15">
      <c r="B746" s="72" t="s">
        <v>161</v>
      </c>
      <c r="C746" s="73">
        <v>2496</v>
      </c>
      <c r="D746" s="72">
        <v>31179</v>
      </c>
      <c r="E746" s="72">
        <v>45321.332640000001</v>
      </c>
      <c r="F746" s="72">
        <v>651636</v>
      </c>
      <c r="G746" s="72" t="s">
        <v>1293</v>
      </c>
      <c r="H746" s="72" t="s">
        <v>1141</v>
      </c>
    </row>
    <row r="747" spans="2:8" ht="14" x14ac:dyDescent="0.15">
      <c r="B747" s="72" t="s">
        <v>49</v>
      </c>
      <c r="C747" s="73">
        <v>12851.11</v>
      </c>
      <c r="D747" s="72">
        <v>31179</v>
      </c>
      <c r="E747" s="72">
        <v>45321.332640000001</v>
      </c>
      <c r="F747" s="72">
        <v>651636</v>
      </c>
      <c r="G747" s="72" t="s">
        <v>1293</v>
      </c>
      <c r="H747" s="72" t="s">
        <v>1141</v>
      </c>
    </row>
    <row r="748" spans="2:8" ht="14" x14ac:dyDescent="0.15">
      <c r="B748" s="72" t="s">
        <v>119</v>
      </c>
      <c r="C748" s="72">
        <v>46</v>
      </c>
      <c r="D748" s="72">
        <v>31179</v>
      </c>
      <c r="E748" s="72">
        <v>45321.332640000001</v>
      </c>
      <c r="F748" s="72">
        <v>651636</v>
      </c>
      <c r="G748" s="72" t="s">
        <v>1293</v>
      </c>
      <c r="H748" s="72" t="s">
        <v>1141</v>
      </c>
    </row>
    <row r="749" spans="2:8" ht="14" x14ac:dyDescent="0.15">
      <c r="B749" s="72">
        <v>543</v>
      </c>
      <c r="C749" s="73">
        <v>12126</v>
      </c>
      <c r="D749" s="72">
        <v>31179</v>
      </c>
      <c r="E749" s="72">
        <v>45321.332640000001</v>
      </c>
      <c r="F749" s="72">
        <v>651637</v>
      </c>
      <c r="G749" s="72" t="s">
        <v>1293</v>
      </c>
      <c r="H749" s="72" t="s">
        <v>1141</v>
      </c>
    </row>
    <row r="750" spans="2:8" ht="14" x14ac:dyDescent="0.15">
      <c r="B750" s="72">
        <v>723</v>
      </c>
      <c r="C750" s="72">
        <v>155</v>
      </c>
      <c r="D750" s="72">
        <v>31179</v>
      </c>
      <c r="E750" s="72">
        <v>45321.332640000001</v>
      </c>
      <c r="F750" s="72">
        <v>651637</v>
      </c>
      <c r="G750" s="72" t="s">
        <v>1293</v>
      </c>
      <c r="H750" s="72" t="s">
        <v>1141</v>
      </c>
    </row>
    <row r="751" spans="2:8" ht="14" x14ac:dyDescent="0.15">
      <c r="B751" s="72">
        <v>731</v>
      </c>
      <c r="C751" s="73">
        <v>1329.21</v>
      </c>
      <c r="D751" s="72">
        <v>31179</v>
      </c>
      <c r="E751" s="72">
        <v>45321.332640000001</v>
      </c>
      <c r="F751" s="72">
        <v>651637</v>
      </c>
      <c r="G751" s="72" t="s">
        <v>1293</v>
      </c>
      <c r="H751" s="72" t="s">
        <v>1141</v>
      </c>
    </row>
    <row r="752" spans="2:8" ht="14" x14ac:dyDescent="0.15">
      <c r="B752" s="72">
        <v>733</v>
      </c>
      <c r="C752" s="72">
        <v>115</v>
      </c>
      <c r="D752" s="72">
        <v>31179</v>
      </c>
      <c r="E752" s="72">
        <v>45321.332640000001</v>
      </c>
      <c r="F752" s="72">
        <v>651637</v>
      </c>
      <c r="G752" s="72" t="s">
        <v>1293</v>
      </c>
      <c r="H752" s="72" t="s">
        <v>1141</v>
      </c>
    </row>
    <row r="753" spans="2:8" ht="14" x14ac:dyDescent="0.15">
      <c r="B753" s="72">
        <v>741</v>
      </c>
      <c r="C753" s="73">
        <v>1322.47</v>
      </c>
      <c r="D753" s="72">
        <v>31179</v>
      </c>
      <c r="E753" s="72">
        <v>45321.332640000001</v>
      </c>
      <c r="F753" s="72">
        <v>651637</v>
      </c>
      <c r="G753" s="72" t="s">
        <v>1293</v>
      </c>
      <c r="H753" s="72" t="s">
        <v>1141</v>
      </c>
    </row>
    <row r="754" spans="2:8" ht="14" x14ac:dyDescent="0.15">
      <c r="B754" s="72">
        <v>763</v>
      </c>
      <c r="C754" s="72">
        <v>120</v>
      </c>
      <c r="D754" s="72">
        <v>31179</v>
      </c>
      <c r="E754" s="72">
        <v>45321.332640000001</v>
      </c>
      <c r="F754" s="72">
        <v>651637</v>
      </c>
      <c r="G754" s="72" t="s">
        <v>1293</v>
      </c>
      <c r="H754" s="72" t="s">
        <v>1141</v>
      </c>
    </row>
    <row r="755" spans="2:8" ht="14" x14ac:dyDescent="0.15">
      <c r="B755" s="72">
        <v>3</v>
      </c>
      <c r="C755" s="72">
        <v>48</v>
      </c>
      <c r="D755" s="72">
        <v>31179</v>
      </c>
      <c r="E755" s="72">
        <v>45425.353470000002</v>
      </c>
      <c r="F755" s="72">
        <v>624158</v>
      </c>
      <c r="G755" s="72" t="s">
        <v>1293</v>
      </c>
      <c r="H755" s="72" t="s">
        <v>1141</v>
      </c>
    </row>
    <row r="756" spans="2:8" ht="14" x14ac:dyDescent="0.15">
      <c r="B756" s="72">
        <v>111</v>
      </c>
      <c r="C756" s="73">
        <v>133955.75</v>
      </c>
      <c r="D756" s="72">
        <v>31179</v>
      </c>
      <c r="E756" s="72">
        <v>45425.353470000002</v>
      </c>
      <c r="F756" s="72">
        <v>624158</v>
      </c>
      <c r="G756" s="72" t="s">
        <v>1293</v>
      </c>
      <c r="H756" s="72" t="s">
        <v>1141</v>
      </c>
    </row>
    <row r="757" spans="2:8" ht="14" x14ac:dyDescent="0.15">
      <c r="B757" s="72">
        <v>131</v>
      </c>
      <c r="C757" s="73">
        <v>82720.990000000005</v>
      </c>
      <c r="D757" s="72">
        <v>31179</v>
      </c>
      <c r="E757" s="72">
        <v>45425.353470000002</v>
      </c>
      <c r="F757" s="72">
        <v>624158</v>
      </c>
      <c r="G757" s="72" t="s">
        <v>1293</v>
      </c>
      <c r="H757" s="72" t="s">
        <v>1141</v>
      </c>
    </row>
    <row r="758" spans="2:8" ht="14" x14ac:dyDescent="0.15">
      <c r="B758" s="72">
        <v>133</v>
      </c>
      <c r="C758" s="73">
        <v>10332</v>
      </c>
      <c r="D758" s="72">
        <v>31179</v>
      </c>
      <c r="E758" s="72">
        <v>45425.353470000002</v>
      </c>
      <c r="F758" s="72">
        <v>624158</v>
      </c>
      <c r="G758" s="72" t="s">
        <v>1293</v>
      </c>
      <c r="H758" s="72" t="s">
        <v>1141</v>
      </c>
    </row>
    <row r="759" spans="2:8" ht="14" x14ac:dyDescent="0.15">
      <c r="B759" s="72">
        <v>141</v>
      </c>
      <c r="C759" s="73">
        <v>54236.34</v>
      </c>
      <c r="D759" s="72">
        <v>31179</v>
      </c>
      <c r="E759" s="72">
        <v>45425.353470000002</v>
      </c>
      <c r="F759" s="72">
        <v>624158</v>
      </c>
      <c r="G759" s="72" t="s">
        <v>1293</v>
      </c>
      <c r="H759" s="72" t="s">
        <v>1141</v>
      </c>
    </row>
    <row r="760" spans="2:8" ht="14" x14ac:dyDescent="0.15">
      <c r="B760" s="72">
        <v>241</v>
      </c>
      <c r="C760" s="73">
        <v>11396.83</v>
      </c>
      <c r="D760" s="72">
        <v>31179</v>
      </c>
      <c r="E760" s="72">
        <v>45425.353470000002</v>
      </c>
      <c r="F760" s="72">
        <v>624158</v>
      </c>
      <c r="G760" s="72" t="s">
        <v>1293</v>
      </c>
      <c r="H760" s="72" t="s">
        <v>1141</v>
      </c>
    </row>
    <row r="761" spans="2:8" ht="14" x14ac:dyDescent="0.15">
      <c r="B761" s="72">
        <v>731</v>
      </c>
      <c r="C761" s="73">
        <v>13656.72</v>
      </c>
      <c r="D761" s="72">
        <v>31179</v>
      </c>
      <c r="E761" s="72">
        <v>45425.353470000002</v>
      </c>
      <c r="F761" s="72">
        <v>624158</v>
      </c>
      <c r="G761" s="72" t="s">
        <v>1293</v>
      </c>
      <c r="H761" s="72" t="s">
        <v>1141</v>
      </c>
    </row>
    <row r="762" spans="2:8" ht="14" x14ac:dyDescent="0.15">
      <c r="B762" s="72">
        <v>761</v>
      </c>
      <c r="C762" s="73">
        <v>9812.94</v>
      </c>
      <c r="D762" s="72">
        <v>31179</v>
      </c>
      <c r="E762" s="72">
        <v>45425.353470000002</v>
      </c>
      <c r="F762" s="72">
        <v>624158</v>
      </c>
      <c r="G762" s="72" t="s">
        <v>1293</v>
      </c>
      <c r="H762" s="72" t="s">
        <v>1141</v>
      </c>
    </row>
    <row r="763" spans="2:8" ht="14" x14ac:dyDescent="0.15">
      <c r="B763" s="72">
        <v>211</v>
      </c>
      <c r="C763" s="73">
        <v>22186.28</v>
      </c>
      <c r="D763" s="72">
        <v>31179</v>
      </c>
      <c r="E763" s="72">
        <v>45425.353470000002</v>
      </c>
      <c r="F763" s="72">
        <v>624159</v>
      </c>
      <c r="G763" s="72" t="s">
        <v>1293</v>
      </c>
      <c r="H763" s="72" t="s">
        <v>1141</v>
      </c>
    </row>
    <row r="764" spans="2:8" ht="14" x14ac:dyDescent="0.15">
      <c r="B764" s="72">
        <v>213</v>
      </c>
      <c r="C764" s="73">
        <v>20250</v>
      </c>
      <c r="D764" s="72">
        <v>31179</v>
      </c>
      <c r="E764" s="72">
        <v>45425.353470000002</v>
      </c>
      <c r="F764" s="72">
        <v>624159</v>
      </c>
      <c r="G764" s="72" t="s">
        <v>1293</v>
      </c>
      <c r="H764" s="72" t="s">
        <v>1141</v>
      </c>
    </row>
    <row r="765" spans="2:8" ht="14" x14ac:dyDescent="0.15">
      <c r="B765" s="72">
        <v>231</v>
      </c>
      <c r="C765" s="73">
        <v>4019.75</v>
      </c>
      <c r="D765" s="72">
        <v>31179</v>
      </c>
      <c r="E765" s="72">
        <v>45425.353470000002</v>
      </c>
      <c r="F765" s="72">
        <v>624159</v>
      </c>
      <c r="G765" s="72" t="s">
        <v>1293</v>
      </c>
      <c r="H765" s="72" t="s">
        <v>1141</v>
      </c>
    </row>
    <row r="766" spans="2:8" ht="14" x14ac:dyDescent="0.15">
      <c r="B766" s="72">
        <v>421</v>
      </c>
      <c r="C766" s="73">
        <v>5119.5</v>
      </c>
      <c r="D766" s="72">
        <v>31179</v>
      </c>
      <c r="E766" s="72">
        <v>45425.353470000002</v>
      </c>
      <c r="F766" s="72">
        <v>624160</v>
      </c>
      <c r="G766" s="72" t="s">
        <v>1293</v>
      </c>
      <c r="H766" s="72" t="s">
        <v>1141</v>
      </c>
    </row>
    <row r="767" spans="2:8" ht="14" x14ac:dyDescent="0.15">
      <c r="B767" s="72">
        <v>431</v>
      </c>
      <c r="C767" s="73">
        <v>22273.61</v>
      </c>
      <c r="D767" s="72">
        <v>31179</v>
      </c>
      <c r="E767" s="72">
        <v>45425.353470000002</v>
      </c>
      <c r="F767" s="72">
        <v>624160</v>
      </c>
      <c r="G767" s="72" t="s">
        <v>1293</v>
      </c>
      <c r="H767" s="72" t="s">
        <v>1141</v>
      </c>
    </row>
    <row r="768" spans="2:8" ht="14" x14ac:dyDescent="0.15">
      <c r="B768" s="72">
        <v>441</v>
      </c>
      <c r="C768" s="73">
        <v>1148.7</v>
      </c>
      <c r="D768" s="72">
        <v>31179</v>
      </c>
      <c r="E768" s="72">
        <v>45425.353470000002</v>
      </c>
      <c r="F768" s="72">
        <v>624160</v>
      </c>
      <c r="G768" s="72" t="s">
        <v>1293</v>
      </c>
      <c r="H768" s="72" t="s">
        <v>1141</v>
      </c>
    </row>
    <row r="769" spans="2:8" ht="14" x14ac:dyDescent="0.15">
      <c r="B769" s="72">
        <v>443</v>
      </c>
      <c r="C769" s="73">
        <v>12655</v>
      </c>
      <c r="D769" s="72">
        <v>31179</v>
      </c>
      <c r="E769" s="72">
        <v>45425.353470000002</v>
      </c>
      <c r="F769" s="72">
        <v>624160</v>
      </c>
      <c r="G769" s="72" t="s">
        <v>1293</v>
      </c>
      <c r="H769" s="72" t="s">
        <v>1141</v>
      </c>
    </row>
    <row r="770" spans="2:8" ht="14" x14ac:dyDescent="0.15">
      <c r="B770" s="72" t="s">
        <v>161</v>
      </c>
      <c r="C770" s="72">
        <v>727.07</v>
      </c>
      <c r="D770" s="72">
        <v>31179</v>
      </c>
      <c r="E770" s="72">
        <v>45425.353470000002</v>
      </c>
      <c r="F770" s="72">
        <v>624160</v>
      </c>
      <c r="G770" s="72" t="s">
        <v>1293</v>
      </c>
      <c r="H770" s="72" t="s">
        <v>1141</v>
      </c>
    </row>
    <row r="771" spans="2:8" ht="14" x14ac:dyDescent="0.15">
      <c r="B771" s="72" t="s">
        <v>49</v>
      </c>
      <c r="C771" s="73">
        <v>9105.6</v>
      </c>
      <c r="D771" s="72">
        <v>31179</v>
      </c>
      <c r="E771" s="72">
        <v>45425.353470000002</v>
      </c>
      <c r="F771" s="72">
        <v>624160</v>
      </c>
      <c r="G771" s="72" t="s">
        <v>1293</v>
      </c>
      <c r="H771" s="72" t="s">
        <v>1141</v>
      </c>
    </row>
    <row r="772" spans="2:8" ht="14" x14ac:dyDescent="0.15">
      <c r="B772" s="72">
        <v>711</v>
      </c>
      <c r="C772" s="73">
        <v>12132.12</v>
      </c>
      <c r="D772" s="72">
        <v>31179</v>
      </c>
      <c r="E772" s="72">
        <v>45425.353470000002</v>
      </c>
      <c r="F772" s="72">
        <v>624161</v>
      </c>
      <c r="G772" s="72" t="s">
        <v>1293</v>
      </c>
      <c r="H772" s="72" t="s">
        <v>1141</v>
      </c>
    </row>
    <row r="773" spans="2:8" ht="14" x14ac:dyDescent="0.15">
      <c r="B773" s="72">
        <v>713</v>
      </c>
      <c r="C773" s="73">
        <v>27127.68</v>
      </c>
      <c r="D773" s="72">
        <v>31179</v>
      </c>
      <c r="E773" s="72">
        <v>45425.353470000002</v>
      </c>
      <c r="F773" s="72">
        <v>624161</v>
      </c>
      <c r="G773" s="72" t="s">
        <v>1293</v>
      </c>
      <c r="H773" s="72" t="s">
        <v>1141</v>
      </c>
    </row>
    <row r="774" spans="2:8" ht="14" x14ac:dyDescent="0.15">
      <c r="B774" s="72" t="s">
        <v>49</v>
      </c>
      <c r="C774" s="72">
        <v>135.76</v>
      </c>
      <c r="D774" s="72">
        <v>31179</v>
      </c>
      <c r="E774" s="72">
        <v>45425.353470000002</v>
      </c>
      <c r="F774" s="72">
        <v>624161</v>
      </c>
      <c r="G774" s="72" t="s">
        <v>1293</v>
      </c>
      <c r="H774" s="72" t="s">
        <v>1141</v>
      </c>
    </row>
    <row r="775" spans="2:8" ht="14" x14ac:dyDescent="0.15">
      <c r="B775" s="72" t="s">
        <v>119</v>
      </c>
      <c r="C775" s="72">
        <v>24.85</v>
      </c>
      <c r="D775" s="72">
        <v>31179</v>
      </c>
      <c r="E775" s="72">
        <v>45425.353470000002</v>
      </c>
      <c r="F775" s="72">
        <v>624161</v>
      </c>
      <c r="G775" s="72" t="s">
        <v>1293</v>
      </c>
      <c r="H775" s="72" t="s">
        <v>1141</v>
      </c>
    </row>
    <row r="776" spans="2:8" ht="14" x14ac:dyDescent="0.15">
      <c r="B776" s="72" t="s">
        <v>120</v>
      </c>
      <c r="C776" s="72">
        <v>5.61</v>
      </c>
      <c r="D776" s="72">
        <v>31179</v>
      </c>
      <c r="E776" s="72">
        <v>45425.353470000002</v>
      </c>
      <c r="F776" s="72">
        <v>624161</v>
      </c>
      <c r="G776" s="72" t="s">
        <v>1293</v>
      </c>
      <c r="H776" s="72" t="s">
        <v>1141</v>
      </c>
    </row>
    <row r="777" spans="2:8" ht="14" x14ac:dyDescent="0.15">
      <c r="B777" s="72">
        <v>3</v>
      </c>
      <c r="C777" s="72">
        <v>131.28</v>
      </c>
      <c r="D777" s="72">
        <v>31179</v>
      </c>
      <c r="E777" s="72">
        <v>45425.353470000002</v>
      </c>
      <c r="F777" s="72">
        <v>624162</v>
      </c>
      <c r="G777" s="72" t="s">
        <v>1293</v>
      </c>
      <c r="H777" s="72" t="s">
        <v>1141</v>
      </c>
    </row>
    <row r="778" spans="2:8" ht="14" x14ac:dyDescent="0.15">
      <c r="B778" s="72">
        <v>733</v>
      </c>
      <c r="C778" s="72">
        <v>425.5</v>
      </c>
      <c r="D778" s="72">
        <v>31179</v>
      </c>
      <c r="E778" s="72">
        <v>45425.353470000002</v>
      </c>
      <c r="F778" s="72">
        <v>624162</v>
      </c>
      <c r="G778" s="72" t="s">
        <v>1293</v>
      </c>
      <c r="H778" s="72" t="s">
        <v>1141</v>
      </c>
    </row>
    <row r="779" spans="2:8" ht="14" x14ac:dyDescent="0.15">
      <c r="B779" s="72">
        <v>751</v>
      </c>
      <c r="C779" s="73">
        <v>11728.38</v>
      </c>
      <c r="D779" s="72">
        <v>31179</v>
      </c>
      <c r="E779" s="72">
        <v>45425.353470000002</v>
      </c>
      <c r="F779" s="72">
        <v>624162</v>
      </c>
      <c r="G779" s="72" t="s">
        <v>1293</v>
      </c>
      <c r="H779" s="72" t="s">
        <v>1141</v>
      </c>
    </row>
    <row r="780" spans="2:8" ht="14" x14ac:dyDescent="0.15">
      <c r="B780" s="72">
        <v>753</v>
      </c>
      <c r="C780" s="73">
        <v>51954.5</v>
      </c>
      <c r="D780" s="72">
        <v>31179</v>
      </c>
      <c r="E780" s="72">
        <v>45425.353470000002</v>
      </c>
      <c r="F780" s="72">
        <v>624162</v>
      </c>
      <c r="G780" s="72" t="s">
        <v>1293</v>
      </c>
      <c r="H780" s="72" t="s">
        <v>1141</v>
      </c>
    </row>
    <row r="781" spans="2:8" ht="14" x14ac:dyDescent="0.15">
      <c r="B781" s="72" t="s">
        <v>161</v>
      </c>
      <c r="C781" s="72">
        <v>834</v>
      </c>
      <c r="D781" s="72">
        <v>31179</v>
      </c>
      <c r="E781" s="72">
        <v>45425.353470000002</v>
      </c>
      <c r="F781" s="72">
        <v>624162</v>
      </c>
      <c r="G781" s="72" t="s">
        <v>1293</v>
      </c>
      <c r="H781" s="72" t="s">
        <v>1141</v>
      </c>
    </row>
    <row r="782" spans="2:8" ht="14" x14ac:dyDescent="0.15">
      <c r="B782" s="72" t="s">
        <v>49</v>
      </c>
      <c r="C782" s="72">
        <v>161.44999999999999</v>
      </c>
      <c r="D782" s="72">
        <v>31179</v>
      </c>
      <c r="E782" s="72">
        <v>45425.353470000002</v>
      </c>
      <c r="F782" s="72">
        <v>624162</v>
      </c>
      <c r="G782" s="72" t="s">
        <v>1293</v>
      </c>
      <c r="H782" s="72" t="s">
        <v>1141</v>
      </c>
    </row>
    <row r="783" spans="2:8" ht="14" x14ac:dyDescent="0.15">
      <c r="B783" s="72" t="s">
        <v>119</v>
      </c>
      <c r="C783" s="73">
        <v>364447.27</v>
      </c>
      <c r="D783" s="72">
        <v>31179</v>
      </c>
      <c r="E783" s="72">
        <v>45425.353470000002</v>
      </c>
      <c r="F783" s="72">
        <v>624162</v>
      </c>
      <c r="G783" s="72" t="s">
        <v>1293</v>
      </c>
      <c r="H783" s="72" t="s">
        <v>1141</v>
      </c>
    </row>
    <row r="784" spans="2:8" ht="14" x14ac:dyDescent="0.15">
      <c r="B784" s="72">
        <v>3</v>
      </c>
      <c r="C784" s="72">
        <v>919.23</v>
      </c>
      <c r="D784" s="72">
        <v>31179</v>
      </c>
      <c r="E784" s="72">
        <v>45425.353470000002</v>
      </c>
      <c r="F784" s="72">
        <v>624163</v>
      </c>
      <c r="G784" s="72" t="s">
        <v>1293</v>
      </c>
      <c r="H784" s="72" t="s">
        <v>1141</v>
      </c>
    </row>
    <row r="785" spans="2:8" ht="14" x14ac:dyDescent="0.15">
      <c r="B785" s="72">
        <v>723</v>
      </c>
      <c r="C785" s="73">
        <v>146979.84</v>
      </c>
      <c r="D785" s="72">
        <v>31179</v>
      </c>
      <c r="E785" s="72">
        <v>45425.353470000002</v>
      </c>
      <c r="F785" s="72">
        <v>624163</v>
      </c>
      <c r="G785" s="72" t="s">
        <v>1293</v>
      </c>
      <c r="H785" s="72" t="s">
        <v>1141</v>
      </c>
    </row>
    <row r="786" spans="2:8" ht="14" x14ac:dyDescent="0.15">
      <c r="B786" s="72">
        <v>733</v>
      </c>
      <c r="C786" s="73">
        <v>1442</v>
      </c>
      <c r="D786" s="72">
        <v>31179</v>
      </c>
      <c r="E786" s="72">
        <v>45425.353470000002</v>
      </c>
      <c r="F786" s="72">
        <v>624163</v>
      </c>
      <c r="G786" s="72" t="s">
        <v>1293</v>
      </c>
      <c r="H786" s="72" t="s">
        <v>1141</v>
      </c>
    </row>
    <row r="787" spans="2:8" ht="14" x14ac:dyDescent="0.15">
      <c r="B787" s="72" t="s">
        <v>161</v>
      </c>
      <c r="C787" s="73">
        <v>432157.98</v>
      </c>
      <c r="D787" s="72">
        <v>31179</v>
      </c>
      <c r="E787" s="72">
        <v>45425.353470000002</v>
      </c>
      <c r="F787" s="72">
        <v>624163</v>
      </c>
      <c r="G787" s="72" t="s">
        <v>1293</v>
      </c>
      <c r="H787" s="72" t="s">
        <v>1141</v>
      </c>
    </row>
    <row r="788" spans="2:8" ht="14" x14ac:dyDescent="0.15">
      <c r="B788" s="72" t="s">
        <v>49</v>
      </c>
      <c r="C788" s="73">
        <v>144818.43</v>
      </c>
      <c r="D788" s="72">
        <v>31179</v>
      </c>
      <c r="E788" s="72">
        <v>45425.353470000002</v>
      </c>
      <c r="F788" s="72">
        <v>624163</v>
      </c>
      <c r="G788" s="72" t="s">
        <v>1293</v>
      </c>
      <c r="H788" s="72" t="s">
        <v>1141</v>
      </c>
    </row>
    <row r="789" spans="2:8" ht="14" x14ac:dyDescent="0.15">
      <c r="B789" s="72" t="s">
        <v>119</v>
      </c>
      <c r="C789" s="73">
        <v>15960</v>
      </c>
      <c r="D789" s="72">
        <v>31179</v>
      </c>
      <c r="E789" s="72">
        <v>45425.353470000002</v>
      </c>
      <c r="F789" s="72">
        <v>624163</v>
      </c>
      <c r="G789" s="72" t="s">
        <v>1293</v>
      </c>
      <c r="H789" s="72" t="s">
        <v>1141</v>
      </c>
    </row>
    <row r="790" spans="2:8" ht="14" x14ac:dyDescent="0.15">
      <c r="B790" s="72">
        <v>543</v>
      </c>
      <c r="C790" s="72">
        <v>48</v>
      </c>
      <c r="D790" s="72">
        <v>31179</v>
      </c>
      <c r="E790" s="72">
        <v>45425.353470000002</v>
      </c>
      <c r="F790" s="72">
        <v>624164</v>
      </c>
      <c r="G790" s="72" t="s">
        <v>1293</v>
      </c>
      <c r="H790" s="72" t="s">
        <v>1141</v>
      </c>
    </row>
    <row r="791" spans="2:8" ht="14" x14ac:dyDescent="0.15">
      <c r="B791" s="72">
        <v>731</v>
      </c>
      <c r="C791" s="73">
        <v>42984.41</v>
      </c>
      <c r="D791" s="72">
        <v>31179</v>
      </c>
      <c r="E791" s="72">
        <v>45425.353470000002</v>
      </c>
      <c r="F791" s="72">
        <v>624164</v>
      </c>
      <c r="G791" s="72" t="s">
        <v>1293</v>
      </c>
      <c r="H791" s="72" t="s">
        <v>1141</v>
      </c>
    </row>
    <row r="792" spans="2:8" ht="14" x14ac:dyDescent="0.15">
      <c r="B792" s="72">
        <v>733</v>
      </c>
      <c r="C792" s="73">
        <v>20457.09</v>
      </c>
      <c r="D792" s="72">
        <v>31179</v>
      </c>
      <c r="E792" s="72">
        <v>45425.353470000002</v>
      </c>
      <c r="F792" s="72">
        <v>624164</v>
      </c>
      <c r="G792" s="72" t="s">
        <v>1293</v>
      </c>
      <c r="H792" s="72" t="s">
        <v>1141</v>
      </c>
    </row>
    <row r="793" spans="2:8" ht="14" x14ac:dyDescent="0.15">
      <c r="B793" s="72" t="s">
        <v>49</v>
      </c>
      <c r="C793" s="73">
        <v>9115</v>
      </c>
      <c r="D793" s="72">
        <v>31179</v>
      </c>
      <c r="E793" s="72">
        <v>45425.353470000002</v>
      </c>
      <c r="F793" s="72">
        <v>624164</v>
      </c>
      <c r="G793" s="72" t="s">
        <v>1293</v>
      </c>
      <c r="H793" s="72" t="s">
        <v>1141</v>
      </c>
    </row>
    <row r="794" spans="2:8" ht="14" x14ac:dyDescent="0.15">
      <c r="B794" s="72" t="s">
        <v>119</v>
      </c>
      <c r="C794" s="72">
        <v>872.84</v>
      </c>
      <c r="D794" s="72">
        <v>31179</v>
      </c>
      <c r="E794" s="72">
        <v>45425.353470000002</v>
      </c>
      <c r="F794" s="72">
        <v>624164</v>
      </c>
      <c r="G794" s="72" t="s">
        <v>1293</v>
      </c>
      <c r="H794" s="72" t="s">
        <v>1141</v>
      </c>
    </row>
    <row r="795" spans="2:8" ht="14" x14ac:dyDescent="0.15">
      <c r="B795" s="72" t="s">
        <v>120</v>
      </c>
      <c r="C795" s="72">
        <v>63.26</v>
      </c>
      <c r="D795" s="72">
        <v>31179</v>
      </c>
      <c r="E795" s="72">
        <v>45425.353470000002</v>
      </c>
      <c r="F795" s="72">
        <v>624164</v>
      </c>
      <c r="G795" s="72" t="s">
        <v>1293</v>
      </c>
      <c r="H795" s="72" t="s">
        <v>1141</v>
      </c>
    </row>
    <row r="796" spans="2:8" ht="14" x14ac:dyDescent="0.15">
      <c r="B796" s="72" t="s">
        <v>49</v>
      </c>
      <c r="C796" s="73">
        <v>1454376.34</v>
      </c>
      <c r="D796" s="72">
        <v>31179</v>
      </c>
      <c r="E796" s="72">
        <v>45425.353470000002</v>
      </c>
      <c r="F796" s="72">
        <v>624165</v>
      </c>
      <c r="G796" s="72" t="s">
        <v>1293</v>
      </c>
      <c r="H796" s="72" t="s">
        <v>1141</v>
      </c>
    </row>
    <row r="797" spans="2:8" ht="14" x14ac:dyDescent="0.15">
      <c r="B797" s="72" t="s">
        <v>120</v>
      </c>
      <c r="C797" s="73">
        <v>147687.37</v>
      </c>
      <c r="D797" s="72">
        <v>31179</v>
      </c>
      <c r="E797" s="72">
        <v>45425.353470000002</v>
      </c>
      <c r="F797" s="72">
        <v>624165</v>
      </c>
      <c r="G797" s="72" t="s">
        <v>1293</v>
      </c>
      <c r="H797" s="72" t="s">
        <v>1141</v>
      </c>
    </row>
    <row r="798" spans="2:8" ht="14" x14ac:dyDescent="0.15">
      <c r="B798" s="72">
        <v>521</v>
      </c>
      <c r="C798" s="73">
        <v>4098.6400000000003</v>
      </c>
      <c r="D798" s="72">
        <v>31179</v>
      </c>
      <c r="E798" s="72">
        <v>45425.353470000002</v>
      </c>
      <c r="F798" s="72">
        <v>624294</v>
      </c>
      <c r="G798" s="72" t="s">
        <v>1293</v>
      </c>
      <c r="H798" s="72" t="s">
        <v>1141</v>
      </c>
    </row>
    <row r="799" spans="2:8" ht="14" x14ac:dyDescent="0.15">
      <c r="B799" s="72">
        <v>523</v>
      </c>
      <c r="C799" s="73">
        <v>5510.5</v>
      </c>
      <c r="D799" s="72">
        <v>31179</v>
      </c>
      <c r="E799" s="72">
        <v>45425.353470000002</v>
      </c>
      <c r="F799" s="72">
        <v>624294</v>
      </c>
      <c r="G799" s="72" t="s">
        <v>1293</v>
      </c>
      <c r="H799" s="72" t="s">
        <v>1141</v>
      </c>
    </row>
    <row r="800" spans="2:8" ht="14" x14ac:dyDescent="0.15">
      <c r="B800" s="72">
        <v>533</v>
      </c>
      <c r="C800" s="73">
        <v>38150.5</v>
      </c>
      <c r="D800" s="72">
        <v>31179</v>
      </c>
      <c r="E800" s="72">
        <v>45425.353470000002</v>
      </c>
      <c r="F800" s="72">
        <v>624294</v>
      </c>
      <c r="G800" s="72" t="s">
        <v>1293</v>
      </c>
      <c r="H800" s="72" t="s">
        <v>1141</v>
      </c>
    </row>
    <row r="801" spans="2:8" ht="14" x14ac:dyDescent="0.15">
      <c r="B801" s="72">
        <v>543</v>
      </c>
      <c r="C801" s="73">
        <v>18109.7</v>
      </c>
      <c r="D801" s="72">
        <v>31179</v>
      </c>
      <c r="E801" s="72">
        <v>45425.353470000002</v>
      </c>
      <c r="F801" s="72">
        <v>624294</v>
      </c>
      <c r="G801" s="72" t="s">
        <v>1293</v>
      </c>
      <c r="H801" s="72" t="s">
        <v>1141</v>
      </c>
    </row>
    <row r="802" spans="2:8" ht="14" x14ac:dyDescent="0.15">
      <c r="B802" s="72" t="s">
        <v>112</v>
      </c>
      <c r="C802" s="73">
        <v>12240</v>
      </c>
      <c r="D802" s="72">
        <v>31179</v>
      </c>
      <c r="E802" s="72">
        <v>45425.353470000002</v>
      </c>
      <c r="F802" s="72">
        <v>624294</v>
      </c>
      <c r="G802" s="72" t="s">
        <v>1293</v>
      </c>
      <c r="H802" s="72" t="s">
        <v>1141</v>
      </c>
    </row>
    <row r="803" spans="2:8" ht="14" x14ac:dyDescent="0.15">
      <c r="B803" s="72" t="s">
        <v>113</v>
      </c>
      <c r="C803" s="73">
        <v>19374</v>
      </c>
      <c r="D803" s="72">
        <v>31179</v>
      </c>
      <c r="E803" s="72">
        <v>45425.353470000002</v>
      </c>
      <c r="F803" s="72">
        <v>624294</v>
      </c>
      <c r="G803" s="72" t="s">
        <v>1293</v>
      </c>
      <c r="H803" s="72" t="s">
        <v>1141</v>
      </c>
    </row>
    <row r="804" spans="2:8" ht="14" x14ac:dyDescent="0.15">
      <c r="B804" s="72" t="s">
        <v>120</v>
      </c>
      <c r="C804" s="73">
        <v>2289.09</v>
      </c>
      <c r="D804" s="72">
        <v>31179</v>
      </c>
      <c r="E804" s="72">
        <v>45425.353470000002</v>
      </c>
      <c r="F804" s="72">
        <v>624294</v>
      </c>
      <c r="G804" s="72" t="s">
        <v>1293</v>
      </c>
      <c r="H804" s="72" t="s">
        <v>1141</v>
      </c>
    </row>
    <row r="805" spans="2:8" ht="14" x14ac:dyDescent="0.15">
      <c r="B805" s="72">
        <v>123</v>
      </c>
      <c r="C805" s="73">
        <v>7600</v>
      </c>
      <c r="D805" s="72">
        <v>31179</v>
      </c>
      <c r="E805" s="72">
        <v>45425.353470000002</v>
      </c>
      <c r="F805" s="72">
        <v>624295</v>
      </c>
      <c r="G805" s="72" t="s">
        <v>1293</v>
      </c>
      <c r="H805" s="72" t="s">
        <v>1141</v>
      </c>
    </row>
    <row r="806" spans="2:8" ht="14" x14ac:dyDescent="0.15">
      <c r="B806" s="72">
        <v>521</v>
      </c>
      <c r="C806" s="73">
        <v>3378</v>
      </c>
      <c r="D806" s="72">
        <v>31179</v>
      </c>
      <c r="E806" s="72">
        <v>45425.353470000002</v>
      </c>
      <c r="F806" s="72">
        <v>624295</v>
      </c>
      <c r="G806" s="72" t="s">
        <v>1293</v>
      </c>
      <c r="H806" s="72" t="s">
        <v>1141</v>
      </c>
    </row>
    <row r="807" spans="2:8" ht="14" x14ac:dyDescent="0.15">
      <c r="B807" s="72">
        <v>523</v>
      </c>
      <c r="C807" s="73">
        <v>22958</v>
      </c>
      <c r="D807" s="72">
        <v>31179</v>
      </c>
      <c r="E807" s="72">
        <v>45425.353470000002</v>
      </c>
      <c r="F807" s="72">
        <v>624295</v>
      </c>
      <c r="G807" s="72" t="s">
        <v>1293</v>
      </c>
      <c r="H807" s="72" t="s">
        <v>1141</v>
      </c>
    </row>
    <row r="808" spans="2:8" ht="14" x14ac:dyDescent="0.15">
      <c r="B808" s="72">
        <v>531</v>
      </c>
      <c r="C808" s="72">
        <v>415.5</v>
      </c>
      <c r="D808" s="72">
        <v>31179</v>
      </c>
      <c r="E808" s="72">
        <v>45425.353470000002</v>
      </c>
      <c r="F808" s="72">
        <v>624295</v>
      </c>
      <c r="G808" s="72" t="s">
        <v>1293</v>
      </c>
      <c r="H808" s="72" t="s">
        <v>1141</v>
      </c>
    </row>
    <row r="809" spans="2:8" ht="14" x14ac:dyDescent="0.15">
      <c r="B809" s="72">
        <v>533</v>
      </c>
      <c r="C809" s="73">
        <v>15200</v>
      </c>
      <c r="D809" s="72">
        <v>31179</v>
      </c>
      <c r="E809" s="72">
        <v>45425.353470000002</v>
      </c>
      <c r="F809" s="72">
        <v>624295</v>
      </c>
      <c r="G809" s="72" t="s">
        <v>1293</v>
      </c>
      <c r="H809" s="72" t="s">
        <v>1141</v>
      </c>
    </row>
    <row r="810" spans="2:8" ht="14" x14ac:dyDescent="0.15">
      <c r="B810" s="72">
        <v>543</v>
      </c>
      <c r="C810" s="73">
        <v>18649.240000000002</v>
      </c>
      <c r="D810" s="72">
        <v>31179</v>
      </c>
      <c r="E810" s="72">
        <v>45425.353470000002</v>
      </c>
      <c r="F810" s="72">
        <v>624295</v>
      </c>
      <c r="G810" s="72" t="s">
        <v>1293</v>
      </c>
      <c r="H810" s="72" t="s">
        <v>1141</v>
      </c>
    </row>
    <row r="811" spans="2:8" ht="14" x14ac:dyDescent="0.15">
      <c r="B811" s="72" t="s">
        <v>120</v>
      </c>
      <c r="C811" s="73">
        <v>1799.08</v>
      </c>
      <c r="D811" s="72">
        <v>31179</v>
      </c>
      <c r="E811" s="72">
        <v>45425.353470000002</v>
      </c>
      <c r="F811" s="72">
        <v>624295</v>
      </c>
      <c r="G811" s="72" t="s">
        <v>1293</v>
      </c>
      <c r="H811" s="72" t="s">
        <v>1141</v>
      </c>
    </row>
    <row r="812" spans="2:8" ht="14" x14ac:dyDescent="0.15">
      <c r="B812" s="72">
        <v>221</v>
      </c>
      <c r="C812" s="73">
        <v>1270.7</v>
      </c>
      <c r="D812" s="72">
        <v>31179</v>
      </c>
      <c r="E812" s="72">
        <v>45425.353470000002</v>
      </c>
      <c r="F812" s="72">
        <v>634186</v>
      </c>
      <c r="G812" s="72" t="s">
        <v>1293</v>
      </c>
      <c r="H812" s="72" t="s">
        <v>1141</v>
      </c>
    </row>
    <row r="813" spans="2:8" ht="14" x14ac:dyDescent="0.15">
      <c r="B813" s="72">
        <v>223</v>
      </c>
      <c r="C813" s="73">
        <v>54195.7</v>
      </c>
      <c r="D813" s="72">
        <v>31179</v>
      </c>
      <c r="E813" s="72">
        <v>45425.353470000002</v>
      </c>
      <c r="F813" s="72">
        <v>634186</v>
      </c>
      <c r="G813" s="72" t="s">
        <v>1293</v>
      </c>
      <c r="H813" s="72" t="s">
        <v>1141</v>
      </c>
    </row>
    <row r="814" spans="2:8" ht="14" x14ac:dyDescent="0.15">
      <c r="B814" s="72">
        <v>241</v>
      </c>
      <c r="C814" s="73">
        <v>2815.01</v>
      </c>
      <c r="D814" s="72">
        <v>31179</v>
      </c>
      <c r="E814" s="72">
        <v>45425.353470000002</v>
      </c>
      <c r="F814" s="72">
        <v>634186</v>
      </c>
      <c r="G814" s="72" t="s">
        <v>1293</v>
      </c>
      <c r="H814" s="72" t="s">
        <v>1141</v>
      </c>
    </row>
    <row r="815" spans="2:8" ht="14" x14ac:dyDescent="0.15">
      <c r="B815" s="72">
        <v>243</v>
      </c>
      <c r="C815" s="73">
        <v>18620</v>
      </c>
      <c r="D815" s="72">
        <v>31179</v>
      </c>
      <c r="E815" s="72">
        <v>45425.353470000002</v>
      </c>
      <c r="F815" s="72">
        <v>634186</v>
      </c>
      <c r="G815" s="72" t="s">
        <v>1293</v>
      </c>
      <c r="H815" s="72" t="s">
        <v>1141</v>
      </c>
    </row>
    <row r="816" spans="2:8" ht="14" x14ac:dyDescent="0.15">
      <c r="B816" s="72">
        <v>311</v>
      </c>
      <c r="C816" s="73">
        <v>1229.44</v>
      </c>
      <c r="D816" s="72">
        <v>31179</v>
      </c>
      <c r="E816" s="72">
        <v>45425.353470000002</v>
      </c>
      <c r="F816" s="72">
        <v>634187</v>
      </c>
      <c r="G816" s="72" t="s">
        <v>1293</v>
      </c>
      <c r="H816" s="72" t="s">
        <v>1141</v>
      </c>
    </row>
    <row r="817" spans="2:8" ht="14" x14ac:dyDescent="0.15">
      <c r="B817" s="72">
        <v>313</v>
      </c>
      <c r="C817" s="73">
        <v>29570</v>
      </c>
      <c r="D817" s="72">
        <v>31179</v>
      </c>
      <c r="E817" s="72">
        <v>45425.353470000002</v>
      </c>
      <c r="F817" s="72">
        <v>634187</v>
      </c>
      <c r="G817" s="72" t="s">
        <v>1293</v>
      </c>
      <c r="H817" s="72" t="s">
        <v>1141</v>
      </c>
    </row>
    <row r="818" spans="2:8" ht="14" x14ac:dyDescent="0.15">
      <c r="B818" s="72">
        <v>1</v>
      </c>
      <c r="C818" s="72">
        <v>236.01</v>
      </c>
      <c r="D818" s="72">
        <v>31179</v>
      </c>
      <c r="E818" s="72">
        <v>45425.353470000002</v>
      </c>
      <c r="F818" s="72">
        <v>634188</v>
      </c>
      <c r="G818" s="72" t="s">
        <v>1293</v>
      </c>
      <c r="H818" s="72" t="s">
        <v>1141</v>
      </c>
    </row>
    <row r="819" spans="2:8" ht="14" x14ac:dyDescent="0.15">
      <c r="B819" s="72">
        <v>3</v>
      </c>
      <c r="C819" s="73">
        <v>1960.15</v>
      </c>
      <c r="D819" s="72">
        <v>31179</v>
      </c>
      <c r="E819" s="72">
        <v>45425.353470000002</v>
      </c>
      <c r="F819" s="72">
        <v>634188</v>
      </c>
      <c r="G819" s="72" t="s">
        <v>1293</v>
      </c>
      <c r="H819" s="72" t="s">
        <v>1141</v>
      </c>
    </row>
    <row r="820" spans="2:8" ht="14" x14ac:dyDescent="0.15">
      <c r="B820" s="72">
        <v>543</v>
      </c>
      <c r="C820" s="72">
        <v>793</v>
      </c>
      <c r="D820" s="72">
        <v>31179</v>
      </c>
      <c r="E820" s="72">
        <v>45425.353470000002</v>
      </c>
      <c r="F820" s="72">
        <v>634188</v>
      </c>
      <c r="G820" s="72" t="s">
        <v>1293</v>
      </c>
      <c r="H820" s="72" t="s">
        <v>1141</v>
      </c>
    </row>
    <row r="821" spans="2:8" ht="14" x14ac:dyDescent="0.15">
      <c r="B821" s="72">
        <v>731</v>
      </c>
      <c r="C821" s="73">
        <v>31306.43</v>
      </c>
      <c r="D821" s="72">
        <v>31179</v>
      </c>
      <c r="E821" s="72">
        <v>45425.353470000002</v>
      </c>
      <c r="F821" s="72">
        <v>634188</v>
      </c>
      <c r="G821" s="72" t="s">
        <v>1293</v>
      </c>
      <c r="H821" s="72" t="s">
        <v>1141</v>
      </c>
    </row>
    <row r="822" spans="2:8" ht="14" x14ac:dyDescent="0.15">
      <c r="B822" s="72">
        <v>733</v>
      </c>
      <c r="C822" s="73">
        <v>26729.85</v>
      </c>
      <c r="D822" s="72">
        <v>31179</v>
      </c>
      <c r="E822" s="72">
        <v>45425.353470000002</v>
      </c>
      <c r="F822" s="72">
        <v>634188</v>
      </c>
      <c r="G822" s="72" t="s">
        <v>1293</v>
      </c>
      <c r="H822" s="72" t="s">
        <v>1141</v>
      </c>
    </row>
    <row r="823" spans="2:8" ht="14" x14ac:dyDescent="0.15">
      <c r="B823" s="72">
        <v>761</v>
      </c>
      <c r="C823" s="73">
        <v>17306.5</v>
      </c>
      <c r="D823" s="72">
        <v>31179</v>
      </c>
      <c r="E823" s="72">
        <v>45425.353470000002</v>
      </c>
      <c r="F823" s="72">
        <v>634188</v>
      </c>
      <c r="G823" s="72" t="s">
        <v>1293</v>
      </c>
      <c r="H823" s="72" t="s">
        <v>1141</v>
      </c>
    </row>
    <row r="824" spans="2:8" ht="14" x14ac:dyDescent="0.15">
      <c r="B824" s="72">
        <v>763</v>
      </c>
      <c r="C824" s="73">
        <v>67589.600000000006</v>
      </c>
      <c r="D824" s="72">
        <v>31179</v>
      </c>
      <c r="E824" s="72">
        <v>45425.353470000002</v>
      </c>
      <c r="F824" s="72">
        <v>634188</v>
      </c>
      <c r="G824" s="72" t="s">
        <v>1293</v>
      </c>
      <c r="H824" s="72" t="s">
        <v>1141</v>
      </c>
    </row>
    <row r="825" spans="2:8" ht="14" x14ac:dyDescent="0.15">
      <c r="B825" s="72" t="s">
        <v>161</v>
      </c>
      <c r="C825" s="73">
        <v>1702.57</v>
      </c>
      <c r="D825" s="72">
        <v>31179</v>
      </c>
      <c r="E825" s="72">
        <v>45425.353470000002</v>
      </c>
      <c r="F825" s="72">
        <v>634188</v>
      </c>
      <c r="G825" s="72" t="s">
        <v>1293</v>
      </c>
      <c r="H825" s="72" t="s">
        <v>1141</v>
      </c>
    </row>
    <row r="826" spans="2:8" ht="14" x14ac:dyDescent="0.15">
      <c r="B826" s="72" t="s">
        <v>49</v>
      </c>
      <c r="C826" s="73">
        <v>96574.41</v>
      </c>
      <c r="D826" s="72">
        <v>31179</v>
      </c>
      <c r="E826" s="72">
        <v>45425.353470000002</v>
      </c>
      <c r="F826" s="72">
        <v>634188</v>
      </c>
      <c r="G826" s="72" t="s">
        <v>1293</v>
      </c>
      <c r="H826" s="72" t="s">
        <v>1141</v>
      </c>
    </row>
    <row r="827" spans="2:8" ht="14" x14ac:dyDescent="0.15">
      <c r="B827" s="72" t="s">
        <v>119</v>
      </c>
      <c r="C827" s="73">
        <v>456870.76</v>
      </c>
      <c r="D827" s="72">
        <v>31179</v>
      </c>
      <c r="E827" s="72">
        <v>45425.353470000002</v>
      </c>
      <c r="F827" s="72">
        <v>634188</v>
      </c>
      <c r="G827" s="72" t="s">
        <v>1293</v>
      </c>
      <c r="H827" s="72" t="s">
        <v>1141</v>
      </c>
    </row>
    <row r="828" spans="2:8" ht="14" x14ac:dyDescent="0.15">
      <c r="B828" s="72" t="s">
        <v>120</v>
      </c>
      <c r="C828" s="73">
        <v>167879.34</v>
      </c>
      <c r="D828" s="72">
        <v>31179</v>
      </c>
      <c r="E828" s="72">
        <v>45425.353470000002</v>
      </c>
      <c r="F828" s="72">
        <v>634188</v>
      </c>
      <c r="G828" s="72" t="s">
        <v>1293</v>
      </c>
      <c r="H828" s="72" t="s">
        <v>1141</v>
      </c>
    </row>
    <row r="829" spans="2:8" ht="14" x14ac:dyDescent="0.15">
      <c r="B829" s="72">
        <v>463</v>
      </c>
      <c r="C829" s="73">
        <v>7900</v>
      </c>
      <c r="D829" s="72">
        <v>31179</v>
      </c>
      <c r="E829" s="72">
        <v>45425.353470000002</v>
      </c>
      <c r="F829" s="72">
        <v>634189</v>
      </c>
      <c r="G829" s="72" t="s">
        <v>1293</v>
      </c>
      <c r="H829" s="72" t="s">
        <v>1141</v>
      </c>
    </row>
    <row r="830" spans="2:8" ht="14" x14ac:dyDescent="0.15">
      <c r="B830" s="72">
        <v>473</v>
      </c>
      <c r="C830" s="73">
        <v>9000</v>
      </c>
      <c r="D830" s="72">
        <v>31179</v>
      </c>
      <c r="E830" s="72">
        <v>45425.353470000002</v>
      </c>
      <c r="F830" s="72">
        <v>634189</v>
      </c>
      <c r="G830" s="72" t="s">
        <v>1293</v>
      </c>
      <c r="H830" s="72" t="s">
        <v>1141</v>
      </c>
    </row>
    <row r="831" spans="2:8" ht="14" x14ac:dyDescent="0.15">
      <c r="B831" s="72">
        <v>523</v>
      </c>
      <c r="C831" s="73">
        <v>5072</v>
      </c>
      <c r="D831" s="72">
        <v>31179</v>
      </c>
      <c r="E831" s="72">
        <v>45425.353470000002</v>
      </c>
      <c r="F831" s="72">
        <v>634189</v>
      </c>
      <c r="G831" s="72" t="s">
        <v>1293</v>
      </c>
      <c r="H831" s="72" t="s">
        <v>1141</v>
      </c>
    </row>
    <row r="832" spans="2:8" ht="14" x14ac:dyDescent="0.15">
      <c r="B832" s="72">
        <v>541</v>
      </c>
      <c r="C832" s="73">
        <v>48056.160000000003</v>
      </c>
      <c r="D832" s="72">
        <v>31179</v>
      </c>
      <c r="E832" s="72">
        <v>45425.353470000002</v>
      </c>
      <c r="F832" s="72">
        <v>634189</v>
      </c>
      <c r="G832" s="72" t="s">
        <v>1293</v>
      </c>
      <c r="H832" s="72" t="s">
        <v>1141</v>
      </c>
    </row>
    <row r="833" spans="2:8" ht="14" x14ac:dyDescent="0.15">
      <c r="B833" s="72">
        <v>543</v>
      </c>
      <c r="C833" s="73">
        <v>2161.5</v>
      </c>
      <c r="D833" s="72">
        <v>31179</v>
      </c>
      <c r="E833" s="72">
        <v>45425.353470000002</v>
      </c>
      <c r="F833" s="72">
        <v>634189</v>
      </c>
      <c r="G833" s="72" t="s">
        <v>1293</v>
      </c>
      <c r="H833" s="72" t="s">
        <v>1141</v>
      </c>
    </row>
    <row r="834" spans="2:8" ht="14" x14ac:dyDescent="0.15">
      <c r="B834" s="72">
        <v>563</v>
      </c>
      <c r="C834" s="73">
        <v>73060</v>
      </c>
      <c r="D834" s="72">
        <v>31179</v>
      </c>
      <c r="E834" s="72">
        <v>45425.353470000002</v>
      </c>
      <c r="F834" s="72">
        <v>634189</v>
      </c>
      <c r="G834" s="72" t="s">
        <v>1293</v>
      </c>
      <c r="H834" s="72" t="s">
        <v>1141</v>
      </c>
    </row>
    <row r="835" spans="2:8" ht="14" x14ac:dyDescent="0.15">
      <c r="B835" s="72">
        <v>573</v>
      </c>
      <c r="C835" s="73">
        <v>79156.5</v>
      </c>
      <c r="D835" s="72">
        <v>31179</v>
      </c>
      <c r="E835" s="72">
        <v>45425.353470000002</v>
      </c>
      <c r="F835" s="72">
        <v>634189</v>
      </c>
      <c r="G835" s="72" t="s">
        <v>1293</v>
      </c>
      <c r="H835" s="72" t="s">
        <v>1141</v>
      </c>
    </row>
    <row r="836" spans="2:8" ht="14" x14ac:dyDescent="0.15">
      <c r="B836" s="72">
        <v>761</v>
      </c>
      <c r="C836" s="73">
        <v>3927.2</v>
      </c>
      <c r="D836" s="72">
        <v>31179</v>
      </c>
      <c r="E836" s="72">
        <v>45425.353470000002</v>
      </c>
      <c r="F836" s="72">
        <v>634189</v>
      </c>
      <c r="G836" s="72" t="s">
        <v>1293</v>
      </c>
      <c r="H836" s="72" t="s">
        <v>1141</v>
      </c>
    </row>
    <row r="837" spans="2:8" ht="14" x14ac:dyDescent="0.15">
      <c r="B837" s="72">
        <v>763</v>
      </c>
      <c r="C837" s="73">
        <v>12883.75</v>
      </c>
      <c r="D837" s="72">
        <v>31179</v>
      </c>
      <c r="E837" s="72">
        <v>45425.353470000002</v>
      </c>
      <c r="F837" s="72">
        <v>634189</v>
      </c>
      <c r="G837" s="72" t="s">
        <v>1293</v>
      </c>
      <c r="H837" s="72" t="s">
        <v>1141</v>
      </c>
    </row>
    <row r="838" spans="2:8" ht="14" x14ac:dyDescent="0.15">
      <c r="B838" s="72" t="s">
        <v>49</v>
      </c>
      <c r="C838" s="72">
        <v>766.35</v>
      </c>
      <c r="D838" s="72">
        <v>31179</v>
      </c>
      <c r="E838" s="72">
        <v>45425.353470000002</v>
      </c>
      <c r="F838" s="72">
        <v>634189</v>
      </c>
      <c r="G838" s="72" t="s">
        <v>1293</v>
      </c>
      <c r="H838" s="72" t="s">
        <v>1141</v>
      </c>
    </row>
    <row r="839" spans="2:8" ht="14" x14ac:dyDescent="0.15">
      <c r="B839" s="72" t="s">
        <v>119</v>
      </c>
      <c r="C839" s="73">
        <v>1120</v>
      </c>
      <c r="D839" s="72">
        <v>31179</v>
      </c>
      <c r="E839" s="72">
        <v>45425.353470000002</v>
      </c>
      <c r="F839" s="72">
        <v>634189</v>
      </c>
      <c r="G839" s="72" t="s">
        <v>1293</v>
      </c>
      <c r="H839" s="72" t="s">
        <v>1141</v>
      </c>
    </row>
    <row r="840" spans="2:8" ht="14" x14ac:dyDescent="0.15">
      <c r="B840" s="72">
        <v>3</v>
      </c>
      <c r="C840" s="72">
        <v>45.24</v>
      </c>
      <c r="D840" s="72">
        <v>31179</v>
      </c>
      <c r="E840" s="72">
        <v>45425.353470000002</v>
      </c>
      <c r="F840" s="72">
        <v>634190</v>
      </c>
      <c r="G840" s="72" t="s">
        <v>1293</v>
      </c>
      <c r="H840" s="72" t="s">
        <v>1141</v>
      </c>
    </row>
    <row r="841" spans="2:8" ht="14" x14ac:dyDescent="0.15">
      <c r="B841" s="72">
        <v>521</v>
      </c>
      <c r="C841" s="73">
        <v>34663.89</v>
      </c>
      <c r="D841" s="72">
        <v>31179</v>
      </c>
      <c r="E841" s="72">
        <v>45425.353470000002</v>
      </c>
      <c r="F841" s="72">
        <v>634190</v>
      </c>
      <c r="G841" s="72" t="s">
        <v>1293</v>
      </c>
      <c r="H841" s="72" t="s">
        <v>1141</v>
      </c>
    </row>
    <row r="842" spans="2:8" ht="14" x14ac:dyDescent="0.15">
      <c r="B842" s="72">
        <v>523</v>
      </c>
      <c r="C842" s="73">
        <v>241570</v>
      </c>
      <c r="D842" s="72">
        <v>31179</v>
      </c>
      <c r="E842" s="72">
        <v>45425.353470000002</v>
      </c>
      <c r="F842" s="72">
        <v>634190</v>
      </c>
      <c r="G842" s="72" t="s">
        <v>1293</v>
      </c>
      <c r="H842" s="72" t="s">
        <v>1141</v>
      </c>
    </row>
    <row r="843" spans="2:8" ht="14" x14ac:dyDescent="0.15">
      <c r="B843" s="72">
        <v>533</v>
      </c>
      <c r="C843" s="73">
        <v>244349.5</v>
      </c>
      <c r="D843" s="72">
        <v>31179</v>
      </c>
      <c r="E843" s="72">
        <v>45425.353470000002</v>
      </c>
      <c r="F843" s="72">
        <v>634190</v>
      </c>
      <c r="G843" s="72" t="s">
        <v>1293</v>
      </c>
      <c r="H843" s="72" t="s">
        <v>1141</v>
      </c>
    </row>
    <row r="844" spans="2:8" ht="14" x14ac:dyDescent="0.15">
      <c r="B844" s="72">
        <v>541</v>
      </c>
      <c r="C844" s="73">
        <v>21695.17</v>
      </c>
      <c r="D844" s="72">
        <v>31179</v>
      </c>
      <c r="E844" s="72">
        <v>45425.353470000002</v>
      </c>
      <c r="F844" s="72">
        <v>634190</v>
      </c>
      <c r="G844" s="72" t="s">
        <v>1293</v>
      </c>
      <c r="H844" s="72" t="s">
        <v>1141</v>
      </c>
    </row>
    <row r="845" spans="2:8" ht="14" x14ac:dyDescent="0.15">
      <c r="B845" s="72">
        <v>543</v>
      </c>
      <c r="C845" s="73">
        <v>49514.69</v>
      </c>
      <c r="D845" s="72">
        <v>31179</v>
      </c>
      <c r="E845" s="72">
        <v>45425.353470000002</v>
      </c>
      <c r="F845" s="72">
        <v>634190</v>
      </c>
      <c r="G845" s="72" t="s">
        <v>1293</v>
      </c>
      <c r="H845" s="72" t="s">
        <v>1141</v>
      </c>
    </row>
    <row r="846" spans="2:8" ht="14" x14ac:dyDescent="0.15">
      <c r="B846" s="72">
        <v>743</v>
      </c>
      <c r="C846" s="73">
        <v>4635.6899999999996</v>
      </c>
      <c r="D846" s="72">
        <v>31179</v>
      </c>
      <c r="E846" s="72">
        <v>45425.353470000002</v>
      </c>
      <c r="F846" s="72">
        <v>634190</v>
      </c>
      <c r="G846" s="72" t="s">
        <v>1293</v>
      </c>
      <c r="H846" s="72" t="s">
        <v>1141</v>
      </c>
    </row>
    <row r="847" spans="2:8" ht="14" x14ac:dyDescent="0.15">
      <c r="B847" s="72">
        <v>763</v>
      </c>
      <c r="C847" s="73">
        <v>96934.44</v>
      </c>
      <c r="D847" s="72">
        <v>31179</v>
      </c>
      <c r="E847" s="72">
        <v>45425.353470000002</v>
      </c>
      <c r="F847" s="72">
        <v>634190</v>
      </c>
      <c r="G847" s="72" t="s">
        <v>1293</v>
      </c>
      <c r="H847" s="72" t="s">
        <v>1141</v>
      </c>
    </row>
    <row r="848" spans="2:8" ht="14" x14ac:dyDescent="0.15">
      <c r="B848" s="72" t="s">
        <v>49</v>
      </c>
      <c r="C848" s="72">
        <v>464.92</v>
      </c>
      <c r="D848" s="72">
        <v>31179</v>
      </c>
      <c r="E848" s="72">
        <v>45425.353470000002</v>
      </c>
      <c r="F848" s="72">
        <v>634190</v>
      </c>
      <c r="G848" s="72" t="s">
        <v>1293</v>
      </c>
      <c r="H848" s="72" t="s">
        <v>1141</v>
      </c>
    </row>
    <row r="849" spans="2:8" ht="14" x14ac:dyDescent="0.15">
      <c r="B849" s="72" t="s">
        <v>120</v>
      </c>
      <c r="C849" s="72">
        <v>37.14</v>
      </c>
      <c r="D849" s="72">
        <v>31179</v>
      </c>
      <c r="E849" s="72">
        <v>45425.353470000002</v>
      </c>
      <c r="F849" s="72">
        <v>634190</v>
      </c>
      <c r="G849" s="72" t="s">
        <v>1293</v>
      </c>
      <c r="H849" s="72" t="s">
        <v>1141</v>
      </c>
    </row>
    <row r="850" spans="2:8" ht="14" x14ac:dyDescent="0.15">
      <c r="B850" s="72">
        <v>711</v>
      </c>
      <c r="C850" s="73">
        <v>29454.43</v>
      </c>
      <c r="D850" s="72">
        <v>31179</v>
      </c>
      <c r="E850" s="72">
        <v>45425.353470000002</v>
      </c>
      <c r="F850" s="72">
        <v>634191</v>
      </c>
      <c r="G850" s="72" t="s">
        <v>1293</v>
      </c>
      <c r="H850" s="72" t="s">
        <v>1141</v>
      </c>
    </row>
    <row r="851" spans="2:8" ht="14" x14ac:dyDescent="0.15">
      <c r="B851" s="72">
        <v>713</v>
      </c>
      <c r="C851" s="73">
        <v>116618.4</v>
      </c>
      <c r="D851" s="72">
        <v>31179</v>
      </c>
      <c r="E851" s="72">
        <v>45425.353470000002</v>
      </c>
      <c r="F851" s="72">
        <v>634191</v>
      </c>
      <c r="G851" s="72" t="s">
        <v>1293</v>
      </c>
      <c r="H851" s="72" t="s">
        <v>1141</v>
      </c>
    </row>
    <row r="852" spans="2:8" ht="14" x14ac:dyDescent="0.15">
      <c r="B852" s="72" t="s">
        <v>49</v>
      </c>
      <c r="C852" s="72">
        <v>22.11</v>
      </c>
      <c r="D852" s="72">
        <v>31179</v>
      </c>
      <c r="E852" s="72">
        <v>45425.353470000002</v>
      </c>
      <c r="F852" s="72">
        <v>634191</v>
      </c>
      <c r="G852" s="72" t="s">
        <v>1293</v>
      </c>
      <c r="H852" s="72" t="s">
        <v>1141</v>
      </c>
    </row>
    <row r="853" spans="2:8" ht="14" x14ac:dyDescent="0.15">
      <c r="B853" s="72">
        <v>1</v>
      </c>
      <c r="C853" s="72">
        <v>0.55000000000000004</v>
      </c>
      <c r="D853" s="72">
        <v>31179</v>
      </c>
      <c r="E853" s="72">
        <v>45425.353470000002</v>
      </c>
      <c r="F853" s="72">
        <v>634192</v>
      </c>
      <c r="G853" s="72" t="s">
        <v>1293</v>
      </c>
      <c r="H853" s="72" t="s">
        <v>1141</v>
      </c>
    </row>
    <row r="854" spans="2:8" ht="14" x14ac:dyDescent="0.15">
      <c r="B854" s="72">
        <v>3</v>
      </c>
      <c r="C854" s="72">
        <v>360.25</v>
      </c>
      <c r="D854" s="72">
        <v>31179</v>
      </c>
      <c r="E854" s="72">
        <v>45425.353470000002</v>
      </c>
      <c r="F854" s="72">
        <v>634192</v>
      </c>
      <c r="G854" s="72" t="s">
        <v>1293</v>
      </c>
      <c r="H854" s="72" t="s">
        <v>1141</v>
      </c>
    </row>
    <row r="855" spans="2:8" ht="14" x14ac:dyDescent="0.15">
      <c r="B855" s="72">
        <v>723</v>
      </c>
      <c r="C855" s="73">
        <v>33166.199999999997</v>
      </c>
      <c r="D855" s="72">
        <v>31179</v>
      </c>
      <c r="E855" s="72">
        <v>45425.353470000002</v>
      </c>
      <c r="F855" s="72">
        <v>634192</v>
      </c>
      <c r="G855" s="72" t="s">
        <v>1293</v>
      </c>
      <c r="H855" s="72" t="s">
        <v>1141</v>
      </c>
    </row>
    <row r="856" spans="2:8" ht="14" x14ac:dyDescent="0.15">
      <c r="B856" s="72">
        <v>733</v>
      </c>
      <c r="C856" s="73">
        <v>1864.75</v>
      </c>
      <c r="D856" s="72">
        <v>31179</v>
      </c>
      <c r="E856" s="72">
        <v>45425.353470000002</v>
      </c>
      <c r="F856" s="72">
        <v>634192</v>
      </c>
      <c r="G856" s="72" t="s">
        <v>1293</v>
      </c>
      <c r="H856" s="72" t="s">
        <v>1141</v>
      </c>
    </row>
    <row r="857" spans="2:8" ht="14" x14ac:dyDescent="0.15">
      <c r="B857" s="72">
        <v>741</v>
      </c>
      <c r="C857" s="73">
        <v>21968.43</v>
      </c>
      <c r="D857" s="72">
        <v>31179</v>
      </c>
      <c r="E857" s="72">
        <v>45425.353470000002</v>
      </c>
      <c r="F857" s="72">
        <v>634192</v>
      </c>
      <c r="G857" s="72" t="s">
        <v>1293</v>
      </c>
      <c r="H857" s="72" t="s">
        <v>1141</v>
      </c>
    </row>
    <row r="858" spans="2:8" ht="14" x14ac:dyDescent="0.15">
      <c r="B858" s="72" t="s">
        <v>161</v>
      </c>
      <c r="C858" s="73">
        <v>767682.18</v>
      </c>
      <c r="D858" s="72">
        <v>31179</v>
      </c>
      <c r="E858" s="72">
        <v>45425.353470000002</v>
      </c>
      <c r="F858" s="72">
        <v>634192</v>
      </c>
      <c r="G858" s="72" t="s">
        <v>1293</v>
      </c>
      <c r="H858" s="72" t="s">
        <v>1141</v>
      </c>
    </row>
    <row r="859" spans="2:8" ht="14" x14ac:dyDescent="0.15">
      <c r="B859" s="72" t="s">
        <v>49</v>
      </c>
      <c r="C859" s="73">
        <v>159174.81</v>
      </c>
      <c r="D859" s="72">
        <v>31179</v>
      </c>
      <c r="E859" s="72">
        <v>45425.353470000002</v>
      </c>
      <c r="F859" s="72">
        <v>634192</v>
      </c>
      <c r="G859" s="72" t="s">
        <v>1293</v>
      </c>
      <c r="H859" s="72" t="s">
        <v>1141</v>
      </c>
    </row>
    <row r="860" spans="2:8" ht="14" x14ac:dyDescent="0.15">
      <c r="B860" s="72" t="s">
        <v>120</v>
      </c>
      <c r="C860" s="72">
        <v>22.32</v>
      </c>
      <c r="D860" s="72">
        <v>31179</v>
      </c>
      <c r="E860" s="72">
        <v>45425.353470000002</v>
      </c>
      <c r="F860" s="72">
        <v>634192</v>
      </c>
      <c r="G860" s="72" t="s">
        <v>1293</v>
      </c>
      <c r="H860" s="72" t="s">
        <v>1141</v>
      </c>
    </row>
    <row r="861" spans="2:8" ht="14" x14ac:dyDescent="0.15">
      <c r="B861" s="72">
        <v>1</v>
      </c>
      <c r="C861" s="72">
        <v>40.5</v>
      </c>
      <c r="D861" s="72">
        <v>31179</v>
      </c>
      <c r="E861" s="72">
        <v>45425.353470000002</v>
      </c>
      <c r="F861" s="72">
        <v>634193</v>
      </c>
      <c r="G861" s="72" t="s">
        <v>1293</v>
      </c>
      <c r="H861" s="72" t="s">
        <v>1141</v>
      </c>
    </row>
    <row r="862" spans="2:8" ht="14" x14ac:dyDescent="0.15">
      <c r="B862" s="72">
        <v>3</v>
      </c>
      <c r="C862" s="72">
        <v>79.3</v>
      </c>
      <c r="D862" s="72">
        <v>31179</v>
      </c>
      <c r="E862" s="72">
        <v>45425.353470000002</v>
      </c>
      <c r="F862" s="72">
        <v>634193</v>
      </c>
      <c r="G862" s="72" t="s">
        <v>1293</v>
      </c>
      <c r="H862" s="72" t="s">
        <v>1141</v>
      </c>
    </row>
    <row r="863" spans="2:8" ht="14" x14ac:dyDescent="0.15">
      <c r="B863" s="72">
        <v>723</v>
      </c>
      <c r="C863" s="72">
        <v>398</v>
      </c>
      <c r="D863" s="72">
        <v>31179</v>
      </c>
      <c r="E863" s="72">
        <v>45425.353470000002</v>
      </c>
      <c r="F863" s="72">
        <v>634193</v>
      </c>
      <c r="G863" s="72" t="s">
        <v>1293</v>
      </c>
      <c r="H863" s="72" t="s">
        <v>1141</v>
      </c>
    </row>
    <row r="864" spans="2:8" ht="14" x14ac:dyDescent="0.15">
      <c r="B864" s="72">
        <v>733</v>
      </c>
      <c r="C864" s="72">
        <v>989</v>
      </c>
      <c r="D864" s="72">
        <v>31179</v>
      </c>
      <c r="E864" s="72">
        <v>45425.353470000002</v>
      </c>
      <c r="F864" s="72">
        <v>634193</v>
      </c>
      <c r="G864" s="72" t="s">
        <v>1293</v>
      </c>
      <c r="H864" s="72" t="s">
        <v>1141</v>
      </c>
    </row>
    <row r="865" spans="2:8" ht="14" x14ac:dyDescent="0.15">
      <c r="B865" s="72">
        <v>761</v>
      </c>
      <c r="C865" s="73">
        <v>12848.31</v>
      </c>
      <c r="D865" s="72">
        <v>31179</v>
      </c>
      <c r="E865" s="72">
        <v>45425.353470000002</v>
      </c>
      <c r="F865" s="72">
        <v>634193</v>
      </c>
      <c r="G865" s="72" t="s">
        <v>1293</v>
      </c>
      <c r="H865" s="72" t="s">
        <v>1141</v>
      </c>
    </row>
    <row r="866" spans="2:8" ht="14" x14ac:dyDescent="0.15">
      <c r="B866" s="72">
        <v>763</v>
      </c>
      <c r="C866" s="73">
        <v>51048</v>
      </c>
      <c r="D866" s="72">
        <v>31179</v>
      </c>
      <c r="E866" s="72">
        <v>45425.353470000002</v>
      </c>
      <c r="F866" s="72">
        <v>634193</v>
      </c>
      <c r="G866" s="72" t="s">
        <v>1293</v>
      </c>
      <c r="H866" s="72" t="s">
        <v>1141</v>
      </c>
    </row>
    <row r="867" spans="2:8" ht="14" x14ac:dyDescent="0.15">
      <c r="B867" s="72" t="s">
        <v>161</v>
      </c>
      <c r="C867" s="72">
        <v>377.02</v>
      </c>
      <c r="D867" s="72">
        <v>31179</v>
      </c>
      <c r="E867" s="72">
        <v>45425.353470000002</v>
      </c>
      <c r="F867" s="72">
        <v>634193</v>
      </c>
      <c r="G867" s="72" t="s">
        <v>1293</v>
      </c>
      <c r="H867" s="72" t="s">
        <v>1141</v>
      </c>
    </row>
    <row r="868" spans="2:8" ht="14" x14ac:dyDescent="0.15">
      <c r="B868" s="72" t="s">
        <v>49</v>
      </c>
      <c r="C868" s="72">
        <v>473.06</v>
      </c>
      <c r="D868" s="72">
        <v>31179</v>
      </c>
      <c r="E868" s="72">
        <v>45425.353470000002</v>
      </c>
      <c r="F868" s="72">
        <v>634193</v>
      </c>
      <c r="G868" s="72" t="s">
        <v>1293</v>
      </c>
      <c r="H868" s="72" t="s">
        <v>1141</v>
      </c>
    </row>
    <row r="869" spans="2:8" ht="14" x14ac:dyDescent="0.15">
      <c r="B869" s="72" t="s">
        <v>119</v>
      </c>
      <c r="C869" s="73">
        <v>34820.980000000003</v>
      </c>
      <c r="D869" s="72">
        <v>31179</v>
      </c>
      <c r="E869" s="72">
        <v>45425.353470000002</v>
      </c>
      <c r="F869" s="72">
        <v>634193</v>
      </c>
      <c r="G869" s="72" t="s">
        <v>1293</v>
      </c>
      <c r="H869" s="72" t="s">
        <v>1141</v>
      </c>
    </row>
    <row r="870" spans="2:8" ht="14" x14ac:dyDescent="0.15">
      <c r="B870" s="72" t="s">
        <v>120</v>
      </c>
      <c r="C870" s="73">
        <v>105011.05</v>
      </c>
      <c r="D870" s="72">
        <v>31179</v>
      </c>
      <c r="E870" s="72">
        <v>45425.353470000002</v>
      </c>
      <c r="F870" s="72">
        <v>634193</v>
      </c>
      <c r="G870" s="72" t="s">
        <v>1293</v>
      </c>
      <c r="H870" s="72" t="s">
        <v>1141</v>
      </c>
    </row>
    <row r="871" spans="2:8" ht="14" x14ac:dyDescent="0.15">
      <c r="B871" s="72">
        <v>221</v>
      </c>
      <c r="C871" s="72">
        <v>720.64</v>
      </c>
      <c r="D871" s="72">
        <v>31179</v>
      </c>
      <c r="E871" s="72">
        <v>45425.353470000002</v>
      </c>
      <c r="F871" s="72">
        <v>634194</v>
      </c>
      <c r="G871" s="72" t="s">
        <v>1293</v>
      </c>
      <c r="H871" s="72" t="s">
        <v>1141</v>
      </c>
    </row>
    <row r="872" spans="2:8" ht="14" x14ac:dyDescent="0.15">
      <c r="B872" s="72">
        <v>223</v>
      </c>
      <c r="C872" s="73">
        <v>29912.5</v>
      </c>
      <c r="D872" s="72">
        <v>31179</v>
      </c>
      <c r="E872" s="72">
        <v>45425.353470000002</v>
      </c>
      <c r="F872" s="72">
        <v>634194</v>
      </c>
      <c r="G872" s="72" t="s">
        <v>1293</v>
      </c>
      <c r="H872" s="72" t="s">
        <v>1141</v>
      </c>
    </row>
    <row r="873" spans="2:8" ht="14" x14ac:dyDescent="0.15">
      <c r="B873" s="72">
        <v>241</v>
      </c>
      <c r="C873" s="73">
        <v>20183</v>
      </c>
      <c r="D873" s="72">
        <v>31179</v>
      </c>
      <c r="E873" s="72">
        <v>45425.353470000002</v>
      </c>
      <c r="F873" s="72">
        <v>634194</v>
      </c>
      <c r="G873" s="72" t="s">
        <v>1293</v>
      </c>
      <c r="H873" s="72" t="s">
        <v>1141</v>
      </c>
    </row>
    <row r="874" spans="2:8" ht="14" x14ac:dyDescent="0.15">
      <c r="B874" s="72">
        <v>243</v>
      </c>
      <c r="C874" s="73">
        <v>8435</v>
      </c>
      <c r="D874" s="72">
        <v>31179</v>
      </c>
      <c r="E874" s="72">
        <v>45425.353470000002</v>
      </c>
      <c r="F874" s="72">
        <v>634194</v>
      </c>
      <c r="G874" s="72" t="s">
        <v>1293</v>
      </c>
      <c r="H874" s="72" t="s">
        <v>1141</v>
      </c>
    </row>
    <row r="875" spans="2:8" ht="14" x14ac:dyDescent="0.15">
      <c r="B875" s="72">
        <v>311</v>
      </c>
      <c r="C875" s="72">
        <v>463.97</v>
      </c>
      <c r="D875" s="72">
        <v>31179</v>
      </c>
      <c r="E875" s="72">
        <v>45425.353470000002</v>
      </c>
      <c r="F875" s="72">
        <v>634195</v>
      </c>
      <c r="G875" s="72" t="s">
        <v>1293</v>
      </c>
      <c r="H875" s="72" t="s">
        <v>1141</v>
      </c>
    </row>
    <row r="876" spans="2:8" ht="14" x14ac:dyDescent="0.15">
      <c r="B876" s="72">
        <v>313</v>
      </c>
      <c r="C876" s="73">
        <v>17574</v>
      </c>
      <c r="D876" s="72">
        <v>31179</v>
      </c>
      <c r="E876" s="72">
        <v>45425.353470000002</v>
      </c>
      <c r="F876" s="72">
        <v>634195</v>
      </c>
      <c r="G876" s="72" t="s">
        <v>1293</v>
      </c>
      <c r="H876" s="72" t="s">
        <v>1141</v>
      </c>
    </row>
    <row r="877" spans="2:8" ht="14" x14ac:dyDescent="0.15">
      <c r="B877" s="72">
        <v>731</v>
      </c>
      <c r="C877" s="73">
        <v>3195.9</v>
      </c>
      <c r="D877" s="72">
        <v>31179</v>
      </c>
      <c r="E877" s="72">
        <v>45425.353470000002</v>
      </c>
      <c r="F877" s="72">
        <v>634196</v>
      </c>
      <c r="G877" s="72" t="s">
        <v>1293</v>
      </c>
      <c r="H877" s="72" t="s">
        <v>1141</v>
      </c>
    </row>
    <row r="878" spans="2:8" ht="14" x14ac:dyDescent="0.15">
      <c r="B878" s="72">
        <v>733</v>
      </c>
      <c r="C878" s="73">
        <v>13786.25</v>
      </c>
      <c r="D878" s="72">
        <v>31179</v>
      </c>
      <c r="E878" s="72">
        <v>45425.353470000002</v>
      </c>
      <c r="F878" s="72">
        <v>634196</v>
      </c>
      <c r="G878" s="72" t="s">
        <v>1293</v>
      </c>
      <c r="H878" s="72" t="s">
        <v>1141</v>
      </c>
    </row>
    <row r="879" spans="2:8" ht="14" x14ac:dyDescent="0.15">
      <c r="B879" s="72">
        <v>761</v>
      </c>
      <c r="C879" s="73">
        <v>24435.17</v>
      </c>
      <c r="D879" s="72">
        <v>31179</v>
      </c>
      <c r="E879" s="72">
        <v>45425.353470000002</v>
      </c>
      <c r="F879" s="72">
        <v>634196</v>
      </c>
      <c r="G879" s="72" t="s">
        <v>1293</v>
      </c>
      <c r="H879" s="72" t="s">
        <v>1141</v>
      </c>
    </row>
    <row r="880" spans="2:8" ht="14" x14ac:dyDescent="0.15">
      <c r="B880" s="72">
        <v>763</v>
      </c>
      <c r="C880" s="73">
        <v>39208</v>
      </c>
      <c r="D880" s="72">
        <v>31179</v>
      </c>
      <c r="E880" s="72">
        <v>45425.353470000002</v>
      </c>
      <c r="F880" s="72">
        <v>634196</v>
      </c>
      <c r="G880" s="72" t="s">
        <v>1293</v>
      </c>
      <c r="H880" s="72" t="s">
        <v>1141</v>
      </c>
    </row>
    <row r="881" spans="2:8" ht="14" x14ac:dyDescent="0.15">
      <c r="B881" s="72" t="s">
        <v>49</v>
      </c>
      <c r="C881" s="73">
        <v>1912.93</v>
      </c>
      <c r="D881" s="72">
        <v>31179</v>
      </c>
      <c r="E881" s="72">
        <v>45425.353470000002</v>
      </c>
      <c r="F881" s="72">
        <v>634196</v>
      </c>
      <c r="G881" s="72" t="s">
        <v>1293</v>
      </c>
      <c r="H881" s="72" t="s">
        <v>1141</v>
      </c>
    </row>
    <row r="882" spans="2:8" ht="14" x14ac:dyDescent="0.15">
      <c r="B882" s="72" t="s">
        <v>119</v>
      </c>
      <c r="C882" s="73">
        <v>37039.17</v>
      </c>
      <c r="D882" s="72">
        <v>31179</v>
      </c>
      <c r="E882" s="72">
        <v>45425.353470000002</v>
      </c>
      <c r="F882" s="72">
        <v>634196</v>
      </c>
      <c r="G882" s="72" t="s">
        <v>1293</v>
      </c>
      <c r="H882" s="72" t="s">
        <v>1141</v>
      </c>
    </row>
    <row r="883" spans="2:8" ht="14" x14ac:dyDescent="0.15">
      <c r="B883" s="72" t="s">
        <v>120</v>
      </c>
      <c r="C883" s="72">
        <v>378.9</v>
      </c>
      <c r="D883" s="72">
        <v>31179</v>
      </c>
      <c r="E883" s="72">
        <v>45425.353470000002</v>
      </c>
      <c r="F883" s="72">
        <v>634196</v>
      </c>
      <c r="G883" s="72" t="s">
        <v>1293</v>
      </c>
      <c r="H883" s="72" t="s">
        <v>1141</v>
      </c>
    </row>
    <row r="884" spans="2:8" ht="14" x14ac:dyDescent="0.15">
      <c r="B884" s="72">
        <v>463</v>
      </c>
      <c r="C884" s="73">
        <v>7300</v>
      </c>
      <c r="D884" s="72">
        <v>31179</v>
      </c>
      <c r="E884" s="72">
        <v>45425.353470000002</v>
      </c>
      <c r="F884" s="72">
        <v>634197</v>
      </c>
      <c r="G884" s="72" t="s">
        <v>1293</v>
      </c>
      <c r="H884" s="72" t="s">
        <v>1141</v>
      </c>
    </row>
    <row r="885" spans="2:8" ht="14" x14ac:dyDescent="0.15">
      <c r="B885" s="72">
        <v>473</v>
      </c>
      <c r="C885" s="72">
        <v>583</v>
      </c>
      <c r="D885" s="72">
        <v>31179</v>
      </c>
      <c r="E885" s="72">
        <v>45425.353470000002</v>
      </c>
      <c r="F885" s="72">
        <v>634197</v>
      </c>
      <c r="G885" s="72" t="s">
        <v>1293</v>
      </c>
      <c r="H885" s="72" t="s">
        <v>1141</v>
      </c>
    </row>
    <row r="886" spans="2:8" ht="14" x14ac:dyDescent="0.15">
      <c r="B886" s="72">
        <v>523</v>
      </c>
      <c r="C886" s="72">
        <v>225</v>
      </c>
      <c r="D886" s="72">
        <v>31179</v>
      </c>
      <c r="E886" s="72">
        <v>45425.353470000002</v>
      </c>
      <c r="F886" s="72">
        <v>634197</v>
      </c>
      <c r="G886" s="72" t="s">
        <v>1293</v>
      </c>
      <c r="H886" s="72" t="s">
        <v>1141</v>
      </c>
    </row>
    <row r="887" spans="2:8" ht="14" x14ac:dyDescent="0.15">
      <c r="B887" s="72">
        <v>541</v>
      </c>
      <c r="C887" s="73">
        <v>15747.84</v>
      </c>
      <c r="D887" s="72">
        <v>31179</v>
      </c>
      <c r="E887" s="72">
        <v>45425.353470000002</v>
      </c>
      <c r="F887" s="72">
        <v>634197</v>
      </c>
      <c r="G887" s="72" t="s">
        <v>1293</v>
      </c>
      <c r="H887" s="72" t="s">
        <v>1141</v>
      </c>
    </row>
    <row r="888" spans="2:8" ht="14" x14ac:dyDescent="0.15">
      <c r="B888" s="72">
        <v>563</v>
      </c>
      <c r="C888" s="73">
        <v>57520</v>
      </c>
      <c r="D888" s="72">
        <v>31179</v>
      </c>
      <c r="E888" s="72">
        <v>45425.353470000002</v>
      </c>
      <c r="F888" s="72">
        <v>634197</v>
      </c>
      <c r="G888" s="72" t="s">
        <v>1293</v>
      </c>
      <c r="H888" s="72" t="s">
        <v>1141</v>
      </c>
    </row>
    <row r="889" spans="2:8" ht="14" x14ac:dyDescent="0.15">
      <c r="B889" s="72">
        <v>573</v>
      </c>
      <c r="C889" s="73">
        <v>24618</v>
      </c>
      <c r="D889" s="72">
        <v>31179</v>
      </c>
      <c r="E889" s="72">
        <v>45425.353470000002</v>
      </c>
      <c r="F889" s="72">
        <v>634197</v>
      </c>
      <c r="G889" s="72" t="s">
        <v>1293</v>
      </c>
      <c r="H889" s="72" t="s">
        <v>1141</v>
      </c>
    </row>
    <row r="890" spans="2:8" ht="14" x14ac:dyDescent="0.15">
      <c r="B890" s="72">
        <v>761</v>
      </c>
      <c r="C890" s="73">
        <v>24588.43</v>
      </c>
      <c r="D890" s="72">
        <v>31179</v>
      </c>
      <c r="E890" s="72">
        <v>45425.353470000002</v>
      </c>
      <c r="F890" s="72">
        <v>634197</v>
      </c>
      <c r="G890" s="72" t="s">
        <v>1293</v>
      </c>
      <c r="H890" s="72" t="s">
        <v>1141</v>
      </c>
    </row>
    <row r="891" spans="2:8" ht="14" x14ac:dyDescent="0.15">
      <c r="B891" s="72">
        <v>763</v>
      </c>
      <c r="C891" s="73">
        <v>6098</v>
      </c>
      <c r="D891" s="72">
        <v>31179</v>
      </c>
      <c r="E891" s="72">
        <v>45425.353470000002</v>
      </c>
      <c r="F891" s="72">
        <v>634197</v>
      </c>
      <c r="G891" s="72" t="s">
        <v>1293</v>
      </c>
      <c r="H891" s="72" t="s">
        <v>1141</v>
      </c>
    </row>
    <row r="892" spans="2:8" ht="14" x14ac:dyDescent="0.15">
      <c r="B892" s="72" t="s">
        <v>119</v>
      </c>
      <c r="C892" s="72">
        <v>480</v>
      </c>
      <c r="D892" s="72">
        <v>31179</v>
      </c>
      <c r="E892" s="72">
        <v>45425.353470000002</v>
      </c>
      <c r="F892" s="72">
        <v>634197</v>
      </c>
      <c r="G892" s="72" t="s">
        <v>1293</v>
      </c>
      <c r="H892" s="72" t="s">
        <v>1141</v>
      </c>
    </row>
    <row r="893" spans="2:8" ht="14" x14ac:dyDescent="0.15">
      <c r="B893" s="72">
        <v>521</v>
      </c>
      <c r="C893" s="73">
        <v>21788.86</v>
      </c>
      <c r="D893" s="72">
        <v>31179</v>
      </c>
      <c r="E893" s="72">
        <v>45425.353470000002</v>
      </c>
      <c r="F893" s="72">
        <v>634198</v>
      </c>
      <c r="G893" s="72" t="s">
        <v>1293</v>
      </c>
      <c r="H893" s="72" t="s">
        <v>1141</v>
      </c>
    </row>
    <row r="894" spans="2:8" ht="14" x14ac:dyDescent="0.15">
      <c r="B894" s="72">
        <v>523</v>
      </c>
      <c r="C894" s="73">
        <v>120760</v>
      </c>
      <c r="D894" s="72">
        <v>31179</v>
      </c>
      <c r="E894" s="72">
        <v>45425.353470000002</v>
      </c>
      <c r="F894" s="72">
        <v>634198</v>
      </c>
      <c r="G894" s="72" t="s">
        <v>1293</v>
      </c>
      <c r="H894" s="72" t="s">
        <v>1141</v>
      </c>
    </row>
    <row r="895" spans="2:8" ht="14" x14ac:dyDescent="0.15">
      <c r="B895" s="72">
        <v>531</v>
      </c>
      <c r="C895" s="73">
        <v>22195.56</v>
      </c>
      <c r="D895" s="72">
        <v>31179</v>
      </c>
      <c r="E895" s="72">
        <v>45425.353470000002</v>
      </c>
      <c r="F895" s="72">
        <v>634198</v>
      </c>
      <c r="G895" s="72" t="s">
        <v>1293</v>
      </c>
      <c r="H895" s="72" t="s">
        <v>1141</v>
      </c>
    </row>
    <row r="896" spans="2:8" ht="14" x14ac:dyDescent="0.15">
      <c r="B896" s="72">
        <v>533</v>
      </c>
      <c r="C896" s="73">
        <v>173823.5</v>
      </c>
      <c r="D896" s="72">
        <v>31179</v>
      </c>
      <c r="E896" s="72">
        <v>45425.353470000002</v>
      </c>
      <c r="F896" s="72">
        <v>634198</v>
      </c>
      <c r="G896" s="72" t="s">
        <v>1293</v>
      </c>
      <c r="H896" s="72" t="s">
        <v>1141</v>
      </c>
    </row>
    <row r="897" spans="2:8" ht="14" x14ac:dyDescent="0.15">
      <c r="B897" s="72">
        <v>541</v>
      </c>
      <c r="C897" s="73">
        <v>5011.8100000000004</v>
      </c>
      <c r="D897" s="72">
        <v>31179</v>
      </c>
      <c r="E897" s="72">
        <v>45425.353470000002</v>
      </c>
      <c r="F897" s="72">
        <v>634198</v>
      </c>
      <c r="G897" s="72" t="s">
        <v>1293</v>
      </c>
      <c r="H897" s="72" t="s">
        <v>1141</v>
      </c>
    </row>
    <row r="898" spans="2:8" ht="14" x14ac:dyDescent="0.15">
      <c r="B898" s="72">
        <v>543</v>
      </c>
      <c r="C898" s="73">
        <v>35786.199999999997</v>
      </c>
      <c r="D898" s="72">
        <v>31179</v>
      </c>
      <c r="E898" s="72">
        <v>45425.353470000002</v>
      </c>
      <c r="F898" s="72">
        <v>634198</v>
      </c>
      <c r="G898" s="72" t="s">
        <v>1293</v>
      </c>
      <c r="H898" s="72" t="s">
        <v>1141</v>
      </c>
    </row>
    <row r="899" spans="2:8" ht="14" x14ac:dyDescent="0.15">
      <c r="B899" s="72">
        <v>743</v>
      </c>
      <c r="C899" s="73">
        <v>12544.69</v>
      </c>
      <c r="D899" s="72">
        <v>31179</v>
      </c>
      <c r="E899" s="72">
        <v>45425.353470000002</v>
      </c>
      <c r="F899" s="72">
        <v>634198</v>
      </c>
      <c r="G899" s="72" t="s">
        <v>1293</v>
      </c>
      <c r="H899" s="72" t="s">
        <v>1141</v>
      </c>
    </row>
    <row r="900" spans="2:8" ht="14" x14ac:dyDescent="0.15">
      <c r="B900" s="72">
        <v>763</v>
      </c>
      <c r="C900" s="73">
        <v>64057.440000000002</v>
      </c>
      <c r="D900" s="72">
        <v>31179</v>
      </c>
      <c r="E900" s="72">
        <v>45425.353470000002</v>
      </c>
      <c r="F900" s="72">
        <v>634198</v>
      </c>
      <c r="G900" s="72" t="s">
        <v>1293</v>
      </c>
      <c r="H900" s="72" t="s">
        <v>1141</v>
      </c>
    </row>
    <row r="901" spans="2:8" ht="14" x14ac:dyDescent="0.15">
      <c r="B901" s="72" t="s">
        <v>49</v>
      </c>
      <c r="C901" s="72">
        <v>51.26</v>
      </c>
      <c r="D901" s="72">
        <v>31179</v>
      </c>
      <c r="E901" s="72">
        <v>45425.353470000002</v>
      </c>
      <c r="F901" s="72">
        <v>634198</v>
      </c>
      <c r="G901" s="72" t="s">
        <v>1293</v>
      </c>
      <c r="H901" s="72" t="s">
        <v>1141</v>
      </c>
    </row>
    <row r="902" spans="2:8" ht="14" x14ac:dyDescent="0.15">
      <c r="B902" s="72" t="s">
        <v>119</v>
      </c>
      <c r="C902" s="73">
        <v>1738</v>
      </c>
      <c r="D902" s="72">
        <v>31179</v>
      </c>
      <c r="E902" s="72">
        <v>45425.353470000002</v>
      </c>
      <c r="F902" s="72">
        <v>634198</v>
      </c>
      <c r="G902" s="72" t="s">
        <v>1293</v>
      </c>
      <c r="H902" s="72" t="s">
        <v>1141</v>
      </c>
    </row>
    <row r="903" spans="2:8" ht="14" x14ac:dyDescent="0.15">
      <c r="B903" s="72">
        <v>711</v>
      </c>
      <c r="C903" s="73">
        <v>12149.71</v>
      </c>
      <c r="D903" s="72">
        <v>31179</v>
      </c>
      <c r="E903" s="72">
        <v>45425.353470000002</v>
      </c>
      <c r="F903" s="72">
        <v>634199</v>
      </c>
      <c r="G903" s="72" t="s">
        <v>1293</v>
      </c>
      <c r="H903" s="72" t="s">
        <v>1141</v>
      </c>
    </row>
    <row r="904" spans="2:8" ht="14" x14ac:dyDescent="0.15">
      <c r="B904" s="72">
        <v>713</v>
      </c>
      <c r="C904" s="73">
        <v>86795.05</v>
      </c>
      <c r="D904" s="72">
        <v>31179</v>
      </c>
      <c r="E904" s="72">
        <v>45425.353470000002</v>
      </c>
      <c r="F904" s="72">
        <v>634199</v>
      </c>
      <c r="G904" s="72" t="s">
        <v>1293</v>
      </c>
      <c r="H904" s="72" t="s">
        <v>1141</v>
      </c>
    </row>
    <row r="905" spans="2:8" ht="14" x14ac:dyDescent="0.15">
      <c r="B905" s="72">
        <v>3</v>
      </c>
      <c r="C905" s="72">
        <v>270.75</v>
      </c>
      <c r="D905" s="72">
        <v>31179</v>
      </c>
      <c r="E905" s="72">
        <v>45425.353470000002</v>
      </c>
      <c r="F905" s="72">
        <v>634200</v>
      </c>
      <c r="G905" s="72" t="s">
        <v>1293</v>
      </c>
      <c r="H905" s="72" t="s">
        <v>1141</v>
      </c>
    </row>
    <row r="906" spans="2:8" ht="14" x14ac:dyDescent="0.15">
      <c r="B906" s="72">
        <v>723</v>
      </c>
      <c r="C906" s="73">
        <v>19564.3</v>
      </c>
      <c r="D906" s="72">
        <v>31179</v>
      </c>
      <c r="E906" s="72">
        <v>45425.353470000002</v>
      </c>
      <c r="F906" s="72">
        <v>634200</v>
      </c>
      <c r="G906" s="72" t="s">
        <v>1293</v>
      </c>
      <c r="H906" s="72" t="s">
        <v>1141</v>
      </c>
    </row>
    <row r="907" spans="2:8" ht="14" x14ac:dyDescent="0.15">
      <c r="B907" s="72">
        <v>733</v>
      </c>
      <c r="C907" s="73">
        <v>1300.5</v>
      </c>
      <c r="D907" s="72">
        <v>31179</v>
      </c>
      <c r="E907" s="72">
        <v>45425.353470000002</v>
      </c>
      <c r="F907" s="72">
        <v>634200</v>
      </c>
      <c r="G907" s="72" t="s">
        <v>1293</v>
      </c>
      <c r="H907" s="72" t="s">
        <v>1141</v>
      </c>
    </row>
    <row r="908" spans="2:8" ht="14" x14ac:dyDescent="0.15">
      <c r="B908" s="72">
        <v>741</v>
      </c>
      <c r="C908" s="73">
        <v>9524.6299999999992</v>
      </c>
      <c r="D908" s="72">
        <v>31179</v>
      </c>
      <c r="E908" s="72">
        <v>45425.353470000002</v>
      </c>
      <c r="F908" s="72">
        <v>634200</v>
      </c>
      <c r="G908" s="72" t="s">
        <v>1293</v>
      </c>
      <c r="H908" s="72" t="s">
        <v>1141</v>
      </c>
    </row>
    <row r="909" spans="2:8" ht="14" x14ac:dyDescent="0.15">
      <c r="B909" s="72" t="s">
        <v>161</v>
      </c>
      <c r="C909" s="73">
        <v>540186.87</v>
      </c>
      <c r="D909" s="72">
        <v>31179</v>
      </c>
      <c r="E909" s="72">
        <v>45425.353470000002</v>
      </c>
      <c r="F909" s="72">
        <v>634200</v>
      </c>
      <c r="G909" s="72" t="s">
        <v>1293</v>
      </c>
      <c r="H909" s="72" t="s">
        <v>1141</v>
      </c>
    </row>
    <row r="910" spans="2:8" ht="14" x14ac:dyDescent="0.15">
      <c r="B910" s="72" t="s">
        <v>49</v>
      </c>
      <c r="C910" s="73">
        <v>95394.54</v>
      </c>
      <c r="D910" s="72">
        <v>31179</v>
      </c>
      <c r="E910" s="72">
        <v>45425.353470000002</v>
      </c>
      <c r="F910" s="72">
        <v>634200</v>
      </c>
      <c r="G910" s="72" t="s">
        <v>1293</v>
      </c>
      <c r="H910" s="72" t="s">
        <v>1141</v>
      </c>
    </row>
    <row r="911" spans="2:8" ht="14" x14ac:dyDescent="0.15">
      <c r="B911" s="72">
        <v>761</v>
      </c>
      <c r="C911" s="73">
        <v>5027.59</v>
      </c>
      <c r="D911" s="72">
        <v>31179</v>
      </c>
      <c r="E911" s="72">
        <v>45425.353470000002</v>
      </c>
      <c r="F911" s="72">
        <v>634201</v>
      </c>
      <c r="G911" s="72" t="s">
        <v>1293</v>
      </c>
      <c r="H911" s="72" t="s">
        <v>1141</v>
      </c>
    </row>
    <row r="912" spans="2:8" ht="14" x14ac:dyDescent="0.15">
      <c r="B912" s="72">
        <v>763</v>
      </c>
      <c r="C912" s="73">
        <v>33320</v>
      </c>
      <c r="D912" s="72">
        <v>31179</v>
      </c>
      <c r="E912" s="72">
        <v>45425.353470000002</v>
      </c>
      <c r="F912" s="72">
        <v>634201</v>
      </c>
      <c r="G912" s="72" t="s">
        <v>1293</v>
      </c>
      <c r="H912" s="72" t="s">
        <v>1141</v>
      </c>
    </row>
    <row r="913" spans="2:8" ht="14" x14ac:dyDescent="0.15">
      <c r="B913" s="72" t="s">
        <v>119</v>
      </c>
      <c r="C913" s="73">
        <v>2854.56</v>
      </c>
      <c r="D913" s="72">
        <v>31179</v>
      </c>
      <c r="E913" s="72">
        <v>45425.353470000002</v>
      </c>
      <c r="F913" s="72">
        <v>634201</v>
      </c>
      <c r="G913" s="72" t="s">
        <v>1293</v>
      </c>
      <c r="H913" s="72" t="s">
        <v>1141</v>
      </c>
    </row>
    <row r="914" spans="2:8" ht="14" x14ac:dyDescent="0.15">
      <c r="B914" s="72">
        <v>423</v>
      </c>
      <c r="C914" s="73">
        <v>23027</v>
      </c>
      <c r="D914" s="72">
        <v>31179</v>
      </c>
      <c r="E914" s="72">
        <v>45425.353470000002</v>
      </c>
      <c r="F914" s="72">
        <v>634336</v>
      </c>
      <c r="G914" s="72" t="s">
        <v>1293</v>
      </c>
      <c r="H914" s="72" t="s">
        <v>1141</v>
      </c>
    </row>
    <row r="915" spans="2:8" ht="14" x14ac:dyDescent="0.15">
      <c r="B915" s="72">
        <v>433</v>
      </c>
      <c r="C915" s="73">
        <v>23027</v>
      </c>
      <c r="D915" s="72">
        <v>31179</v>
      </c>
      <c r="E915" s="72">
        <v>45425.353470000002</v>
      </c>
      <c r="F915" s="72">
        <v>634336</v>
      </c>
      <c r="G915" s="72" t="s">
        <v>1293</v>
      </c>
      <c r="H915" s="72" t="s">
        <v>1141</v>
      </c>
    </row>
    <row r="916" spans="2:8" ht="14" x14ac:dyDescent="0.15">
      <c r="B916" s="72">
        <v>521</v>
      </c>
      <c r="C916" s="72">
        <v>810.72</v>
      </c>
      <c r="D916" s="72">
        <v>31179</v>
      </c>
      <c r="E916" s="72">
        <v>45425.353470000002</v>
      </c>
      <c r="F916" s="72">
        <v>634336</v>
      </c>
      <c r="G916" s="72" t="s">
        <v>1293</v>
      </c>
      <c r="H916" s="72" t="s">
        <v>1141</v>
      </c>
    </row>
    <row r="917" spans="2:8" ht="14" x14ac:dyDescent="0.15">
      <c r="B917" s="72">
        <v>541</v>
      </c>
      <c r="C917" s="73">
        <v>39971.24</v>
      </c>
      <c r="D917" s="72">
        <v>31179</v>
      </c>
      <c r="E917" s="72">
        <v>45425.353470000002</v>
      </c>
      <c r="F917" s="72">
        <v>634336</v>
      </c>
      <c r="G917" s="72" t="s">
        <v>1293</v>
      </c>
      <c r="H917" s="72" t="s">
        <v>1141</v>
      </c>
    </row>
    <row r="918" spans="2:8" ht="14" x14ac:dyDescent="0.15">
      <c r="B918" s="72">
        <v>543</v>
      </c>
      <c r="C918" s="73">
        <v>27138.91</v>
      </c>
      <c r="D918" s="72">
        <v>31179</v>
      </c>
      <c r="E918" s="72">
        <v>45425.353470000002</v>
      </c>
      <c r="F918" s="72">
        <v>634336</v>
      </c>
      <c r="G918" s="72" t="s">
        <v>1293</v>
      </c>
      <c r="H918" s="72" t="s">
        <v>1141</v>
      </c>
    </row>
    <row r="919" spans="2:8" ht="14" x14ac:dyDescent="0.15">
      <c r="B919" s="72">
        <v>711</v>
      </c>
      <c r="C919" s="73">
        <v>1260.48</v>
      </c>
      <c r="D919" s="72">
        <v>31179</v>
      </c>
      <c r="E919" s="72">
        <v>45425.353470000002</v>
      </c>
      <c r="F919" s="72">
        <v>634336</v>
      </c>
      <c r="G919" s="72" t="s">
        <v>1293</v>
      </c>
      <c r="H919" s="72" t="s">
        <v>1141</v>
      </c>
    </row>
    <row r="920" spans="2:8" ht="14" x14ac:dyDescent="0.15">
      <c r="B920" s="72" t="s">
        <v>49</v>
      </c>
      <c r="C920" s="72">
        <v>1.62</v>
      </c>
      <c r="D920" s="72">
        <v>31179</v>
      </c>
      <c r="E920" s="72">
        <v>45425.353470000002</v>
      </c>
      <c r="F920" s="72">
        <v>634336</v>
      </c>
      <c r="G920" s="72" t="s">
        <v>1293</v>
      </c>
      <c r="H920" s="72" t="s">
        <v>1141</v>
      </c>
    </row>
    <row r="921" spans="2:8" ht="14" x14ac:dyDescent="0.15">
      <c r="B921" s="72">
        <v>223</v>
      </c>
      <c r="C921" s="73">
        <v>10000</v>
      </c>
      <c r="D921" s="72">
        <v>31179</v>
      </c>
      <c r="E921" s="72">
        <v>45425.353470000002</v>
      </c>
      <c r="F921" s="72">
        <v>634337</v>
      </c>
      <c r="G921" s="72" t="s">
        <v>1293</v>
      </c>
      <c r="H921" s="72" t="s">
        <v>1141</v>
      </c>
    </row>
    <row r="922" spans="2:8" ht="14" x14ac:dyDescent="0.15">
      <c r="B922" s="72">
        <v>423</v>
      </c>
      <c r="C922" s="73">
        <v>13500</v>
      </c>
      <c r="D922" s="72">
        <v>31179</v>
      </c>
      <c r="E922" s="72">
        <v>45425.353470000002</v>
      </c>
      <c r="F922" s="72">
        <v>634337</v>
      </c>
      <c r="G922" s="72" t="s">
        <v>1293</v>
      </c>
      <c r="H922" s="72" t="s">
        <v>1141</v>
      </c>
    </row>
    <row r="923" spans="2:8" ht="14" x14ac:dyDescent="0.15">
      <c r="B923" s="72">
        <v>521</v>
      </c>
      <c r="C923" s="72">
        <v>900.8</v>
      </c>
      <c r="D923" s="72">
        <v>31179</v>
      </c>
      <c r="E923" s="72">
        <v>45425.353470000002</v>
      </c>
      <c r="F923" s="72">
        <v>634337</v>
      </c>
      <c r="G923" s="72" t="s">
        <v>1293</v>
      </c>
      <c r="H923" s="72" t="s">
        <v>1141</v>
      </c>
    </row>
    <row r="924" spans="2:8" ht="14" x14ac:dyDescent="0.15">
      <c r="B924" s="72">
        <v>531</v>
      </c>
      <c r="C924" s="73">
        <v>9624.89</v>
      </c>
      <c r="D924" s="72">
        <v>31179</v>
      </c>
      <c r="E924" s="72">
        <v>45425.353470000002</v>
      </c>
      <c r="F924" s="72">
        <v>634337</v>
      </c>
      <c r="G924" s="72" t="s">
        <v>1293</v>
      </c>
      <c r="H924" s="72" t="s">
        <v>1141</v>
      </c>
    </row>
    <row r="925" spans="2:8" ht="14" x14ac:dyDescent="0.15">
      <c r="B925" s="72">
        <v>541</v>
      </c>
      <c r="C925" s="73">
        <v>18238.68</v>
      </c>
      <c r="D925" s="72">
        <v>31179</v>
      </c>
      <c r="E925" s="72">
        <v>45425.353470000002</v>
      </c>
      <c r="F925" s="72">
        <v>634337</v>
      </c>
      <c r="G925" s="72" t="s">
        <v>1293</v>
      </c>
      <c r="H925" s="72" t="s">
        <v>1141</v>
      </c>
    </row>
    <row r="926" spans="2:8" ht="14" x14ac:dyDescent="0.15">
      <c r="B926" s="72">
        <v>543</v>
      </c>
      <c r="C926" s="73">
        <v>27096</v>
      </c>
      <c r="D926" s="72">
        <v>31179</v>
      </c>
      <c r="E926" s="72">
        <v>45425.353470000002</v>
      </c>
      <c r="F926" s="72">
        <v>634337</v>
      </c>
      <c r="G926" s="72" t="s">
        <v>1293</v>
      </c>
      <c r="H926" s="72" t="s">
        <v>1141</v>
      </c>
    </row>
    <row r="927" spans="2:8" ht="14" x14ac:dyDescent="0.15">
      <c r="B927" s="72" t="s">
        <v>113</v>
      </c>
      <c r="C927" s="73">
        <v>10000</v>
      </c>
      <c r="D927" s="72">
        <v>31179</v>
      </c>
      <c r="E927" s="72">
        <v>45425.353470000002</v>
      </c>
      <c r="F927" s="72">
        <v>634337</v>
      </c>
      <c r="G927" s="72" t="s">
        <v>1293</v>
      </c>
      <c r="H927" s="72" t="s">
        <v>1141</v>
      </c>
    </row>
    <row r="928" spans="2:8" ht="14" x14ac:dyDescent="0.15">
      <c r="B928" s="72">
        <v>141</v>
      </c>
      <c r="C928" s="73">
        <v>2160.3000000000002</v>
      </c>
      <c r="D928" s="72">
        <v>31179</v>
      </c>
      <c r="E928" s="72">
        <v>45425.353470000002</v>
      </c>
      <c r="F928" s="72">
        <v>651636</v>
      </c>
      <c r="G928" s="72" t="s">
        <v>1293</v>
      </c>
      <c r="H928" s="72" t="s">
        <v>1141</v>
      </c>
    </row>
    <row r="929" spans="2:8" ht="14" x14ac:dyDescent="0.15">
      <c r="B929" s="72">
        <v>523</v>
      </c>
      <c r="C929" s="73">
        <v>1802</v>
      </c>
      <c r="D929" s="72">
        <v>31179</v>
      </c>
      <c r="E929" s="72">
        <v>45425.353470000002</v>
      </c>
      <c r="F929" s="72">
        <v>651636</v>
      </c>
      <c r="G929" s="72" t="s">
        <v>1293</v>
      </c>
      <c r="H929" s="72" t="s">
        <v>1141</v>
      </c>
    </row>
    <row r="930" spans="2:8" ht="14" x14ac:dyDescent="0.15">
      <c r="B930" s="72">
        <v>543</v>
      </c>
      <c r="C930" s="73">
        <v>5419.8</v>
      </c>
      <c r="D930" s="72">
        <v>31179</v>
      </c>
      <c r="E930" s="72">
        <v>45425.353470000002</v>
      </c>
      <c r="F930" s="72">
        <v>651636</v>
      </c>
      <c r="G930" s="72" t="s">
        <v>1293</v>
      </c>
      <c r="H930" s="72" t="s">
        <v>1141</v>
      </c>
    </row>
    <row r="931" spans="2:8" ht="14" x14ac:dyDescent="0.15">
      <c r="B931" s="72">
        <v>711</v>
      </c>
      <c r="C931" s="73">
        <v>1043.72</v>
      </c>
      <c r="D931" s="72">
        <v>31179</v>
      </c>
      <c r="E931" s="72">
        <v>45425.353470000002</v>
      </c>
      <c r="F931" s="72">
        <v>651636</v>
      </c>
      <c r="G931" s="72" t="s">
        <v>1293</v>
      </c>
      <c r="H931" s="72" t="s">
        <v>1141</v>
      </c>
    </row>
    <row r="932" spans="2:8" ht="14" x14ac:dyDescent="0.15">
      <c r="B932" s="72">
        <v>723</v>
      </c>
      <c r="C932" s="73">
        <v>13001</v>
      </c>
      <c r="D932" s="72">
        <v>31179</v>
      </c>
      <c r="E932" s="72">
        <v>45425.353470000002</v>
      </c>
      <c r="F932" s="72">
        <v>651636</v>
      </c>
      <c r="G932" s="72" t="s">
        <v>1293</v>
      </c>
      <c r="H932" s="72" t="s">
        <v>1141</v>
      </c>
    </row>
    <row r="933" spans="2:8" ht="14" x14ac:dyDescent="0.15">
      <c r="B933" s="72">
        <v>731</v>
      </c>
      <c r="C933" s="73">
        <v>4329.99</v>
      </c>
      <c r="D933" s="72">
        <v>31179</v>
      </c>
      <c r="E933" s="72">
        <v>45425.353470000002</v>
      </c>
      <c r="F933" s="72">
        <v>651636</v>
      </c>
      <c r="G933" s="72" t="s">
        <v>1293</v>
      </c>
      <c r="H933" s="72" t="s">
        <v>1141</v>
      </c>
    </row>
    <row r="934" spans="2:8" ht="14" x14ac:dyDescent="0.15">
      <c r="B934" s="72">
        <v>733</v>
      </c>
      <c r="C934" s="73">
        <v>1234.5</v>
      </c>
      <c r="D934" s="72">
        <v>31179</v>
      </c>
      <c r="E934" s="72">
        <v>45425.353470000002</v>
      </c>
      <c r="F934" s="72">
        <v>651636</v>
      </c>
      <c r="G934" s="72" t="s">
        <v>1293</v>
      </c>
      <c r="H934" s="72" t="s">
        <v>1141</v>
      </c>
    </row>
    <row r="935" spans="2:8" ht="14" x14ac:dyDescent="0.15">
      <c r="B935" s="72">
        <v>741</v>
      </c>
      <c r="C935" s="72">
        <v>269.74</v>
      </c>
      <c r="D935" s="72">
        <v>31179</v>
      </c>
      <c r="E935" s="72">
        <v>45425.353470000002</v>
      </c>
      <c r="F935" s="72">
        <v>651636</v>
      </c>
      <c r="G935" s="72" t="s">
        <v>1293</v>
      </c>
      <c r="H935" s="72" t="s">
        <v>1141</v>
      </c>
    </row>
    <row r="936" spans="2:8" ht="14" x14ac:dyDescent="0.15">
      <c r="B936" s="72">
        <v>761</v>
      </c>
      <c r="C936" s="73">
        <v>1275.8399999999999</v>
      </c>
      <c r="D936" s="72">
        <v>31179</v>
      </c>
      <c r="E936" s="72">
        <v>45425.353470000002</v>
      </c>
      <c r="F936" s="72">
        <v>651636</v>
      </c>
      <c r="G936" s="72" t="s">
        <v>1293</v>
      </c>
      <c r="H936" s="72" t="s">
        <v>1141</v>
      </c>
    </row>
    <row r="937" spans="2:8" ht="14" x14ac:dyDescent="0.15">
      <c r="B937" s="72">
        <v>763</v>
      </c>
      <c r="C937" s="73">
        <v>1693</v>
      </c>
      <c r="D937" s="72">
        <v>31179</v>
      </c>
      <c r="E937" s="72">
        <v>45425.353470000002</v>
      </c>
      <c r="F937" s="72">
        <v>651636</v>
      </c>
      <c r="G937" s="72" t="s">
        <v>1293</v>
      </c>
      <c r="H937" s="72" t="s">
        <v>1141</v>
      </c>
    </row>
    <row r="938" spans="2:8" ht="14" x14ac:dyDescent="0.15">
      <c r="B938" s="72" t="s">
        <v>161</v>
      </c>
      <c r="C938" s="73">
        <v>2496</v>
      </c>
      <c r="D938" s="72">
        <v>31179</v>
      </c>
      <c r="E938" s="72">
        <v>45425.353470000002</v>
      </c>
      <c r="F938" s="72">
        <v>651636</v>
      </c>
      <c r="G938" s="72" t="s">
        <v>1293</v>
      </c>
      <c r="H938" s="72" t="s">
        <v>1141</v>
      </c>
    </row>
    <row r="939" spans="2:8" ht="14" x14ac:dyDescent="0.15">
      <c r="B939" s="72" t="s">
        <v>49</v>
      </c>
      <c r="C939" s="73">
        <v>17773.55</v>
      </c>
      <c r="D939" s="72">
        <v>31179</v>
      </c>
      <c r="E939" s="72">
        <v>45425.353470000002</v>
      </c>
      <c r="F939" s="72">
        <v>651636</v>
      </c>
      <c r="G939" s="72" t="s">
        <v>1293</v>
      </c>
      <c r="H939" s="72" t="s">
        <v>1141</v>
      </c>
    </row>
    <row r="940" spans="2:8" ht="14" x14ac:dyDescent="0.15">
      <c r="B940" s="72" t="s">
        <v>119</v>
      </c>
      <c r="C940" s="72">
        <v>46</v>
      </c>
      <c r="D940" s="72">
        <v>31179</v>
      </c>
      <c r="E940" s="72">
        <v>45425.353470000002</v>
      </c>
      <c r="F940" s="72">
        <v>651636</v>
      </c>
      <c r="G940" s="72" t="s">
        <v>1293</v>
      </c>
      <c r="H940" s="72" t="s">
        <v>1141</v>
      </c>
    </row>
    <row r="941" spans="2:8" ht="14" x14ac:dyDescent="0.15">
      <c r="B941" s="72">
        <v>543</v>
      </c>
      <c r="C941" s="73">
        <v>12126</v>
      </c>
      <c r="D941" s="72">
        <v>31179</v>
      </c>
      <c r="E941" s="72">
        <v>45425.353470000002</v>
      </c>
      <c r="F941" s="72">
        <v>651637</v>
      </c>
      <c r="G941" s="72" t="s">
        <v>1293</v>
      </c>
      <c r="H941" s="72" t="s">
        <v>1141</v>
      </c>
    </row>
    <row r="942" spans="2:8" ht="14" x14ac:dyDescent="0.15">
      <c r="B942" s="72">
        <v>723</v>
      </c>
      <c r="C942" s="72">
        <v>155</v>
      </c>
      <c r="D942" s="72">
        <v>31179</v>
      </c>
      <c r="E942" s="72">
        <v>45425.353470000002</v>
      </c>
      <c r="F942" s="72">
        <v>651637</v>
      </c>
      <c r="G942" s="72" t="s">
        <v>1293</v>
      </c>
      <c r="H942" s="72" t="s">
        <v>1141</v>
      </c>
    </row>
    <row r="943" spans="2:8" ht="14" x14ac:dyDescent="0.15">
      <c r="B943" s="72">
        <v>731</v>
      </c>
      <c r="C943" s="73">
        <v>1329.21</v>
      </c>
      <c r="D943" s="72">
        <v>31179</v>
      </c>
      <c r="E943" s="72">
        <v>45425.353470000002</v>
      </c>
      <c r="F943" s="72">
        <v>651637</v>
      </c>
      <c r="G943" s="72" t="s">
        <v>1293</v>
      </c>
      <c r="H943" s="72" t="s">
        <v>1141</v>
      </c>
    </row>
    <row r="944" spans="2:8" ht="14" x14ac:dyDescent="0.15">
      <c r="B944" s="72">
        <v>733</v>
      </c>
      <c r="C944" s="72">
        <v>115</v>
      </c>
      <c r="D944" s="72">
        <v>31179</v>
      </c>
      <c r="E944" s="72">
        <v>45425.353470000002</v>
      </c>
      <c r="F944" s="72">
        <v>651637</v>
      </c>
      <c r="G944" s="72" t="s">
        <v>1293</v>
      </c>
      <c r="H944" s="72" t="s">
        <v>1141</v>
      </c>
    </row>
    <row r="945" spans="2:8" ht="14" x14ac:dyDescent="0.15">
      <c r="B945" s="72">
        <v>741</v>
      </c>
      <c r="C945" s="73">
        <v>1322.47</v>
      </c>
      <c r="D945" s="72">
        <v>31179</v>
      </c>
      <c r="E945" s="72">
        <v>45425.353470000002</v>
      </c>
      <c r="F945" s="72">
        <v>651637</v>
      </c>
      <c r="G945" s="72" t="s">
        <v>1293</v>
      </c>
      <c r="H945" s="72" t="s">
        <v>1141</v>
      </c>
    </row>
    <row r="946" spans="2:8" ht="14" x14ac:dyDescent="0.15">
      <c r="B946" s="72">
        <v>763</v>
      </c>
      <c r="C946" s="72">
        <v>120</v>
      </c>
      <c r="D946" s="72">
        <v>31179</v>
      </c>
      <c r="E946" s="72">
        <v>45425.353470000002</v>
      </c>
      <c r="F946" s="72">
        <v>651637</v>
      </c>
      <c r="G946" s="72" t="s">
        <v>1293</v>
      </c>
      <c r="H946" s="72" t="s">
        <v>1141</v>
      </c>
    </row>
    <row r="947" spans="2:8" ht="14" x14ac:dyDescent="0.15">
      <c r="B947" s="72">
        <v>3</v>
      </c>
      <c r="C947" s="72">
        <v>48</v>
      </c>
      <c r="D947" s="72">
        <v>31179</v>
      </c>
      <c r="E947" s="72">
        <v>45437.353470000002</v>
      </c>
      <c r="F947" s="72">
        <v>624158</v>
      </c>
      <c r="G947" s="72" t="s">
        <v>1293</v>
      </c>
      <c r="H947" s="72" t="s">
        <v>1141</v>
      </c>
    </row>
    <row r="948" spans="2:8" ht="14" x14ac:dyDescent="0.15">
      <c r="B948" s="72">
        <v>111</v>
      </c>
      <c r="C948" s="73">
        <v>133955.75</v>
      </c>
      <c r="D948" s="72">
        <v>31179</v>
      </c>
      <c r="E948" s="72">
        <v>45437.353470000002</v>
      </c>
      <c r="F948" s="72">
        <v>624158</v>
      </c>
      <c r="G948" s="72" t="s">
        <v>1293</v>
      </c>
      <c r="H948" s="72" t="s">
        <v>1141</v>
      </c>
    </row>
    <row r="949" spans="2:8" ht="14" x14ac:dyDescent="0.15">
      <c r="B949" s="72">
        <v>131</v>
      </c>
      <c r="C949" s="73">
        <v>82720.990000000005</v>
      </c>
      <c r="D949" s="72">
        <v>31179</v>
      </c>
      <c r="E949" s="72">
        <v>45437.353470000002</v>
      </c>
      <c r="F949" s="72">
        <v>624158</v>
      </c>
      <c r="G949" s="72" t="s">
        <v>1293</v>
      </c>
      <c r="H949" s="72" t="s">
        <v>1141</v>
      </c>
    </row>
    <row r="950" spans="2:8" ht="14" x14ac:dyDescent="0.15">
      <c r="B950" s="72">
        <v>133</v>
      </c>
      <c r="C950" s="73">
        <v>10332</v>
      </c>
      <c r="D950" s="72">
        <v>31179</v>
      </c>
      <c r="E950" s="72">
        <v>45437.353470000002</v>
      </c>
      <c r="F950" s="72">
        <v>624158</v>
      </c>
      <c r="G950" s="72" t="s">
        <v>1293</v>
      </c>
      <c r="H950" s="72" t="s">
        <v>1141</v>
      </c>
    </row>
    <row r="951" spans="2:8" ht="14" x14ac:dyDescent="0.15">
      <c r="B951" s="72">
        <v>141</v>
      </c>
      <c r="C951" s="73">
        <v>57092.7</v>
      </c>
      <c r="D951" s="72">
        <v>31179</v>
      </c>
      <c r="E951" s="72">
        <v>45437.353470000002</v>
      </c>
      <c r="F951" s="72">
        <v>624158</v>
      </c>
      <c r="G951" s="72" t="s">
        <v>1293</v>
      </c>
      <c r="H951" s="72" t="s">
        <v>1141</v>
      </c>
    </row>
    <row r="952" spans="2:8" ht="14" x14ac:dyDescent="0.15">
      <c r="B952" s="72">
        <v>241</v>
      </c>
      <c r="C952" s="73">
        <v>11396.83</v>
      </c>
      <c r="D952" s="72">
        <v>31179</v>
      </c>
      <c r="E952" s="72">
        <v>45437.353470000002</v>
      </c>
      <c r="F952" s="72">
        <v>624158</v>
      </c>
      <c r="G952" s="72" t="s">
        <v>1293</v>
      </c>
      <c r="H952" s="72" t="s">
        <v>1141</v>
      </c>
    </row>
    <row r="953" spans="2:8" ht="14" x14ac:dyDescent="0.15">
      <c r="B953" s="72">
        <v>731</v>
      </c>
      <c r="C953" s="73">
        <v>13656.72</v>
      </c>
      <c r="D953" s="72">
        <v>31179</v>
      </c>
      <c r="E953" s="72">
        <v>45437.353470000002</v>
      </c>
      <c r="F953" s="72">
        <v>624158</v>
      </c>
      <c r="G953" s="72" t="s">
        <v>1293</v>
      </c>
      <c r="H953" s="72" t="s">
        <v>1141</v>
      </c>
    </row>
    <row r="954" spans="2:8" ht="14" x14ac:dyDescent="0.15">
      <c r="B954" s="72">
        <v>761</v>
      </c>
      <c r="C954" s="73">
        <v>9812.94</v>
      </c>
      <c r="D954" s="72">
        <v>31179</v>
      </c>
      <c r="E954" s="72">
        <v>45437.353470000002</v>
      </c>
      <c r="F954" s="72">
        <v>624158</v>
      </c>
      <c r="G954" s="72" t="s">
        <v>1293</v>
      </c>
      <c r="H954" s="72" t="s">
        <v>1141</v>
      </c>
    </row>
    <row r="955" spans="2:8" ht="14" x14ac:dyDescent="0.15">
      <c r="B955" s="72">
        <v>211</v>
      </c>
      <c r="C955" s="73">
        <v>22186.28</v>
      </c>
      <c r="D955" s="72">
        <v>31179</v>
      </c>
      <c r="E955" s="72">
        <v>45437.353470000002</v>
      </c>
      <c r="F955" s="72">
        <v>624159</v>
      </c>
      <c r="G955" s="72" t="s">
        <v>1293</v>
      </c>
      <c r="H955" s="72" t="s">
        <v>1141</v>
      </c>
    </row>
    <row r="956" spans="2:8" ht="14" x14ac:dyDescent="0.15">
      <c r="B956" s="72">
        <v>213</v>
      </c>
      <c r="C956" s="73">
        <v>20250</v>
      </c>
      <c r="D956" s="72">
        <v>31179</v>
      </c>
      <c r="E956" s="72">
        <v>45437.353470000002</v>
      </c>
      <c r="F956" s="72">
        <v>624159</v>
      </c>
      <c r="G956" s="72" t="s">
        <v>1293</v>
      </c>
      <c r="H956" s="72" t="s">
        <v>1141</v>
      </c>
    </row>
    <row r="957" spans="2:8" ht="14" x14ac:dyDescent="0.15">
      <c r="B957" s="72">
        <v>231</v>
      </c>
      <c r="C957" s="73">
        <v>4019.75</v>
      </c>
      <c r="D957" s="72">
        <v>31179</v>
      </c>
      <c r="E957" s="72">
        <v>45437.353470000002</v>
      </c>
      <c r="F957" s="72">
        <v>624159</v>
      </c>
      <c r="G957" s="72" t="s">
        <v>1293</v>
      </c>
      <c r="H957" s="72" t="s">
        <v>1141</v>
      </c>
    </row>
    <row r="958" spans="2:8" ht="14" x14ac:dyDescent="0.15">
      <c r="B958" s="72">
        <v>421</v>
      </c>
      <c r="C958" s="73">
        <v>5119.5</v>
      </c>
      <c r="D958" s="72">
        <v>31179</v>
      </c>
      <c r="E958" s="72">
        <v>45437.353470000002</v>
      </c>
      <c r="F958" s="72">
        <v>624160</v>
      </c>
      <c r="G958" s="72" t="s">
        <v>1293</v>
      </c>
      <c r="H958" s="72" t="s">
        <v>1141</v>
      </c>
    </row>
    <row r="959" spans="2:8" ht="14" x14ac:dyDescent="0.15">
      <c r="B959" s="72">
        <v>431</v>
      </c>
      <c r="C959" s="73">
        <v>22273.61</v>
      </c>
      <c r="D959" s="72">
        <v>31179</v>
      </c>
      <c r="E959" s="72">
        <v>45437.353470000002</v>
      </c>
      <c r="F959" s="72">
        <v>624160</v>
      </c>
      <c r="G959" s="72" t="s">
        <v>1293</v>
      </c>
      <c r="H959" s="72" t="s">
        <v>1141</v>
      </c>
    </row>
    <row r="960" spans="2:8" ht="14" x14ac:dyDescent="0.15">
      <c r="B960" s="72">
        <v>441</v>
      </c>
      <c r="C960" s="73">
        <v>1148.7</v>
      </c>
      <c r="D960" s="72">
        <v>31179</v>
      </c>
      <c r="E960" s="72">
        <v>45437.353470000002</v>
      </c>
      <c r="F960" s="72">
        <v>624160</v>
      </c>
      <c r="G960" s="72" t="s">
        <v>1293</v>
      </c>
      <c r="H960" s="72" t="s">
        <v>1141</v>
      </c>
    </row>
    <row r="961" spans="2:8" ht="14" x14ac:dyDescent="0.15">
      <c r="B961" s="72">
        <v>443</v>
      </c>
      <c r="C961" s="73">
        <v>12655</v>
      </c>
      <c r="D961" s="72">
        <v>31179</v>
      </c>
      <c r="E961" s="72">
        <v>45437.353470000002</v>
      </c>
      <c r="F961" s="72">
        <v>624160</v>
      </c>
      <c r="G961" s="72" t="s">
        <v>1293</v>
      </c>
      <c r="H961" s="72" t="s">
        <v>1141</v>
      </c>
    </row>
    <row r="962" spans="2:8" ht="14" x14ac:dyDescent="0.15">
      <c r="B962" s="72" t="s">
        <v>161</v>
      </c>
      <c r="C962" s="72">
        <v>727.07</v>
      </c>
      <c r="D962" s="72">
        <v>31179</v>
      </c>
      <c r="E962" s="72">
        <v>45437.353470000002</v>
      </c>
      <c r="F962" s="72">
        <v>624160</v>
      </c>
      <c r="G962" s="72" t="s">
        <v>1293</v>
      </c>
      <c r="H962" s="72" t="s">
        <v>1141</v>
      </c>
    </row>
    <row r="963" spans="2:8" ht="14" x14ac:dyDescent="0.15">
      <c r="B963" s="72" t="s">
        <v>49</v>
      </c>
      <c r="C963" s="73">
        <v>9105.6</v>
      </c>
      <c r="D963" s="72">
        <v>31179</v>
      </c>
      <c r="E963" s="72">
        <v>45437.353470000002</v>
      </c>
      <c r="F963" s="72">
        <v>624160</v>
      </c>
      <c r="G963" s="72" t="s">
        <v>1293</v>
      </c>
      <c r="H963" s="72" t="s">
        <v>1141</v>
      </c>
    </row>
    <row r="964" spans="2:8" ht="14" x14ac:dyDescent="0.15">
      <c r="B964" s="72">
        <v>711</v>
      </c>
      <c r="C964" s="73">
        <v>12132.12</v>
      </c>
      <c r="D964" s="72">
        <v>31179</v>
      </c>
      <c r="E964" s="72">
        <v>45437.353470000002</v>
      </c>
      <c r="F964" s="72">
        <v>624161</v>
      </c>
      <c r="G964" s="72" t="s">
        <v>1293</v>
      </c>
      <c r="H964" s="72" t="s">
        <v>1141</v>
      </c>
    </row>
    <row r="965" spans="2:8" ht="14" x14ac:dyDescent="0.15">
      <c r="B965" s="72">
        <v>713</v>
      </c>
      <c r="C965" s="73">
        <v>27127.68</v>
      </c>
      <c r="D965" s="72">
        <v>31179</v>
      </c>
      <c r="E965" s="72">
        <v>45437.353470000002</v>
      </c>
      <c r="F965" s="72">
        <v>624161</v>
      </c>
      <c r="G965" s="72" t="s">
        <v>1293</v>
      </c>
      <c r="H965" s="72" t="s">
        <v>1141</v>
      </c>
    </row>
    <row r="966" spans="2:8" ht="14" x14ac:dyDescent="0.15">
      <c r="B966" s="72" t="s">
        <v>49</v>
      </c>
      <c r="C966" s="72">
        <v>135.76</v>
      </c>
      <c r="D966" s="72">
        <v>31179</v>
      </c>
      <c r="E966" s="72">
        <v>45437.353470000002</v>
      </c>
      <c r="F966" s="72">
        <v>624161</v>
      </c>
      <c r="G966" s="72" t="s">
        <v>1293</v>
      </c>
      <c r="H966" s="72" t="s">
        <v>1141</v>
      </c>
    </row>
    <row r="967" spans="2:8" ht="14" x14ac:dyDescent="0.15">
      <c r="B967" s="72" t="s">
        <v>119</v>
      </c>
      <c r="C967" s="72">
        <v>24.85</v>
      </c>
      <c r="D967" s="72">
        <v>31179</v>
      </c>
      <c r="E967" s="72">
        <v>45437.353470000002</v>
      </c>
      <c r="F967" s="72">
        <v>624161</v>
      </c>
      <c r="G967" s="72" t="s">
        <v>1293</v>
      </c>
      <c r="H967" s="72" t="s">
        <v>1141</v>
      </c>
    </row>
    <row r="968" spans="2:8" ht="14" x14ac:dyDescent="0.15">
      <c r="B968" s="72" t="s">
        <v>120</v>
      </c>
      <c r="C968" s="72">
        <v>5.61</v>
      </c>
      <c r="D968" s="72">
        <v>31179</v>
      </c>
      <c r="E968" s="72">
        <v>45437.353470000002</v>
      </c>
      <c r="F968" s="72">
        <v>624161</v>
      </c>
      <c r="G968" s="72" t="s">
        <v>1293</v>
      </c>
      <c r="H968" s="72" t="s">
        <v>1141</v>
      </c>
    </row>
    <row r="969" spans="2:8" ht="14" x14ac:dyDescent="0.15">
      <c r="B969" s="72">
        <v>3</v>
      </c>
      <c r="C969" s="72">
        <v>131.28</v>
      </c>
      <c r="D969" s="72">
        <v>31179</v>
      </c>
      <c r="E969" s="72">
        <v>45437.353470000002</v>
      </c>
      <c r="F969" s="72">
        <v>624162</v>
      </c>
      <c r="G969" s="72" t="s">
        <v>1293</v>
      </c>
      <c r="H969" s="72" t="s">
        <v>1141</v>
      </c>
    </row>
    <row r="970" spans="2:8" ht="14" x14ac:dyDescent="0.15">
      <c r="B970" s="72">
        <v>733</v>
      </c>
      <c r="C970" s="72">
        <v>425.5</v>
      </c>
      <c r="D970" s="72">
        <v>31179</v>
      </c>
      <c r="E970" s="72">
        <v>45437.353470000002</v>
      </c>
      <c r="F970" s="72">
        <v>624162</v>
      </c>
      <c r="G970" s="72" t="s">
        <v>1293</v>
      </c>
      <c r="H970" s="72" t="s">
        <v>1141</v>
      </c>
    </row>
    <row r="971" spans="2:8" ht="14" x14ac:dyDescent="0.15">
      <c r="B971" s="72">
        <v>751</v>
      </c>
      <c r="C971" s="73">
        <v>11728.38</v>
      </c>
      <c r="D971" s="72">
        <v>31179</v>
      </c>
      <c r="E971" s="72">
        <v>45437.353470000002</v>
      </c>
      <c r="F971" s="72">
        <v>624162</v>
      </c>
      <c r="G971" s="72" t="s">
        <v>1293</v>
      </c>
      <c r="H971" s="72" t="s">
        <v>1141</v>
      </c>
    </row>
    <row r="972" spans="2:8" ht="14" x14ac:dyDescent="0.15">
      <c r="B972" s="72">
        <v>753</v>
      </c>
      <c r="C972" s="73">
        <v>51954.5</v>
      </c>
      <c r="D972" s="72">
        <v>31179</v>
      </c>
      <c r="E972" s="72">
        <v>45437.353470000002</v>
      </c>
      <c r="F972" s="72">
        <v>624162</v>
      </c>
      <c r="G972" s="72" t="s">
        <v>1293</v>
      </c>
      <c r="H972" s="72" t="s">
        <v>1141</v>
      </c>
    </row>
    <row r="973" spans="2:8" ht="14" x14ac:dyDescent="0.15">
      <c r="B973" s="72" t="s">
        <v>161</v>
      </c>
      <c r="C973" s="72">
        <v>834</v>
      </c>
      <c r="D973" s="72">
        <v>31179</v>
      </c>
      <c r="E973" s="72">
        <v>45437.353470000002</v>
      </c>
      <c r="F973" s="72">
        <v>624162</v>
      </c>
      <c r="G973" s="72" t="s">
        <v>1293</v>
      </c>
      <c r="H973" s="72" t="s">
        <v>1141</v>
      </c>
    </row>
    <row r="974" spans="2:8" ht="14" x14ac:dyDescent="0.15">
      <c r="B974" s="72" t="s">
        <v>49</v>
      </c>
      <c r="C974" s="72">
        <v>161.44999999999999</v>
      </c>
      <c r="D974" s="72">
        <v>31179</v>
      </c>
      <c r="E974" s="72">
        <v>45437.353470000002</v>
      </c>
      <c r="F974" s="72">
        <v>624162</v>
      </c>
      <c r="G974" s="72" t="s">
        <v>1293</v>
      </c>
      <c r="H974" s="72" t="s">
        <v>1141</v>
      </c>
    </row>
    <row r="975" spans="2:8" ht="14" x14ac:dyDescent="0.15">
      <c r="B975" s="72" t="s">
        <v>119</v>
      </c>
      <c r="C975" s="73">
        <v>364447.27</v>
      </c>
      <c r="D975" s="72">
        <v>31179</v>
      </c>
      <c r="E975" s="72">
        <v>45437.353470000002</v>
      </c>
      <c r="F975" s="72">
        <v>624162</v>
      </c>
      <c r="G975" s="72" t="s">
        <v>1293</v>
      </c>
      <c r="H975" s="72" t="s">
        <v>1141</v>
      </c>
    </row>
    <row r="976" spans="2:8" ht="14" x14ac:dyDescent="0.15">
      <c r="B976" s="72">
        <v>3</v>
      </c>
      <c r="C976" s="72">
        <v>919.23</v>
      </c>
      <c r="D976" s="72">
        <v>31179</v>
      </c>
      <c r="E976" s="72">
        <v>45437.353470000002</v>
      </c>
      <c r="F976" s="72">
        <v>624163</v>
      </c>
      <c r="G976" s="72" t="s">
        <v>1293</v>
      </c>
      <c r="H976" s="72" t="s">
        <v>1141</v>
      </c>
    </row>
    <row r="977" spans="2:8" ht="14" x14ac:dyDescent="0.15">
      <c r="B977" s="72">
        <v>723</v>
      </c>
      <c r="C977" s="73">
        <v>146979.84</v>
      </c>
      <c r="D977" s="72">
        <v>31179</v>
      </c>
      <c r="E977" s="72">
        <v>45437.353470000002</v>
      </c>
      <c r="F977" s="72">
        <v>624163</v>
      </c>
      <c r="G977" s="72" t="s">
        <v>1293</v>
      </c>
      <c r="H977" s="72" t="s">
        <v>1141</v>
      </c>
    </row>
    <row r="978" spans="2:8" ht="14" x14ac:dyDescent="0.15">
      <c r="B978" s="72">
        <v>733</v>
      </c>
      <c r="C978" s="73">
        <v>1442</v>
      </c>
      <c r="D978" s="72">
        <v>31179</v>
      </c>
      <c r="E978" s="72">
        <v>45437.353470000002</v>
      </c>
      <c r="F978" s="72">
        <v>624163</v>
      </c>
      <c r="G978" s="72" t="s">
        <v>1293</v>
      </c>
      <c r="H978" s="72" t="s">
        <v>1141</v>
      </c>
    </row>
    <row r="979" spans="2:8" ht="14" x14ac:dyDescent="0.15">
      <c r="B979" s="72" t="s">
        <v>161</v>
      </c>
      <c r="C979" s="73">
        <v>432157.98</v>
      </c>
      <c r="D979" s="72">
        <v>31179</v>
      </c>
      <c r="E979" s="72">
        <v>45437.353470000002</v>
      </c>
      <c r="F979" s="72">
        <v>624163</v>
      </c>
      <c r="G979" s="72" t="s">
        <v>1293</v>
      </c>
      <c r="H979" s="72" t="s">
        <v>1141</v>
      </c>
    </row>
    <row r="980" spans="2:8" ht="14" x14ac:dyDescent="0.15">
      <c r="B980" s="72" t="s">
        <v>49</v>
      </c>
      <c r="C980" s="73">
        <v>144822.09</v>
      </c>
      <c r="D980" s="72">
        <v>31179</v>
      </c>
      <c r="E980" s="72">
        <v>45437.353470000002</v>
      </c>
      <c r="F980" s="72">
        <v>624163</v>
      </c>
      <c r="G980" s="72" t="s">
        <v>1293</v>
      </c>
      <c r="H980" s="72" t="s">
        <v>1141</v>
      </c>
    </row>
    <row r="981" spans="2:8" ht="14" x14ac:dyDescent="0.15">
      <c r="B981" s="72" t="s">
        <v>119</v>
      </c>
      <c r="C981" s="73">
        <v>15960</v>
      </c>
      <c r="D981" s="72">
        <v>31179</v>
      </c>
      <c r="E981" s="72">
        <v>45437.353470000002</v>
      </c>
      <c r="F981" s="72">
        <v>624163</v>
      </c>
      <c r="G981" s="72" t="s">
        <v>1293</v>
      </c>
      <c r="H981" s="72" t="s">
        <v>1141</v>
      </c>
    </row>
    <row r="982" spans="2:8" ht="14" x14ac:dyDescent="0.15">
      <c r="B982" s="72">
        <v>543</v>
      </c>
      <c r="C982" s="72">
        <v>48</v>
      </c>
      <c r="D982" s="72">
        <v>31179</v>
      </c>
      <c r="E982" s="72">
        <v>45437.353470000002</v>
      </c>
      <c r="F982" s="72">
        <v>624164</v>
      </c>
      <c r="G982" s="72" t="s">
        <v>1293</v>
      </c>
      <c r="H982" s="72" t="s">
        <v>1141</v>
      </c>
    </row>
    <row r="983" spans="2:8" ht="14" x14ac:dyDescent="0.15">
      <c r="B983" s="72">
        <v>731</v>
      </c>
      <c r="C983" s="73">
        <v>42984.41</v>
      </c>
      <c r="D983" s="72">
        <v>31179</v>
      </c>
      <c r="E983" s="72">
        <v>45437.353470000002</v>
      </c>
      <c r="F983" s="72">
        <v>624164</v>
      </c>
      <c r="G983" s="72" t="s">
        <v>1293</v>
      </c>
      <c r="H983" s="72" t="s">
        <v>1141</v>
      </c>
    </row>
    <row r="984" spans="2:8" ht="14" x14ac:dyDescent="0.15">
      <c r="B984" s="72">
        <v>733</v>
      </c>
      <c r="C984" s="73">
        <v>20457.09</v>
      </c>
      <c r="D984" s="72">
        <v>31179</v>
      </c>
      <c r="E984" s="72">
        <v>45437.353470000002</v>
      </c>
      <c r="F984" s="72">
        <v>624164</v>
      </c>
      <c r="G984" s="72" t="s">
        <v>1293</v>
      </c>
      <c r="H984" s="72" t="s">
        <v>1141</v>
      </c>
    </row>
    <row r="985" spans="2:8" ht="14" x14ac:dyDescent="0.15">
      <c r="B985" s="72" t="s">
        <v>49</v>
      </c>
      <c r="C985" s="73">
        <v>9115</v>
      </c>
      <c r="D985" s="72">
        <v>31179</v>
      </c>
      <c r="E985" s="72">
        <v>45437.353470000002</v>
      </c>
      <c r="F985" s="72">
        <v>624164</v>
      </c>
      <c r="G985" s="72" t="s">
        <v>1293</v>
      </c>
      <c r="H985" s="72" t="s">
        <v>1141</v>
      </c>
    </row>
    <row r="986" spans="2:8" ht="14" x14ac:dyDescent="0.15">
      <c r="B986" s="72" t="s">
        <v>119</v>
      </c>
      <c r="C986" s="72">
        <v>872.84</v>
      </c>
      <c r="D986" s="72">
        <v>31179</v>
      </c>
      <c r="E986" s="72">
        <v>45437.353470000002</v>
      </c>
      <c r="F986" s="72">
        <v>624164</v>
      </c>
      <c r="G986" s="72" t="s">
        <v>1293</v>
      </c>
      <c r="H986" s="72" t="s">
        <v>1141</v>
      </c>
    </row>
    <row r="987" spans="2:8" ht="14" x14ac:dyDescent="0.15">
      <c r="B987" s="72" t="s">
        <v>120</v>
      </c>
      <c r="C987" s="72">
        <v>63.26</v>
      </c>
      <c r="D987" s="72">
        <v>31179</v>
      </c>
      <c r="E987" s="72">
        <v>45437.353470000002</v>
      </c>
      <c r="F987" s="72">
        <v>624164</v>
      </c>
      <c r="G987" s="72" t="s">
        <v>1293</v>
      </c>
      <c r="H987" s="72" t="s">
        <v>1141</v>
      </c>
    </row>
    <row r="988" spans="2:8" ht="14" x14ac:dyDescent="0.15">
      <c r="B988" s="72" t="s">
        <v>49</v>
      </c>
      <c r="C988" s="73">
        <v>1454376.34</v>
      </c>
      <c r="D988" s="72">
        <v>31179</v>
      </c>
      <c r="E988" s="72">
        <v>45437.353470000002</v>
      </c>
      <c r="F988" s="72">
        <v>624165</v>
      </c>
      <c r="G988" s="72" t="s">
        <v>1293</v>
      </c>
      <c r="H988" s="72" t="s">
        <v>1141</v>
      </c>
    </row>
    <row r="989" spans="2:8" ht="14" x14ac:dyDescent="0.15">
      <c r="B989" s="72" t="s">
        <v>120</v>
      </c>
      <c r="C989" s="73">
        <v>147687.37</v>
      </c>
      <c r="D989" s="72">
        <v>31179</v>
      </c>
      <c r="E989" s="72">
        <v>45437.353470000002</v>
      </c>
      <c r="F989" s="72">
        <v>624165</v>
      </c>
      <c r="G989" s="72" t="s">
        <v>1293</v>
      </c>
      <c r="H989" s="72" t="s">
        <v>1141</v>
      </c>
    </row>
    <row r="990" spans="2:8" ht="14" x14ac:dyDescent="0.15">
      <c r="B990" s="72">
        <v>521</v>
      </c>
      <c r="C990" s="73">
        <v>4098.6400000000003</v>
      </c>
      <c r="D990" s="72">
        <v>31179</v>
      </c>
      <c r="E990" s="72">
        <v>45437.353470000002</v>
      </c>
      <c r="F990" s="72">
        <v>624294</v>
      </c>
      <c r="G990" s="72" t="s">
        <v>1293</v>
      </c>
      <c r="H990" s="72" t="s">
        <v>1141</v>
      </c>
    </row>
    <row r="991" spans="2:8" ht="14" x14ac:dyDescent="0.15">
      <c r="B991" s="72">
        <v>523</v>
      </c>
      <c r="C991" s="73">
        <v>5510.5</v>
      </c>
      <c r="D991" s="72">
        <v>31179</v>
      </c>
      <c r="E991" s="72">
        <v>45437.353470000002</v>
      </c>
      <c r="F991" s="72">
        <v>624294</v>
      </c>
      <c r="G991" s="72" t="s">
        <v>1293</v>
      </c>
      <c r="H991" s="72" t="s">
        <v>1141</v>
      </c>
    </row>
    <row r="992" spans="2:8" ht="14" x14ac:dyDescent="0.15">
      <c r="B992" s="72">
        <v>533</v>
      </c>
      <c r="C992" s="73">
        <v>38150.5</v>
      </c>
      <c r="D992" s="72">
        <v>31179</v>
      </c>
      <c r="E992" s="72">
        <v>45437.353470000002</v>
      </c>
      <c r="F992" s="72">
        <v>624294</v>
      </c>
      <c r="G992" s="72" t="s">
        <v>1293</v>
      </c>
      <c r="H992" s="72" t="s">
        <v>1141</v>
      </c>
    </row>
    <row r="993" spans="2:8" ht="14" x14ac:dyDescent="0.15">
      <c r="B993" s="72">
        <v>543</v>
      </c>
      <c r="C993" s="73">
        <v>18109.7</v>
      </c>
      <c r="D993" s="72">
        <v>31179</v>
      </c>
      <c r="E993" s="72">
        <v>45437.353470000002</v>
      </c>
      <c r="F993" s="72">
        <v>624294</v>
      </c>
      <c r="G993" s="72" t="s">
        <v>1293</v>
      </c>
      <c r="H993" s="72" t="s">
        <v>1141</v>
      </c>
    </row>
    <row r="994" spans="2:8" ht="14" x14ac:dyDescent="0.15">
      <c r="B994" s="72" t="s">
        <v>112</v>
      </c>
      <c r="C994" s="73">
        <v>12240</v>
      </c>
      <c r="D994" s="72">
        <v>31179</v>
      </c>
      <c r="E994" s="72">
        <v>45437.353470000002</v>
      </c>
      <c r="F994" s="72">
        <v>624294</v>
      </c>
      <c r="G994" s="72" t="s">
        <v>1293</v>
      </c>
      <c r="H994" s="72" t="s">
        <v>1141</v>
      </c>
    </row>
    <row r="995" spans="2:8" ht="14" x14ac:dyDescent="0.15">
      <c r="B995" s="72" t="s">
        <v>113</v>
      </c>
      <c r="C995" s="73">
        <v>19374</v>
      </c>
      <c r="D995" s="72">
        <v>31179</v>
      </c>
      <c r="E995" s="72">
        <v>45437.353470000002</v>
      </c>
      <c r="F995" s="72">
        <v>624294</v>
      </c>
      <c r="G995" s="72" t="s">
        <v>1293</v>
      </c>
      <c r="H995" s="72" t="s">
        <v>1141</v>
      </c>
    </row>
    <row r="996" spans="2:8" ht="14" x14ac:dyDescent="0.15">
      <c r="B996" s="72" t="s">
        <v>120</v>
      </c>
      <c r="C996" s="73">
        <v>2289.09</v>
      </c>
      <c r="D996" s="72">
        <v>31179</v>
      </c>
      <c r="E996" s="72">
        <v>45437.353470000002</v>
      </c>
      <c r="F996" s="72">
        <v>624294</v>
      </c>
      <c r="G996" s="72" t="s">
        <v>1293</v>
      </c>
      <c r="H996" s="72" t="s">
        <v>1141</v>
      </c>
    </row>
    <row r="997" spans="2:8" ht="14" x14ac:dyDescent="0.15">
      <c r="B997" s="72">
        <v>123</v>
      </c>
      <c r="C997" s="73">
        <v>7600</v>
      </c>
      <c r="D997" s="72">
        <v>31179</v>
      </c>
      <c r="E997" s="72">
        <v>45437.353470000002</v>
      </c>
      <c r="F997" s="72">
        <v>624295</v>
      </c>
      <c r="G997" s="72" t="s">
        <v>1293</v>
      </c>
      <c r="H997" s="72" t="s">
        <v>1141</v>
      </c>
    </row>
    <row r="998" spans="2:8" ht="14" x14ac:dyDescent="0.15">
      <c r="B998" s="72">
        <v>521</v>
      </c>
      <c r="C998" s="73">
        <v>3378</v>
      </c>
      <c r="D998" s="72">
        <v>31179</v>
      </c>
      <c r="E998" s="72">
        <v>45437.353470000002</v>
      </c>
      <c r="F998" s="72">
        <v>624295</v>
      </c>
      <c r="G998" s="72" t="s">
        <v>1293</v>
      </c>
      <c r="H998" s="72" t="s">
        <v>1141</v>
      </c>
    </row>
    <row r="999" spans="2:8" ht="14" x14ac:dyDescent="0.15">
      <c r="B999" s="72">
        <v>523</v>
      </c>
      <c r="C999" s="73">
        <v>22958</v>
      </c>
      <c r="D999" s="72">
        <v>31179</v>
      </c>
      <c r="E999" s="72">
        <v>45437.353470000002</v>
      </c>
      <c r="F999" s="72">
        <v>624295</v>
      </c>
      <c r="G999" s="72" t="s">
        <v>1293</v>
      </c>
      <c r="H999" s="72" t="s">
        <v>1141</v>
      </c>
    </row>
    <row r="1000" spans="2:8" ht="14" x14ac:dyDescent="0.15">
      <c r="B1000" s="72">
        <v>531</v>
      </c>
      <c r="C1000" s="72">
        <v>415.5</v>
      </c>
      <c r="D1000" s="72">
        <v>31179</v>
      </c>
      <c r="E1000" s="72">
        <v>45437.353470000002</v>
      </c>
      <c r="F1000" s="72">
        <v>624295</v>
      </c>
      <c r="G1000" s="72" t="s">
        <v>1293</v>
      </c>
      <c r="H1000" s="72" t="s">
        <v>1141</v>
      </c>
    </row>
    <row r="1001" spans="2:8" ht="14" x14ac:dyDescent="0.15">
      <c r="B1001" s="72">
        <v>533</v>
      </c>
      <c r="C1001" s="73">
        <v>15200</v>
      </c>
      <c r="D1001" s="72">
        <v>31179</v>
      </c>
      <c r="E1001" s="72">
        <v>45437.353470000002</v>
      </c>
      <c r="F1001" s="72">
        <v>624295</v>
      </c>
      <c r="G1001" s="72" t="s">
        <v>1293</v>
      </c>
      <c r="H1001" s="72" t="s">
        <v>1141</v>
      </c>
    </row>
    <row r="1002" spans="2:8" ht="14" x14ac:dyDescent="0.15">
      <c r="B1002" s="72">
        <v>543</v>
      </c>
      <c r="C1002" s="73">
        <v>18649.240000000002</v>
      </c>
      <c r="D1002" s="72">
        <v>31179</v>
      </c>
      <c r="E1002" s="72">
        <v>45437.353470000002</v>
      </c>
      <c r="F1002" s="72">
        <v>624295</v>
      </c>
      <c r="G1002" s="72" t="s">
        <v>1293</v>
      </c>
      <c r="H1002" s="72" t="s">
        <v>1141</v>
      </c>
    </row>
  </sheetData>
  <autoFilter ref="B2:H1002" xr:uid="{4E012C69-EDEB-4C87-AEA6-AC0CB4128F21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06039D-E2CF-4479-BD55-225DA976C9AD}">
  <sheetPr codeName="Sheet13"/>
  <dimension ref="A2:G2"/>
  <sheetViews>
    <sheetView workbookViewId="0">
      <selection activeCell="C1" sqref="C1:G1048576"/>
    </sheetView>
  </sheetViews>
  <sheetFormatPr baseColWidth="10" defaultColWidth="9.1640625" defaultRowHeight="13" x14ac:dyDescent="0.15"/>
  <cols>
    <col min="1" max="2" width="1.6640625" style="66" customWidth="1"/>
    <col min="8" max="16384" width="9.1640625" style="35"/>
  </cols>
  <sheetData>
    <row r="2" spans="1:2" s="28" customFormat="1" ht="27" x14ac:dyDescent="0.15">
      <c r="A2" s="65" t="s">
        <v>290</v>
      </c>
      <c r="B2" s="65" t="str" cm="1">
        <f t="array" aca="1" ref="B2" ca="1">_xlfn.TEXTAFTER(CELL("filename",INDIRECT("A1")),"]")</f>
        <v>OutData</v>
      </c>
    </row>
  </sheetData>
  <dataConsolidate/>
  <phoneticPr fontId="36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B88E8EB-1E24-4783-849A-9CF0A5D0582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11</vt:i4>
      </vt:variant>
    </vt:vector>
  </HeadingPairs>
  <TitlesOfParts>
    <vt:vector size="15" baseType="lpstr">
      <vt:lpstr>StdData</vt:lpstr>
      <vt:lpstr>InOutData</vt:lpstr>
      <vt:lpstr>Sheet1</vt:lpstr>
      <vt:lpstr>OutData</vt:lpstr>
      <vt:lpstr>LvE</vt:lpstr>
      <vt:lpstr>OsyS</vt:lpstr>
      <vt:lpstr>Prj0_Id</vt:lpstr>
      <vt:lpstr>Prj0M_Id</vt:lpstr>
      <vt:lpstr>Prj1_Id</vt:lpstr>
      <vt:lpstr>Prj1M_Id</vt:lpstr>
      <vt:lpstr>Prj2_Id</vt:lpstr>
      <vt:lpstr>Prj2M_Id</vt:lpstr>
      <vt:lpstr>PrjX_Id</vt:lpstr>
      <vt:lpstr>Pth</vt:lpstr>
      <vt:lpstr>Vrs</vt:lpstr>
    </vt:vector>
  </TitlesOfParts>
  <Company>SERRA SOLDADURA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I. PROCESOS</dc:creator>
  <cp:lastModifiedBy>Dídac Pérez Gil</cp:lastModifiedBy>
  <cp:lastPrinted>2013-04-30T09:28:39Z</cp:lastPrinted>
  <dcterms:created xsi:type="dcterms:W3CDTF">2003-03-06T12:03:29Z</dcterms:created>
  <dcterms:modified xsi:type="dcterms:W3CDTF">2025-03-21T09:53:32Z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c37234c-be34-48e6-861e-3e7763cedb77_Enabled">
    <vt:lpwstr>true</vt:lpwstr>
  </property>
  <property fmtid="{D5CDD505-2E9C-101B-9397-08002B2CF9AE}" pid="3" name="MSIP_Label_5c37234c-be34-48e6-861e-3e7763cedb77_SetDate">
    <vt:lpwstr>2021-07-20T08:25:20Z</vt:lpwstr>
  </property>
  <property fmtid="{D5CDD505-2E9C-101B-9397-08002B2CF9AE}" pid="4" name="MSIP_Label_5c37234c-be34-48e6-861e-3e7763cedb77_Method">
    <vt:lpwstr>Standard</vt:lpwstr>
  </property>
  <property fmtid="{D5CDD505-2E9C-101B-9397-08002B2CF9AE}" pid="5" name="MSIP_Label_5c37234c-be34-48e6-861e-3e7763cedb77_Name">
    <vt:lpwstr>5c37234c-be34-48e6-861e-3e7763cedb77</vt:lpwstr>
  </property>
  <property fmtid="{D5CDD505-2E9C-101B-9397-08002B2CF9AE}" pid="6" name="MSIP_Label_5c37234c-be34-48e6-861e-3e7763cedb77_SiteId">
    <vt:lpwstr>d2f1cc5e-9343-4a8e-9ce4-c0d8869b1510</vt:lpwstr>
  </property>
  <property fmtid="{D5CDD505-2E9C-101B-9397-08002B2CF9AE}" pid="7" name="MSIP_Label_5c37234c-be34-48e6-861e-3e7763cedb77_ActionId">
    <vt:lpwstr>b8f191dd-3847-4e57-a8db-1b65ede502cd</vt:lpwstr>
  </property>
  <property fmtid="{D5CDD505-2E9C-101B-9397-08002B2CF9AE}" pid="8" name="MSIP_Label_5c37234c-be34-48e6-861e-3e7763cedb77_ContentBits">
    <vt:lpwstr>2</vt:lpwstr>
  </property>
</Properties>
</file>